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omments11.xml" ContentType="application/vnd.openxmlformats-officedocument.spreadsheetml.comments+xml"/>
  <Override PartName="/xl/drawings/drawing14.xml" ContentType="application/vnd.openxmlformats-officedocument.drawing+xml"/>
  <Override PartName="/xl/comments12.xml" ContentType="application/vnd.openxmlformats-officedocument.spreadsheetml.comments+xml"/>
  <Override PartName="/xl/drawings/drawing15.xml" ContentType="application/vnd.openxmlformats-officedocument.drawing+xml"/>
  <Override PartName="/xl/comments13.xml" ContentType="application/vnd.openxmlformats-officedocument.spreadsheetml.comments+xml"/>
  <Override PartName="/xl/drawings/drawing16.xml" ContentType="application/vnd.openxmlformats-officedocument.drawing+xml"/>
  <Override PartName="/xl/comments14.xml" ContentType="application/vnd.openxmlformats-officedocument.spreadsheetml.comments+xml"/>
  <Override PartName="/xl/drawings/drawing17.xml" ContentType="application/vnd.openxmlformats-officedocument.drawing+xml"/>
  <Override PartName="/xl/comments15.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comments16.xml" ContentType="application/vnd.openxmlformats-officedocument.spreadsheetml.comments+xml"/>
  <Override PartName="/xl/drawings/drawing20.xml" ContentType="application/vnd.openxmlformats-officedocument.drawing+xml"/>
  <Override PartName="/xl/comments17.xml" ContentType="application/vnd.openxmlformats-officedocument.spreadsheetml.comments+xml"/>
  <Override PartName="/xl/drawings/drawing2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2.xml" ContentType="application/vnd.openxmlformats-officedocument.drawing+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PC\OneDrive\Escritorio\GIPC\Edificios\2026\La Panoramica\Hojas de calculo\"/>
    </mc:Choice>
  </mc:AlternateContent>
  <xr:revisionPtr revIDLastSave="0" documentId="13_ncr:1_{C2833487-D22E-4510-8EBE-F97F288A4217}" xr6:coauthVersionLast="47" xr6:coauthVersionMax="47" xr10:uidLastSave="{00000000-0000-0000-0000-000000000000}"/>
  <bookViews>
    <workbookView xWindow="-120" yWindow="-120" windowWidth="29040" windowHeight="15720" tabRatio="860" activeTab="21" xr2:uid="{BDAB85E0-19CD-4053-AD80-8425F9DD4C9E}"/>
  </bookViews>
  <sheets>
    <sheet name="CG. MPB" sheetId="38" r:id="rId1"/>
    <sheet name="CG. MPA" sheetId="29" r:id="rId2"/>
    <sheet name="RMCV.PB" sheetId="11" r:id="rId3"/>
    <sheet name="RMCV.PA" sheetId="12" r:id="rId4"/>
    <sheet name="RMCS.PB" sheetId="13" r:id="rId5"/>
    <sheet name="RMCS.PA" sheetId="14" r:id="rId6"/>
    <sheet name="CASTILLOS-PB" sheetId="9" r:id="rId7"/>
    <sheet name="CASTILLOS-PA" sheetId="10" r:id="rId8"/>
    <sheet name="MUR.CONC-PB" sheetId="1" r:id="rId9"/>
    <sheet name="MUR.CONC-PA" sheetId="41" r:id="rId10"/>
    <sheet name="MOM.VOLTEO" sheetId="5" state="hidden" r:id="rId11"/>
    <sheet name="Pesos por  nivel" sheetId="69" state="hidden" r:id="rId12"/>
    <sheet name="REV.ESFUERZOS" sheetId="4" state="hidden" r:id="rId13"/>
    <sheet name="LOSA-CIMENTACION" sheetId="32" state="hidden" r:id="rId14"/>
    <sheet name="LOSA-VOLADO" sheetId="58" state="hidden" r:id="rId15"/>
    <sheet name="LOSA-VOLADO (2)" sheetId="70" state="hidden" r:id="rId16"/>
    <sheet name="TRABES PA" sheetId="60" state="hidden" r:id="rId17"/>
    <sheet name="losas de v b" sheetId="34" state="hidden" r:id="rId18"/>
    <sheet name="CASTILLO" sheetId="68" state="hidden" r:id="rId19"/>
    <sheet name="DIS-ZAP-LIN" sheetId="49" state="hidden" r:id="rId20"/>
    <sheet name="DIS-ZAP-CENT" sheetId="46" state="hidden" r:id="rId21"/>
    <sheet name="LONGITUD DE MUROS" sheetId="131" r:id="rId22"/>
    <sheet name="ELEM. MECA." sheetId="132" r:id="rId23"/>
    <sheet name="Hoja1" sheetId="133" r:id="rId24"/>
    <sheet name="M.SECCION" sheetId="6" state="hidden" r:id="rId25"/>
  </sheets>
  <functionGroups builtInGroupCount="19"/>
  <definedNames>
    <definedName name="_fc" localSheetId="13">'LOSA-CIMENTACION'!$J$16</definedName>
    <definedName name="AS" localSheetId="13">'LOSA-CIMENTACION'!$F$48</definedName>
    <definedName name="fy" localSheetId="13">'LOSA-CIMENTACION'!$J$14</definedName>
    <definedName name="FY">'CASTILLOS-PA'!$H$18</definedName>
    <definedName name="P" localSheetId="13">'LOSA-CIMENTACION'!$F$47</definedName>
    <definedName name="PN" localSheetId="13">'LOSA-CIMENTACION'!$C$45</definedName>
    <definedName name="PP" localSheetId="13">'LOSA-CIMENTACION'!$C$46</definedName>
    <definedName name="_xlnm.Print_Titles" localSheetId="18">CASTILLO!$1:$6</definedName>
    <definedName name="_xlnm.Print_Titles" localSheetId="7">'CASTILLOS-PA'!$1:$6</definedName>
    <definedName name="_xlnm.Print_Titles" localSheetId="6">'CASTILLOS-PB'!$1:$6</definedName>
    <definedName name="_xlnm.Print_Titles" localSheetId="1">'CG. MPA'!$1:$6</definedName>
    <definedName name="_xlnm.Print_Titles" localSheetId="0">'CG. MPB'!$1:$6</definedName>
    <definedName name="_xlnm.Print_Titles" localSheetId="20">'DIS-ZAP-CENT'!$1:$6</definedName>
    <definedName name="_xlnm.Print_Titles" localSheetId="19">'DIS-ZAP-LIN'!$1:$6</definedName>
    <definedName name="_xlnm.Print_Titles" localSheetId="13">'LOSA-CIMENTACION'!$1:$6</definedName>
    <definedName name="_xlnm.Print_Titles" localSheetId="17">'losas de v b'!$1:$6</definedName>
    <definedName name="_xlnm.Print_Titles" localSheetId="14">'LOSA-VOLADO'!$1:$6</definedName>
    <definedName name="_xlnm.Print_Titles" localSheetId="15">'LOSA-VOLADO (2)'!$1:$6</definedName>
    <definedName name="_xlnm.Print_Titles" localSheetId="24">M.SECCION!$7:$12</definedName>
    <definedName name="_xlnm.Print_Titles" localSheetId="10">MOM.VOLTEO!$7:$12</definedName>
    <definedName name="_xlnm.Print_Titles" localSheetId="9">'MUR.CONC-PA'!$1:$50</definedName>
    <definedName name="_xlnm.Print_Titles" localSheetId="8">'MUR.CONC-PB'!$1:$6</definedName>
    <definedName name="_xlnm.Print_Titles" localSheetId="12">'REV.ESFUERZOS'!$1:$6</definedName>
    <definedName name="_xlnm.Print_Titles" localSheetId="5">'RMCS.PA'!$7:$12</definedName>
    <definedName name="_xlnm.Print_Titles" localSheetId="4">'RMCS.PB'!$1:$6</definedName>
    <definedName name="_xlnm.Print_Titles" localSheetId="3">'RMCV.PA'!$7:$12</definedName>
    <definedName name="_xlnm.Print_Titles" localSheetId="2">'RMCV.PB'!$1:$6</definedName>
    <definedName name="_xlnm.Print_Titles" localSheetId="16">'TRABES PA'!$1:$6</definedName>
    <definedName name="W" localSheetId="13">'LOSA-CIMENTACION'!$D$24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2" i="133" l="1"/>
  <c r="D18" i="133"/>
  <c r="D19" i="133" s="1"/>
  <c r="D20" i="133" s="1"/>
  <c r="D21" i="133" s="1"/>
  <c r="D22" i="133" s="1"/>
  <c r="D23" i="133" s="1"/>
  <c r="D24" i="133" s="1"/>
  <c r="D25" i="133" s="1"/>
  <c r="D26" i="133" s="1"/>
  <c r="D27" i="133" s="1"/>
  <c r="D28" i="133" s="1"/>
  <c r="D29" i="133" s="1"/>
  <c r="D30" i="133" s="1"/>
  <c r="D31" i="133" s="1"/>
  <c r="D17" i="133"/>
  <c r="M85" i="14"/>
  <c r="AO78" i="14"/>
  <c r="K30" i="9" l="1"/>
  <c r="K31" i="9"/>
  <c r="K32" i="9"/>
  <c r="K33" i="9"/>
  <c r="K34" i="9"/>
  <c r="K35" i="9"/>
  <c r="K36" i="9"/>
  <c r="K37" i="9"/>
  <c r="K38" i="9"/>
  <c r="K39" i="9"/>
  <c r="K40" i="9"/>
  <c r="K41" i="9"/>
  <c r="K42" i="9"/>
  <c r="K43" i="9"/>
  <c r="K44" i="9"/>
  <c r="K45" i="9"/>
  <c r="K46" i="9"/>
  <c r="K47" i="9"/>
  <c r="K48" i="9"/>
  <c r="K49" i="9"/>
  <c r="K50" i="9"/>
  <c r="K51" i="9"/>
  <c r="K52" i="9"/>
  <c r="K53" i="9"/>
  <c r="K54" i="9"/>
  <c r="K55" i="9"/>
  <c r="K56" i="9"/>
  <c r="K57" i="9"/>
  <c r="K58" i="9"/>
  <c r="K59" i="9"/>
  <c r="K60" i="9"/>
  <c r="K61" i="9"/>
  <c r="K62" i="9"/>
  <c r="K63" i="9"/>
  <c r="K64" i="9"/>
  <c r="K65" i="9"/>
  <c r="K66" i="9"/>
  <c r="K67" i="9"/>
  <c r="K68" i="9"/>
  <c r="K69" i="9"/>
  <c r="K70" i="9"/>
  <c r="K71" i="9"/>
  <c r="K72" i="9"/>
  <c r="K73" i="9"/>
  <c r="K74" i="9"/>
  <c r="K75" i="9"/>
  <c r="K76" i="9"/>
  <c r="K77" i="9"/>
  <c r="K78" i="9"/>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J14" i="1" l="1"/>
  <c r="D31" i="13" l="1"/>
  <c r="L31" i="13"/>
  <c r="Q31" i="13"/>
  <c r="D32" i="13"/>
  <c r="L32" i="13"/>
  <c r="Q32" i="13"/>
  <c r="D33" i="13"/>
  <c r="L33" i="13"/>
  <c r="Q33" i="13"/>
  <c r="D34" i="13"/>
  <c r="L34" i="13"/>
  <c r="Q34" i="13"/>
  <c r="D35" i="13"/>
  <c r="L35" i="13"/>
  <c r="Q35" i="13"/>
  <c r="D36" i="13"/>
  <c r="L36" i="13"/>
  <c r="Q36" i="13"/>
  <c r="D37" i="13"/>
  <c r="L37" i="13"/>
  <c r="Q37" i="13"/>
  <c r="D38" i="13"/>
  <c r="L38" i="13"/>
  <c r="Q38" i="13"/>
  <c r="D39" i="13"/>
  <c r="L39" i="13"/>
  <c r="Q39" i="13"/>
  <c r="AD30" i="13"/>
  <c r="AE30" i="13" s="1"/>
  <c r="AF30" i="13"/>
  <c r="AH30" i="13"/>
  <c r="AI30" i="13"/>
  <c r="AJ30" i="13"/>
  <c r="AK30" i="13"/>
  <c r="AL30" i="13"/>
  <c r="AM30" i="13"/>
  <c r="AG30" i="13" l="1"/>
  <c r="X80" i="1"/>
  <c r="B81" i="29"/>
  <c r="B82" i="29"/>
  <c r="B83" i="29"/>
  <c r="B84" i="29"/>
  <c r="B85" i="29"/>
  <c r="B86" i="29"/>
  <c r="B87" i="29"/>
  <c r="B88" i="29"/>
  <c r="B89" i="29"/>
  <c r="B90" i="29"/>
  <c r="B91" i="29"/>
  <c r="B92" i="29"/>
  <c r="B93" i="29"/>
  <c r="B94" i="29"/>
  <c r="B95" i="29"/>
  <c r="B96" i="29"/>
  <c r="B97" i="29"/>
  <c r="B98" i="29"/>
  <c r="B99" i="29"/>
  <c r="B100" i="29"/>
  <c r="B101" i="29"/>
  <c r="B102" i="29"/>
  <c r="B103" i="29"/>
  <c r="B104" i="29"/>
  <c r="B105" i="29"/>
  <c r="B106" i="29"/>
  <c r="B107" i="29"/>
  <c r="B108" i="29"/>
  <c r="B109" i="29"/>
  <c r="B110" i="29"/>
  <c r="B111" i="29"/>
  <c r="B112" i="29"/>
  <c r="B113" i="29"/>
  <c r="B114" i="29"/>
  <c r="B115" i="29"/>
  <c r="B116" i="29"/>
  <c r="B117" i="29"/>
  <c r="B118" i="29"/>
  <c r="B119" i="29"/>
  <c r="B120" i="29"/>
  <c r="B121" i="29"/>
  <c r="B122" i="29"/>
  <c r="B123" i="29"/>
  <c r="B124" i="29"/>
  <c r="B125" i="29"/>
  <c r="B126" i="29"/>
  <c r="B127" i="29"/>
  <c r="B128" i="29"/>
  <c r="B129" i="29"/>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80"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29" i="10"/>
  <c r="K81" i="9"/>
  <c r="K82" i="9"/>
  <c r="K83" i="9"/>
  <c r="K84" i="9"/>
  <c r="K85" i="9"/>
  <c r="K86" i="9"/>
  <c r="K87" i="9"/>
  <c r="K88" i="9"/>
  <c r="K89" i="9"/>
  <c r="K90" i="9"/>
  <c r="K91" i="9"/>
  <c r="K92" i="9"/>
  <c r="K93" i="9"/>
  <c r="K94" i="9"/>
  <c r="K95" i="9"/>
  <c r="K96" i="9"/>
  <c r="K97" i="9"/>
  <c r="K98" i="9"/>
  <c r="K99" i="9"/>
  <c r="K100" i="9"/>
  <c r="K101" i="9"/>
  <c r="K102" i="9"/>
  <c r="K103" i="9"/>
  <c r="K104" i="9"/>
  <c r="K105" i="9"/>
  <c r="K106" i="9"/>
  <c r="K107" i="9"/>
  <c r="K108" i="9"/>
  <c r="K109" i="9"/>
  <c r="K110" i="9"/>
  <c r="K111" i="9"/>
  <c r="K112" i="9"/>
  <c r="K113" i="9"/>
  <c r="K114" i="9"/>
  <c r="K115" i="9"/>
  <c r="K116" i="9"/>
  <c r="K117" i="9"/>
  <c r="K118" i="9"/>
  <c r="K119" i="9"/>
  <c r="K120" i="9"/>
  <c r="K121" i="9"/>
  <c r="K122" i="9"/>
  <c r="K123" i="9"/>
  <c r="K124" i="9"/>
  <c r="K125" i="9"/>
  <c r="K126" i="9"/>
  <c r="K127" i="9"/>
  <c r="K128" i="9"/>
  <c r="K129" i="9"/>
  <c r="K80" i="9"/>
  <c r="K29" i="9"/>
  <c r="M80" i="14"/>
  <c r="M81" i="14"/>
  <c r="M82" i="14"/>
  <c r="M83" i="14"/>
  <c r="M84"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79"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28" i="14"/>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80"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29" i="12"/>
  <c r="E81" i="29"/>
  <c r="C81" i="41" s="1"/>
  <c r="E82" i="29"/>
  <c r="C82" i="41" s="1"/>
  <c r="F82" i="41" s="1"/>
  <c r="E83" i="29"/>
  <c r="E84" i="29"/>
  <c r="C84" i="41" s="1"/>
  <c r="E85" i="29"/>
  <c r="E86" i="29"/>
  <c r="E87" i="29"/>
  <c r="E88" i="29"/>
  <c r="C88" i="41" s="1"/>
  <c r="E89" i="29"/>
  <c r="C89" i="41" s="1"/>
  <c r="E90" i="29"/>
  <c r="C90" i="41" s="1"/>
  <c r="F90" i="41" s="1"/>
  <c r="E91" i="29"/>
  <c r="C91" i="41" s="1"/>
  <c r="E92" i="29"/>
  <c r="C92" i="41" s="1"/>
  <c r="E93" i="29"/>
  <c r="C93" i="41" s="1"/>
  <c r="E94" i="29"/>
  <c r="C94" i="41" s="1"/>
  <c r="E95" i="29"/>
  <c r="C95" i="41" s="1"/>
  <c r="E96" i="29"/>
  <c r="C96" i="41" s="1"/>
  <c r="E97" i="29"/>
  <c r="C97" i="41" s="1"/>
  <c r="E98" i="29"/>
  <c r="C98" i="41" s="1"/>
  <c r="F98" i="41" s="1"/>
  <c r="E99" i="29"/>
  <c r="C99" i="41" s="1"/>
  <c r="E100" i="29"/>
  <c r="C100" i="41" s="1"/>
  <c r="E101" i="29"/>
  <c r="W101" i="12" s="1"/>
  <c r="E102" i="29"/>
  <c r="W102" i="12" s="1"/>
  <c r="E103" i="29"/>
  <c r="W103" i="12" s="1"/>
  <c r="E104" i="29"/>
  <c r="W104" i="12" s="1"/>
  <c r="E105" i="29"/>
  <c r="W105" i="12" s="1"/>
  <c r="E106" i="29"/>
  <c r="W106" i="12" s="1"/>
  <c r="E107" i="29"/>
  <c r="W107" i="12" s="1"/>
  <c r="E108" i="29"/>
  <c r="W108" i="12" s="1"/>
  <c r="E109" i="29"/>
  <c r="W109" i="12" s="1"/>
  <c r="E110" i="29"/>
  <c r="W110" i="12" s="1"/>
  <c r="E111" i="29"/>
  <c r="W111" i="12" s="1"/>
  <c r="E112" i="29"/>
  <c r="W112" i="12" s="1"/>
  <c r="E113" i="29"/>
  <c r="C113" i="41" s="1"/>
  <c r="E114" i="29"/>
  <c r="C114" i="41" s="1"/>
  <c r="F114" i="41" s="1"/>
  <c r="E115" i="29"/>
  <c r="C115" i="41" s="1"/>
  <c r="E116" i="29"/>
  <c r="W116" i="12" s="1"/>
  <c r="E117" i="29"/>
  <c r="W117" i="12" s="1"/>
  <c r="E118" i="29"/>
  <c r="W118" i="12" s="1"/>
  <c r="E119" i="29"/>
  <c r="W119" i="12" s="1"/>
  <c r="E120" i="29"/>
  <c r="W120" i="12" s="1"/>
  <c r="E121" i="29"/>
  <c r="W121" i="12" s="1"/>
  <c r="E122" i="29"/>
  <c r="W122" i="12" s="1"/>
  <c r="E123" i="29"/>
  <c r="W123" i="12" s="1"/>
  <c r="E124" i="29"/>
  <c r="W124" i="12" s="1"/>
  <c r="E125" i="29"/>
  <c r="W125" i="12" s="1"/>
  <c r="E126" i="29"/>
  <c r="W126" i="12" s="1"/>
  <c r="E127" i="29"/>
  <c r="W127" i="12" s="1"/>
  <c r="E128" i="29"/>
  <c r="W128" i="12" s="1"/>
  <c r="E129" i="29"/>
  <c r="W129" i="12" s="1"/>
  <c r="E80" i="29"/>
  <c r="E30" i="29"/>
  <c r="E31" i="29"/>
  <c r="C31" i="41" s="1"/>
  <c r="F31" i="41" s="1"/>
  <c r="E32" i="29"/>
  <c r="C32" i="41" s="1"/>
  <c r="E33" i="29"/>
  <c r="C33" i="41" s="1"/>
  <c r="E34" i="29"/>
  <c r="C34" i="41" s="1"/>
  <c r="E35" i="29"/>
  <c r="C35" i="41" s="1"/>
  <c r="E36" i="29"/>
  <c r="E37" i="29"/>
  <c r="E38" i="29"/>
  <c r="C38" i="41" s="1"/>
  <c r="E39" i="29"/>
  <c r="C39" i="41" s="1"/>
  <c r="F39" i="41" s="1"/>
  <c r="E40" i="29"/>
  <c r="V40" i="12" s="1"/>
  <c r="E41" i="29"/>
  <c r="C41" i="41" s="1"/>
  <c r="E42" i="29"/>
  <c r="C42" i="41" s="1"/>
  <c r="E43" i="29"/>
  <c r="V43" i="12" s="1"/>
  <c r="E44" i="29"/>
  <c r="C44" i="41" s="1"/>
  <c r="E45" i="29"/>
  <c r="C45" i="41" s="1"/>
  <c r="E46" i="29"/>
  <c r="E47" i="29"/>
  <c r="W47" i="12" s="1"/>
  <c r="E48" i="29"/>
  <c r="V48" i="12" s="1"/>
  <c r="E49" i="29"/>
  <c r="V49" i="12" s="1"/>
  <c r="E50" i="29"/>
  <c r="V50" i="12" s="1"/>
  <c r="E51" i="29"/>
  <c r="V51" i="12" s="1"/>
  <c r="E52" i="29"/>
  <c r="W52" i="12" s="1"/>
  <c r="E53" i="29"/>
  <c r="W53" i="12" s="1"/>
  <c r="E54" i="29"/>
  <c r="W54" i="12" s="1"/>
  <c r="E55" i="29"/>
  <c r="W55" i="12" s="1"/>
  <c r="E56" i="29"/>
  <c r="W56" i="12" s="1"/>
  <c r="E57" i="29"/>
  <c r="W57" i="12" s="1"/>
  <c r="E58" i="29"/>
  <c r="W58" i="12" s="1"/>
  <c r="E59" i="29"/>
  <c r="W59" i="12" s="1"/>
  <c r="E60" i="29"/>
  <c r="C60" i="41" s="1"/>
  <c r="E61" i="29"/>
  <c r="C61" i="41" s="1"/>
  <c r="E62" i="29"/>
  <c r="C62" i="41" s="1"/>
  <c r="E63" i="29"/>
  <c r="W63" i="12" s="1"/>
  <c r="E64" i="29"/>
  <c r="W64" i="12" s="1"/>
  <c r="E65" i="29"/>
  <c r="W65" i="12" s="1"/>
  <c r="E66" i="29"/>
  <c r="W66" i="12" s="1"/>
  <c r="E67" i="29"/>
  <c r="V67" i="12" s="1"/>
  <c r="E68" i="29"/>
  <c r="W68" i="12" s="1"/>
  <c r="E69" i="29"/>
  <c r="W69" i="12" s="1"/>
  <c r="E70" i="29"/>
  <c r="W70" i="12" s="1"/>
  <c r="E71" i="29"/>
  <c r="W71" i="12" s="1"/>
  <c r="E72" i="29"/>
  <c r="V72" i="12" s="1"/>
  <c r="E73" i="29"/>
  <c r="V73" i="12" s="1"/>
  <c r="E74" i="29"/>
  <c r="V74" i="12" s="1"/>
  <c r="E75" i="29"/>
  <c r="V75" i="12" s="1"/>
  <c r="E76" i="29"/>
  <c r="W76" i="12" s="1"/>
  <c r="E77" i="29"/>
  <c r="W77" i="12" s="1"/>
  <c r="E78" i="29"/>
  <c r="W78" i="12" s="1"/>
  <c r="E29" i="29"/>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80"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29" i="12"/>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80"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29" i="11"/>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108" i="13"/>
  <c r="L109" i="13"/>
  <c r="L110" i="13"/>
  <c r="L111" i="13"/>
  <c r="L112" i="13"/>
  <c r="L113" i="13"/>
  <c r="L114" i="13"/>
  <c r="L115" i="13"/>
  <c r="L116" i="13"/>
  <c r="L117" i="13"/>
  <c r="L118" i="13"/>
  <c r="L119" i="13"/>
  <c r="L120" i="13"/>
  <c r="L121" i="13"/>
  <c r="L122" i="13"/>
  <c r="L123" i="13"/>
  <c r="L124" i="13"/>
  <c r="L125" i="13"/>
  <c r="L126" i="13"/>
  <c r="L127" i="13"/>
  <c r="L128" i="13"/>
  <c r="L129" i="13"/>
  <c r="L80"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0" i="13"/>
  <c r="L29" i="13"/>
  <c r="W79" i="12"/>
  <c r="O81" i="11"/>
  <c r="O82" i="11"/>
  <c r="O83" i="11"/>
  <c r="O84" i="11"/>
  <c r="O85" i="11"/>
  <c r="O86" i="11"/>
  <c r="O87" i="11"/>
  <c r="O88" i="11"/>
  <c r="O89" i="11"/>
  <c r="O90" i="11"/>
  <c r="O91" i="11"/>
  <c r="O92" i="11"/>
  <c r="O93" i="11"/>
  <c r="O94" i="11"/>
  <c r="O95" i="11"/>
  <c r="O96" i="11"/>
  <c r="O97" i="11"/>
  <c r="O98" i="11"/>
  <c r="O99" i="11"/>
  <c r="O100" i="11"/>
  <c r="O101" i="11"/>
  <c r="O102" i="11"/>
  <c r="O103" i="11"/>
  <c r="O104" i="11"/>
  <c r="O105" i="11"/>
  <c r="O106" i="11"/>
  <c r="O107" i="11"/>
  <c r="O108" i="11"/>
  <c r="O109" i="11"/>
  <c r="O110" i="11"/>
  <c r="O111" i="11"/>
  <c r="O112" i="11"/>
  <c r="O113" i="11"/>
  <c r="O114" i="11"/>
  <c r="O115" i="11"/>
  <c r="O116" i="11"/>
  <c r="O117" i="11"/>
  <c r="O118" i="11"/>
  <c r="O119" i="11"/>
  <c r="O120" i="11"/>
  <c r="O121" i="11"/>
  <c r="O122" i="11"/>
  <c r="O123" i="11"/>
  <c r="O124" i="11"/>
  <c r="O125" i="11"/>
  <c r="O126" i="11"/>
  <c r="O127" i="11"/>
  <c r="O128" i="11"/>
  <c r="O129" i="11"/>
  <c r="O80" i="11"/>
  <c r="W113" i="12"/>
  <c r="W115" i="12"/>
  <c r="E82" i="38"/>
  <c r="C81" i="1" s="1"/>
  <c r="E83" i="38"/>
  <c r="E84" i="38"/>
  <c r="E85" i="38"/>
  <c r="E86" i="38"/>
  <c r="E87" i="38"/>
  <c r="C86" i="1" s="1"/>
  <c r="E88" i="38"/>
  <c r="E89" i="38"/>
  <c r="C88" i="1" s="1"/>
  <c r="E90" i="38"/>
  <c r="C89" i="1" s="1"/>
  <c r="E91" i="38"/>
  <c r="C90" i="1" s="1"/>
  <c r="E92" i="38"/>
  <c r="C91" i="1" s="1"/>
  <c r="E93" i="38"/>
  <c r="C92" i="1" s="1"/>
  <c r="E94" i="38"/>
  <c r="C93" i="1" s="1"/>
  <c r="E95" i="38"/>
  <c r="E96" i="38"/>
  <c r="C95" i="1" s="1"/>
  <c r="E97" i="38"/>
  <c r="C96" i="1" s="1"/>
  <c r="E98" i="38"/>
  <c r="C97" i="1" s="1"/>
  <c r="E99" i="38"/>
  <c r="C98" i="1" s="1"/>
  <c r="E100" i="38"/>
  <c r="C99" i="1" s="1"/>
  <c r="E101" i="38"/>
  <c r="C100" i="1" s="1"/>
  <c r="E102" i="38"/>
  <c r="C101" i="1" s="1"/>
  <c r="E103" i="38"/>
  <c r="C102" i="1" s="1"/>
  <c r="E104" i="38"/>
  <c r="C103" i="1" s="1"/>
  <c r="E105" i="38"/>
  <c r="C104" i="1" s="1"/>
  <c r="E106" i="38"/>
  <c r="C105" i="1" s="1"/>
  <c r="E107" i="38"/>
  <c r="C106" i="1" s="1"/>
  <c r="E108" i="38"/>
  <c r="C107" i="1" s="1"/>
  <c r="E109" i="38"/>
  <c r="C108" i="1" s="1"/>
  <c r="E110" i="38"/>
  <c r="C109" i="1" s="1"/>
  <c r="E111" i="38"/>
  <c r="C110" i="1" s="1"/>
  <c r="E112" i="38"/>
  <c r="C111" i="1" s="1"/>
  <c r="E113" i="38"/>
  <c r="C112" i="1" s="1"/>
  <c r="E114" i="38"/>
  <c r="C113" i="1" s="1"/>
  <c r="E115" i="38"/>
  <c r="C114" i="1" s="1"/>
  <c r="E116" i="38"/>
  <c r="C115" i="1" s="1"/>
  <c r="E117" i="38"/>
  <c r="C116" i="1" s="1"/>
  <c r="E118" i="38"/>
  <c r="C117" i="1" s="1"/>
  <c r="E119" i="38"/>
  <c r="C118" i="1" s="1"/>
  <c r="E120" i="38"/>
  <c r="C119" i="1" s="1"/>
  <c r="E121" i="38"/>
  <c r="C120" i="1" s="1"/>
  <c r="E122" i="38"/>
  <c r="C121" i="1" s="1"/>
  <c r="E123" i="38"/>
  <c r="C122" i="1" s="1"/>
  <c r="E124" i="38"/>
  <c r="C123" i="1" s="1"/>
  <c r="E125" i="38"/>
  <c r="C124" i="1" s="1"/>
  <c r="E126" i="38"/>
  <c r="C125" i="1" s="1"/>
  <c r="E127" i="38"/>
  <c r="C126" i="1" s="1"/>
  <c r="E128" i="38"/>
  <c r="C127" i="1" s="1"/>
  <c r="E129" i="38"/>
  <c r="C128" i="1" s="1"/>
  <c r="E130" i="38"/>
  <c r="C129" i="1" s="1"/>
  <c r="E81" i="38"/>
  <c r="E31" i="38"/>
  <c r="E32" i="38"/>
  <c r="E33" i="38"/>
  <c r="E34" i="38"/>
  <c r="E35" i="38"/>
  <c r="E36" i="38"/>
  <c r="E37" i="38"/>
  <c r="E38" i="38"/>
  <c r="E39" i="38"/>
  <c r="E40" i="38"/>
  <c r="E41" i="38"/>
  <c r="C40" i="1" s="1"/>
  <c r="E42" i="38"/>
  <c r="C41" i="1" s="1"/>
  <c r="E43" i="38"/>
  <c r="C42" i="1" s="1"/>
  <c r="E44" i="38"/>
  <c r="E45" i="38"/>
  <c r="C44" i="1" s="1"/>
  <c r="E46" i="38"/>
  <c r="C45" i="1" s="1"/>
  <c r="E47" i="38"/>
  <c r="C46" i="1" s="1"/>
  <c r="E48" i="38"/>
  <c r="E49" i="38"/>
  <c r="E50" i="38"/>
  <c r="C49" i="1" s="1"/>
  <c r="E51" i="38"/>
  <c r="C50" i="1" s="1"/>
  <c r="E52" i="38"/>
  <c r="C51" i="1" s="1"/>
  <c r="E53" i="38"/>
  <c r="C52" i="1" s="1"/>
  <c r="E54" i="38"/>
  <c r="C53" i="1" s="1"/>
  <c r="E55" i="38"/>
  <c r="C54" i="1" s="1"/>
  <c r="E56" i="38"/>
  <c r="C55" i="1" s="1"/>
  <c r="E57" i="38"/>
  <c r="C56" i="1" s="1"/>
  <c r="E58" i="38"/>
  <c r="C57" i="1" s="1"/>
  <c r="E59" i="38"/>
  <c r="C58" i="1" s="1"/>
  <c r="E60" i="38"/>
  <c r="C59" i="1" s="1"/>
  <c r="E61" i="38"/>
  <c r="C60" i="1" s="1"/>
  <c r="E62" i="38"/>
  <c r="C61" i="1" s="1"/>
  <c r="E63" i="38"/>
  <c r="C62" i="1" s="1"/>
  <c r="E64" i="38"/>
  <c r="C63" i="1" s="1"/>
  <c r="E65" i="38"/>
  <c r="C64" i="1" s="1"/>
  <c r="E66" i="38"/>
  <c r="C65" i="1" s="1"/>
  <c r="E67" i="38"/>
  <c r="C66" i="1" s="1"/>
  <c r="E68" i="38"/>
  <c r="C67" i="1" s="1"/>
  <c r="E69" i="38"/>
  <c r="C68" i="1" s="1"/>
  <c r="E70" i="38"/>
  <c r="C69" i="1" s="1"/>
  <c r="E71" i="38"/>
  <c r="C70" i="1" s="1"/>
  <c r="E72" i="38"/>
  <c r="C71" i="1" s="1"/>
  <c r="E73" i="38"/>
  <c r="C72" i="1" s="1"/>
  <c r="E74" i="38"/>
  <c r="C73" i="1" s="1"/>
  <c r="E75" i="38"/>
  <c r="C74" i="1" s="1"/>
  <c r="E76" i="38"/>
  <c r="C75" i="1" s="1"/>
  <c r="E77" i="38"/>
  <c r="C76" i="1" s="1"/>
  <c r="E78" i="38"/>
  <c r="C77" i="1" s="1"/>
  <c r="E79" i="38"/>
  <c r="C78" i="1" s="1"/>
  <c r="E30" i="38"/>
  <c r="O30" i="11"/>
  <c r="O31" i="11"/>
  <c r="B31" i="13" s="1"/>
  <c r="C31" i="13" s="1"/>
  <c r="O32" i="11"/>
  <c r="B32" i="13" s="1"/>
  <c r="C32" i="13" s="1"/>
  <c r="O33" i="11"/>
  <c r="B33" i="13" s="1"/>
  <c r="C33" i="13" s="1"/>
  <c r="O34" i="11"/>
  <c r="B34" i="13" s="1"/>
  <c r="C34" i="13" s="1"/>
  <c r="O35" i="11"/>
  <c r="B35" i="13" s="1"/>
  <c r="C35" i="13" s="1"/>
  <c r="O36" i="11"/>
  <c r="B36" i="13" s="1"/>
  <c r="C36" i="13" s="1"/>
  <c r="O37" i="11"/>
  <c r="B37" i="13" s="1"/>
  <c r="C37" i="13" s="1"/>
  <c r="O38" i="11"/>
  <c r="B38" i="13" s="1"/>
  <c r="C38" i="13" s="1"/>
  <c r="O39" i="11"/>
  <c r="B39" i="13" s="1"/>
  <c r="C39" i="13" s="1"/>
  <c r="O40" i="11"/>
  <c r="O41" i="11"/>
  <c r="O42" i="11"/>
  <c r="O43" i="11"/>
  <c r="O44" i="11"/>
  <c r="O45" i="11"/>
  <c r="O46" i="11"/>
  <c r="O47" i="11"/>
  <c r="O48" i="11"/>
  <c r="O49" i="11"/>
  <c r="O50" i="11"/>
  <c r="O51" i="11"/>
  <c r="O52" i="11"/>
  <c r="O53" i="11"/>
  <c r="O54" i="11"/>
  <c r="O55" i="11"/>
  <c r="O56" i="11"/>
  <c r="O57" i="11"/>
  <c r="O58" i="11"/>
  <c r="O59" i="11"/>
  <c r="O60" i="11"/>
  <c r="O61" i="11"/>
  <c r="O62" i="11"/>
  <c r="O63" i="11"/>
  <c r="O64" i="11"/>
  <c r="O65" i="11"/>
  <c r="O66" i="11"/>
  <c r="O67" i="11"/>
  <c r="O68" i="11"/>
  <c r="O69" i="11"/>
  <c r="O70" i="11"/>
  <c r="O71" i="11"/>
  <c r="O72" i="11"/>
  <c r="O73" i="11"/>
  <c r="O74" i="11"/>
  <c r="O75" i="11"/>
  <c r="O76" i="11"/>
  <c r="O77" i="11"/>
  <c r="O78" i="11"/>
  <c r="O29" i="11"/>
  <c r="W129" i="11"/>
  <c r="W78" i="11"/>
  <c r="V79" i="11"/>
  <c r="W61" i="12" l="1"/>
  <c r="W114" i="12"/>
  <c r="W60" i="12"/>
  <c r="C39" i="1"/>
  <c r="F39" i="1" s="1"/>
  <c r="J39" i="13"/>
  <c r="U39" i="13" s="1"/>
  <c r="H39" i="13"/>
  <c r="F39" i="13"/>
  <c r="R39" i="13" s="1"/>
  <c r="G39" i="13"/>
  <c r="S39" i="13" s="1"/>
  <c r="I39" i="13"/>
  <c r="T39" i="13" s="1"/>
  <c r="C38" i="1"/>
  <c r="T38" i="1" s="1"/>
  <c r="H38" i="13"/>
  <c r="I38" i="13"/>
  <c r="T38" i="13" s="1"/>
  <c r="G38" i="13"/>
  <c r="S38" i="13" s="1"/>
  <c r="J38" i="13"/>
  <c r="U38" i="13" s="1"/>
  <c r="F38" i="13"/>
  <c r="C37" i="1"/>
  <c r="W37" i="1" s="1"/>
  <c r="F37" i="13"/>
  <c r="G37" i="13"/>
  <c r="S37" i="13" s="1"/>
  <c r="H37" i="13"/>
  <c r="I37" i="13"/>
  <c r="T37" i="13" s="1"/>
  <c r="J37" i="13"/>
  <c r="U37" i="13" s="1"/>
  <c r="C36" i="1"/>
  <c r="U36" i="1" s="1"/>
  <c r="J36" i="13"/>
  <c r="U36" i="13" s="1"/>
  <c r="G36" i="13"/>
  <c r="S36" i="13" s="1"/>
  <c r="I36" i="13"/>
  <c r="T36" i="13" s="1"/>
  <c r="F36" i="13"/>
  <c r="R36" i="13" s="1"/>
  <c r="H36" i="13"/>
  <c r="C35" i="1"/>
  <c r="G35" i="13"/>
  <c r="S35" i="13" s="1"/>
  <c r="H35" i="13"/>
  <c r="I35" i="13"/>
  <c r="T35" i="13" s="1"/>
  <c r="J35" i="13"/>
  <c r="U35" i="13" s="1"/>
  <c r="F35" i="13"/>
  <c r="R35" i="13" s="1"/>
  <c r="G34" i="13"/>
  <c r="S34" i="13" s="1"/>
  <c r="J34" i="13"/>
  <c r="U34" i="13" s="1"/>
  <c r="I34" i="13"/>
  <c r="T34" i="13" s="1"/>
  <c r="H34" i="13"/>
  <c r="F34" i="13"/>
  <c r="R34" i="13" s="1"/>
  <c r="C33" i="1"/>
  <c r="M33" i="1" s="1"/>
  <c r="F33" i="13"/>
  <c r="R33" i="13" s="1"/>
  <c r="G33" i="13"/>
  <c r="S33" i="13" s="1"/>
  <c r="H33" i="13"/>
  <c r="J33" i="13"/>
  <c r="U33" i="13" s="1"/>
  <c r="I33" i="13"/>
  <c r="T33" i="13" s="1"/>
  <c r="H32" i="13"/>
  <c r="I32" i="13"/>
  <c r="T32" i="13" s="1"/>
  <c r="J32" i="13"/>
  <c r="U32" i="13" s="1"/>
  <c r="F32" i="13"/>
  <c r="G32" i="13"/>
  <c r="S32" i="13" s="1"/>
  <c r="F31" i="13"/>
  <c r="G31" i="13"/>
  <c r="S31" i="13" s="1"/>
  <c r="H31" i="13"/>
  <c r="I31" i="13"/>
  <c r="T31" i="13" s="1"/>
  <c r="J31" i="13"/>
  <c r="U31" i="13" s="1"/>
  <c r="W62" i="12"/>
  <c r="D84" i="41"/>
  <c r="E84" i="41" s="1"/>
  <c r="F84" i="41"/>
  <c r="G84" i="41"/>
  <c r="H84" i="41"/>
  <c r="I84" i="41"/>
  <c r="J84" i="41"/>
  <c r="D78" i="1"/>
  <c r="E78" i="1"/>
  <c r="F78" i="1"/>
  <c r="G78" i="1"/>
  <c r="H78" i="1"/>
  <c r="I78" i="1"/>
  <c r="J78" i="1"/>
  <c r="K78" i="1"/>
  <c r="L78" i="1" s="1"/>
  <c r="M78" i="1"/>
  <c r="N78" i="1"/>
  <c r="P78" i="1"/>
  <c r="Q78" i="1"/>
  <c r="R78" i="1"/>
  <c r="S78" i="1"/>
  <c r="T78" i="1"/>
  <c r="U78" i="1"/>
  <c r="V78" i="1"/>
  <c r="W78" i="1"/>
  <c r="P109" i="1"/>
  <c r="F109" i="1"/>
  <c r="G109" i="1"/>
  <c r="H109" i="1"/>
  <c r="I109" i="1"/>
  <c r="J109" i="1"/>
  <c r="K109" i="1"/>
  <c r="L109" i="1" s="1"/>
  <c r="M109" i="1"/>
  <c r="N109" i="1"/>
  <c r="D77" i="1"/>
  <c r="U77" i="1"/>
  <c r="V77" i="1"/>
  <c r="W77" i="1"/>
  <c r="R77" i="1"/>
  <c r="S77" i="1"/>
  <c r="T77" i="1"/>
  <c r="D105" i="1"/>
  <c r="E105" i="1"/>
  <c r="F105" i="1"/>
  <c r="G105" i="1"/>
  <c r="H105" i="1"/>
  <c r="I105" i="1"/>
  <c r="J105" i="1"/>
  <c r="K105" i="1"/>
  <c r="L105" i="1" s="1"/>
  <c r="M105" i="1"/>
  <c r="N105" i="1"/>
  <c r="P105" i="1"/>
  <c r="Q105" i="1"/>
  <c r="R105" i="1"/>
  <c r="S105" i="1"/>
  <c r="T105" i="1"/>
  <c r="U105" i="1"/>
  <c r="V105" i="1"/>
  <c r="W105" i="1"/>
  <c r="P74" i="1"/>
  <c r="F74" i="1"/>
  <c r="G74" i="1"/>
  <c r="H74" i="1"/>
  <c r="I74" i="1"/>
  <c r="J74" i="1"/>
  <c r="K74" i="1"/>
  <c r="L74" i="1" s="1"/>
  <c r="M74" i="1"/>
  <c r="N74" i="1"/>
  <c r="R74" i="1"/>
  <c r="S74" i="1"/>
  <c r="T74" i="1"/>
  <c r="U74" i="1"/>
  <c r="V74" i="1"/>
  <c r="W74" i="1"/>
  <c r="R102" i="1"/>
  <c r="N102" i="1"/>
  <c r="P102" i="1"/>
  <c r="Q102" i="1"/>
  <c r="F102" i="1"/>
  <c r="H102" i="1"/>
  <c r="I102" i="1"/>
  <c r="J102" i="1"/>
  <c r="K102" i="1"/>
  <c r="L102" i="1" s="1"/>
  <c r="M102" i="1"/>
  <c r="F33" i="41"/>
  <c r="G33" i="41"/>
  <c r="H33" i="41"/>
  <c r="D33" i="41"/>
  <c r="E33" i="41" s="1"/>
  <c r="N33" i="41" s="1"/>
  <c r="U127" i="1"/>
  <c r="F127" i="1"/>
  <c r="I127" i="1"/>
  <c r="K127" i="1"/>
  <c r="L127" i="1" s="1"/>
  <c r="M127" i="1"/>
  <c r="N127" i="1"/>
  <c r="P127" i="1"/>
  <c r="Q127" i="1"/>
  <c r="R127" i="1"/>
  <c r="S127" i="1"/>
  <c r="T127" i="1"/>
  <c r="P101" i="1"/>
  <c r="F101" i="1"/>
  <c r="G101" i="1"/>
  <c r="H101" i="1"/>
  <c r="I101" i="1"/>
  <c r="J101" i="1"/>
  <c r="K101" i="1"/>
  <c r="L101" i="1" s="1"/>
  <c r="M101" i="1"/>
  <c r="N101" i="1"/>
  <c r="M73" i="1"/>
  <c r="F73" i="1"/>
  <c r="G73" i="1"/>
  <c r="H73" i="1"/>
  <c r="J73" i="1"/>
  <c r="K73" i="1"/>
  <c r="L73" i="1" s="1"/>
  <c r="I72" i="1"/>
  <c r="D72" i="1"/>
  <c r="H72" i="1"/>
  <c r="P125" i="1"/>
  <c r="E125" i="1"/>
  <c r="F125" i="1"/>
  <c r="G125" i="1"/>
  <c r="H125" i="1"/>
  <c r="I125" i="1"/>
  <c r="J125" i="1"/>
  <c r="K125" i="1"/>
  <c r="L125" i="1" s="1"/>
  <c r="M125" i="1"/>
  <c r="N125" i="1"/>
  <c r="F71" i="1"/>
  <c r="D71" i="1"/>
  <c r="E71" i="1"/>
  <c r="M124" i="1"/>
  <c r="D124" i="1"/>
  <c r="F124" i="1"/>
  <c r="G124" i="1"/>
  <c r="H124" i="1"/>
  <c r="I124" i="1"/>
  <c r="J124" i="1"/>
  <c r="K124" i="1"/>
  <c r="L124" i="1" s="1"/>
  <c r="M100" i="1"/>
  <c r="F100" i="1"/>
  <c r="G100" i="1"/>
  <c r="H100" i="1"/>
  <c r="I100" i="1"/>
  <c r="J100" i="1"/>
  <c r="K100" i="1"/>
  <c r="L100" i="1" s="1"/>
  <c r="I32" i="41"/>
  <c r="F32" i="41"/>
  <c r="G32" i="41"/>
  <c r="H32" i="41"/>
  <c r="M100" i="41"/>
  <c r="D100" i="41"/>
  <c r="E100" i="41" s="1"/>
  <c r="F100" i="41"/>
  <c r="G100" i="41"/>
  <c r="H100" i="41"/>
  <c r="I100" i="41"/>
  <c r="J100" i="41"/>
  <c r="K100" i="41"/>
  <c r="L100" i="41" s="1"/>
  <c r="F106" i="1"/>
  <c r="D106" i="1"/>
  <c r="E106" i="1"/>
  <c r="D104" i="1"/>
  <c r="I104" i="1" s="1"/>
  <c r="R126" i="1"/>
  <c r="M126" i="1"/>
  <c r="N126" i="1"/>
  <c r="P126" i="1"/>
  <c r="Q126" i="1"/>
  <c r="F126" i="1"/>
  <c r="H126" i="1"/>
  <c r="I126" i="1"/>
  <c r="J126" i="1"/>
  <c r="K126" i="1"/>
  <c r="L126" i="1" s="1"/>
  <c r="F99" i="41"/>
  <c r="H99" i="41"/>
  <c r="U76" i="1"/>
  <c r="P76" i="1"/>
  <c r="Q76" i="1"/>
  <c r="R76" i="1"/>
  <c r="S76" i="1"/>
  <c r="T76" i="1"/>
  <c r="U68" i="1"/>
  <c r="P68" i="1"/>
  <c r="Q68" i="1"/>
  <c r="R68" i="1"/>
  <c r="S68" i="1"/>
  <c r="T68" i="1"/>
  <c r="U44" i="1"/>
  <c r="S44" i="1"/>
  <c r="T44" i="1"/>
  <c r="P44" i="1"/>
  <c r="Q44" i="1"/>
  <c r="R44" i="1"/>
  <c r="D121" i="1"/>
  <c r="H121" i="1"/>
  <c r="I121" i="1"/>
  <c r="J121" i="1"/>
  <c r="K121" i="1"/>
  <c r="L121" i="1" s="1"/>
  <c r="M121" i="1"/>
  <c r="N121" i="1"/>
  <c r="P121" i="1"/>
  <c r="Q121" i="1"/>
  <c r="R121" i="1"/>
  <c r="S121" i="1"/>
  <c r="T121" i="1"/>
  <c r="U121" i="1"/>
  <c r="V121" i="1"/>
  <c r="W121" i="1"/>
  <c r="E121" i="1"/>
  <c r="F121" i="1"/>
  <c r="G121" i="1"/>
  <c r="D97" i="1"/>
  <c r="H97" i="1"/>
  <c r="I97" i="1"/>
  <c r="J97" i="1"/>
  <c r="K97" i="1"/>
  <c r="L97" i="1" s="1"/>
  <c r="M97" i="1"/>
  <c r="N97" i="1"/>
  <c r="P97" i="1"/>
  <c r="Q97" i="1"/>
  <c r="R97" i="1"/>
  <c r="S97" i="1"/>
  <c r="T97" i="1"/>
  <c r="U97" i="1"/>
  <c r="V97" i="1"/>
  <c r="W97" i="1"/>
  <c r="E97" i="1"/>
  <c r="F97" i="1"/>
  <c r="G97" i="1"/>
  <c r="V45" i="41"/>
  <c r="W45" i="41"/>
  <c r="D45" i="41"/>
  <c r="E45" i="41" s="1"/>
  <c r="F45" i="41"/>
  <c r="G45" i="41"/>
  <c r="H45" i="41"/>
  <c r="I45" i="41"/>
  <c r="J45" i="41"/>
  <c r="K45" i="41"/>
  <c r="L45" i="41" s="1"/>
  <c r="M45" i="41"/>
  <c r="N45" i="41"/>
  <c r="P45" i="41"/>
  <c r="Q45" i="41"/>
  <c r="R45" i="41"/>
  <c r="S45" i="41"/>
  <c r="T45" i="41"/>
  <c r="U45" i="41"/>
  <c r="D128" i="1"/>
  <c r="T128" i="1"/>
  <c r="U128" i="1"/>
  <c r="V128" i="1"/>
  <c r="W128" i="1"/>
  <c r="F128" i="1"/>
  <c r="I128" i="1"/>
  <c r="N128" i="1"/>
  <c r="P128" i="1"/>
  <c r="Q128" i="1"/>
  <c r="R128" i="1"/>
  <c r="S128" i="1"/>
  <c r="D70" i="1"/>
  <c r="E70" i="1"/>
  <c r="F70" i="1"/>
  <c r="G70" i="1"/>
  <c r="H70" i="1"/>
  <c r="I70" i="1"/>
  <c r="J70" i="1"/>
  <c r="K70" i="1"/>
  <c r="L70" i="1" s="1"/>
  <c r="M70" i="1"/>
  <c r="N70" i="1"/>
  <c r="P70" i="1"/>
  <c r="Q70" i="1"/>
  <c r="R70" i="1"/>
  <c r="S70" i="1"/>
  <c r="T70" i="1"/>
  <c r="U70" i="1"/>
  <c r="V70" i="1"/>
  <c r="W70" i="1"/>
  <c r="F98" i="1"/>
  <c r="D98" i="1"/>
  <c r="E98" i="1"/>
  <c r="D96" i="1"/>
  <c r="I96" i="1"/>
  <c r="M96" i="1"/>
  <c r="N96" i="1"/>
  <c r="P96" i="1"/>
  <c r="Q96" i="1"/>
  <c r="R96" i="1"/>
  <c r="S96" i="1"/>
  <c r="T96" i="1"/>
  <c r="U96" i="1"/>
  <c r="V96" i="1"/>
  <c r="W96" i="1"/>
  <c r="U44" i="41"/>
  <c r="P44" i="41"/>
  <c r="Q44" i="41"/>
  <c r="R44" i="41"/>
  <c r="S44" i="41"/>
  <c r="T44" i="41"/>
  <c r="F44" i="41"/>
  <c r="I44" i="41"/>
  <c r="K44" i="41"/>
  <c r="L44" i="41" s="1"/>
  <c r="M44" i="41"/>
  <c r="N44" i="41"/>
  <c r="D97" i="41"/>
  <c r="E97" i="41" s="1"/>
  <c r="W97" i="41"/>
  <c r="F97" i="41"/>
  <c r="G97" i="41"/>
  <c r="H97" i="41"/>
  <c r="I97" i="41"/>
  <c r="J97" i="41"/>
  <c r="K97" i="41"/>
  <c r="L97" i="41" s="1"/>
  <c r="M97" i="41"/>
  <c r="N97" i="41"/>
  <c r="P97" i="41"/>
  <c r="Q97" i="41"/>
  <c r="R97" i="41"/>
  <c r="S97" i="41"/>
  <c r="T97" i="41"/>
  <c r="U97" i="41"/>
  <c r="V97" i="41"/>
  <c r="D129" i="1"/>
  <c r="E129" i="1"/>
  <c r="F129" i="1"/>
  <c r="G129" i="1"/>
  <c r="H129" i="1"/>
  <c r="I129" i="1"/>
  <c r="J129" i="1"/>
  <c r="K129" i="1"/>
  <c r="L129" i="1" s="1"/>
  <c r="M129" i="1"/>
  <c r="N129" i="1"/>
  <c r="P129" i="1"/>
  <c r="Q129" i="1"/>
  <c r="R129" i="1"/>
  <c r="S129" i="1"/>
  <c r="T129" i="1"/>
  <c r="U129" i="1"/>
  <c r="V129" i="1"/>
  <c r="W129" i="1"/>
  <c r="P96" i="41"/>
  <c r="Q96" i="41"/>
  <c r="R96" i="41"/>
  <c r="S96" i="41"/>
  <c r="T96" i="41"/>
  <c r="U96" i="41"/>
  <c r="V96" i="41"/>
  <c r="W96" i="41"/>
  <c r="D96" i="41"/>
  <c r="E96" i="41" s="1"/>
  <c r="F96" i="41"/>
  <c r="G96" i="41"/>
  <c r="H96" i="41"/>
  <c r="I96" i="41"/>
  <c r="J96" i="41"/>
  <c r="K96" i="41"/>
  <c r="L96" i="41" s="1"/>
  <c r="M96" i="41"/>
  <c r="N96" i="41"/>
  <c r="M54" i="1"/>
  <c r="N54" i="1"/>
  <c r="P54" i="1"/>
  <c r="Q54" i="1"/>
  <c r="R54" i="1"/>
  <c r="S54" i="1"/>
  <c r="T54" i="1"/>
  <c r="U54" i="1"/>
  <c r="V54" i="1"/>
  <c r="W54" i="1"/>
  <c r="D54" i="1"/>
  <c r="E54" i="1"/>
  <c r="F54" i="1"/>
  <c r="G54" i="1"/>
  <c r="H54" i="1"/>
  <c r="I54" i="1"/>
  <c r="J54" i="1"/>
  <c r="K54" i="1"/>
  <c r="L54" i="1" s="1"/>
  <c r="D69" i="1"/>
  <c r="W69" i="1"/>
  <c r="R69" i="1"/>
  <c r="S69" i="1"/>
  <c r="T69" i="1"/>
  <c r="U69" i="1"/>
  <c r="V69" i="1"/>
  <c r="U95" i="41"/>
  <c r="M95" i="41"/>
  <c r="N95" i="41"/>
  <c r="P95" i="41"/>
  <c r="Q95" i="41"/>
  <c r="R95" i="41"/>
  <c r="S95" i="41"/>
  <c r="T95" i="41"/>
  <c r="M108" i="1"/>
  <c r="F108" i="1"/>
  <c r="G108" i="1"/>
  <c r="H108" i="1"/>
  <c r="I108" i="1"/>
  <c r="J108" i="1"/>
  <c r="K108" i="1"/>
  <c r="L108" i="1" s="1"/>
  <c r="P50" i="1"/>
  <c r="K50" i="1"/>
  <c r="L50" i="1" s="1"/>
  <c r="M50" i="1"/>
  <c r="N50" i="1"/>
  <c r="R50" i="1"/>
  <c r="T50" i="1"/>
  <c r="U50" i="1"/>
  <c r="V50" i="1"/>
  <c r="W50" i="1"/>
  <c r="F50" i="1"/>
  <c r="G50" i="1"/>
  <c r="H50" i="1"/>
  <c r="I50" i="1"/>
  <c r="J50" i="1"/>
  <c r="D45" i="1"/>
  <c r="F45" i="1"/>
  <c r="R45" i="1"/>
  <c r="S45" i="1"/>
  <c r="T45" i="1"/>
  <c r="U45" i="1"/>
  <c r="V45" i="1"/>
  <c r="W45" i="1"/>
  <c r="R67" i="1"/>
  <c r="I67" i="1"/>
  <c r="J67" i="1"/>
  <c r="K67" i="1"/>
  <c r="L67" i="1" s="1"/>
  <c r="M67" i="1"/>
  <c r="N67" i="1"/>
  <c r="P67" i="1"/>
  <c r="Q67" i="1"/>
  <c r="U67" i="1"/>
  <c r="V67" i="1"/>
  <c r="W67" i="1"/>
  <c r="E67" i="1"/>
  <c r="F67" i="1"/>
  <c r="G67" i="1"/>
  <c r="H67" i="1"/>
  <c r="U119" i="1"/>
  <c r="M119" i="1"/>
  <c r="N119" i="1"/>
  <c r="P119" i="1"/>
  <c r="Q119" i="1"/>
  <c r="R119" i="1"/>
  <c r="S119" i="1"/>
  <c r="T119" i="1"/>
  <c r="F119" i="1"/>
  <c r="I119" i="1"/>
  <c r="K119" i="1"/>
  <c r="L119" i="1" s="1"/>
  <c r="M65" i="1"/>
  <c r="H65" i="1"/>
  <c r="I65" i="1"/>
  <c r="J65" i="1"/>
  <c r="K65" i="1"/>
  <c r="L65" i="1" s="1"/>
  <c r="F65" i="1"/>
  <c r="G65" i="1"/>
  <c r="P93" i="1"/>
  <c r="G93" i="1"/>
  <c r="H93" i="1"/>
  <c r="I93" i="1"/>
  <c r="J93" i="1"/>
  <c r="K93" i="1"/>
  <c r="L93" i="1" s="1"/>
  <c r="M93" i="1"/>
  <c r="N93" i="1"/>
  <c r="F93" i="1"/>
  <c r="M41" i="41"/>
  <c r="D41" i="41"/>
  <c r="E41" i="41" s="1"/>
  <c r="F41" i="41"/>
  <c r="G41" i="41"/>
  <c r="H41" i="41"/>
  <c r="I41" i="41"/>
  <c r="J41" i="41"/>
  <c r="K41" i="41"/>
  <c r="L41" i="41" s="1"/>
  <c r="R94" i="41"/>
  <c r="P94" i="41"/>
  <c r="Q94" i="41"/>
  <c r="W94" i="41"/>
  <c r="F94" i="41"/>
  <c r="H94" i="41"/>
  <c r="I94" i="41"/>
  <c r="J94" i="41"/>
  <c r="K94" i="41"/>
  <c r="L94" i="41" s="1"/>
  <c r="M94" i="41"/>
  <c r="N94" i="41"/>
  <c r="D53" i="1"/>
  <c r="F53" i="1"/>
  <c r="R53" i="1"/>
  <c r="S53" i="1"/>
  <c r="T53" i="1"/>
  <c r="U53" i="1"/>
  <c r="V53" i="1"/>
  <c r="W53" i="1"/>
  <c r="D81" i="41"/>
  <c r="E81" i="41" s="1"/>
  <c r="V81" i="41"/>
  <c r="W81" i="41"/>
  <c r="F81" i="41"/>
  <c r="G81" i="41"/>
  <c r="H81" i="41"/>
  <c r="I81" i="41"/>
  <c r="J81" i="41"/>
  <c r="K81" i="41"/>
  <c r="L81" i="41" s="1"/>
  <c r="M81" i="41"/>
  <c r="N81" i="41"/>
  <c r="P81" i="41"/>
  <c r="Q81" i="41"/>
  <c r="R81" i="41"/>
  <c r="S81" i="41"/>
  <c r="T81" i="41"/>
  <c r="U81" i="41"/>
  <c r="I123" i="1"/>
  <c r="F123" i="1"/>
  <c r="G123" i="1"/>
  <c r="H123" i="1"/>
  <c r="U95" i="1"/>
  <c r="M95" i="1"/>
  <c r="N95" i="1"/>
  <c r="P95" i="1"/>
  <c r="Q95" i="1"/>
  <c r="R95" i="1"/>
  <c r="S95" i="1"/>
  <c r="T95" i="1"/>
  <c r="F95" i="1"/>
  <c r="I95" i="1"/>
  <c r="J95" i="1"/>
  <c r="K95" i="1"/>
  <c r="L95" i="1" s="1"/>
  <c r="M41" i="1"/>
  <c r="F41" i="1"/>
  <c r="G41" i="1"/>
  <c r="H41" i="1"/>
  <c r="I41" i="1"/>
  <c r="J41" i="1"/>
  <c r="K41" i="1"/>
  <c r="L41" i="1" s="1"/>
  <c r="M92" i="1"/>
  <c r="F92" i="1"/>
  <c r="G92" i="1"/>
  <c r="H92" i="1"/>
  <c r="I92" i="1"/>
  <c r="J92" i="1"/>
  <c r="K92" i="1"/>
  <c r="L92" i="1" s="1"/>
  <c r="P93" i="41"/>
  <c r="F93" i="41"/>
  <c r="G93" i="41"/>
  <c r="H93" i="41"/>
  <c r="I93" i="41"/>
  <c r="J93" i="41"/>
  <c r="K93" i="41"/>
  <c r="L93" i="41" s="1"/>
  <c r="M93" i="41"/>
  <c r="N93" i="41"/>
  <c r="T93" i="41"/>
  <c r="U93" i="41"/>
  <c r="D81" i="1"/>
  <c r="J81" i="1" s="1"/>
  <c r="I81" i="1"/>
  <c r="E81" i="1"/>
  <c r="F81" i="1"/>
  <c r="G81" i="1"/>
  <c r="H81" i="1"/>
  <c r="F122" i="1"/>
  <c r="D122" i="1"/>
  <c r="E122" i="1"/>
  <c r="P42" i="1"/>
  <c r="U42" i="1"/>
  <c r="V42" i="1"/>
  <c r="W42" i="1"/>
  <c r="F42" i="1"/>
  <c r="G42" i="1"/>
  <c r="H42" i="1"/>
  <c r="I42" i="1"/>
  <c r="J42" i="1"/>
  <c r="K42" i="1"/>
  <c r="L42" i="1" s="1"/>
  <c r="M42" i="1"/>
  <c r="N42" i="1"/>
  <c r="R42" i="1"/>
  <c r="R118" i="1"/>
  <c r="F118" i="1"/>
  <c r="H118" i="1"/>
  <c r="I118" i="1"/>
  <c r="J118" i="1"/>
  <c r="K118" i="1"/>
  <c r="L118" i="1" s="1"/>
  <c r="M118" i="1"/>
  <c r="N118" i="1"/>
  <c r="P118" i="1"/>
  <c r="Q118" i="1"/>
  <c r="M92" i="41"/>
  <c r="I92" i="41"/>
  <c r="J92" i="41"/>
  <c r="K92" i="41"/>
  <c r="L92" i="41" s="1"/>
  <c r="D92" i="41"/>
  <c r="E92" i="41" s="1"/>
  <c r="F92" i="41"/>
  <c r="G92" i="41"/>
  <c r="H92" i="41"/>
  <c r="I107" i="1"/>
  <c r="F107" i="1"/>
  <c r="G107" i="1"/>
  <c r="H107" i="1"/>
  <c r="I99" i="1"/>
  <c r="F99" i="1"/>
  <c r="G99" i="1"/>
  <c r="H99" i="1"/>
  <c r="F63" i="1"/>
  <c r="D63" i="1"/>
  <c r="E63" i="1"/>
  <c r="D38" i="41"/>
  <c r="E38" i="41" s="1"/>
  <c r="Q38" i="41"/>
  <c r="R38" i="41"/>
  <c r="S38" i="41"/>
  <c r="T38" i="41"/>
  <c r="U38" i="41"/>
  <c r="V38" i="41"/>
  <c r="W38" i="41"/>
  <c r="F38" i="41"/>
  <c r="G38" i="41"/>
  <c r="H38" i="41"/>
  <c r="I38" i="41"/>
  <c r="J38" i="41"/>
  <c r="K38" i="41"/>
  <c r="L38" i="41" s="1"/>
  <c r="M38" i="41"/>
  <c r="N38" i="41"/>
  <c r="P38" i="41"/>
  <c r="I91" i="41"/>
  <c r="F91" i="41"/>
  <c r="H91" i="41"/>
  <c r="F55" i="1"/>
  <c r="D55" i="1"/>
  <c r="E55" i="1"/>
  <c r="R75" i="1"/>
  <c r="F75" i="1"/>
  <c r="G75" i="1"/>
  <c r="H75" i="1"/>
  <c r="I75" i="1"/>
  <c r="J75" i="1"/>
  <c r="K75" i="1"/>
  <c r="L75" i="1" s="1"/>
  <c r="M75" i="1"/>
  <c r="N75" i="1"/>
  <c r="P75" i="1"/>
  <c r="Q75" i="1"/>
  <c r="U75" i="1"/>
  <c r="V75" i="1"/>
  <c r="W75" i="1"/>
  <c r="P42" i="41"/>
  <c r="H42" i="41"/>
  <c r="I42" i="41"/>
  <c r="J42" i="41"/>
  <c r="K42" i="41"/>
  <c r="L42" i="41" s="1"/>
  <c r="M42" i="41"/>
  <c r="N42" i="41"/>
  <c r="F42" i="41"/>
  <c r="G42" i="41"/>
  <c r="I64" i="1"/>
  <c r="D64" i="1"/>
  <c r="H64" i="1"/>
  <c r="I40" i="1"/>
  <c r="H40" i="1"/>
  <c r="M116" i="1"/>
  <c r="F116" i="1"/>
  <c r="G116" i="1"/>
  <c r="H116" i="1"/>
  <c r="I116" i="1"/>
  <c r="J116" i="1"/>
  <c r="K116" i="1"/>
  <c r="L116" i="1" s="1"/>
  <c r="I115" i="1"/>
  <c r="F115" i="1"/>
  <c r="G115" i="1"/>
  <c r="H115" i="1"/>
  <c r="F90" i="1"/>
  <c r="D90" i="1"/>
  <c r="E90" i="1"/>
  <c r="D113" i="1"/>
  <c r="P113" i="1"/>
  <c r="Q113" i="1"/>
  <c r="R113" i="1"/>
  <c r="S113" i="1"/>
  <c r="T113" i="1"/>
  <c r="U113" i="1"/>
  <c r="V113" i="1"/>
  <c r="W113" i="1"/>
  <c r="E113" i="1"/>
  <c r="F113" i="1"/>
  <c r="G113" i="1"/>
  <c r="H113" i="1"/>
  <c r="I113" i="1"/>
  <c r="J113" i="1"/>
  <c r="K113" i="1"/>
  <c r="L113" i="1" s="1"/>
  <c r="M113" i="1"/>
  <c r="N113" i="1"/>
  <c r="D61" i="41"/>
  <c r="E61" i="41" s="1"/>
  <c r="F61" i="41"/>
  <c r="G61" i="41"/>
  <c r="H61" i="41"/>
  <c r="I61" i="41"/>
  <c r="J61" i="41"/>
  <c r="K61" i="41"/>
  <c r="L61" i="41" s="1"/>
  <c r="M61" i="41"/>
  <c r="N61" i="41"/>
  <c r="P61" i="41"/>
  <c r="Q61" i="41"/>
  <c r="R61" i="41"/>
  <c r="S61" i="41"/>
  <c r="T61" i="41"/>
  <c r="U61" i="41"/>
  <c r="V61" i="41"/>
  <c r="W61" i="41"/>
  <c r="I56" i="1"/>
  <c r="D56" i="1"/>
  <c r="H56" i="1"/>
  <c r="P66" i="1"/>
  <c r="F66" i="1"/>
  <c r="G66" i="1"/>
  <c r="H66" i="1"/>
  <c r="I66" i="1"/>
  <c r="J66" i="1"/>
  <c r="K66" i="1"/>
  <c r="L66" i="1" s="1"/>
  <c r="M66" i="1"/>
  <c r="N66" i="1"/>
  <c r="R66" i="1"/>
  <c r="S66" i="1"/>
  <c r="T66" i="1"/>
  <c r="U66" i="1"/>
  <c r="V66" i="1"/>
  <c r="W66" i="1"/>
  <c r="P117" i="1"/>
  <c r="G117" i="1"/>
  <c r="H117" i="1"/>
  <c r="I117" i="1"/>
  <c r="J117" i="1"/>
  <c r="K117" i="1"/>
  <c r="L117" i="1" s="1"/>
  <c r="M117" i="1"/>
  <c r="N117" i="1"/>
  <c r="F117" i="1"/>
  <c r="G62" i="1"/>
  <c r="H62" i="1"/>
  <c r="I62" i="1"/>
  <c r="J62" i="1"/>
  <c r="K62" i="1"/>
  <c r="L62" i="1" s="1"/>
  <c r="M62" i="1"/>
  <c r="N62" i="1"/>
  <c r="P62" i="1"/>
  <c r="Q62" i="1"/>
  <c r="R62" i="1"/>
  <c r="S62" i="1"/>
  <c r="T62" i="1"/>
  <c r="U62" i="1"/>
  <c r="V62" i="1"/>
  <c r="W62" i="1"/>
  <c r="D62" i="1"/>
  <c r="E62" i="1"/>
  <c r="F62" i="1"/>
  <c r="I91" i="1"/>
  <c r="F91" i="1"/>
  <c r="G91" i="1"/>
  <c r="H91" i="1"/>
  <c r="E88" i="1"/>
  <c r="K88" i="1"/>
  <c r="L88" i="1" s="1"/>
  <c r="M88" i="1"/>
  <c r="N88" i="1"/>
  <c r="P88" i="1"/>
  <c r="Q88" i="1"/>
  <c r="R88" i="1"/>
  <c r="S88" i="1"/>
  <c r="T88" i="1"/>
  <c r="U88" i="1"/>
  <c r="V88" i="1"/>
  <c r="W88" i="1"/>
  <c r="D88" i="1"/>
  <c r="F88" i="1"/>
  <c r="I88" i="1"/>
  <c r="U60" i="41"/>
  <c r="S60" i="41"/>
  <c r="T60" i="41"/>
  <c r="F60" i="41"/>
  <c r="I60" i="41"/>
  <c r="M60" i="41"/>
  <c r="N60" i="41"/>
  <c r="P60" i="41"/>
  <c r="Q60" i="41"/>
  <c r="R60" i="41"/>
  <c r="D113" i="41"/>
  <c r="E113" i="41" s="1"/>
  <c r="F113" i="41"/>
  <c r="G113" i="41"/>
  <c r="H113" i="41"/>
  <c r="I113" i="41"/>
  <c r="J113" i="41"/>
  <c r="K113" i="41"/>
  <c r="L113" i="41" s="1"/>
  <c r="M113" i="41"/>
  <c r="N113" i="41"/>
  <c r="P113" i="41"/>
  <c r="Q113" i="41"/>
  <c r="R113" i="41"/>
  <c r="S113" i="41"/>
  <c r="T113" i="41"/>
  <c r="U113" i="41"/>
  <c r="V113" i="41"/>
  <c r="W113" i="41"/>
  <c r="D89" i="41"/>
  <c r="E89" i="41" s="1"/>
  <c r="H89" i="41"/>
  <c r="I89" i="41"/>
  <c r="J89" i="41"/>
  <c r="K89" i="41"/>
  <c r="L89" i="41" s="1"/>
  <c r="M89" i="41"/>
  <c r="N89" i="41"/>
  <c r="P89" i="41"/>
  <c r="Q89" i="41"/>
  <c r="R89" i="41"/>
  <c r="S89" i="41"/>
  <c r="T89" i="41"/>
  <c r="U89" i="41"/>
  <c r="V89" i="41"/>
  <c r="W89" i="41"/>
  <c r="F89" i="41"/>
  <c r="G89" i="41"/>
  <c r="R51" i="1"/>
  <c r="W51" i="1"/>
  <c r="E51" i="1"/>
  <c r="F51" i="1"/>
  <c r="G51" i="1"/>
  <c r="H51" i="1"/>
  <c r="I51" i="1"/>
  <c r="J51" i="1"/>
  <c r="K51" i="1"/>
  <c r="L51" i="1" s="1"/>
  <c r="M51" i="1"/>
  <c r="N51" i="1"/>
  <c r="P51" i="1"/>
  <c r="Q51" i="1"/>
  <c r="U51" i="1"/>
  <c r="V51" i="1"/>
  <c r="F103" i="1"/>
  <c r="M49" i="1"/>
  <c r="F49" i="1"/>
  <c r="G49" i="1"/>
  <c r="H49" i="1"/>
  <c r="I49" i="1"/>
  <c r="J49" i="1"/>
  <c r="K49" i="1"/>
  <c r="L49" i="1" s="1"/>
  <c r="D120" i="1"/>
  <c r="F120" i="1"/>
  <c r="I120" i="1"/>
  <c r="M120" i="1"/>
  <c r="N120" i="1"/>
  <c r="P120" i="1"/>
  <c r="Q120" i="1"/>
  <c r="R120" i="1"/>
  <c r="S120" i="1"/>
  <c r="T120" i="1"/>
  <c r="U120" i="1"/>
  <c r="V120" i="1"/>
  <c r="W120" i="1"/>
  <c r="F114" i="1"/>
  <c r="D114" i="1"/>
  <c r="E114" i="1"/>
  <c r="D62" i="41"/>
  <c r="E62" i="41" s="1"/>
  <c r="F62" i="41"/>
  <c r="G62" i="41"/>
  <c r="H62" i="41"/>
  <c r="I62" i="41"/>
  <c r="J62" i="41"/>
  <c r="K62" i="41"/>
  <c r="L62" i="41" s="1"/>
  <c r="M62" i="41"/>
  <c r="N62" i="41"/>
  <c r="P62" i="41"/>
  <c r="Q62" i="41"/>
  <c r="R62" i="41"/>
  <c r="S62" i="41"/>
  <c r="T62" i="41"/>
  <c r="U62" i="41"/>
  <c r="V62" i="41"/>
  <c r="W62" i="41"/>
  <c r="U60" i="1"/>
  <c r="P60" i="1"/>
  <c r="Q60" i="1"/>
  <c r="R60" i="1"/>
  <c r="S60" i="1"/>
  <c r="T60" i="1"/>
  <c r="R35" i="1"/>
  <c r="E35" i="1"/>
  <c r="F35" i="1"/>
  <c r="G35" i="1"/>
  <c r="H35" i="1"/>
  <c r="I35" i="1"/>
  <c r="J35" i="1"/>
  <c r="K35" i="1"/>
  <c r="L35" i="1" s="1"/>
  <c r="M35" i="1"/>
  <c r="N35" i="1"/>
  <c r="P35" i="1"/>
  <c r="Q35" i="1"/>
  <c r="U35" i="1"/>
  <c r="V35" i="1"/>
  <c r="W35" i="1"/>
  <c r="R35" i="41"/>
  <c r="M35" i="41"/>
  <c r="N35" i="41"/>
  <c r="P35" i="41"/>
  <c r="Q35" i="41"/>
  <c r="F35" i="41"/>
  <c r="H35" i="41"/>
  <c r="I35" i="41"/>
  <c r="J35" i="41"/>
  <c r="K35" i="41"/>
  <c r="L35" i="41" s="1"/>
  <c r="D88" i="41"/>
  <c r="E88" i="41" s="1"/>
  <c r="F88" i="41"/>
  <c r="G88" i="41"/>
  <c r="H88" i="41"/>
  <c r="I88" i="41"/>
  <c r="J88" i="41"/>
  <c r="K88" i="41"/>
  <c r="L88" i="41" s="1"/>
  <c r="M88" i="41"/>
  <c r="N88" i="41"/>
  <c r="P88" i="41"/>
  <c r="Q88" i="41"/>
  <c r="R88" i="41"/>
  <c r="S88" i="41"/>
  <c r="T88" i="41"/>
  <c r="U88" i="41"/>
  <c r="V88" i="41"/>
  <c r="W88" i="41"/>
  <c r="U52" i="1"/>
  <c r="P52" i="1"/>
  <c r="Q52" i="1"/>
  <c r="R52" i="1"/>
  <c r="S52" i="1"/>
  <c r="T52" i="1"/>
  <c r="S46" i="1"/>
  <c r="T46" i="1"/>
  <c r="U46" i="1"/>
  <c r="V46" i="1"/>
  <c r="W46" i="1"/>
  <c r="D46" i="1"/>
  <c r="E46" i="1"/>
  <c r="F46" i="1"/>
  <c r="G46" i="1"/>
  <c r="H46" i="1"/>
  <c r="I46" i="1"/>
  <c r="J46" i="1"/>
  <c r="K46" i="1"/>
  <c r="L46" i="1" s="1"/>
  <c r="M46" i="1"/>
  <c r="N46" i="1"/>
  <c r="P46" i="1"/>
  <c r="Q46" i="1"/>
  <c r="R46" i="1"/>
  <c r="D61" i="1"/>
  <c r="R61" i="1"/>
  <c r="S61" i="1"/>
  <c r="T61" i="1"/>
  <c r="U61" i="1"/>
  <c r="V61" i="1"/>
  <c r="W61" i="1"/>
  <c r="I115" i="41"/>
  <c r="F115" i="41"/>
  <c r="H115" i="41"/>
  <c r="D89" i="1"/>
  <c r="P89" i="1"/>
  <c r="Q89" i="1"/>
  <c r="R89" i="1"/>
  <c r="S89" i="1"/>
  <c r="T89" i="1"/>
  <c r="U89" i="1"/>
  <c r="V89" i="1"/>
  <c r="W89" i="1"/>
  <c r="E89" i="1"/>
  <c r="F89" i="1"/>
  <c r="G89" i="1"/>
  <c r="H89" i="1"/>
  <c r="I89" i="1"/>
  <c r="J89" i="1"/>
  <c r="K89" i="1"/>
  <c r="L89" i="1" s="1"/>
  <c r="M89" i="1"/>
  <c r="N89" i="1"/>
  <c r="R59" i="1"/>
  <c r="N59" i="1"/>
  <c r="P59" i="1"/>
  <c r="Q59" i="1"/>
  <c r="U59" i="1"/>
  <c r="V59" i="1"/>
  <c r="W59" i="1"/>
  <c r="E59" i="1"/>
  <c r="F59" i="1"/>
  <c r="G59" i="1"/>
  <c r="H59" i="1"/>
  <c r="I59" i="1"/>
  <c r="J59" i="1"/>
  <c r="K59" i="1"/>
  <c r="L59" i="1" s="1"/>
  <c r="M59" i="1"/>
  <c r="D112" i="1"/>
  <c r="I112" i="1"/>
  <c r="M112" i="1"/>
  <c r="N112" i="1"/>
  <c r="P112" i="1"/>
  <c r="Q112" i="1"/>
  <c r="R112" i="1"/>
  <c r="S112" i="1"/>
  <c r="T112" i="1"/>
  <c r="U112" i="1"/>
  <c r="V112" i="1"/>
  <c r="W112" i="1"/>
  <c r="P58" i="1"/>
  <c r="F58" i="1"/>
  <c r="G58" i="1"/>
  <c r="H58" i="1"/>
  <c r="I58" i="1"/>
  <c r="J58" i="1"/>
  <c r="K58" i="1"/>
  <c r="L58" i="1" s="1"/>
  <c r="M58" i="1"/>
  <c r="N58" i="1"/>
  <c r="R58" i="1"/>
  <c r="S58" i="1"/>
  <c r="T58" i="1"/>
  <c r="U58" i="1"/>
  <c r="V58" i="1"/>
  <c r="W58" i="1"/>
  <c r="U111" i="1"/>
  <c r="F111" i="1"/>
  <c r="I111" i="1"/>
  <c r="J111" i="1"/>
  <c r="K111" i="1"/>
  <c r="L111" i="1" s="1"/>
  <c r="M111" i="1"/>
  <c r="N111" i="1"/>
  <c r="P111" i="1"/>
  <c r="Q111" i="1"/>
  <c r="R111" i="1"/>
  <c r="S111" i="1"/>
  <c r="T111" i="1"/>
  <c r="M57" i="1"/>
  <c r="F57" i="1"/>
  <c r="G57" i="1"/>
  <c r="H57" i="1"/>
  <c r="I57" i="1"/>
  <c r="J57" i="1"/>
  <c r="K57" i="1"/>
  <c r="L57" i="1" s="1"/>
  <c r="R110" i="1"/>
  <c r="F110" i="1"/>
  <c r="H110" i="1"/>
  <c r="I110" i="1"/>
  <c r="J110" i="1"/>
  <c r="K110" i="1"/>
  <c r="L110" i="1" s="1"/>
  <c r="M110" i="1"/>
  <c r="N110" i="1"/>
  <c r="P110" i="1"/>
  <c r="Q110" i="1"/>
  <c r="F86" i="1"/>
  <c r="G86" i="1"/>
  <c r="H86" i="1"/>
  <c r="P34" i="41"/>
  <c r="F34" i="41"/>
  <c r="G34" i="41"/>
  <c r="H34" i="41"/>
  <c r="I34" i="41"/>
  <c r="J34" i="41"/>
  <c r="K34" i="41"/>
  <c r="L34" i="41" s="1"/>
  <c r="M34" i="41"/>
  <c r="N34" i="41"/>
  <c r="C127" i="41"/>
  <c r="D127" i="41" s="1"/>
  <c r="E127" i="41" s="1"/>
  <c r="C125" i="41"/>
  <c r="R125" i="41" s="1"/>
  <c r="C104" i="41"/>
  <c r="C65" i="41"/>
  <c r="R65" i="41" s="1"/>
  <c r="C58" i="41"/>
  <c r="D58" i="41" s="1"/>
  <c r="E58" i="41" s="1"/>
  <c r="C48" i="41"/>
  <c r="T48" i="41" s="1"/>
  <c r="C120" i="41"/>
  <c r="C51" i="41"/>
  <c r="S51" i="41" s="1"/>
  <c r="C105" i="41"/>
  <c r="C77" i="41"/>
  <c r="C67" i="41"/>
  <c r="V67" i="41" s="1"/>
  <c r="C64" i="41"/>
  <c r="Q64" i="41" s="1"/>
  <c r="C121" i="41"/>
  <c r="C63" i="41"/>
  <c r="F63" i="41" s="1"/>
  <c r="C108" i="41"/>
  <c r="V108" i="41" s="1"/>
  <c r="C74" i="41"/>
  <c r="R74" i="41" s="1"/>
  <c r="C53" i="41"/>
  <c r="C78" i="41"/>
  <c r="C124" i="41"/>
  <c r="C103" i="41"/>
  <c r="H103" i="41" s="1"/>
  <c r="C126" i="41"/>
  <c r="S126" i="41" s="1"/>
  <c r="C110" i="41"/>
  <c r="G110" i="41" s="1"/>
  <c r="C107" i="41"/>
  <c r="W107" i="41" s="1"/>
  <c r="C101" i="41"/>
  <c r="D101" i="41" s="1"/>
  <c r="E101" i="41" s="1"/>
  <c r="C54" i="41"/>
  <c r="C119" i="41"/>
  <c r="V119" i="41" s="1"/>
  <c r="C106" i="41"/>
  <c r="F106" i="41" s="1"/>
  <c r="C57" i="41"/>
  <c r="N57" i="41" s="1"/>
  <c r="C123" i="41"/>
  <c r="J123" i="41" s="1"/>
  <c r="C117" i="41"/>
  <c r="Q117" i="41" s="1"/>
  <c r="C69" i="41"/>
  <c r="C122" i="41"/>
  <c r="F122" i="41" s="1"/>
  <c r="C76" i="41"/>
  <c r="D76" i="41" s="1"/>
  <c r="E76" i="41" s="1"/>
  <c r="C50" i="41"/>
  <c r="S50" i="41" s="1"/>
  <c r="C112" i="41"/>
  <c r="C66" i="41"/>
  <c r="V66" i="41" s="1"/>
  <c r="C56" i="41"/>
  <c r="N56" i="41" s="1"/>
  <c r="C40" i="41"/>
  <c r="S40" i="41" s="1"/>
  <c r="C128" i="41"/>
  <c r="C70" i="41"/>
  <c r="C59" i="41"/>
  <c r="V59" i="41" s="1"/>
  <c r="C55" i="41"/>
  <c r="F55" i="41" s="1"/>
  <c r="C73" i="41"/>
  <c r="Q73" i="41" s="1"/>
  <c r="C52" i="41"/>
  <c r="D52" i="41" s="1"/>
  <c r="E52" i="41" s="1"/>
  <c r="C75" i="41"/>
  <c r="F75" i="41" s="1"/>
  <c r="C129" i="41"/>
  <c r="C116" i="41"/>
  <c r="W116" i="41" s="1"/>
  <c r="C102" i="41"/>
  <c r="D102" i="41" s="1"/>
  <c r="E102" i="41" s="1"/>
  <c r="C72" i="41"/>
  <c r="W72" i="41" s="1"/>
  <c r="C68" i="41"/>
  <c r="K68" i="41" s="1"/>
  <c r="L68" i="41" s="1"/>
  <c r="C118" i="41"/>
  <c r="S118" i="41" s="1"/>
  <c r="C71" i="41"/>
  <c r="F71" i="41" s="1"/>
  <c r="C49" i="41"/>
  <c r="W49" i="41" s="1"/>
  <c r="C111" i="41"/>
  <c r="D111" i="41" s="1"/>
  <c r="E111" i="41" s="1"/>
  <c r="C109" i="41"/>
  <c r="S109" i="41" s="1"/>
  <c r="D39" i="41"/>
  <c r="E39" i="41" s="1"/>
  <c r="D31" i="41"/>
  <c r="E31" i="41" s="1"/>
  <c r="D32" i="41"/>
  <c r="E32" i="41" s="1"/>
  <c r="W39" i="41"/>
  <c r="W31" i="41"/>
  <c r="V39" i="41"/>
  <c r="V31" i="41"/>
  <c r="U39" i="41"/>
  <c r="U31" i="41"/>
  <c r="K60" i="41"/>
  <c r="L60" i="41" s="1"/>
  <c r="T39" i="41"/>
  <c r="W32" i="41"/>
  <c r="T31" i="41"/>
  <c r="J60" i="41"/>
  <c r="J44" i="41"/>
  <c r="D42" i="41"/>
  <c r="E42" i="41" s="1"/>
  <c r="S39" i="41"/>
  <c r="G35" i="41"/>
  <c r="D34" i="41"/>
  <c r="E34" i="41" s="1"/>
  <c r="V32" i="41"/>
  <c r="S31" i="41"/>
  <c r="R39" i="41"/>
  <c r="U32" i="41"/>
  <c r="R31" i="41"/>
  <c r="H60" i="41"/>
  <c r="H44" i="41"/>
  <c r="W41" i="41"/>
  <c r="Q39" i="41"/>
  <c r="T32" i="41"/>
  <c r="Q31" i="41"/>
  <c r="G60" i="41"/>
  <c r="G44" i="41"/>
  <c r="V41" i="41"/>
  <c r="P39" i="41"/>
  <c r="D35" i="41"/>
  <c r="E35" i="41" s="1"/>
  <c r="S32" i="41"/>
  <c r="P31" i="41"/>
  <c r="U41" i="41"/>
  <c r="R32" i="41"/>
  <c r="W42" i="41"/>
  <c r="T41" i="41"/>
  <c r="N39" i="41"/>
  <c r="W34" i="41"/>
  <c r="Q32" i="41"/>
  <c r="N31" i="41"/>
  <c r="D60" i="41"/>
  <c r="E60" i="41" s="1"/>
  <c r="D44" i="41"/>
  <c r="E44" i="41" s="1"/>
  <c r="V42" i="41"/>
  <c r="S41" i="41"/>
  <c r="M39" i="41"/>
  <c r="V34" i="41"/>
  <c r="P32" i="41"/>
  <c r="M31" i="41"/>
  <c r="U42" i="41"/>
  <c r="R41" i="41"/>
  <c r="U34" i="41"/>
  <c r="T42" i="41"/>
  <c r="Q41" i="41"/>
  <c r="K39" i="41"/>
  <c r="L39" i="41" s="1"/>
  <c r="W35" i="41"/>
  <c r="T34" i="41"/>
  <c r="N32" i="41"/>
  <c r="K31" i="41"/>
  <c r="L31" i="41" s="1"/>
  <c r="S42" i="41"/>
  <c r="P41" i="41"/>
  <c r="J39" i="41"/>
  <c r="V35" i="41"/>
  <c r="S34" i="41"/>
  <c r="M32" i="41"/>
  <c r="J31" i="41"/>
  <c r="R42" i="41"/>
  <c r="I39" i="41"/>
  <c r="U35" i="41"/>
  <c r="R34" i="41"/>
  <c r="I31" i="41"/>
  <c r="W60" i="41"/>
  <c r="W44" i="41"/>
  <c r="Q42" i="41"/>
  <c r="N41" i="41"/>
  <c r="H39" i="41"/>
  <c r="T35" i="41"/>
  <c r="Q34" i="41"/>
  <c r="K32" i="41"/>
  <c r="L32" i="41" s="1"/>
  <c r="H31" i="41"/>
  <c r="V60" i="41"/>
  <c r="V44" i="41"/>
  <c r="G39" i="41"/>
  <c r="S35" i="41"/>
  <c r="J32" i="41"/>
  <c r="G31" i="41"/>
  <c r="O100" i="41"/>
  <c r="G115" i="41"/>
  <c r="D114" i="41"/>
  <c r="E114" i="41" s="1"/>
  <c r="G99" i="41"/>
  <c r="D98" i="41"/>
  <c r="E98" i="41" s="1"/>
  <c r="G91" i="41"/>
  <c r="D90" i="41"/>
  <c r="E90" i="41" s="1"/>
  <c r="D82" i="41"/>
  <c r="E82" i="41" s="1"/>
  <c r="D115" i="41"/>
  <c r="E115" i="41" s="1"/>
  <c r="D99" i="41"/>
  <c r="E99" i="41" s="1"/>
  <c r="D91" i="41"/>
  <c r="E91" i="41" s="1"/>
  <c r="W114" i="41"/>
  <c r="W90" i="41"/>
  <c r="W82" i="41"/>
  <c r="V114" i="41"/>
  <c r="V90" i="41"/>
  <c r="V82" i="41"/>
  <c r="U114" i="41"/>
  <c r="U90" i="41"/>
  <c r="U82" i="41"/>
  <c r="W115" i="41"/>
  <c r="T114" i="41"/>
  <c r="K95" i="41"/>
  <c r="L95" i="41" s="1"/>
  <c r="W91" i="41"/>
  <c r="T90" i="41"/>
  <c r="T82" i="41"/>
  <c r="V115" i="41"/>
  <c r="S114" i="41"/>
  <c r="J95" i="41"/>
  <c r="G94" i="41"/>
  <c r="D93" i="41"/>
  <c r="E93" i="41" s="1"/>
  <c r="V91" i="41"/>
  <c r="S90" i="41"/>
  <c r="S82" i="41"/>
  <c r="U115" i="41"/>
  <c r="R114" i="41"/>
  <c r="I95" i="41"/>
  <c r="U91" i="41"/>
  <c r="R90" i="41"/>
  <c r="R82" i="41"/>
  <c r="T115" i="41"/>
  <c r="Q114" i="41"/>
  <c r="W100" i="41"/>
  <c r="H95" i="41"/>
  <c r="W92" i="41"/>
  <c r="T91" i="41"/>
  <c r="Q90" i="41"/>
  <c r="Q82" i="41"/>
  <c r="S115" i="41"/>
  <c r="P114" i="41"/>
  <c r="V100" i="41"/>
  <c r="G95" i="41"/>
  <c r="D94" i="41"/>
  <c r="E94" i="41" s="1"/>
  <c r="V92" i="41"/>
  <c r="S91" i="41"/>
  <c r="P90" i="41"/>
  <c r="P82" i="41"/>
  <c r="R115" i="41"/>
  <c r="U100" i="41"/>
  <c r="F95" i="41"/>
  <c r="U92" i="41"/>
  <c r="R91" i="41"/>
  <c r="Q115" i="41"/>
  <c r="N114" i="41"/>
  <c r="T100" i="41"/>
  <c r="W93" i="41"/>
  <c r="T92" i="41"/>
  <c r="Q91" i="41"/>
  <c r="N90" i="41"/>
  <c r="N82" i="41"/>
  <c r="P115" i="41"/>
  <c r="M114" i="41"/>
  <c r="S100" i="41"/>
  <c r="D95" i="41"/>
  <c r="E95" i="41" s="1"/>
  <c r="V93" i="41"/>
  <c r="S92" i="41"/>
  <c r="P91" i="41"/>
  <c r="M90" i="41"/>
  <c r="M82" i="41"/>
  <c r="R100" i="41"/>
  <c r="R92" i="41"/>
  <c r="R84" i="41"/>
  <c r="N115" i="41"/>
  <c r="K114" i="41"/>
  <c r="L114" i="41" s="1"/>
  <c r="Q100" i="41"/>
  <c r="Q92" i="41"/>
  <c r="N91" i="41"/>
  <c r="K90" i="41"/>
  <c r="L90" i="41" s="1"/>
  <c r="K82" i="41"/>
  <c r="L82" i="41" s="1"/>
  <c r="M115" i="41"/>
  <c r="J114" i="41"/>
  <c r="P100" i="41"/>
  <c r="V94" i="41"/>
  <c r="S93" i="41"/>
  <c r="P92" i="41"/>
  <c r="M91" i="41"/>
  <c r="J90" i="41"/>
  <c r="P84" i="41"/>
  <c r="J82" i="41"/>
  <c r="I114" i="41"/>
  <c r="U94" i="41"/>
  <c r="R93" i="41"/>
  <c r="I90" i="41"/>
  <c r="I82" i="41"/>
  <c r="K115" i="41"/>
  <c r="L115" i="41" s="1"/>
  <c r="H114" i="41"/>
  <c r="N100" i="41"/>
  <c r="H98" i="41"/>
  <c r="W95" i="41"/>
  <c r="T94" i="41"/>
  <c r="Q93" i="41"/>
  <c r="N92" i="41"/>
  <c r="K91" i="41"/>
  <c r="L91" i="41" s="1"/>
  <c r="H90" i="41"/>
  <c r="N84" i="41"/>
  <c r="H82" i="41"/>
  <c r="J115" i="41"/>
  <c r="G114" i="41"/>
  <c r="G98" i="41"/>
  <c r="V95" i="41"/>
  <c r="S94" i="41"/>
  <c r="J91" i="41"/>
  <c r="G90" i="41"/>
  <c r="G82" i="41"/>
  <c r="E123" i="1"/>
  <c r="E115" i="1"/>
  <c r="E107" i="1"/>
  <c r="E99" i="1"/>
  <c r="E91" i="1"/>
  <c r="D123" i="1"/>
  <c r="D115" i="1"/>
  <c r="D107" i="1"/>
  <c r="D99" i="1"/>
  <c r="D91" i="1"/>
  <c r="E124" i="1"/>
  <c r="O124" i="1" s="1"/>
  <c r="W122" i="1"/>
  <c r="E116" i="1"/>
  <c r="W114" i="1"/>
  <c r="E108" i="1"/>
  <c r="W106" i="1"/>
  <c r="E100" i="1"/>
  <c r="W98" i="1"/>
  <c r="E92" i="1"/>
  <c r="W90" i="1"/>
  <c r="V122" i="1"/>
  <c r="D116" i="1"/>
  <c r="V114" i="1"/>
  <c r="D108" i="1"/>
  <c r="V106" i="1"/>
  <c r="D100" i="1"/>
  <c r="V98" i="1"/>
  <c r="D92" i="1"/>
  <c r="V90" i="1"/>
  <c r="U122" i="1"/>
  <c r="U114" i="1"/>
  <c r="U106" i="1"/>
  <c r="U98" i="1"/>
  <c r="U90" i="1"/>
  <c r="W123" i="1"/>
  <c r="T122" i="1"/>
  <c r="E117" i="1"/>
  <c r="W115" i="1"/>
  <c r="T114" i="1"/>
  <c r="E109" i="1"/>
  <c r="O109" i="1" s="1"/>
  <c r="W107" i="1"/>
  <c r="T106" i="1"/>
  <c r="E101" i="1"/>
  <c r="W99" i="1"/>
  <c r="T98" i="1"/>
  <c r="E93" i="1"/>
  <c r="W91" i="1"/>
  <c r="T90" i="1"/>
  <c r="M128" i="1"/>
  <c r="J127" i="1"/>
  <c r="G126" i="1"/>
  <c r="D125" i="1"/>
  <c r="V123" i="1"/>
  <c r="S122" i="1"/>
  <c r="J119" i="1"/>
  <c r="G118" i="1"/>
  <c r="D117" i="1"/>
  <c r="V115" i="1"/>
  <c r="S114" i="1"/>
  <c r="G110" i="1"/>
  <c r="D109" i="1"/>
  <c r="V107" i="1"/>
  <c r="S106" i="1"/>
  <c r="G102" i="1"/>
  <c r="D101" i="1"/>
  <c r="V99" i="1"/>
  <c r="S98" i="1"/>
  <c r="D93" i="1"/>
  <c r="V91" i="1"/>
  <c r="S90" i="1"/>
  <c r="U123" i="1"/>
  <c r="R122" i="1"/>
  <c r="U115" i="1"/>
  <c r="R114" i="1"/>
  <c r="U107" i="1"/>
  <c r="R106" i="1"/>
  <c r="U99" i="1"/>
  <c r="R98" i="1"/>
  <c r="U91" i="1"/>
  <c r="R90" i="1"/>
  <c r="K128" i="1"/>
  <c r="L128" i="1" s="1"/>
  <c r="H127" i="1"/>
  <c r="E126" i="1"/>
  <c r="W124" i="1"/>
  <c r="T123" i="1"/>
  <c r="Q122" i="1"/>
  <c r="K120" i="1"/>
  <c r="L120" i="1" s="1"/>
  <c r="H119" i="1"/>
  <c r="E118" i="1"/>
  <c r="W116" i="1"/>
  <c r="T115" i="1"/>
  <c r="Q114" i="1"/>
  <c r="K112" i="1"/>
  <c r="L112" i="1" s="1"/>
  <c r="H111" i="1"/>
  <c r="E110" i="1"/>
  <c r="W108" i="1"/>
  <c r="T107" i="1"/>
  <c r="Q106" i="1"/>
  <c r="H103" i="1"/>
  <c r="E102" i="1"/>
  <c r="W100" i="1"/>
  <c r="T99" i="1"/>
  <c r="Q98" i="1"/>
  <c r="K96" i="1"/>
  <c r="L96" i="1" s="1"/>
  <c r="H95" i="1"/>
  <c r="W92" i="1"/>
  <c r="T91" i="1"/>
  <c r="Q90" i="1"/>
  <c r="E86" i="1"/>
  <c r="J128" i="1"/>
  <c r="G127" i="1"/>
  <c r="D126" i="1"/>
  <c r="V124" i="1"/>
  <c r="S123" i="1"/>
  <c r="P122" i="1"/>
  <c r="J120" i="1"/>
  <c r="G119" i="1"/>
  <c r="D118" i="1"/>
  <c r="V116" i="1"/>
  <c r="S115" i="1"/>
  <c r="P114" i="1"/>
  <c r="J112" i="1"/>
  <c r="G111" i="1"/>
  <c r="D110" i="1"/>
  <c r="V108" i="1"/>
  <c r="S107" i="1"/>
  <c r="P106" i="1"/>
  <c r="J104" i="1"/>
  <c r="G103" i="1"/>
  <c r="D102" i="1"/>
  <c r="V100" i="1"/>
  <c r="S99" i="1"/>
  <c r="P98" i="1"/>
  <c r="J96" i="1"/>
  <c r="G95" i="1"/>
  <c r="V92" i="1"/>
  <c r="S91" i="1"/>
  <c r="P90" i="1"/>
  <c r="J88" i="1"/>
  <c r="D86" i="1"/>
  <c r="U124" i="1"/>
  <c r="R123" i="1"/>
  <c r="U116" i="1"/>
  <c r="R115" i="1"/>
  <c r="U108" i="1"/>
  <c r="R107" i="1"/>
  <c r="U100" i="1"/>
  <c r="R99" i="1"/>
  <c r="U92" i="1"/>
  <c r="R91" i="1"/>
  <c r="H128" i="1"/>
  <c r="E127" i="1"/>
  <c r="O127" i="1" s="1"/>
  <c r="W125" i="1"/>
  <c r="T124" i="1"/>
  <c r="Q123" i="1"/>
  <c r="N122" i="1"/>
  <c r="H120" i="1"/>
  <c r="E119" i="1"/>
  <c r="W117" i="1"/>
  <c r="T116" i="1"/>
  <c r="Q115" i="1"/>
  <c r="N114" i="1"/>
  <c r="H112" i="1"/>
  <c r="E111" i="1"/>
  <c r="W109" i="1"/>
  <c r="T108" i="1"/>
  <c r="Q107" i="1"/>
  <c r="N106" i="1"/>
  <c r="H104" i="1"/>
  <c r="E103" i="1"/>
  <c r="W101" i="1"/>
  <c r="T100" i="1"/>
  <c r="Q99" i="1"/>
  <c r="N98" i="1"/>
  <c r="H96" i="1"/>
  <c r="E95" i="1"/>
  <c r="W93" i="1"/>
  <c r="T92" i="1"/>
  <c r="Q91" i="1"/>
  <c r="N90" i="1"/>
  <c r="H88" i="1"/>
  <c r="G128" i="1"/>
  <c r="D127" i="1"/>
  <c r="V125" i="1"/>
  <c r="S124" i="1"/>
  <c r="P123" i="1"/>
  <c r="M122" i="1"/>
  <c r="G120" i="1"/>
  <c r="D119" i="1"/>
  <c r="V117" i="1"/>
  <c r="S116" i="1"/>
  <c r="P115" i="1"/>
  <c r="M114" i="1"/>
  <c r="G112" i="1"/>
  <c r="D111" i="1"/>
  <c r="V109" i="1"/>
  <c r="S108" i="1"/>
  <c r="P107" i="1"/>
  <c r="M106" i="1"/>
  <c r="G104" i="1"/>
  <c r="D103" i="1"/>
  <c r="I103" i="1" s="1"/>
  <c r="V101" i="1"/>
  <c r="S100" i="1"/>
  <c r="P99" i="1"/>
  <c r="M98" i="1"/>
  <c r="G96" i="1"/>
  <c r="D95" i="1"/>
  <c r="V93" i="1"/>
  <c r="S92" i="1"/>
  <c r="P91" i="1"/>
  <c r="M90" i="1"/>
  <c r="G88" i="1"/>
  <c r="U125" i="1"/>
  <c r="R124" i="1"/>
  <c r="U117" i="1"/>
  <c r="R116" i="1"/>
  <c r="F112" i="1"/>
  <c r="U109" i="1"/>
  <c r="R108" i="1"/>
  <c r="F104" i="1"/>
  <c r="U101" i="1"/>
  <c r="R100" i="1"/>
  <c r="F96" i="1"/>
  <c r="U93" i="1"/>
  <c r="R92" i="1"/>
  <c r="E128" i="1"/>
  <c r="W126" i="1"/>
  <c r="T125" i="1"/>
  <c r="Q124" i="1"/>
  <c r="N123" i="1"/>
  <c r="K122" i="1"/>
  <c r="L122" i="1" s="1"/>
  <c r="E120" i="1"/>
  <c r="W118" i="1"/>
  <c r="T117" i="1"/>
  <c r="Q116" i="1"/>
  <c r="N115" i="1"/>
  <c r="K114" i="1"/>
  <c r="L114" i="1" s="1"/>
  <c r="E112" i="1"/>
  <c r="W110" i="1"/>
  <c r="T109" i="1"/>
  <c r="Q108" i="1"/>
  <c r="N107" i="1"/>
  <c r="K106" i="1"/>
  <c r="L106" i="1" s="1"/>
  <c r="E104" i="1"/>
  <c r="W102" i="1"/>
  <c r="T101" i="1"/>
  <c r="Q100" i="1"/>
  <c r="N99" i="1"/>
  <c r="K98" i="1"/>
  <c r="L98" i="1" s="1"/>
  <c r="E96" i="1"/>
  <c r="T93" i="1"/>
  <c r="Q92" i="1"/>
  <c r="N91" i="1"/>
  <c r="K90" i="1"/>
  <c r="L90" i="1" s="1"/>
  <c r="V126" i="1"/>
  <c r="S125" i="1"/>
  <c r="P124" i="1"/>
  <c r="M123" i="1"/>
  <c r="J122" i="1"/>
  <c r="V118" i="1"/>
  <c r="S117" i="1"/>
  <c r="P116" i="1"/>
  <c r="M115" i="1"/>
  <c r="J114" i="1"/>
  <c r="V110" i="1"/>
  <c r="S109" i="1"/>
  <c r="P108" i="1"/>
  <c r="M107" i="1"/>
  <c r="J106" i="1"/>
  <c r="V102" i="1"/>
  <c r="S101" i="1"/>
  <c r="P100" i="1"/>
  <c r="M99" i="1"/>
  <c r="J98" i="1"/>
  <c r="S93" i="1"/>
  <c r="P92" i="1"/>
  <c r="M91" i="1"/>
  <c r="J90" i="1"/>
  <c r="U126" i="1"/>
  <c r="R125" i="1"/>
  <c r="I122" i="1"/>
  <c r="U118" i="1"/>
  <c r="R117" i="1"/>
  <c r="I114" i="1"/>
  <c r="U110" i="1"/>
  <c r="R109" i="1"/>
  <c r="I106" i="1"/>
  <c r="O106" i="1" s="1"/>
  <c r="U102" i="1"/>
  <c r="R101" i="1"/>
  <c r="I98" i="1"/>
  <c r="R93" i="1"/>
  <c r="I90" i="1"/>
  <c r="W127" i="1"/>
  <c r="T126" i="1"/>
  <c r="Q125" i="1"/>
  <c r="N124" i="1"/>
  <c r="K123" i="1"/>
  <c r="L123" i="1" s="1"/>
  <c r="H122" i="1"/>
  <c r="W119" i="1"/>
  <c r="T118" i="1"/>
  <c r="Q117" i="1"/>
  <c r="N116" i="1"/>
  <c r="K115" i="1"/>
  <c r="L115" i="1" s="1"/>
  <c r="H114" i="1"/>
  <c r="W111" i="1"/>
  <c r="T110" i="1"/>
  <c r="Q109" i="1"/>
  <c r="N108" i="1"/>
  <c r="K107" i="1"/>
  <c r="L107" i="1" s="1"/>
  <c r="H106" i="1"/>
  <c r="T102" i="1"/>
  <c r="Q101" i="1"/>
  <c r="N100" i="1"/>
  <c r="K99" i="1"/>
  <c r="L99" i="1" s="1"/>
  <c r="H98" i="1"/>
  <c r="W95" i="1"/>
  <c r="Q93" i="1"/>
  <c r="N92" i="1"/>
  <c r="K91" i="1"/>
  <c r="L91" i="1" s="1"/>
  <c r="H90" i="1"/>
  <c r="V127" i="1"/>
  <c r="S126" i="1"/>
  <c r="J123" i="1"/>
  <c r="G122" i="1"/>
  <c r="V119" i="1"/>
  <c r="S118" i="1"/>
  <c r="J115" i="1"/>
  <c r="G114" i="1"/>
  <c r="V111" i="1"/>
  <c r="S110" i="1"/>
  <c r="J107" i="1"/>
  <c r="G106" i="1"/>
  <c r="S102" i="1"/>
  <c r="J99" i="1"/>
  <c r="G98" i="1"/>
  <c r="V95" i="1"/>
  <c r="J91" i="1"/>
  <c r="G90" i="1"/>
  <c r="G64" i="1"/>
  <c r="G56" i="1"/>
  <c r="G40" i="1"/>
  <c r="G72" i="1"/>
  <c r="I73" i="1"/>
  <c r="F72" i="1"/>
  <c r="F64" i="1"/>
  <c r="F56" i="1"/>
  <c r="F40" i="1"/>
  <c r="E72" i="1"/>
  <c r="E64" i="1"/>
  <c r="E56" i="1"/>
  <c r="E40" i="1"/>
  <c r="D40" i="1"/>
  <c r="Q77" i="1"/>
  <c r="N76" i="1"/>
  <c r="E73" i="1"/>
  <c r="W71" i="1"/>
  <c r="Q69" i="1"/>
  <c r="N68" i="1"/>
  <c r="E65" i="1"/>
  <c r="W63" i="1"/>
  <c r="Q61" i="1"/>
  <c r="N60" i="1"/>
  <c r="E57" i="1"/>
  <c r="W55" i="1"/>
  <c r="Q53" i="1"/>
  <c r="N52" i="1"/>
  <c r="E49" i="1"/>
  <c r="Q45" i="1"/>
  <c r="N44" i="1"/>
  <c r="E41" i="1"/>
  <c r="W39" i="1"/>
  <c r="P77" i="1"/>
  <c r="M76" i="1"/>
  <c r="D73" i="1"/>
  <c r="V71" i="1"/>
  <c r="P69" i="1"/>
  <c r="M68" i="1"/>
  <c r="D65" i="1"/>
  <c r="V63" i="1"/>
  <c r="P61" i="1"/>
  <c r="M60" i="1"/>
  <c r="D57" i="1"/>
  <c r="V55" i="1"/>
  <c r="P53" i="1"/>
  <c r="M52" i="1"/>
  <c r="D49" i="1"/>
  <c r="P45" i="1"/>
  <c r="M44" i="1"/>
  <c r="D41" i="1"/>
  <c r="V39" i="1"/>
  <c r="U71" i="1"/>
  <c r="U63" i="1"/>
  <c r="U55" i="1"/>
  <c r="U39" i="1"/>
  <c r="N77" i="1"/>
  <c r="K76" i="1"/>
  <c r="L76" i="1" s="1"/>
  <c r="E74" i="1"/>
  <c r="W72" i="1"/>
  <c r="T71" i="1"/>
  <c r="N69" i="1"/>
  <c r="K68" i="1"/>
  <c r="L68" i="1" s="1"/>
  <c r="E66" i="1"/>
  <c r="W64" i="1"/>
  <c r="T63" i="1"/>
  <c r="N61" i="1"/>
  <c r="K60" i="1"/>
  <c r="L60" i="1" s="1"/>
  <c r="E58" i="1"/>
  <c r="W56" i="1"/>
  <c r="T55" i="1"/>
  <c r="N53" i="1"/>
  <c r="K52" i="1"/>
  <c r="L52" i="1" s="1"/>
  <c r="E50" i="1"/>
  <c r="N45" i="1"/>
  <c r="K44" i="1"/>
  <c r="L44" i="1" s="1"/>
  <c r="E42" i="1"/>
  <c r="W40" i="1"/>
  <c r="T39" i="1"/>
  <c r="M77" i="1"/>
  <c r="J76" i="1"/>
  <c r="D74" i="1"/>
  <c r="V72" i="1"/>
  <c r="S71" i="1"/>
  <c r="M69" i="1"/>
  <c r="J68" i="1"/>
  <c r="D66" i="1"/>
  <c r="V64" i="1"/>
  <c r="S63" i="1"/>
  <c r="M61" i="1"/>
  <c r="J60" i="1"/>
  <c r="D58" i="1"/>
  <c r="V56" i="1"/>
  <c r="S55" i="1"/>
  <c r="M53" i="1"/>
  <c r="J52" i="1"/>
  <c r="D50" i="1"/>
  <c r="M45" i="1"/>
  <c r="J44" i="1"/>
  <c r="D42" i="1"/>
  <c r="V40" i="1"/>
  <c r="S39" i="1"/>
  <c r="I76" i="1"/>
  <c r="U72" i="1"/>
  <c r="R71" i="1"/>
  <c r="I68" i="1"/>
  <c r="U64" i="1"/>
  <c r="R63" i="1"/>
  <c r="I60" i="1"/>
  <c r="U56" i="1"/>
  <c r="R55" i="1"/>
  <c r="I52" i="1"/>
  <c r="I44" i="1"/>
  <c r="U40" i="1"/>
  <c r="R39" i="1"/>
  <c r="K77" i="1"/>
  <c r="L77" i="1" s="1"/>
  <c r="H76" i="1"/>
  <c r="E75" i="1"/>
  <c r="W73" i="1"/>
  <c r="T72" i="1"/>
  <c r="Q71" i="1"/>
  <c r="K69" i="1"/>
  <c r="L69" i="1" s="1"/>
  <c r="H68" i="1"/>
  <c r="W65" i="1"/>
  <c r="T64" i="1"/>
  <c r="Q63" i="1"/>
  <c r="K61" i="1"/>
  <c r="L61" i="1" s="1"/>
  <c r="H60" i="1"/>
  <c r="W57" i="1"/>
  <c r="T56" i="1"/>
  <c r="Q55" i="1"/>
  <c r="K53" i="1"/>
  <c r="L53" i="1" s="1"/>
  <c r="H52" i="1"/>
  <c r="W49" i="1"/>
  <c r="K45" i="1"/>
  <c r="L45" i="1" s="1"/>
  <c r="H44" i="1"/>
  <c r="W41" i="1"/>
  <c r="T40" i="1"/>
  <c r="Q39" i="1"/>
  <c r="J77" i="1"/>
  <c r="G76" i="1"/>
  <c r="D75" i="1"/>
  <c r="V73" i="1"/>
  <c r="S72" i="1"/>
  <c r="P71" i="1"/>
  <c r="J69" i="1"/>
  <c r="G68" i="1"/>
  <c r="D67" i="1"/>
  <c r="V65" i="1"/>
  <c r="S64" i="1"/>
  <c r="P63" i="1"/>
  <c r="J61" i="1"/>
  <c r="G60" i="1"/>
  <c r="D59" i="1"/>
  <c r="V57" i="1"/>
  <c r="S56" i="1"/>
  <c r="P55" i="1"/>
  <c r="J53" i="1"/>
  <c r="G52" i="1"/>
  <c r="D51" i="1"/>
  <c r="V49" i="1"/>
  <c r="J45" i="1"/>
  <c r="G44" i="1"/>
  <c r="V41" i="1"/>
  <c r="S40" i="1"/>
  <c r="P39" i="1"/>
  <c r="D35" i="1"/>
  <c r="I77" i="1"/>
  <c r="F76" i="1"/>
  <c r="U73" i="1"/>
  <c r="R72" i="1"/>
  <c r="I69" i="1"/>
  <c r="F68" i="1"/>
  <c r="U65" i="1"/>
  <c r="R64" i="1"/>
  <c r="I61" i="1"/>
  <c r="F60" i="1"/>
  <c r="U57" i="1"/>
  <c r="R56" i="1"/>
  <c r="I53" i="1"/>
  <c r="F52" i="1"/>
  <c r="U49" i="1"/>
  <c r="I45" i="1"/>
  <c r="F44" i="1"/>
  <c r="U41" i="1"/>
  <c r="R40" i="1"/>
  <c r="H77" i="1"/>
  <c r="E76" i="1"/>
  <c r="T73" i="1"/>
  <c r="Q72" i="1"/>
  <c r="N71" i="1"/>
  <c r="H69" i="1"/>
  <c r="E68" i="1"/>
  <c r="T65" i="1"/>
  <c r="Q64" i="1"/>
  <c r="N63" i="1"/>
  <c r="H61" i="1"/>
  <c r="E60" i="1"/>
  <c r="T57" i="1"/>
  <c r="Q56" i="1"/>
  <c r="N55" i="1"/>
  <c r="H53" i="1"/>
  <c r="E52" i="1"/>
  <c r="T49" i="1"/>
  <c r="H45" i="1"/>
  <c r="E44" i="1"/>
  <c r="T41" i="1"/>
  <c r="Q40" i="1"/>
  <c r="N39" i="1"/>
  <c r="G77" i="1"/>
  <c r="D76" i="1"/>
  <c r="S73" i="1"/>
  <c r="P72" i="1"/>
  <c r="M71" i="1"/>
  <c r="G69" i="1"/>
  <c r="D68" i="1"/>
  <c r="S65" i="1"/>
  <c r="P64" i="1"/>
  <c r="M63" i="1"/>
  <c r="G61" i="1"/>
  <c r="D60" i="1"/>
  <c r="S57" i="1"/>
  <c r="P56" i="1"/>
  <c r="M55" i="1"/>
  <c r="G53" i="1"/>
  <c r="D52" i="1"/>
  <c r="S49" i="1"/>
  <c r="G45" i="1"/>
  <c r="D44" i="1"/>
  <c r="S41" i="1"/>
  <c r="P40" i="1"/>
  <c r="M39" i="1"/>
  <c r="F77" i="1"/>
  <c r="R73" i="1"/>
  <c r="F69" i="1"/>
  <c r="R65" i="1"/>
  <c r="F61" i="1"/>
  <c r="R57" i="1"/>
  <c r="R49" i="1"/>
  <c r="R41" i="1"/>
  <c r="E77" i="1"/>
  <c r="Q73" i="1"/>
  <c r="N72" i="1"/>
  <c r="K71" i="1"/>
  <c r="L71" i="1" s="1"/>
  <c r="E69" i="1"/>
  <c r="Q65" i="1"/>
  <c r="N64" i="1"/>
  <c r="K63" i="1"/>
  <c r="L63" i="1" s="1"/>
  <c r="E61" i="1"/>
  <c r="Q57" i="1"/>
  <c r="N56" i="1"/>
  <c r="K55" i="1"/>
  <c r="L55" i="1" s="1"/>
  <c r="E53" i="1"/>
  <c r="Q49" i="1"/>
  <c r="E45" i="1"/>
  <c r="T42" i="1"/>
  <c r="Q41" i="1"/>
  <c r="N40" i="1"/>
  <c r="K39" i="1"/>
  <c r="L39" i="1" s="1"/>
  <c r="P73" i="1"/>
  <c r="M72" i="1"/>
  <c r="J71" i="1"/>
  <c r="P65" i="1"/>
  <c r="M64" i="1"/>
  <c r="J63" i="1"/>
  <c r="P57" i="1"/>
  <c r="M56" i="1"/>
  <c r="J55" i="1"/>
  <c r="S50" i="1"/>
  <c r="P49" i="1"/>
  <c r="S42" i="1"/>
  <c r="P41" i="1"/>
  <c r="M40" i="1"/>
  <c r="J39" i="1"/>
  <c r="I71" i="1"/>
  <c r="I63" i="1"/>
  <c r="I55" i="1"/>
  <c r="I39" i="1"/>
  <c r="W76" i="1"/>
  <c r="T75" i="1"/>
  <c r="Q74" i="1"/>
  <c r="N73" i="1"/>
  <c r="K72" i="1"/>
  <c r="L72" i="1" s="1"/>
  <c r="H71" i="1"/>
  <c r="W68" i="1"/>
  <c r="T67" i="1"/>
  <c r="Q66" i="1"/>
  <c r="N65" i="1"/>
  <c r="K64" i="1"/>
  <c r="L64" i="1" s="1"/>
  <c r="H63" i="1"/>
  <c r="W60" i="1"/>
  <c r="T59" i="1"/>
  <c r="Q58" i="1"/>
  <c r="N57" i="1"/>
  <c r="K56" i="1"/>
  <c r="L56" i="1" s="1"/>
  <c r="H55" i="1"/>
  <c r="W52" i="1"/>
  <c r="T51" i="1"/>
  <c r="Q50" i="1"/>
  <c r="N49" i="1"/>
  <c r="W44" i="1"/>
  <c r="Q42" i="1"/>
  <c r="N41" i="1"/>
  <c r="K40" i="1"/>
  <c r="L40" i="1" s="1"/>
  <c r="H39" i="1"/>
  <c r="T35" i="1"/>
  <c r="V76" i="1"/>
  <c r="S75" i="1"/>
  <c r="J72" i="1"/>
  <c r="G71" i="1"/>
  <c r="V68" i="1"/>
  <c r="S67" i="1"/>
  <c r="J64" i="1"/>
  <c r="G63" i="1"/>
  <c r="V60" i="1"/>
  <c r="S59" i="1"/>
  <c r="J56" i="1"/>
  <c r="G55" i="1"/>
  <c r="V52" i="1"/>
  <c r="S51" i="1"/>
  <c r="V44" i="1"/>
  <c r="J40" i="1"/>
  <c r="G39" i="1"/>
  <c r="S35" i="1"/>
  <c r="V66" i="12"/>
  <c r="V70" i="12"/>
  <c r="V65" i="12"/>
  <c r="V64" i="12"/>
  <c r="W67" i="12"/>
  <c r="V46" i="12"/>
  <c r="V42" i="12"/>
  <c r="V41" i="12"/>
  <c r="V71" i="12"/>
  <c r="V47" i="12"/>
  <c r="W75" i="12"/>
  <c r="W74" i="12"/>
  <c r="V69" i="12"/>
  <c r="V45" i="12"/>
  <c r="W73" i="12"/>
  <c r="V68" i="12"/>
  <c r="V44" i="12"/>
  <c r="W72" i="12"/>
  <c r="V63" i="12"/>
  <c r="V39" i="12"/>
  <c r="V62" i="12"/>
  <c r="V38" i="12"/>
  <c r="V61" i="12"/>
  <c r="V37" i="12"/>
  <c r="V60" i="12"/>
  <c r="V36" i="12"/>
  <c r="V59" i="12"/>
  <c r="V35" i="12"/>
  <c r="V58" i="12"/>
  <c r="V34" i="12"/>
  <c r="V57" i="12"/>
  <c r="V33" i="12"/>
  <c r="V56" i="12"/>
  <c r="V32" i="12"/>
  <c r="V55" i="12"/>
  <c r="V31" i="12"/>
  <c r="V78" i="12"/>
  <c r="V54" i="12"/>
  <c r="V30" i="12"/>
  <c r="V77" i="12"/>
  <c r="V53" i="12"/>
  <c r="V76" i="12"/>
  <c r="V52" i="12"/>
  <c r="D50" i="12"/>
  <c r="G50" i="12"/>
  <c r="H50" i="12"/>
  <c r="I50" i="12"/>
  <c r="J50" i="12"/>
  <c r="K50" i="12"/>
  <c r="L50" i="12"/>
  <c r="X50" i="12"/>
  <c r="Y50" i="12"/>
  <c r="Z50" i="12"/>
  <c r="AA50" i="12"/>
  <c r="D51" i="12"/>
  <c r="G51" i="12"/>
  <c r="H51" i="12"/>
  <c r="I51" i="12"/>
  <c r="J51" i="12"/>
  <c r="K51" i="12"/>
  <c r="L51" i="12"/>
  <c r="X51" i="12"/>
  <c r="Y51" i="12"/>
  <c r="Z51" i="12"/>
  <c r="AA51" i="12"/>
  <c r="D52" i="12"/>
  <c r="G52" i="12"/>
  <c r="H52" i="12"/>
  <c r="I52" i="12"/>
  <c r="J52" i="12"/>
  <c r="K52" i="12"/>
  <c r="L52" i="12"/>
  <c r="X52" i="12"/>
  <c r="Y52" i="12"/>
  <c r="Z52" i="12"/>
  <c r="AA52" i="12"/>
  <c r="D53" i="12"/>
  <c r="G53" i="12"/>
  <c r="H53" i="12"/>
  <c r="I53" i="12"/>
  <c r="J53" i="12"/>
  <c r="K53" i="12"/>
  <c r="L53" i="12"/>
  <c r="X53" i="12"/>
  <c r="Y53" i="12"/>
  <c r="Z53" i="12"/>
  <c r="AA53" i="12"/>
  <c r="D54" i="12"/>
  <c r="G54" i="12"/>
  <c r="H54" i="12"/>
  <c r="I54" i="12"/>
  <c r="J54" i="12"/>
  <c r="K54" i="12"/>
  <c r="L54" i="12"/>
  <c r="X54" i="12"/>
  <c r="Y54" i="12"/>
  <c r="Z54" i="12"/>
  <c r="AA54" i="12"/>
  <c r="D55" i="12"/>
  <c r="G55" i="12"/>
  <c r="H55" i="12"/>
  <c r="I55" i="12"/>
  <c r="J55" i="12"/>
  <c r="K55" i="12"/>
  <c r="L55" i="12"/>
  <c r="X55" i="12"/>
  <c r="Y55" i="12"/>
  <c r="Z55" i="12"/>
  <c r="AA55" i="12"/>
  <c r="D56" i="12"/>
  <c r="G56" i="12"/>
  <c r="H56" i="12"/>
  <c r="I56" i="12"/>
  <c r="J56" i="12"/>
  <c r="K56" i="12"/>
  <c r="L56" i="12"/>
  <c r="X56" i="12"/>
  <c r="Y56" i="12"/>
  <c r="Z56" i="12"/>
  <c r="AA56" i="12"/>
  <c r="D57" i="12"/>
  <c r="G57" i="12"/>
  <c r="H57" i="12"/>
  <c r="I57" i="12"/>
  <c r="J57" i="12"/>
  <c r="K57" i="12"/>
  <c r="L57" i="12"/>
  <c r="X57" i="12"/>
  <c r="Y57" i="12"/>
  <c r="Z57" i="12"/>
  <c r="AA57" i="12"/>
  <c r="D58" i="12"/>
  <c r="G58" i="12"/>
  <c r="H58" i="12"/>
  <c r="I58" i="12"/>
  <c r="J58" i="12"/>
  <c r="K58" i="12"/>
  <c r="L58" i="12"/>
  <c r="X58" i="12"/>
  <c r="Y58" i="12"/>
  <c r="Z58" i="12"/>
  <c r="AA58" i="12"/>
  <c r="D59" i="12"/>
  <c r="G59" i="12"/>
  <c r="H59" i="12"/>
  <c r="I59" i="12"/>
  <c r="J59" i="12"/>
  <c r="K59" i="12"/>
  <c r="L59" i="12"/>
  <c r="X59" i="12"/>
  <c r="Y59" i="12"/>
  <c r="Z59" i="12"/>
  <c r="AA59" i="12"/>
  <c r="D60" i="12"/>
  <c r="G60" i="12"/>
  <c r="H60" i="12"/>
  <c r="I60" i="12"/>
  <c r="J60" i="12"/>
  <c r="K60" i="12"/>
  <c r="L60" i="12"/>
  <c r="X60" i="12"/>
  <c r="Y60" i="12"/>
  <c r="Z60" i="12"/>
  <c r="AA60" i="12"/>
  <c r="Z31" i="12"/>
  <c r="Z32" i="12"/>
  <c r="Z35" i="12"/>
  <c r="Z40" i="12"/>
  <c r="Z41" i="12"/>
  <c r="Z42" i="12"/>
  <c r="Z44" i="12"/>
  <c r="Z61" i="12"/>
  <c r="Z62" i="12"/>
  <c r="Z63" i="12"/>
  <c r="Z64" i="12"/>
  <c r="Z65" i="12"/>
  <c r="Z66" i="12"/>
  <c r="Z67" i="12"/>
  <c r="Z68" i="12"/>
  <c r="Z69" i="12"/>
  <c r="Z70" i="12"/>
  <c r="Z71" i="12"/>
  <c r="Z72" i="12"/>
  <c r="Z73" i="12"/>
  <c r="Z74" i="12"/>
  <c r="Z75" i="12"/>
  <c r="Z76" i="12"/>
  <c r="Z77" i="12"/>
  <c r="Z78" i="12"/>
  <c r="Z81" i="12"/>
  <c r="Z82" i="12"/>
  <c r="Z91" i="12"/>
  <c r="Z92" i="12"/>
  <c r="Z93" i="12"/>
  <c r="Z94" i="12"/>
  <c r="Z95" i="12"/>
  <c r="Z96"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B49" i="29"/>
  <c r="C49" i="29"/>
  <c r="D62" i="14"/>
  <c r="F62" i="14"/>
  <c r="G62" i="14"/>
  <c r="T62" i="14" s="1"/>
  <c r="H62" i="14"/>
  <c r="I62" i="14"/>
  <c r="J62" i="14"/>
  <c r="U62" i="14" s="1"/>
  <c r="K62" i="14"/>
  <c r="V62" i="14" s="1"/>
  <c r="R62" i="14"/>
  <c r="D63" i="14"/>
  <c r="F63" i="14"/>
  <c r="G63" i="14"/>
  <c r="T63" i="14" s="1"/>
  <c r="H63" i="14"/>
  <c r="I63" i="14"/>
  <c r="J63" i="14"/>
  <c r="U63" i="14" s="1"/>
  <c r="K63" i="14"/>
  <c r="V63" i="14" s="1"/>
  <c r="R63" i="14"/>
  <c r="D64" i="14"/>
  <c r="F64" i="14"/>
  <c r="S64" i="14" s="1"/>
  <c r="G64" i="14"/>
  <c r="T64" i="14" s="1"/>
  <c r="H64" i="14"/>
  <c r="I64" i="14"/>
  <c r="J64" i="14"/>
  <c r="U64" i="14" s="1"/>
  <c r="K64" i="14"/>
  <c r="V64" i="14" s="1"/>
  <c r="R64" i="14"/>
  <c r="D65" i="14"/>
  <c r="F65" i="14"/>
  <c r="S65" i="14" s="1"/>
  <c r="G65" i="14"/>
  <c r="T65" i="14" s="1"/>
  <c r="H65" i="14"/>
  <c r="I65" i="14"/>
  <c r="J65" i="14"/>
  <c r="U65" i="14" s="1"/>
  <c r="K65" i="14"/>
  <c r="V65" i="14" s="1"/>
  <c r="R65" i="14"/>
  <c r="D66" i="14"/>
  <c r="F66" i="14"/>
  <c r="S66" i="14" s="1"/>
  <c r="G66" i="14"/>
  <c r="T66" i="14" s="1"/>
  <c r="H66" i="14"/>
  <c r="I66" i="14"/>
  <c r="J66" i="14"/>
  <c r="U66" i="14" s="1"/>
  <c r="K66" i="14"/>
  <c r="V66" i="14" s="1"/>
  <c r="R66" i="14"/>
  <c r="D67" i="14"/>
  <c r="F67" i="14"/>
  <c r="G67" i="14"/>
  <c r="T67" i="14" s="1"/>
  <c r="H67" i="14"/>
  <c r="I67" i="14"/>
  <c r="J67" i="14"/>
  <c r="U67" i="14" s="1"/>
  <c r="K67" i="14"/>
  <c r="V67" i="14" s="1"/>
  <c r="R67" i="14"/>
  <c r="D68" i="14"/>
  <c r="F68" i="14"/>
  <c r="S68" i="14" s="1"/>
  <c r="G68" i="14"/>
  <c r="T68" i="14" s="1"/>
  <c r="H68" i="14"/>
  <c r="I68" i="14"/>
  <c r="J68" i="14"/>
  <c r="U68" i="14" s="1"/>
  <c r="K68" i="14"/>
  <c r="V68" i="14" s="1"/>
  <c r="R68" i="14"/>
  <c r="D69" i="14"/>
  <c r="F69" i="14"/>
  <c r="S69" i="14" s="1"/>
  <c r="G69" i="14"/>
  <c r="T69" i="14" s="1"/>
  <c r="H69" i="14"/>
  <c r="I69" i="14"/>
  <c r="J69" i="14"/>
  <c r="U69" i="14" s="1"/>
  <c r="K69" i="14"/>
  <c r="V69" i="14" s="1"/>
  <c r="R69" i="14"/>
  <c r="D70" i="14"/>
  <c r="F70" i="14"/>
  <c r="S70" i="14" s="1"/>
  <c r="G70" i="14"/>
  <c r="T70" i="14" s="1"/>
  <c r="H70" i="14"/>
  <c r="I70" i="14"/>
  <c r="J70" i="14"/>
  <c r="U70" i="14" s="1"/>
  <c r="K70" i="14"/>
  <c r="V70" i="14" s="1"/>
  <c r="R70" i="14"/>
  <c r="D71" i="14"/>
  <c r="F71" i="14"/>
  <c r="S71" i="14" s="1"/>
  <c r="G71" i="14"/>
  <c r="T71" i="14" s="1"/>
  <c r="H71" i="14"/>
  <c r="I71" i="14"/>
  <c r="J71" i="14"/>
  <c r="U71" i="14" s="1"/>
  <c r="K71" i="14"/>
  <c r="V71" i="14" s="1"/>
  <c r="R71" i="14"/>
  <c r="D72" i="14"/>
  <c r="F72" i="14"/>
  <c r="S72" i="14" s="1"/>
  <c r="G72" i="14"/>
  <c r="T72" i="14" s="1"/>
  <c r="H72" i="14"/>
  <c r="I72" i="14"/>
  <c r="J72" i="14"/>
  <c r="U72" i="14" s="1"/>
  <c r="K72" i="14"/>
  <c r="V72" i="14" s="1"/>
  <c r="R72" i="14"/>
  <c r="D73" i="14"/>
  <c r="F73" i="14"/>
  <c r="S73" i="14" s="1"/>
  <c r="G73" i="14"/>
  <c r="T73" i="14" s="1"/>
  <c r="H73" i="14"/>
  <c r="I73" i="14"/>
  <c r="J73" i="14"/>
  <c r="U73" i="14" s="1"/>
  <c r="K73" i="14"/>
  <c r="V73" i="14" s="1"/>
  <c r="R73" i="14"/>
  <c r="D74" i="14"/>
  <c r="F74" i="14"/>
  <c r="S74" i="14" s="1"/>
  <c r="G74" i="14"/>
  <c r="T74" i="14" s="1"/>
  <c r="H74" i="14"/>
  <c r="I74" i="14"/>
  <c r="J74" i="14"/>
  <c r="U74" i="14" s="1"/>
  <c r="K74" i="14"/>
  <c r="V74" i="14" s="1"/>
  <c r="R74" i="14"/>
  <c r="D75" i="14"/>
  <c r="F75" i="14"/>
  <c r="S75" i="14" s="1"/>
  <c r="G75" i="14"/>
  <c r="T75" i="14" s="1"/>
  <c r="H75" i="14"/>
  <c r="I75" i="14"/>
  <c r="J75" i="14"/>
  <c r="U75" i="14" s="1"/>
  <c r="K75" i="14"/>
  <c r="V75" i="14" s="1"/>
  <c r="R75" i="14"/>
  <c r="D76" i="14"/>
  <c r="F76" i="14"/>
  <c r="S76" i="14" s="1"/>
  <c r="G76" i="14"/>
  <c r="T76" i="14" s="1"/>
  <c r="H76" i="14"/>
  <c r="I76" i="14"/>
  <c r="J76" i="14"/>
  <c r="U76" i="14" s="1"/>
  <c r="K76" i="14"/>
  <c r="V76" i="14" s="1"/>
  <c r="R76" i="14"/>
  <c r="D77" i="14"/>
  <c r="F77" i="14"/>
  <c r="G77" i="14"/>
  <c r="T77" i="14" s="1"/>
  <c r="H77" i="14"/>
  <c r="I77" i="14"/>
  <c r="J77" i="14"/>
  <c r="U77" i="14" s="1"/>
  <c r="K77" i="14"/>
  <c r="V77" i="14" s="1"/>
  <c r="R77" i="14"/>
  <c r="D59" i="14"/>
  <c r="F59" i="14"/>
  <c r="S59" i="14" s="1"/>
  <c r="G59" i="14"/>
  <c r="T59" i="14" s="1"/>
  <c r="H59" i="14"/>
  <c r="I59" i="14"/>
  <c r="J59" i="14"/>
  <c r="U59" i="14" s="1"/>
  <c r="K59" i="14"/>
  <c r="V59" i="14" s="1"/>
  <c r="R59" i="14"/>
  <c r="D60" i="14"/>
  <c r="F60" i="14"/>
  <c r="G60" i="14"/>
  <c r="T60" i="14" s="1"/>
  <c r="H60" i="14"/>
  <c r="I60" i="14"/>
  <c r="J60" i="14"/>
  <c r="U60" i="14" s="1"/>
  <c r="K60" i="14"/>
  <c r="V60" i="14" s="1"/>
  <c r="R60" i="14"/>
  <c r="D61" i="14"/>
  <c r="F61" i="14"/>
  <c r="S61" i="14" s="1"/>
  <c r="G61" i="14"/>
  <c r="T61" i="14" s="1"/>
  <c r="H61" i="14"/>
  <c r="I61" i="14"/>
  <c r="J61" i="14"/>
  <c r="U61" i="14" s="1"/>
  <c r="K61" i="14"/>
  <c r="V61" i="14" s="1"/>
  <c r="R61" i="14"/>
  <c r="G49" i="10"/>
  <c r="G50" i="10"/>
  <c r="G51" i="10"/>
  <c r="G52" i="10"/>
  <c r="G53" i="10"/>
  <c r="G54" i="10"/>
  <c r="G55" i="10"/>
  <c r="G56" i="10"/>
  <c r="G57" i="10"/>
  <c r="G58" i="10"/>
  <c r="G59" i="10"/>
  <c r="A49" i="10"/>
  <c r="A50" i="10"/>
  <c r="A51" i="10"/>
  <c r="A52" i="10"/>
  <c r="A53" i="10"/>
  <c r="A54" i="10"/>
  <c r="A55" i="10"/>
  <c r="A56" i="10"/>
  <c r="A57" i="10"/>
  <c r="A58" i="10"/>
  <c r="A59" i="10"/>
  <c r="E39" i="1" l="1"/>
  <c r="D39" i="1"/>
  <c r="J33" i="41"/>
  <c r="I33" i="41"/>
  <c r="M84" i="41"/>
  <c r="P33" i="41"/>
  <c r="M33" i="41"/>
  <c r="K33" i="41" s="1"/>
  <c r="L33" i="41" s="1"/>
  <c r="R33" i="41"/>
  <c r="Q84" i="41"/>
  <c r="K84" i="41"/>
  <c r="L84" i="41" s="1"/>
  <c r="O128" i="1"/>
  <c r="O65" i="1"/>
  <c r="O119" i="1"/>
  <c r="O126" i="1"/>
  <c r="O74" i="1"/>
  <c r="O71" i="1"/>
  <c r="M104" i="1"/>
  <c r="K104" i="1" s="1"/>
  <c r="L104" i="1" s="1"/>
  <c r="J99" i="41"/>
  <c r="N99" i="41"/>
  <c r="I99" i="41"/>
  <c r="N98" i="41"/>
  <c r="O44" i="41"/>
  <c r="Q104" i="1"/>
  <c r="P104" i="1"/>
  <c r="N104" i="1"/>
  <c r="R104" i="1"/>
  <c r="U104" i="1"/>
  <c r="N103" i="1"/>
  <c r="P103" i="1"/>
  <c r="J103" i="1"/>
  <c r="M103" i="1" s="1"/>
  <c r="O100" i="1"/>
  <c r="M99" i="41"/>
  <c r="K99" i="41" s="1"/>
  <c r="L99" i="41" s="1"/>
  <c r="P99" i="41"/>
  <c r="Q99" i="41"/>
  <c r="R99" i="41" s="1"/>
  <c r="I98" i="41"/>
  <c r="J98" i="41"/>
  <c r="M98" i="41" s="1"/>
  <c r="K98" i="41" s="1"/>
  <c r="L98" i="41" s="1"/>
  <c r="V38" i="1"/>
  <c r="O101" i="1"/>
  <c r="M37" i="1"/>
  <c r="O102" i="1"/>
  <c r="O98" i="1"/>
  <c r="N38" i="1"/>
  <c r="M38" i="1"/>
  <c r="K38" i="1"/>
  <c r="L38" i="1" s="1"/>
  <c r="E38" i="1"/>
  <c r="D38" i="1"/>
  <c r="W38" i="1"/>
  <c r="S38" i="1"/>
  <c r="R38" i="1"/>
  <c r="Q38" i="1"/>
  <c r="P38" i="1"/>
  <c r="J38" i="1"/>
  <c r="I38" i="1"/>
  <c r="H38" i="1"/>
  <c r="G38" i="1"/>
  <c r="F38" i="1"/>
  <c r="H37" i="1"/>
  <c r="U38" i="1"/>
  <c r="O122" i="1"/>
  <c r="I37" i="1"/>
  <c r="D103" i="41"/>
  <c r="E103" i="41" s="1"/>
  <c r="K103" i="41"/>
  <c r="L103" i="41" s="1"/>
  <c r="O63" i="1"/>
  <c r="E33" i="1"/>
  <c r="O41" i="1"/>
  <c r="P37" i="1"/>
  <c r="D33" i="1"/>
  <c r="O116" i="1"/>
  <c r="W73" i="41"/>
  <c r="K63" i="41"/>
  <c r="L63" i="41" s="1"/>
  <c r="Q122" i="41"/>
  <c r="T67" i="41"/>
  <c r="G37" i="1"/>
  <c r="S33" i="1"/>
  <c r="T33" i="1"/>
  <c r="V33" i="1"/>
  <c r="N33" i="1"/>
  <c r="O115" i="1"/>
  <c r="Q101" i="41"/>
  <c r="P116" i="41"/>
  <c r="J37" i="1"/>
  <c r="N37" i="1"/>
  <c r="V37" i="1"/>
  <c r="U37" i="1"/>
  <c r="E37" i="1"/>
  <c r="T37" i="1"/>
  <c r="S37" i="1"/>
  <c r="R37" i="1"/>
  <c r="Q37" i="1"/>
  <c r="D37" i="1"/>
  <c r="V36" i="1"/>
  <c r="V35" i="13"/>
  <c r="W35" i="13" s="1"/>
  <c r="Q33" i="1"/>
  <c r="M106" i="41"/>
  <c r="F127" i="41"/>
  <c r="V127" i="41"/>
  <c r="Q108" i="41"/>
  <c r="O93" i="41"/>
  <c r="S116" i="41"/>
  <c r="Q116" i="41"/>
  <c r="V122" i="41"/>
  <c r="S122" i="41"/>
  <c r="O99" i="1"/>
  <c r="Q49" i="41"/>
  <c r="V116" i="41"/>
  <c r="O97" i="41"/>
  <c r="G127" i="41"/>
  <c r="I127" i="41"/>
  <c r="O125" i="1"/>
  <c r="T122" i="41"/>
  <c r="N86" i="1"/>
  <c r="N81" i="1"/>
  <c r="J86" i="1"/>
  <c r="M86" i="1" s="1"/>
  <c r="I86" i="1"/>
  <c r="M81" i="1"/>
  <c r="K81" i="1" s="1"/>
  <c r="L81" i="1" s="1"/>
  <c r="P81" i="1"/>
  <c r="R33" i="1"/>
  <c r="W33" i="1"/>
  <c r="O120" i="1"/>
  <c r="V101" i="41"/>
  <c r="T49" i="41"/>
  <c r="F103" i="41"/>
  <c r="O118" i="1"/>
  <c r="O123" i="1"/>
  <c r="I63" i="41"/>
  <c r="G67" i="41"/>
  <c r="R116" i="41"/>
  <c r="H111" i="41"/>
  <c r="O105" i="1"/>
  <c r="O113" i="41"/>
  <c r="W103" i="41"/>
  <c r="H127" i="41"/>
  <c r="J103" i="41"/>
  <c r="E39" i="13"/>
  <c r="N116" i="41"/>
  <c r="D117" i="41"/>
  <c r="E117" i="41" s="1"/>
  <c r="O108" i="1"/>
  <c r="V103" i="41"/>
  <c r="W127" i="41"/>
  <c r="T116" i="41"/>
  <c r="J119" i="41"/>
  <c r="V111" i="41"/>
  <c r="J127" i="41"/>
  <c r="K37" i="1"/>
  <c r="L37" i="1" s="1"/>
  <c r="F37" i="1"/>
  <c r="D36" i="1"/>
  <c r="I36" i="1"/>
  <c r="W36" i="1"/>
  <c r="E36" i="1"/>
  <c r="F36" i="1"/>
  <c r="E36" i="13"/>
  <c r="M36" i="1"/>
  <c r="N36" i="1"/>
  <c r="G36" i="1"/>
  <c r="J36" i="1"/>
  <c r="T36" i="1"/>
  <c r="H36" i="1"/>
  <c r="S36" i="1"/>
  <c r="R36" i="1"/>
  <c r="K36" i="1"/>
  <c r="L36" i="1" s="1"/>
  <c r="Q36" i="1"/>
  <c r="P36" i="1"/>
  <c r="U33" i="1"/>
  <c r="P33" i="1"/>
  <c r="K33" i="1"/>
  <c r="L33" i="1" s="1"/>
  <c r="J33" i="1"/>
  <c r="I33" i="1"/>
  <c r="H33" i="1"/>
  <c r="G33" i="1"/>
  <c r="F33" i="1"/>
  <c r="O110" i="1"/>
  <c r="E33" i="13"/>
  <c r="Q106" i="41"/>
  <c r="O62" i="41"/>
  <c r="S117" i="41"/>
  <c r="O107" i="1"/>
  <c r="H118" i="41"/>
  <c r="D106" i="41"/>
  <c r="E106" i="41" s="1"/>
  <c r="I106" i="41"/>
  <c r="O84" i="41"/>
  <c r="T84" i="41" s="1"/>
  <c r="V33" i="13"/>
  <c r="W33" i="13" s="1"/>
  <c r="N64" i="41"/>
  <c r="R117" i="41"/>
  <c r="E34" i="13"/>
  <c r="V34" i="13"/>
  <c r="W34" i="13" s="1"/>
  <c r="E37" i="13"/>
  <c r="R37" i="13"/>
  <c r="V37" i="13" s="1"/>
  <c r="W37" i="13" s="1"/>
  <c r="O104" i="1"/>
  <c r="T104" i="1" s="1"/>
  <c r="V104" i="1" s="1"/>
  <c r="W104" i="1" s="1"/>
  <c r="G103" i="41"/>
  <c r="S106" i="41"/>
  <c r="D109" i="41"/>
  <c r="E109" i="41" s="1"/>
  <c r="E38" i="13"/>
  <c r="R38" i="13"/>
  <c r="V38" i="13" s="1"/>
  <c r="W38" i="13" s="1"/>
  <c r="R66" i="41"/>
  <c r="S108" i="41"/>
  <c r="E35" i="13"/>
  <c r="H106" i="41"/>
  <c r="R106" i="41"/>
  <c r="Q109" i="41"/>
  <c r="K122" i="41"/>
  <c r="L122" i="41" s="1"/>
  <c r="D66" i="41"/>
  <c r="E66" i="41" s="1"/>
  <c r="E31" i="13"/>
  <c r="R31" i="13"/>
  <c r="V31" i="13" s="1"/>
  <c r="W31" i="13" s="1"/>
  <c r="S64" i="41"/>
  <c r="U116" i="41"/>
  <c r="R122" i="41"/>
  <c r="D67" i="41"/>
  <c r="E67" i="41" s="1"/>
  <c r="D74" i="41"/>
  <c r="E74" i="41" s="1"/>
  <c r="E32" i="13"/>
  <c r="R32" i="13"/>
  <c r="V32" i="13" s="1"/>
  <c r="W32" i="13" s="1"/>
  <c r="V39" i="13"/>
  <c r="W39" i="13" s="1"/>
  <c r="V102" i="41"/>
  <c r="V36" i="13"/>
  <c r="W36" i="13" s="1"/>
  <c r="O50" i="1"/>
  <c r="G51" i="41"/>
  <c r="H75" i="41"/>
  <c r="O55" i="1"/>
  <c r="R63" i="41"/>
  <c r="R108" i="41"/>
  <c r="D119" i="41"/>
  <c r="E119" i="41" s="1"/>
  <c r="W122" i="41"/>
  <c r="V68" i="41"/>
  <c r="U118" i="41"/>
  <c r="V118" i="41"/>
  <c r="U108" i="41"/>
  <c r="G119" i="41"/>
  <c r="T106" i="41"/>
  <c r="P55" i="41"/>
  <c r="I122" i="41"/>
  <c r="J122" i="41"/>
  <c r="P122" i="41"/>
  <c r="O115" i="41"/>
  <c r="G106" i="41"/>
  <c r="N108" i="41"/>
  <c r="F119" i="41"/>
  <c r="G102" i="41"/>
  <c r="O117" i="1"/>
  <c r="K119" i="41"/>
  <c r="L119" i="41" s="1"/>
  <c r="V74" i="41"/>
  <c r="O72" i="1"/>
  <c r="O95" i="1"/>
  <c r="G122" i="41"/>
  <c r="I103" i="41"/>
  <c r="J111" i="41"/>
  <c r="T118" i="41"/>
  <c r="U106" i="41"/>
  <c r="W119" i="41"/>
  <c r="N106" i="41"/>
  <c r="O96" i="41"/>
  <c r="H122" i="41"/>
  <c r="K106" i="41"/>
  <c r="L106" i="41" s="1"/>
  <c r="T108" i="41"/>
  <c r="I119" i="41"/>
  <c r="G118" i="41"/>
  <c r="U122" i="41"/>
  <c r="G123" i="41"/>
  <c r="T50" i="41"/>
  <c r="T63" i="41"/>
  <c r="U123" i="41"/>
  <c r="W108" i="41"/>
  <c r="U55" i="41"/>
  <c r="J106" i="41"/>
  <c r="N123" i="41"/>
  <c r="V109" i="41"/>
  <c r="F67" i="41"/>
  <c r="P108" i="41"/>
  <c r="P106" i="41"/>
  <c r="U102" i="41"/>
  <c r="H119" i="41"/>
  <c r="W106" i="41"/>
  <c r="O42" i="1"/>
  <c r="J64" i="41"/>
  <c r="N48" i="41"/>
  <c r="M63" i="41"/>
  <c r="W40" i="41"/>
  <c r="S67" i="41"/>
  <c r="R50" i="41"/>
  <c r="P64" i="41"/>
  <c r="U40" i="41"/>
  <c r="T66" i="41"/>
  <c r="V65" i="41"/>
  <c r="Q65" i="41"/>
  <c r="U50" i="41"/>
  <c r="W50" i="41"/>
  <c r="V63" i="41"/>
  <c r="O75" i="1"/>
  <c r="T65" i="41"/>
  <c r="J67" i="41"/>
  <c r="V40" i="41"/>
  <c r="O66" i="1"/>
  <c r="K48" i="41"/>
  <c r="L48" i="41" s="1"/>
  <c r="S66" i="41"/>
  <c r="W66" i="41"/>
  <c r="J75" i="41"/>
  <c r="S74" i="41"/>
  <c r="W74" i="41"/>
  <c r="O67" i="1"/>
  <c r="H63" i="41"/>
  <c r="K64" i="41"/>
  <c r="L64" i="41" s="1"/>
  <c r="H52" i="41"/>
  <c r="V64" i="41"/>
  <c r="W71" i="41"/>
  <c r="O41" i="41"/>
  <c r="W68" i="41"/>
  <c r="P40" i="41"/>
  <c r="R64" i="41"/>
  <c r="T64" i="41"/>
  <c r="D40" i="41"/>
  <c r="E40" i="41" s="1"/>
  <c r="K72" i="41"/>
  <c r="L72" i="41" s="1"/>
  <c r="W65" i="41"/>
  <c r="D72" i="41"/>
  <c r="E72" i="41" s="1"/>
  <c r="J40" i="41"/>
  <c r="H68" i="41"/>
  <c r="G75" i="41"/>
  <c r="Q58" i="41"/>
  <c r="Q48" i="41"/>
  <c r="V49" i="41"/>
  <c r="K76" i="41"/>
  <c r="L76" i="41" s="1"/>
  <c r="O49" i="1"/>
  <c r="J56" i="41"/>
  <c r="V57" i="41"/>
  <c r="V56" i="41"/>
  <c r="N65" i="41"/>
  <c r="Q56" i="41"/>
  <c r="T72" i="41"/>
  <c r="H76" i="41"/>
  <c r="J72" i="41"/>
  <c r="N73" i="41"/>
  <c r="P49" i="41"/>
  <c r="M55" i="41"/>
  <c r="Q72" i="41"/>
  <c r="G68" i="41"/>
  <c r="J68" i="41"/>
  <c r="S49" i="41"/>
  <c r="O56" i="1"/>
  <c r="O64" i="1"/>
  <c r="V76" i="41"/>
  <c r="Q74" i="41"/>
  <c r="K71" i="41"/>
  <c r="L71" i="41" s="1"/>
  <c r="P56" i="41"/>
  <c r="T73" i="41"/>
  <c r="P71" i="41"/>
  <c r="V72" i="41"/>
  <c r="W76" i="41"/>
  <c r="O88" i="1"/>
  <c r="O78" i="1"/>
  <c r="O40" i="1"/>
  <c r="J55" i="41"/>
  <c r="T74" i="41"/>
  <c r="O60" i="41"/>
  <c r="V73" i="41"/>
  <c r="R55" i="41"/>
  <c r="V51" i="41"/>
  <c r="N72" i="41"/>
  <c r="S57" i="41"/>
  <c r="S72" i="41"/>
  <c r="P57" i="41"/>
  <c r="G76" i="41"/>
  <c r="J76" i="41"/>
  <c r="O58" i="1"/>
  <c r="O61" i="41"/>
  <c r="W58" i="41"/>
  <c r="P65" i="41"/>
  <c r="S65" i="41"/>
  <c r="U49" i="41"/>
  <c r="I68" i="41"/>
  <c r="W55" i="41"/>
  <c r="M72" i="41"/>
  <c r="D68" i="41"/>
  <c r="E68" i="41" s="1"/>
  <c r="U72" i="41"/>
  <c r="R49" i="41"/>
  <c r="R72" i="41"/>
  <c r="U51" i="41"/>
  <c r="H51" i="41"/>
  <c r="I55" i="41"/>
  <c r="U58" i="41"/>
  <c r="W56" i="41"/>
  <c r="D56" i="41"/>
  <c r="E56" i="41" s="1"/>
  <c r="U59" i="41"/>
  <c r="D64" i="41"/>
  <c r="E64" i="41" s="1"/>
  <c r="N49" i="41"/>
  <c r="H67" i="41"/>
  <c r="O62" i="1"/>
  <c r="K56" i="41"/>
  <c r="L56" i="41" s="1"/>
  <c r="U67" i="41"/>
  <c r="Q55" i="41"/>
  <c r="O93" i="1"/>
  <c r="O92" i="41"/>
  <c r="O92" i="1"/>
  <c r="O91" i="41"/>
  <c r="O91" i="1"/>
  <c r="O90" i="41"/>
  <c r="O39" i="1"/>
  <c r="O38" i="41"/>
  <c r="O35" i="41"/>
  <c r="O34" i="41"/>
  <c r="O32" i="41"/>
  <c r="M124" i="41"/>
  <c r="D124" i="41"/>
  <c r="E124" i="41" s="1"/>
  <c r="F124" i="41"/>
  <c r="G124" i="41"/>
  <c r="H124" i="41"/>
  <c r="I124" i="41"/>
  <c r="J124" i="41"/>
  <c r="K124" i="41"/>
  <c r="L124" i="41" s="1"/>
  <c r="P50" i="41"/>
  <c r="F50" i="41"/>
  <c r="G50" i="41"/>
  <c r="H50" i="41"/>
  <c r="I50" i="41"/>
  <c r="J50" i="41"/>
  <c r="K50" i="41"/>
  <c r="L50" i="41" s="1"/>
  <c r="M50" i="41"/>
  <c r="N50" i="41"/>
  <c r="H77" i="41"/>
  <c r="I77" i="41"/>
  <c r="J77" i="41"/>
  <c r="K77" i="41"/>
  <c r="L77" i="41" s="1"/>
  <c r="M77" i="41"/>
  <c r="N77" i="41"/>
  <c r="P77" i="41"/>
  <c r="Q77" i="41"/>
  <c r="R77" i="41"/>
  <c r="S77" i="41"/>
  <c r="T77" i="41"/>
  <c r="U77" i="41"/>
  <c r="V77" i="41"/>
  <c r="W77" i="41"/>
  <c r="D77" i="41"/>
  <c r="E77" i="41" s="1"/>
  <c r="F77" i="41"/>
  <c r="G77" i="41"/>
  <c r="T102" i="41"/>
  <c r="G107" i="41"/>
  <c r="J48" i="41"/>
  <c r="P73" i="41"/>
  <c r="D51" i="41"/>
  <c r="E51" i="41" s="1"/>
  <c r="U56" i="41"/>
  <c r="J52" i="41"/>
  <c r="K52" i="41"/>
  <c r="L52" i="41" s="1"/>
  <c r="V55" i="41"/>
  <c r="U76" i="41"/>
  <c r="F76" i="41"/>
  <c r="M76" i="41"/>
  <c r="N76" i="41"/>
  <c r="P76" i="41"/>
  <c r="Q76" i="41"/>
  <c r="R76" i="41"/>
  <c r="S76" i="41"/>
  <c r="T76" i="41"/>
  <c r="D105" i="41"/>
  <c r="E105" i="41" s="1"/>
  <c r="J105" i="41"/>
  <c r="K105" i="41"/>
  <c r="L105" i="41" s="1"/>
  <c r="M105" i="41"/>
  <c r="N105" i="41"/>
  <c r="P105" i="41"/>
  <c r="Q105" i="41"/>
  <c r="R105" i="41"/>
  <c r="S105" i="41"/>
  <c r="T105" i="41"/>
  <c r="U105" i="41"/>
  <c r="V105" i="41"/>
  <c r="W105" i="41"/>
  <c r="F105" i="41"/>
  <c r="G105" i="41"/>
  <c r="H105" i="41"/>
  <c r="I105" i="41"/>
  <c r="O89" i="1"/>
  <c r="T75" i="41"/>
  <c r="G52" i="41"/>
  <c r="F59" i="41"/>
  <c r="S55" i="41"/>
  <c r="T55" i="41"/>
  <c r="P109" i="41"/>
  <c r="F109" i="41"/>
  <c r="G109" i="41"/>
  <c r="H109" i="41"/>
  <c r="I109" i="41"/>
  <c r="J109" i="41"/>
  <c r="K109" i="41"/>
  <c r="L109" i="41" s="1"/>
  <c r="M109" i="41"/>
  <c r="N109" i="41"/>
  <c r="T109" i="41"/>
  <c r="U109" i="41"/>
  <c r="W109" i="41"/>
  <c r="S124" i="41"/>
  <c r="V52" i="41"/>
  <c r="V75" i="41"/>
  <c r="U111" i="41"/>
  <c r="M111" i="41"/>
  <c r="N111" i="41"/>
  <c r="P111" i="41"/>
  <c r="Q111" i="41"/>
  <c r="R111" i="41"/>
  <c r="S111" i="41"/>
  <c r="T111" i="41"/>
  <c r="Q69" i="41"/>
  <c r="R69" i="41"/>
  <c r="S69" i="41"/>
  <c r="T69" i="41"/>
  <c r="U69" i="41"/>
  <c r="V69" i="41"/>
  <c r="W69" i="41"/>
  <c r="D69" i="41"/>
  <c r="E69" i="41" s="1"/>
  <c r="F69" i="41"/>
  <c r="G69" i="41"/>
  <c r="H69" i="41"/>
  <c r="I69" i="41"/>
  <c r="J69" i="41"/>
  <c r="K69" i="41"/>
  <c r="L69" i="41" s="1"/>
  <c r="M69" i="41"/>
  <c r="N69" i="41"/>
  <c r="P69" i="41"/>
  <c r="R51" i="41"/>
  <c r="K51" i="41"/>
  <c r="L51" i="41" s="1"/>
  <c r="M51" i="41"/>
  <c r="N51" i="41"/>
  <c r="P51" i="41"/>
  <c r="Q51" i="41"/>
  <c r="F51" i="41"/>
  <c r="I51" i="41"/>
  <c r="J51" i="41"/>
  <c r="O70" i="1"/>
  <c r="K107" i="41"/>
  <c r="L107" i="41" s="1"/>
  <c r="R101" i="41"/>
  <c r="S101" i="41"/>
  <c r="V106" i="41"/>
  <c r="D122" i="41"/>
  <c r="E122" i="41" s="1"/>
  <c r="G55" i="41"/>
  <c r="M40" i="41"/>
  <c r="W67" i="41"/>
  <c r="R40" i="41"/>
  <c r="S56" i="41"/>
  <c r="U64" i="41"/>
  <c r="H59" i="41"/>
  <c r="V71" i="41"/>
  <c r="M49" i="41"/>
  <c r="D49" i="41"/>
  <c r="E49" i="41" s="1"/>
  <c r="F49" i="41"/>
  <c r="G49" i="41"/>
  <c r="H49" i="41"/>
  <c r="I49" i="41"/>
  <c r="J49" i="41"/>
  <c r="K49" i="41"/>
  <c r="L49" i="41" s="1"/>
  <c r="P117" i="41"/>
  <c r="W117" i="41"/>
  <c r="F117" i="41"/>
  <c r="G117" i="41"/>
  <c r="H117" i="41"/>
  <c r="I117" i="41"/>
  <c r="J117" i="41"/>
  <c r="K117" i="41"/>
  <c r="L117" i="41" s="1"/>
  <c r="M117" i="41"/>
  <c r="N117" i="41"/>
  <c r="T117" i="41"/>
  <c r="U117" i="41"/>
  <c r="V117" i="41"/>
  <c r="G120" i="41"/>
  <c r="H120" i="41"/>
  <c r="I120" i="41"/>
  <c r="J120" i="41"/>
  <c r="K120" i="41"/>
  <c r="L120" i="41" s="1"/>
  <c r="M120" i="41"/>
  <c r="N120" i="41"/>
  <c r="P120" i="41"/>
  <c r="Q120" i="41"/>
  <c r="R120" i="41"/>
  <c r="S120" i="41"/>
  <c r="T120" i="41"/>
  <c r="U120" i="41"/>
  <c r="V120" i="41"/>
  <c r="W120" i="41"/>
  <c r="D120" i="41"/>
  <c r="E120" i="41" s="1"/>
  <c r="F120" i="41"/>
  <c r="O88" i="41"/>
  <c r="O35" i="1"/>
  <c r="O51" i="1"/>
  <c r="O89" i="41"/>
  <c r="O97" i="1"/>
  <c r="G59" i="41"/>
  <c r="I48" i="41"/>
  <c r="H48" i="41"/>
  <c r="F48" i="41"/>
  <c r="G48" i="41"/>
  <c r="R107" i="41"/>
  <c r="R48" i="41"/>
  <c r="D59" i="41"/>
  <c r="E59" i="41" s="1"/>
  <c r="R118" i="41"/>
  <c r="F118" i="41"/>
  <c r="I118" i="41"/>
  <c r="J118" i="41"/>
  <c r="K118" i="41"/>
  <c r="L118" i="41" s="1"/>
  <c r="M118" i="41"/>
  <c r="N118" i="41"/>
  <c r="P118" i="41"/>
  <c r="Q118" i="41"/>
  <c r="W118" i="41"/>
  <c r="M57" i="41"/>
  <c r="D57" i="41"/>
  <c r="E57" i="41" s="1"/>
  <c r="F57" i="41"/>
  <c r="G57" i="41"/>
  <c r="H57" i="41"/>
  <c r="I57" i="41"/>
  <c r="J57" i="41"/>
  <c r="K57" i="41"/>
  <c r="L57" i="41" s="1"/>
  <c r="T110" i="41"/>
  <c r="R109" i="41"/>
  <c r="M107" i="41"/>
  <c r="N107" i="41"/>
  <c r="S107" i="41"/>
  <c r="U107" i="41"/>
  <c r="Q50" i="41"/>
  <c r="P48" i="41"/>
  <c r="Q40" i="41"/>
  <c r="T56" i="41"/>
  <c r="R71" i="41"/>
  <c r="S63" i="41"/>
  <c r="W64" i="41"/>
  <c r="U68" i="41"/>
  <c r="F68" i="41"/>
  <c r="M68" i="41"/>
  <c r="N68" i="41"/>
  <c r="P68" i="41"/>
  <c r="Q68" i="41"/>
  <c r="R68" i="41"/>
  <c r="S68" i="41"/>
  <c r="T68" i="41"/>
  <c r="M65" i="41"/>
  <c r="F65" i="41"/>
  <c r="G65" i="41"/>
  <c r="H65" i="41"/>
  <c r="I65" i="41"/>
  <c r="J65" i="41"/>
  <c r="K65" i="41"/>
  <c r="L65" i="41" s="1"/>
  <c r="U65" i="41"/>
  <c r="D65" i="41"/>
  <c r="E65" i="41" s="1"/>
  <c r="O45" i="41"/>
  <c r="I123" i="41"/>
  <c r="F123" i="41"/>
  <c r="H123" i="41"/>
  <c r="O52" i="1"/>
  <c r="O96" i="1"/>
  <c r="S59" i="41"/>
  <c r="P58" i="41"/>
  <c r="H58" i="41"/>
  <c r="I58" i="41"/>
  <c r="J58" i="41"/>
  <c r="K58" i="41"/>
  <c r="L58" i="41" s="1"/>
  <c r="M58" i="41"/>
  <c r="N58" i="41"/>
  <c r="F58" i="41"/>
  <c r="G58" i="41"/>
  <c r="O114" i="1"/>
  <c r="O111" i="1"/>
  <c r="W111" i="41"/>
  <c r="U110" i="41"/>
  <c r="F111" i="41"/>
  <c r="I111" i="41"/>
  <c r="V107" i="41"/>
  <c r="G63" i="41"/>
  <c r="T51" i="41"/>
  <c r="R56" i="41"/>
  <c r="P63" i="41"/>
  <c r="W57" i="41"/>
  <c r="I72" i="41"/>
  <c r="F72" i="41"/>
  <c r="G72" i="41"/>
  <c r="H72" i="41"/>
  <c r="U119" i="41"/>
  <c r="M119" i="41"/>
  <c r="N119" i="41"/>
  <c r="P119" i="41"/>
  <c r="Q119" i="41"/>
  <c r="R119" i="41"/>
  <c r="S119" i="41"/>
  <c r="T119" i="41"/>
  <c r="F104" i="41"/>
  <c r="G104" i="41"/>
  <c r="H104" i="41"/>
  <c r="I104" i="41"/>
  <c r="J104" i="41"/>
  <c r="K104" i="41"/>
  <c r="L104" i="41" s="1"/>
  <c r="M104" i="41"/>
  <c r="N104" i="41"/>
  <c r="P104" i="41"/>
  <c r="Q104" i="41"/>
  <c r="R104" i="41"/>
  <c r="S104" i="41"/>
  <c r="T104" i="41"/>
  <c r="U104" i="41"/>
  <c r="V104" i="41"/>
  <c r="W104" i="41"/>
  <c r="D104" i="41"/>
  <c r="E104" i="41" s="1"/>
  <c r="O60" i="1"/>
  <c r="P125" i="41"/>
  <c r="F125" i="41"/>
  <c r="G125" i="41"/>
  <c r="H125" i="41"/>
  <c r="I125" i="41"/>
  <c r="J125" i="41"/>
  <c r="K125" i="41"/>
  <c r="L125" i="41" s="1"/>
  <c r="M125" i="41"/>
  <c r="N125" i="41"/>
  <c r="T125" i="41"/>
  <c r="U125" i="41"/>
  <c r="V125" i="41"/>
  <c r="W125" i="41"/>
  <c r="O59" i="1"/>
  <c r="I107" i="41"/>
  <c r="F107" i="41"/>
  <c r="H107" i="41"/>
  <c r="D110" i="41"/>
  <c r="E110" i="41" s="1"/>
  <c r="H110" i="41"/>
  <c r="W52" i="41"/>
  <c r="M48" i="41"/>
  <c r="W75" i="41"/>
  <c r="V50" i="41"/>
  <c r="U57" i="41"/>
  <c r="R102" i="41"/>
  <c r="F102" i="41"/>
  <c r="H102" i="41"/>
  <c r="I102" i="41"/>
  <c r="J102" i="41"/>
  <c r="K102" i="41"/>
  <c r="L102" i="41" s="1"/>
  <c r="M102" i="41"/>
  <c r="N102" i="41"/>
  <c r="P102" i="41"/>
  <c r="Q102" i="41"/>
  <c r="W102" i="41"/>
  <c r="D54" i="41"/>
  <c r="E54" i="41" s="1"/>
  <c r="Q54" i="41"/>
  <c r="R54" i="41"/>
  <c r="S54" i="41"/>
  <c r="T54" i="41"/>
  <c r="U54" i="41"/>
  <c r="V54" i="41"/>
  <c r="W54" i="41"/>
  <c r="F54" i="41"/>
  <c r="G54" i="41"/>
  <c r="H54" i="41"/>
  <c r="I54" i="41"/>
  <c r="J54" i="41"/>
  <c r="K54" i="41"/>
  <c r="L54" i="41" s="1"/>
  <c r="M54" i="41"/>
  <c r="N54" i="41"/>
  <c r="P54" i="41"/>
  <c r="O45" i="1"/>
  <c r="V110" i="41"/>
  <c r="G111" i="41"/>
  <c r="T107" i="41"/>
  <c r="K111" i="41"/>
  <c r="L111" i="41" s="1"/>
  <c r="H55" i="41"/>
  <c r="N40" i="41"/>
  <c r="Q63" i="41"/>
  <c r="I76" i="41"/>
  <c r="T71" i="41"/>
  <c r="W63" i="41"/>
  <c r="M116" i="41"/>
  <c r="D116" i="41"/>
  <c r="E116" i="41" s="1"/>
  <c r="F116" i="41"/>
  <c r="G116" i="41"/>
  <c r="H116" i="41"/>
  <c r="I116" i="41"/>
  <c r="J116" i="41"/>
  <c r="K116" i="41"/>
  <c r="L116" i="41" s="1"/>
  <c r="P101" i="41"/>
  <c r="U101" i="41"/>
  <c r="W101" i="41"/>
  <c r="F101" i="41"/>
  <c r="G101" i="41"/>
  <c r="H101" i="41"/>
  <c r="I101" i="41"/>
  <c r="J101" i="41"/>
  <c r="K101" i="41"/>
  <c r="L101" i="41" s="1"/>
  <c r="M101" i="41"/>
  <c r="N101" i="41"/>
  <c r="T101" i="41"/>
  <c r="U127" i="41"/>
  <c r="M127" i="41"/>
  <c r="N127" i="41"/>
  <c r="P127" i="41"/>
  <c r="Q127" i="41"/>
  <c r="R127" i="41"/>
  <c r="S127" i="41"/>
  <c r="T127" i="41"/>
  <c r="R123" i="41"/>
  <c r="G71" i="41"/>
  <c r="S71" i="41"/>
  <c r="R75" i="41"/>
  <c r="K75" i="41"/>
  <c r="L75" i="41" s="1"/>
  <c r="M75" i="41"/>
  <c r="N75" i="41"/>
  <c r="P75" i="41"/>
  <c r="Q75" i="41"/>
  <c r="R110" i="41"/>
  <c r="F110" i="41"/>
  <c r="I110" i="41"/>
  <c r="J110" i="41"/>
  <c r="K110" i="41"/>
  <c r="L110" i="41" s="1"/>
  <c r="M110" i="41"/>
  <c r="N110" i="41"/>
  <c r="P110" i="41"/>
  <c r="Q110" i="41"/>
  <c r="W110" i="41"/>
  <c r="Q107" i="41"/>
  <c r="U52" i="41"/>
  <c r="F52" i="41"/>
  <c r="I52" i="41"/>
  <c r="M52" i="41"/>
  <c r="N52" i="41"/>
  <c r="P52" i="41"/>
  <c r="Q52" i="41"/>
  <c r="R52" i="41"/>
  <c r="S52" i="41"/>
  <c r="T52" i="41"/>
  <c r="R126" i="41"/>
  <c r="I126" i="41"/>
  <c r="J126" i="41"/>
  <c r="K126" i="41"/>
  <c r="L126" i="41" s="1"/>
  <c r="M126" i="41"/>
  <c r="N126" i="41"/>
  <c r="P126" i="41"/>
  <c r="Q126" i="41"/>
  <c r="W126" i="41"/>
  <c r="U124" i="41"/>
  <c r="O53" i="1"/>
  <c r="U126" i="41"/>
  <c r="Q124" i="41"/>
  <c r="P107" i="41"/>
  <c r="D118" i="41"/>
  <c r="E118" i="41" s="1"/>
  <c r="F126" i="41"/>
  <c r="S75" i="41"/>
  <c r="T59" i="41"/>
  <c r="R58" i="41"/>
  <c r="M56" i="41"/>
  <c r="V58" i="41"/>
  <c r="N55" i="41"/>
  <c r="Q71" i="41"/>
  <c r="D48" i="41"/>
  <c r="E48" i="41" s="1"/>
  <c r="M73" i="41"/>
  <c r="D73" i="41"/>
  <c r="E73" i="41" s="1"/>
  <c r="F73" i="41"/>
  <c r="G73" i="41"/>
  <c r="H73" i="41"/>
  <c r="I73" i="41"/>
  <c r="J73" i="41"/>
  <c r="K73" i="41"/>
  <c r="L73" i="41" s="1"/>
  <c r="U73" i="41"/>
  <c r="U103" i="41"/>
  <c r="M103" i="41"/>
  <c r="N103" i="41"/>
  <c r="P103" i="41"/>
  <c r="Q103" i="41"/>
  <c r="R103" i="41"/>
  <c r="S103" i="41"/>
  <c r="T103" i="41"/>
  <c r="O129" i="1"/>
  <c r="D129" i="41"/>
  <c r="E129" i="41" s="1"/>
  <c r="F129" i="41"/>
  <c r="G129" i="41"/>
  <c r="H129" i="41"/>
  <c r="I129" i="41"/>
  <c r="J129" i="41"/>
  <c r="K129" i="41"/>
  <c r="L129" i="41" s="1"/>
  <c r="M129" i="41"/>
  <c r="N129" i="41"/>
  <c r="P129" i="41"/>
  <c r="Q129" i="41"/>
  <c r="R129" i="41"/>
  <c r="S129" i="41"/>
  <c r="T129" i="41"/>
  <c r="U129" i="41"/>
  <c r="V129" i="41"/>
  <c r="W129" i="41"/>
  <c r="K123" i="41"/>
  <c r="L123" i="41" s="1"/>
  <c r="W123" i="41"/>
  <c r="D107" i="41"/>
  <c r="E107" i="41" s="1"/>
  <c r="S58" i="41"/>
  <c r="R57" i="41"/>
  <c r="T57" i="41"/>
  <c r="D75" i="41"/>
  <c r="E75" i="41" s="1"/>
  <c r="D78" i="41"/>
  <c r="E78" i="41" s="1"/>
  <c r="N78" i="41"/>
  <c r="P78" i="41"/>
  <c r="Q78" i="41"/>
  <c r="R78" i="41"/>
  <c r="S78" i="41"/>
  <c r="T78" i="41"/>
  <c r="U78" i="41"/>
  <c r="V78" i="41"/>
  <c r="W78" i="41"/>
  <c r="F78" i="41"/>
  <c r="G78" i="41"/>
  <c r="H78" i="41"/>
  <c r="I78" i="41"/>
  <c r="J78" i="41"/>
  <c r="K78" i="41"/>
  <c r="L78" i="41" s="1"/>
  <c r="M78" i="41"/>
  <c r="O33" i="41"/>
  <c r="T33" i="41" s="1"/>
  <c r="K53" i="41"/>
  <c r="L53" i="41" s="1"/>
  <c r="M53" i="41"/>
  <c r="N53" i="41"/>
  <c r="P53" i="41"/>
  <c r="Q53" i="41"/>
  <c r="R53" i="41"/>
  <c r="S53" i="41"/>
  <c r="T53" i="41"/>
  <c r="U53" i="41"/>
  <c r="V53" i="41"/>
  <c r="W53" i="41"/>
  <c r="D53" i="41"/>
  <c r="E53" i="41" s="1"/>
  <c r="F53" i="41"/>
  <c r="G53" i="41"/>
  <c r="H53" i="41"/>
  <c r="I53" i="41"/>
  <c r="J53" i="41"/>
  <c r="O54" i="1"/>
  <c r="N124" i="41"/>
  <c r="M123" i="41"/>
  <c r="H126" i="41"/>
  <c r="Q125" i="41"/>
  <c r="P124" i="41"/>
  <c r="N122" i="41"/>
  <c r="V124" i="41"/>
  <c r="V123" i="41"/>
  <c r="O42" i="41"/>
  <c r="S123" i="41"/>
  <c r="T123" i="41"/>
  <c r="K127" i="41"/>
  <c r="L127" i="41" s="1"/>
  <c r="D123" i="41"/>
  <c r="E123" i="41" s="1"/>
  <c r="J63" i="41"/>
  <c r="W51" i="41"/>
  <c r="N63" i="41"/>
  <c r="U63" i="41"/>
  <c r="D70" i="41"/>
  <c r="E70" i="41" s="1"/>
  <c r="W70" i="41"/>
  <c r="F70" i="41"/>
  <c r="G70" i="41"/>
  <c r="H70" i="41"/>
  <c r="I70" i="41"/>
  <c r="J70" i="41"/>
  <c r="K70" i="41"/>
  <c r="L70" i="41" s="1"/>
  <c r="M70" i="41"/>
  <c r="N70" i="41"/>
  <c r="P70" i="41"/>
  <c r="Q70" i="41"/>
  <c r="R70" i="41"/>
  <c r="S70" i="41"/>
  <c r="T70" i="41"/>
  <c r="U70" i="41"/>
  <c r="V70" i="41"/>
  <c r="P74" i="41"/>
  <c r="M74" i="41"/>
  <c r="N74" i="41"/>
  <c r="U74" i="41"/>
  <c r="F74" i="41"/>
  <c r="G74" i="41"/>
  <c r="H74" i="41"/>
  <c r="I74" i="41"/>
  <c r="J74" i="41"/>
  <c r="K74" i="41"/>
  <c r="L74" i="41" s="1"/>
  <c r="S102" i="41"/>
  <c r="T126" i="41"/>
  <c r="S125" i="41"/>
  <c r="Q123" i="41"/>
  <c r="D126" i="41"/>
  <c r="E126" i="41" s="1"/>
  <c r="W124" i="41"/>
  <c r="D125" i="41"/>
  <c r="E125" i="41" s="1"/>
  <c r="Q66" i="41"/>
  <c r="I71" i="41"/>
  <c r="M64" i="41"/>
  <c r="K55" i="41"/>
  <c r="L55" i="41" s="1"/>
  <c r="R73" i="41"/>
  <c r="I67" i="41"/>
  <c r="K128" i="41"/>
  <c r="L128" i="41" s="1"/>
  <c r="V128" i="41"/>
  <c r="W128" i="41"/>
  <c r="D128" i="41"/>
  <c r="E128" i="41" s="1"/>
  <c r="F128" i="41"/>
  <c r="G128" i="41"/>
  <c r="H128" i="41"/>
  <c r="I128" i="41"/>
  <c r="J128" i="41"/>
  <c r="M128" i="41"/>
  <c r="N128" i="41"/>
  <c r="P128" i="41"/>
  <c r="Q128" i="41"/>
  <c r="R128" i="41"/>
  <c r="S128" i="41"/>
  <c r="T128" i="41"/>
  <c r="U128" i="41"/>
  <c r="M108" i="41"/>
  <c r="D108" i="41"/>
  <c r="E108" i="41" s="1"/>
  <c r="F108" i="41"/>
  <c r="G108" i="41"/>
  <c r="H108" i="41"/>
  <c r="I108" i="41"/>
  <c r="J108" i="41"/>
  <c r="K108" i="41"/>
  <c r="L108" i="41" s="1"/>
  <c r="O73" i="1"/>
  <c r="V126" i="41"/>
  <c r="T124" i="41"/>
  <c r="G126" i="41"/>
  <c r="U71" i="41"/>
  <c r="I40" i="41"/>
  <c r="F40" i="41"/>
  <c r="G40" i="41"/>
  <c r="H40" i="41"/>
  <c r="R59" i="41"/>
  <c r="I59" i="41"/>
  <c r="J59" i="41"/>
  <c r="K59" i="41"/>
  <c r="L59" i="41" s="1"/>
  <c r="M59" i="41"/>
  <c r="N59" i="41"/>
  <c r="P59" i="41"/>
  <c r="Q59" i="41"/>
  <c r="O81" i="41"/>
  <c r="R124" i="41"/>
  <c r="U75" i="41"/>
  <c r="Q57" i="41"/>
  <c r="M71" i="41"/>
  <c r="I75" i="41"/>
  <c r="D55" i="41"/>
  <c r="E55" i="41" s="1"/>
  <c r="I56" i="41"/>
  <c r="F56" i="41"/>
  <c r="G56" i="41"/>
  <c r="H56" i="41"/>
  <c r="D121" i="41"/>
  <c r="E121" i="41" s="1"/>
  <c r="M121" i="41"/>
  <c r="N121" i="41"/>
  <c r="P121" i="41"/>
  <c r="Q121" i="41"/>
  <c r="R121" i="41"/>
  <c r="S121" i="41"/>
  <c r="T121" i="41"/>
  <c r="U121" i="41"/>
  <c r="V121" i="41"/>
  <c r="W121" i="41"/>
  <c r="F121" i="41"/>
  <c r="G121" i="41"/>
  <c r="H121" i="41"/>
  <c r="I121" i="41"/>
  <c r="J121" i="41"/>
  <c r="K121" i="41"/>
  <c r="L121" i="41" s="1"/>
  <c r="O57" i="1"/>
  <c r="J107" i="41"/>
  <c r="M122" i="41"/>
  <c r="H71" i="41"/>
  <c r="T58" i="41"/>
  <c r="P72" i="41"/>
  <c r="N71" i="41"/>
  <c r="V48" i="41"/>
  <c r="D63" i="41"/>
  <c r="E63" i="41" s="1"/>
  <c r="P66" i="41"/>
  <c r="F66" i="41"/>
  <c r="G66" i="41"/>
  <c r="H66" i="41"/>
  <c r="I66" i="41"/>
  <c r="J66" i="41"/>
  <c r="K66" i="41"/>
  <c r="L66" i="41" s="1"/>
  <c r="M66" i="41"/>
  <c r="N66" i="41"/>
  <c r="U66" i="41"/>
  <c r="I64" i="41"/>
  <c r="F64" i="41"/>
  <c r="G64" i="41"/>
  <c r="H64" i="41"/>
  <c r="O113" i="1"/>
  <c r="O90" i="1"/>
  <c r="S110" i="41"/>
  <c r="P123" i="41"/>
  <c r="O94" i="41"/>
  <c r="K40" i="41"/>
  <c r="L40" i="41" s="1"/>
  <c r="J71" i="41"/>
  <c r="W59" i="41"/>
  <c r="S73" i="41"/>
  <c r="S48" i="41"/>
  <c r="T40" i="41"/>
  <c r="U48" i="41"/>
  <c r="D50" i="41"/>
  <c r="E50" i="41" s="1"/>
  <c r="W48" i="41"/>
  <c r="D71" i="41"/>
  <c r="E71" i="41" s="1"/>
  <c r="S112" i="41"/>
  <c r="T112" i="41"/>
  <c r="U112" i="41"/>
  <c r="V112" i="41"/>
  <c r="W112" i="41"/>
  <c r="D112" i="41"/>
  <c r="E112" i="41" s="1"/>
  <c r="F112" i="41"/>
  <c r="G112" i="41"/>
  <c r="H112" i="41"/>
  <c r="I112" i="41"/>
  <c r="J112" i="41"/>
  <c r="K112" i="41"/>
  <c r="L112" i="41" s="1"/>
  <c r="M112" i="41"/>
  <c r="N112" i="41"/>
  <c r="P112" i="41"/>
  <c r="Q112" i="41"/>
  <c r="R112" i="41"/>
  <c r="R67" i="41"/>
  <c r="P67" i="41"/>
  <c r="Q67" i="41"/>
  <c r="K67" i="41"/>
  <c r="L67" i="41" s="1"/>
  <c r="M67" i="41"/>
  <c r="N67" i="41"/>
  <c r="O46" i="1"/>
  <c r="O121" i="1"/>
  <c r="O31" i="41"/>
  <c r="O39" i="41"/>
  <c r="O95" i="41"/>
  <c r="O114" i="41"/>
  <c r="O82" i="41"/>
  <c r="O112" i="1"/>
  <c r="O69" i="1"/>
  <c r="O77" i="1"/>
  <c r="O44" i="1"/>
  <c r="O68" i="1"/>
  <c r="O76" i="1"/>
  <c r="O61" i="1"/>
  <c r="F55" i="12"/>
  <c r="F50" i="12"/>
  <c r="F53" i="12"/>
  <c r="F51" i="12"/>
  <c r="F58" i="12"/>
  <c r="F54" i="12"/>
  <c r="F52" i="12"/>
  <c r="F57" i="12"/>
  <c r="F56" i="12"/>
  <c r="F59" i="12"/>
  <c r="F60" i="12"/>
  <c r="E60" i="14"/>
  <c r="W72" i="14"/>
  <c r="X72" i="14" s="1"/>
  <c r="W76" i="14"/>
  <c r="X76" i="14" s="1"/>
  <c r="W71" i="14"/>
  <c r="X71" i="14" s="1"/>
  <c r="E62" i="14"/>
  <c r="E66" i="14"/>
  <c r="W59" i="14"/>
  <c r="X59" i="14" s="1"/>
  <c r="E63" i="14"/>
  <c r="E67" i="14"/>
  <c r="E71" i="14"/>
  <c r="E77" i="14"/>
  <c r="S62" i="14"/>
  <c r="W62" i="14" s="1"/>
  <c r="X62" i="14" s="1"/>
  <c r="E68" i="14"/>
  <c r="E59" i="14"/>
  <c r="E72" i="14"/>
  <c r="S60" i="14"/>
  <c r="W60" i="14" s="1"/>
  <c r="X60" i="14" s="1"/>
  <c r="E76" i="14"/>
  <c r="E70" i="14"/>
  <c r="S77" i="14"/>
  <c r="W77" i="14" s="1"/>
  <c r="X77" i="14" s="1"/>
  <c r="S63" i="14"/>
  <c r="W63" i="14" s="1"/>
  <c r="X63" i="14" s="1"/>
  <c r="S67" i="14"/>
  <c r="W67" i="14" s="1"/>
  <c r="X67" i="14" s="1"/>
  <c r="W66" i="14"/>
  <c r="X66" i="14" s="1"/>
  <c r="W73" i="14"/>
  <c r="X73" i="14" s="1"/>
  <c r="W65" i="14"/>
  <c r="X65" i="14" s="1"/>
  <c r="W70" i="14"/>
  <c r="X70" i="14" s="1"/>
  <c r="W74" i="14"/>
  <c r="X74" i="14" s="1"/>
  <c r="W75" i="14"/>
  <c r="X75" i="14" s="1"/>
  <c r="W64" i="14"/>
  <c r="X64" i="14" s="1"/>
  <c r="W69" i="14"/>
  <c r="X69" i="14" s="1"/>
  <c r="W68" i="14"/>
  <c r="X68" i="14" s="1"/>
  <c r="E65" i="14"/>
  <c r="E64" i="14"/>
  <c r="E75" i="14"/>
  <c r="E69" i="14"/>
  <c r="E73" i="14"/>
  <c r="E74" i="14"/>
  <c r="W61" i="14"/>
  <c r="X61" i="14" s="1"/>
  <c r="E61" i="14"/>
  <c r="D48" i="14"/>
  <c r="F48" i="14"/>
  <c r="S48" i="14" s="1"/>
  <c r="G48" i="14"/>
  <c r="T48" i="14" s="1"/>
  <c r="H48" i="14"/>
  <c r="I48" i="14"/>
  <c r="J48" i="14"/>
  <c r="U48" i="14" s="1"/>
  <c r="K48" i="14"/>
  <c r="V48" i="14" s="1"/>
  <c r="E49" i="10"/>
  <c r="R48" i="14"/>
  <c r="D49" i="14"/>
  <c r="F49" i="14"/>
  <c r="S49" i="14" s="1"/>
  <c r="G49" i="14"/>
  <c r="T49" i="14" s="1"/>
  <c r="H49" i="14"/>
  <c r="I49" i="14"/>
  <c r="J49" i="14"/>
  <c r="U49" i="14" s="1"/>
  <c r="K49" i="14"/>
  <c r="V49" i="14" s="1"/>
  <c r="E50" i="10"/>
  <c r="R49" i="14"/>
  <c r="D50" i="14"/>
  <c r="F50" i="14"/>
  <c r="S50" i="14" s="1"/>
  <c r="G50" i="14"/>
  <c r="T50" i="14" s="1"/>
  <c r="H50" i="14"/>
  <c r="I50" i="14"/>
  <c r="J50" i="14"/>
  <c r="U50" i="14" s="1"/>
  <c r="K50" i="14"/>
  <c r="V50" i="14" s="1"/>
  <c r="E51" i="10"/>
  <c r="R50" i="14"/>
  <c r="D51" i="14"/>
  <c r="F51" i="14"/>
  <c r="G51" i="14"/>
  <c r="T51" i="14" s="1"/>
  <c r="H51" i="14"/>
  <c r="I51" i="14"/>
  <c r="J51" i="14"/>
  <c r="U51" i="14" s="1"/>
  <c r="K51" i="14"/>
  <c r="V51" i="14" s="1"/>
  <c r="E52" i="10"/>
  <c r="R51" i="14"/>
  <c r="D52" i="14"/>
  <c r="F52" i="14"/>
  <c r="S52" i="14" s="1"/>
  <c r="G52" i="14"/>
  <c r="T52" i="14" s="1"/>
  <c r="H52" i="14"/>
  <c r="I52" i="14"/>
  <c r="J52" i="14"/>
  <c r="U52" i="14" s="1"/>
  <c r="K52" i="14"/>
  <c r="V52" i="14" s="1"/>
  <c r="E53" i="10"/>
  <c r="R52" i="14"/>
  <c r="D53" i="14"/>
  <c r="F53" i="14"/>
  <c r="S53" i="14" s="1"/>
  <c r="G53" i="14"/>
  <c r="T53" i="14" s="1"/>
  <c r="H53" i="14"/>
  <c r="I53" i="14"/>
  <c r="J53" i="14"/>
  <c r="U53" i="14" s="1"/>
  <c r="K53" i="14"/>
  <c r="V53" i="14" s="1"/>
  <c r="E54" i="10"/>
  <c r="R53" i="14"/>
  <c r="D54" i="14"/>
  <c r="F54" i="14"/>
  <c r="S54" i="14" s="1"/>
  <c r="G54" i="14"/>
  <c r="T54" i="14" s="1"/>
  <c r="H54" i="14"/>
  <c r="I54" i="14"/>
  <c r="J54" i="14"/>
  <c r="U54" i="14" s="1"/>
  <c r="K54" i="14"/>
  <c r="V54" i="14" s="1"/>
  <c r="E55" i="10"/>
  <c r="R54" i="14"/>
  <c r="D55" i="14"/>
  <c r="F55" i="14"/>
  <c r="S55" i="14" s="1"/>
  <c r="G55" i="14"/>
  <c r="T55" i="14" s="1"/>
  <c r="H55" i="14"/>
  <c r="I55" i="14"/>
  <c r="J55" i="14"/>
  <c r="U55" i="14" s="1"/>
  <c r="K55" i="14"/>
  <c r="V55" i="14" s="1"/>
  <c r="E56" i="10"/>
  <c r="R55" i="14"/>
  <c r="D56" i="14"/>
  <c r="F56" i="14"/>
  <c r="G56" i="14"/>
  <c r="T56" i="14" s="1"/>
  <c r="H56" i="14"/>
  <c r="I56" i="14"/>
  <c r="J56" i="14"/>
  <c r="U56" i="14" s="1"/>
  <c r="K56" i="14"/>
  <c r="V56" i="14" s="1"/>
  <c r="E57" i="10"/>
  <c r="R56" i="14"/>
  <c r="D57" i="14"/>
  <c r="F57" i="14"/>
  <c r="G57" i="14"/>
  <c r="T57" i="14" s="1"/>
  <c r="H57" i="14"/>
  <c r="I57" i="14"/>
  <c r="J57" i="14"/>
  <c r="U57" i="14" s="1"/>
  <c r="K57" i="14"/>
  <c r="V57" i="14" s="1"/>
  <c r="E58" i="10"/>
  <c r="R57" i="14"/>
  <c r="D58" i="14"/>
  <c r="F58" i="14"/>
  <c r="S58" i="14" s="1"/>
  <c r="G58" i="14"/>
  <c r="T58" i="14" s="1"/>
  <c r="H58" i="14"/>
  <c r="I58" i="14"/>
  <c r="J58" i="14"/>
  <c r="U58" i="14" s="1"/>
  <c r="K58" i="14"/>
  <c r="V58" i="14" s="1"/>
  <c r="E59" i="10"/>
  <c r="R58"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B49" i="12"/>
  <c r="B49" i="10" s="1"/>
  <c r="D49" i="12"/>
  <c r="G49" i="12"/>
  <c r="H49" i="12"/>
  <c r="I49" i="12"/>
  <c r="J49" i="12"/>
  <c r="K49" i="12"/>
  <c r="L49" i="12"/>
  <c r="F49" i="10"/>
  <c r="B30" i="29"/>
  <c r="B31" i="29"/>
  <c r="B32" i="29"/>
  <c r="B33" i="29"/>
  <c r="B34" i="29"/>
  <c r="B35" i="29"/>
  <c r="B36" i="29"/>
  <c r="B37" i="29"/>
  <c r="B38" i="29"/>
  <c r="B39" i="29"/>
  <c r="B40" i="29"/>
  <c r="B41" i="29"/>
  <c r="B42" i="29"/>
  <c r="B43" i="29"/>
  <c r="B44" i="29"/>
  <c r="B45" i="29"/>
  <c r="B46" i="29"/>
  <c r="B47" i="29"/>
  <c r="B48" i="29"/>
  <c r="B29" i="29"/>
  <c r="B29" i="12" s="1"/>
  <c r="AA79" i="41"/>
  <c r="Q33" i="41" l="1"/>
  <c r="O127" i="41"/>
  <c r="U33" i="41"/>
  <c r="V33" i="41"/>
  <c r="W33" i="41" s="1"/>
  <c r="S33" i="41"/>
  <c r="V84" i="41"/>
  <c r="W84" i="41" s="1"/>
  <c r="U84" i="41"/>
  <c r="S84" i="41"/>
  <c r="O99" i="41"/>
  <c r="O63" i="41"/>
  <c r="S104" i="1"/>
  <c r="K103" i="1"/>
  <c r="L103" i="1" s="1"/>
  <c r="U103" i="1"/>
  <c r="Q103" i="1"/>
  <c r="R103" i="1" s="1"/>
  <c r="O103" i="1" s="1"/>
  <c r="T99" i="41"/>
  <c r="S99" i="41"/>
  <c r="Q98" i="41"/>
  <c r="P98" i="41"/>
  <c r="O86" i="1"/>
  <c r="T86" i="1" s="1"/>
  <c r="V86" i="1" s="1"/>
  <c r="W86" i="1" s="1"/>
  <c r="O38" i="1"/>
  <c r="O106" i="41"/>
  <c r="O103" i="41"/>
  <c r="Q81" i="1"/>
  <c r="R81" i="1" s="1"/>
  <c r="O81" i="1" s="1"/>
  <c r="T81" i="1" s="1"/>
  <c r="V81" i="1" s="1"/>
  <c r="W81" i="1" s="1"/>
  <c r="U81" i="1"/>
  <c r="O102" i="41"/>
  <c r="O76" i="41"/>
  <c r="O119" i="41"/>
  <c r="O37" i="1"/>
  <c r="O117" i="41"/>
  <c r="O122" i="41"/>
  <c r="R86" i="1"/>
  <c r="P86" i="1"/>
  <c r="Q86" i="1"/>
  <c r="U86" i="1"/>
  <c r="K86" i="1"/>
  <c r="L86" i="1" s="1"/>
  <c r="S81" i="1"/>
  <c r="O36" i="1"/>
  <c r="O52" i="41"/>
  <c r="O104" i="41"/>
  <c r="O111" i="41"/>
  <c r="O109" i="41"/>
  <c r="O33" i="1"/>
  <c r="O69" i="41"/>
  <c r="O124" i="41"/>
  <c r="O75" i="41"/>
  <c r="O77" i="41"/>
  <c r="O67" i="41"/>
  <c r="O123" i="41"/>
  <c r="O68" i="41"/>
  <c r="O101" i="41"/>
  <c r="O129" i="41"/>
  <c r="O126" i="41"/>
  <c r="O59" i="41"/>
  <c r="O118" i="41"/>
  <c r="O66" i="41"/>
  <c r="O72" i="41"/>
  <c r="O58" i="41"/>
  <c r="O56" i="41"/>
  <c r="O74" i="41"/>
  <c r="O55" i="41"/>
  <c r="O49" i="41"/>
  <c r="O64" i="41"/>
  <c r="O51" i="41"/>
  <c r="O40" i="41"/>
  <c r="O54" i="41"/>
  <c r="O48" i="41"/>
  <c r="O110" i="41"/>
  <c r="O57" i="41"/>
  <c r="O128" i="41"/>
  <c r="O112" i="41"/>
  <c r="O107" i="41"/>
  <c r="O121" i="41"/>
  <c r="O108" i="41"/>
  <c r="O50" i="41"/>
  <c r="O71" i="41"/>
  <c r="O116" i="41"/>
  <c r="O125" i="41"/>
  <c r="O78" i="41"/>
  <c r="O65" i="41"/>
  <c r="O70" i="41"/>
  <c r="O120" i="41"/>
  <c r="O53" i="41"/>
  <c r="O73" i="41"/>
  <c r="O105" i="41"/>
  <c r="F49" i="12"/>
  <c r="E48" i="14"/>
  <c r="W58" i="14"/>
  <c r="X58" i="14" s="1"/>
  <c r="M49" i="12"/>
  <c r="L48" i="14" s="1"/>
  <c r="W54" i="14"/>
  <c r="X54" i="14" s="1"/>
  <c r="W53" i="14"/>
  <c r="X53" i="14" s="1"/>
  <c r="C49" i="10"/>
  <c r="D49" i="10"/>
  <c r="W48" i="14"/>
  <c r="X48" i="14" s="1"/>
  <c r="B48" i="14"/>
  <c r="C48" i="14" s="1"/>
  <c r="W52" i="14"/>
  <c r="X52" i="14" s="1"/>
  <c r="E58" i="14"/>
  <c r="W49" i="14"/>
  <c r="X49" i="14" s="1"/>
  <c r="E53" i="14"/>
  <c r="E57" i="14"/>
  <c r="E56" i="14"/>
  <c r="S57" i="14"/>
  <c r="W57" i="14" s="1"/>
  <c r="X57" i="14" s="1"/>
  <c r="E54" i="14"/>
  <c r="E51" i="14"/>
  <c r="E52" i="14"/>
  <c r="E49" i="14"/>
  <c r="W50" i="14"/>
  <c r="X50" i="14" s="1"/>
  <c r="W55" i="14"/>
  <c r="X55" i="14" s="1"/>
  <c r="E50" i="14"/>
  <c r="E55" i="14"/>
  <c r="S56" i="14"/>
  <c r="W56" i="14" s="1"/>
  <c r="X56" i="14" s="1"/>
  <c r="S51" i="14"/>
  <c r="W51" i="14" s="1"/>
  <c r="X51" i="14" s="1"/>
  <c r="J14" i="41"/>
  <c r="D90" i="14"/>
  <c r="F90" i="14"/>
  <c r="S90" i="14" s="1"/>
  <c r="G90" i="14"/>
  <c r="T90" i="14" s="1"/>
  <c r="H90" i="14"/>
  <c r="I90" i="14"/>
  <c r="J90" i="14"/>
  <c r="U90" i="14" s="1"/>
  <c r="K90" i="14"/>
  <c r="V90" i="14" s="1"/>
  <c r="E91" i="10"/>
  <c r="R90" i="14"/>
  <c r="D91" i="14"/>
  <c r="F91" i="14"/>
  <c r="S91" i="14" s="1"/>
  <c r="G91" i="14"/>
  <c r="T91" i="14" s="1"/>
  <c r="H91" i="14"/>
  <c r="I91" i="14"/>
  <c r="J91" i="14"/>
  <c r="U91" i="14" s="1"/>
  <c r="K91" i="14"/>
  <c r="V91" i="14" s="1"/>
  <c r="E92" i="10"/>
  <c r="R91" i="14"/>
  <c r="D92" i="14"/>
  <c r="F92" i="14"/>
  <c r="S92" i="14" s="1"/>
  <c r="G92" i="14"/>
  <c r="T92" i="14" s="1"/>
  <c r="H92" i="14"/>
  <c r="I92" i="14"/>
  <c r="J92" i="14"/>
  <c r="U92" i="14" s="1"/>
  <c r="K92" i="14"/>
  <c r="V92" i="14" s="1"/>
  <c r="E93" i="10"/>
  <c r="R92" i="14"/>
  <c r="D93" i="14"/>
  <c r="F93" i="14"/>
  <c r="G93" i="14"/>
  <c r="T93" i="14" s="1"/>
  <c r="H93" i="14"/>
  <c r="I93" i="14"/>
  <c r="J93" i="14"/>
  <c r="U93" i="14" s="1"/>
  <c r="K93" i="14"/>
  <c r="V93" i="14" s="1"/>
  <c r="E94" i="10"/>
  <c r="R93" i="14"/>
  <c r="A91" i="41"/>
  <c r="A92" i="41"/>
  <c r="A93" i="41"/>
  <c r="A83" i="1"/>
  <c r="A84" i="1"/>
  <c r="A90" i="10"/>
  <c r="G90" i="10"/>
  <c r="A91" i="10"/>
  <c r="G91" i="10"/>
  <c r="A92" i="10"/>
  <c r="G92" i="10"/>
  <c r="A93" i="10"/>
  <c r="G93" i="10"/>
  <c r="A94" i="10"/>
  <c r="G94" i="10"/>
  <c r="G84" i="9"/>
  <c r="A84" i="9"/>
  <c r="G83" i="9"/>
  <c r="A83" i="9"/>
  <c r="A91" i="12"/>
  <c r="D91" i="12"/>
  <c r="G91" i="12"/>
  <c r="H91" i="12"/>
  <c r="I91" i="12"/>
  <c r="J91" i="12"/>
  <c r="K91" i="12"/>
  <c r="L91" i="12"/>
  <c r="F91" i="10"/>
  <c r="A92" i="12"/>
  <c r="D92" i="12"/>
  <c r="G92" i="12"/>
  <c r="H92" i="12"/>
  <c r="I92" i="12"/>
  <c r="J92" i="12"/>
  <c r="K92" i="12"/>
  <c r="L92" i="12"/>
  <c r="B91" i="14"/>
  <c r="C91" i="14" s="1"/>
  <c r="A83" i="11"/>
  <c r="D83" i="11"/>
  <c r="G83" i="11"/>
  <c r="H83" i="11"/>
  <c r="I83" i="11"/>
  <c r="J83" i="11"/>
  <c r="K83" i="11"/>
  <c r="L83" i="11"/>
  <c r="M83" i="11"/>
  <c r="F83" i="9"/>
  <c r="A83" i="13"/>
  <c r="D83" i="13"/>
  <c r="F83" i="13"/>
  <c r="R83" i="13" s="1"/>
  <c r="G83" i="13"/>
  <c r="S83" i="13" s="1"/>
  <c r="H83" i="13"/>
  <c r="I83" i="13"/>
  <c r="T83" i="13" s="1"/>
  <c r="J83" i="13"/>
  <c r="U83" i="13" s="1"/>
  <c r="E83" i="9"/>
  <c r="Q83" i="13"/>
  <c r="A84" i="13"/>
  <c r="D84" i="13"/>
  <c r="F84" i="13"/>
  <c r="R84" i="13" s="1"/>
  <c r="G84" i="13"/>
  <c r="S84" i="13" s="1"/>
  <c r="H84" i="13"/>
  <c r="I84" i="13"/>
  <c r="T84" i="13" s="1"/>
  <c r="J84" i="13"/>
  <c r="U84" i="13" s="1"/>
  <c r="E84" i="9"/>
  <c r="Q84" i="13"/>
  <c r="A85" i="13"/>
  <c r="D85" i="13"/>
  <c r="F85" i="13"/>
  <c r="R85" i="13" s="1"/>
  <c r="G85" i="13"/>
  <c r="S85" i="13" s="1"/>
  <c r="H85" i="13"/>
  <c r="I85" i="13"/>
  <c r="T85" i="13" s="1"/>
  <c r="J85" i="13"/>
  <c r="U85" i="13" s="1"/>
  <c r="E85" i="9"/>
  <c r="Q85" i="13"/>
  <c r="B91" i="12"/>
  <c r="B91" i="10" s="1"/>
  <c r="C91" i="29"/>
  <c r="C81" i="29"/>
  <c r="C82" i="29"/>
  <c r="C83" i="29"/>
  <c r="C84" i="29"/>
  <c r="C85" i="29"/>
  <c r="C86" i="29"/>
  <c r="C87" i="29"/>
  <c r="C88" i="29"/>
  <c r="C89" i="29"/>
  <c r="C90"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80" i="29"/>
  <c r="B84" i="12"/>
  <c r="B85" i="12"/>
  <c r="B85" i="10" s="1"/>
  <c r="B86" i="12"/>
  <c r="B86" i="10" s="1"/>
  <c r="B90" i="12"/>
  <c r="B90" i="10" s="1"/>
  <c r="B92" i="12"/>
  <c r="B92" i="10" s="1"/>
  <c r="B93" i="12"/>
  <c r="B94" i="12"/>
  <c r="B95" i="12"/>
  <c r="B95" i="10" s="1"/>
  <c r="B98" i="12"/>
  <c r="B80" i="29"/>
  <c r="C30" i="29"/>
  <c r="C31" i="29"/>
  <c r="C32" i="29"/>
  <c r="C33" i="29"/>
  <c r="C34" i="29"/>
  <c r="C35" i="29"/>
  <c r="C36" i="29"/>
  <c r="C37" i="29"/>
  <c r="C38" i="29"/>
  <c r="C39" i="29"/>
  <c r="C40" i="29"/>
  <c r="C41" i="29"/>
  <c r="C42" i="29"/>
  <c r="C43" i="29"/>
  <c r="C44" i="29"/>
  <c r="C45" i="29"/>
  <c r="C46" i="29"/>
  <c r="C47" i="29"/>
  <c r="C48"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29" i="29"/>
  <c r="B50" i="29"/>
  <c r="B50" i="12" s="1"/>
  <c r="B51" i="29"/>
  <c r="B51" i="12" s="1"/>
  <c r="B52" i="29"/>
  <c r="B52" i="12" s="1"/>
  <c r="B53" i="29"/>
  <c r="B53" i="12" s="1"/>
  <c r="B54" i="29"/>
  <c r="B54" i="12" s="1"/>
  <c r="B55" i="29"/>
  <c r="B55" i="12" s="1"/>
  <c r="B56" i="29"/>
  <c r="B56" i="12" s="1"/>
  <c r="B57" i="29"/>
  <c r="B57" i="12" s="1"/>
  <c r="B58" i="29"/>
  <c r="B58" i="12" s="1"/>
  <c r="B59" i="29"/>
  <c r="B59" i="12" s="1"/>
  <c r="B60" i="29"/>
  <c r="B60" i="12" s="1"/>
  <c r="B61" i="29"/>
  <c r="B62" i="29"/>
  <c r="B63" i="29"/>
  <c r="B64" i="29"/>
  <c r="B65" i="29"/>
  <c r="B66" i="29"/>
  <c r="B67" i="29"/>
  <c r="B68" i="29"/>
  <c r="B69" i="29"/>
  <c r="B70" i="29"/>
  <c r="B70" i="12" s="1"/>
  <c r="B70" i="10" s="1"/>
  <c r="B71" i="29"/>
  <c r="B71" i="12" s="1"/>
  <c r="B72" i="29"/>
  <c r="B72" i="12" s="1"/>
  <c r="B72" i="10" s="1"/>
  <c r="B73" i="29"/>
  <c r="B73" i="12" s="1"/>
  <c r="B74" i="29"/>
  <c r="B74" i="12" s="1"/>
  <c r="B74" i="10" s="1"/>
  <c r="B75" i="29"/>
  <c r="B75" i="12" s="1"/>
  <c r="B76" i="29"/>
  <c r="B76" i="12" s="1"/>
  <c r="B77" i="29"/>
  <c r="B77" i="12" s="1"/>
  <c r="B77" i="10" s="1"/>
  <c r="B78" i="29"/>
  <c r="B78" i="12" s="1"/>
  <c r="B78" i="10" s="1"/>
  <c r="B84" i="38"/>
  <c r="B83" i="11" s="1"/>
  <c r="C83" i="1" s="1"/>
  <c r="C84" i="38"/>
  <c r="C82" i="38"/>
  <c r="C83" i="38"/>
  <c r="C85" i="38"/>
  <c r="C86" i="38"/>
  <c r="C87" i="38"/>
  <c r="C88" i="38"/>
  <c r="C89" i="38"/>
  <c r="C90" i="38"/>
  <c r="C91" i="38"/>
  <c r="C92" i="38"/>
  <c r="C93" i="38"/>
  <c r="C94" i="38"/>
  <c r="C95" i="38"/>
  <c r="C96" i="38"/>
  <c r="C97" i="38"/>
  <c r="C98" i="38"/>
  <c r="C99" i="38"/>
  <c r="C100" i="38"/>
  <c r="C101" i="38"/>
  <c r="C102" i="38"/>
  <c r="C103" i="38"/>
  <c r="C104" i="38"/>
  <c r="C105" i="38"/>
  <c r="C106" i="38"/>
  <c r="C107" i="38"/>
  <c r="C108" i="38"/>
  <c r="C109" i="38"/>
  <c r="C110" i="38"/>
  <c r="C111" i="38"/>
  <c r="C112" i="38"/>
  <c r="C113" i="38"/>
  <c r="C114" i="38"/>
  <c r="C115" i="38"/>
  <c r="C116" i="38"/>
  <c r="C117" i="38"/>
  <c r="C118" i="38"/>
  <c r="C119" i="38"/>
  <c r="C120" i="38"/>
  <c r="C121" i="38"/>
  <c r="C122" i="38"/>
  <c r="C123" i="38"/>
  <c r="C124" i="38"/>
  <c r="C125" i="38"/>
  <c r="C126" i="38"/>
  <c r="C127" i="38"/>
  <c r="C128" i="38"/>
  <c r="C129" i="38"/>
  <c r="C130" i="38"/>
  <c r="C81" i="38"/>
  <c r="B82" i="38"/>
  <c r="B83" i="38"/>
  <c r="B85" i="38"/>
  <c r="B86" i="38"/>
  <c r="B87" i="38"/>
  <c r="B88" i="38"/>
  <c r="B89" i="38"/>
  <c r="B90" i="38"/>
  <c r="B91" i="38"/>
  <c r="B92" i="38"/>
  <c r="B93" i="38"/>
  <c r="B94" i="38"/>
  <c r="B93" i="11" s="1"/>
  <c r="N93" i="11" s="1"/>
  <c r="K93" i="13" s="1"/>
  <c r="B95" i="38"/>
  <c r="B94" i="11" s="1"/>
  <c r="C94" i="1" s="1"/>
  <c r="B96" i="38"/>
  <c r="B97" i="38"/>
  <c r="B98" i="38"/>
  <c r="B99" i="38"/>
  <c r="B100" i="38"/>
  <c r="B101" i="38"/>
  <c r="B102" i="38"/>
  <c r="B103" i="38"/>
  <c r="B104" i="38"/>
  <c r="B105" i="38"/>
  <c r="B106" i="38"/>
  <c r="B107" i="38"/>
  <c r="B108" i="38"/>
  <c r="B109" i="38"/>
  <c r="B110" i="38"/>
  <c r="B111" i="38"/>
  <c r="B112" i="38"/>
  <c r="B113" i="38"/>
  <c r="B114" i="38"/>
  <c r="B115" i="38"/>
  <c r="B116" i="38"/>
  <c r="B117" i="38"/>
  <c r="B118" i="38"/>
  <c r="B119" i="38"/>
  <c r="B120" i="38"/>
  <c r="B121" i="38"/>
  <c r="B122" i="38"/>
  <c r="B123" i="38"/>
  <c r="B124" i="38"/>
  <c r="B125" i="38"/>
  <c r="B126" i="38"/>
  <c r="B127" i="38"/>
  <c r="B128" i="38"/>
  <c r="B129" i="38"/>
  <c r="B130" i="38"/>
  <c r="B81" i="38"/>
  <c r="C31" i="38"/>
  <c r="C32" i="38"/>
  <c r="C33" i="38"/>
  <c r="C34" i="38"/>
  <c r="C35" i="38"/>
  <c r="C36" i="38"/>
  <c r="C37" i="38"/>
  <c r="C38" i="38"/>
  <c r="C39" i="38"/>
  <c r="C40" i="38"/>
  <c r="C41" i="38"/>
  <c r="C42" i="38"/>
  <c r="C43" i="38"/>
  <c r="C44" i="38"/>
  <c r="C45" i="38"/>
  <c r="C46" i="38"/>
  <c r="C47" i="38"/>
  <c r="C48" i="38"/>
  <c r="C49" i="38"/>
  <c r="C50" i="38"/>
  <c r="C51" i="38"/>
  <c r="C52" i="38"/>
  <c r="C53" i="38"/>
  <c r="C54" i="38"/>
  <c r="C55" i="38"/>
  <c r="C56" i="38"/>
  <c r="C57" i="38"/>
  <c r="C58" i="38"/>
  <c r="C59" i="38"/>
  <c r="C60" i="38"/>
  <c r="C61" i="38"/>
  <c r="C62" i="38"/>
  <c r="C63" i="38"/>
  <c r="C64" i="38"/>
  <c r="C65" i="38"/>
  <c r="C66" i="38"/>
  <c r="C67" i="38"/>
  <c r="C68" i="38"/>
  <c r="C69" i="38"/>
  <c r="C70" i="38"/>
  <c r="C71" i="38"/>
  <c r="C72" i="38"/>
  <c r="C73" i="38"/>
  <c r="C74" i="38"/>
  <c r="C75" i="38"/>
  <c r="C76" i="38"/>
  <c r="C77" i="38"/>
  <c r="C78" i="38"/>
  <c r="C79" i="38"/>
  <c r="B31" i="38"/>
  <c r="B32" i="38"/>
  <c r="B33" i="38"/>
  <c r="B34" i="38"/>
  <c r="B35" i="38"/>
  <c r="B36" i="38"/>
  <c r="B37" i="38"/>
  <c r="B38" i="38"/>
  <c r="B39" i="38"/>
  <c r="B40" i="38"/>
  <c r="B41" i="38"/>
  <c r="B42" i="38"/>
  <c r="B43" i="38"/>
  <c r="B44" i="38"/>
  <c r="B45" i="38"/>
  <c r="B46" i="38"/>
  <c r="B47" i="38"/>
  <c r="B48" i="38"/>
  <c r="B49" i="38"/>
  <c r="B50" i="38"/>
  <c r="B51" i="38"/>
  <c r="B52" i="38"/>
  <c r="B53" i="38"/>
  <c r="B54" i="38"/>
  <c r="B55" i="38"/>
  <c r="B56" i="38"/>
  <c r="B57" i="38"/>
  <c r="B58" i="38"/>
  <c r="B59" i="38"/>
  <c r="B60" i="38"/>
  <c r="B61" i="38"/>
  <c r="B62" i="38"/>
  <c r="B63" i="38"/>
  <c r="B64" i="38"/>
  <c r="B65" i="38"/>
  <c r="B66" i="38"/>
  <c r="B67" i="38"/>
  <c r="B68" i="38"/>
  <c r="B69" i="38"/>
  <c r="B70" i="38"/>
  <c r="B71" i="38"/>
  <c r="B72" i="38"/>
  <c r="B73" i="38"/>
  <c r="B74" i="38"/>
  <c r="B75" i="38"/>
  <c r="B76" i="38"/>
  <c r="B77" i="38"/>
  <c r="B78" i="38"/>
  <c r="B79" i="38"/>
  <c r="B30" i="38"/>
  <c r="C30" i="38"/>
  <c r="A85" i="12"/>
  <c r="D85" i="12"/>
  <c r="G85" i="12"/>
  <c r="H85" i="12"/>
  <c r="I85" i="12"/>
  <c r="J85" i="12"/>
  <c r="K85" i="12"/>
  <c r="L85" i="12"/>
  <c r="A86" i="12"/>
  <c r="D86" i="12"/>
  <c r="G86" i="12"/>
  <c r="H86" i="12"/>
  <c r="I86" i="12"/>
  <c r="J86" i="12"/>
  <c r="K86" i="12"/>
  <c r="L86" i="12"/>
  <c r="A84" i="12"/>
  <c r="D84" i="12"/>
  <c r="G84" i="12"/>
  <c r="H84" i="12"/>
  <c r="I84" i="12"/>
  <c r="J84" i="12"/>
  <c r="K84" i="12"/>
  <c r="L84" i="12"/>
  <c r="A90" i="1"/>
  <c r="A91" i="1"/>
  <c r="A92" i="1"/>
  <c r="A93" i="11"/>
  <c r="D93" i="11"/>
  <c r="G93" i="11"/>
  <c r="H93" i="11"/>
  <c r="I93" i="11"/>
  <c r="J93" i="11"/>
  <c r="K93" i="11"/>
  <c r="L93" i="11"/>
  <c r="M93" i="11"/>
  <c r="F93" i="9"/>
  <c r="A94" i="11"/>
  <c r="D94" i="11"/>
  <c r="G94" i="11"/>
  <c r="H94" i="11"/>
  <c r="I94" i="11"/>
  <c r="J94" i="11"/>
  <c r="K94" i="11"/>
  <c r="L94" i="11"/>
  <c r="M94" i="11"/>
  <c r="B94" i="13"/>
  <c r="C94" i="13" s="1"/>
  <c r="A93" i="9"/>
  <c r="G93" i="9"/>
  <c r="A94" i="9"/>
  <c r="G94" i="9"/>
  <c r="A95" i="9"/>
  <c r="G95" i="9"/>
  <c r="D94" i="14"/>
  <c r="F94" i="14"/>
  <c r="S94" i="14" s="1"/>
  <c r="G94" i="14"/>
  <c r="T94" i="14" s="1"/>
  <c r="H94" i="14"/>
  <c r="I94" i="14"/>
  <c r="J94" i="14"/>
  <c r="U94" i="14" s="1"/>
  <c r="K94" i="14"/>
  <c r="V94" i="14" s="1"/>
  <c r="E95" i="10"/>
  <c r="R94" i="14"/>
  <c r="A93" i="12"/>
  <c r="D93" i="12"/>
  <c r="G93" i="12"/>
  <c r="H93" i="12"/>
  <c r="I93" i="12"/>
  <c r="J93" i="12"/>
  <c r="K93" i="12"/>
  <c r="L93" i="12"/>
  <c r="B92" i="14"/>
  <c r="C92" i="14" s="1"/>
  <c r="A94" i="12"/>
  <c r="D94" i="12"/>
  <c r="G94" i="12"/>
  <c r="H94" i="12"/>
  <c r="I94" i="12"/>
  <c r="J94" i="12"/>
  <c r="K94" i="12"/>
  <c r="L94" i="12"/>
  <c r="B93" i="14"/>
  <c r="C93" i="14" s="1"/>
  <c r="A95" i="12"/>
  <c r="D95" i="12"/>
  <c r="G95" i="12"/>
  <c r="H95" i="12"/>
  <c r="I95" i="12"/>
  <c r="J95" i="12"/>
  <c r="K95" i="12"/>
  <c r="L95" i="12"/>
  <c r="B94" i="14"/>
  <c r="C94" i="14" s="1"/>
  <c r="A93" i="13"/>
  <c r="D93" i="13"/>
  <c r="F93" i="13"/>
  <c r="R93" i="13" s="1"/>
  <c r="G93" i="13"/>
  <c r="S93" i="13" s="1"/>
  <c r="H93" i="13"/>
  <c r="I93" i="13"/>
  <c r="T93" i="13" s="1"/>
  <c r="J93" i="13"/>
  <c r="U93" i="13" s="1"/>
  <c r="E93" i="9"/>
  <c r="Q93" i="13"/>
  <c r="A94" i="13"/>
  <c r="D94" i="13"/>
  <c r="F94" i="13"/>
  <c r="R94" i="13" s="1"/>
  <c r="G94" i="13"/>
  <c r="H94" i="13"/>
  <c r="I94" i="13"/>
  <c r="T94" i="13" s="1"/>
  <c r="J94" i="13"/>
  <c r="U94" i="13" s="1"/>
  <c r="E94" i="9"/>
  <c r="Q94" i="13"/>
  <c r="A57" i="41"/>
  <c r="A58" i="41"/>
  <c r="A59" i="41"/>
  <c r="A60" i="41"/>
  <c r="A61" i="41"/>
  <c r="A62" i="41"/>
  <c r="A63" i="41"/>
  <c r="A64" i="41"/>
  <c r="A65" i="41"/>
  <c r="A66" i="41"/>
  <c r="A67" i="41"/>
  <c r="A68" i="41"/>
  <c r="A69" i="41"/>
  <c r="A70" i="41"/>
  <c r="A71" i="41"/>
  <c r="A72" i="41"/>
  <c r="A73" i="41"/>
  <c r="A74" i="41"/>
  <c r="A75" i="41"/>
  <c r="A76" i="41"/>
  <c r="A77" i="41"/>
  <c r="A78" i="41"/>
  <c r="A39" i="41"/>
  <c r="A40" i="41"/>
  <c r="A41" i="41"/>
  <c r="A42" i="41"/>
  <c r="A43" i="41"/>
  <c r="A44" i="41"/>
  <c r="A45" i="41"/>
  <c r="A46" i="41"/>
  <c r="A47" i="41"/>
  <c r="A48" i="41"/>
  <c r="A49" i="41"/>
  <c r="A50" i="41"/>
  <c r="A51" i="41"/>
  <c r="A52" i="41"/>
  <c r="A53" i="41"/>
  <c r="A54" i="41"/>
  <c r="A55" i="41"/>
  <c r="A56" i="41"/>
  <c r="A81" i="41"/>
  <c r="A82" i="41"/>
  <c r="A83" i="41"/>
  <c r="A84" i="41"/>
  <c r="A85" i="41"/>
  <c r="A86" i="41"/>
  <c r="A87" i="41"/>
  <c r="A88" i="41"/>
  <c r="A89" i="41"/>
  <c r="A90" i="41"/>
  <c r="A94" i="41"/>
  <c r="A95" i="41"/>
  <c r="A96" i="41"/>
  <c r="A97" i="41"/>
  <c r="A98" i="41"/>
  <c r="A99" i="41"/>
  <c r="A100" i="41"/>
  <c r="A101" i="41"/>
  <c r="A102" i="41"/>
  <c r="A103" i="41"/>
  <c r="A104" i="41"/>
  <c r="A105" i="41"/>
  <c r="A106" i="41"/>
  <c r="A107" i="41"/>
  <c r="A108" i="41"/>
  <c r="A109" i="41"/>
  <c r="A110" i="41"/>
  <c r="A111" i="41"/>
  <c r="A112" i="41"/>
  <c r="A113" i="41"/>
  <c r="A114" i="41"/>
  <c r="A115" i="41"/>
  <c r="A116" i="41"/>
  <c r="A117" i="41"/>
  <c r="A118" i="41"/>
  <c r="A119" i="41"/>
  <c r="A120" i="41"/>
  <c r="A121" i="41"/>
  <c r="A122" i="41"/>
  <c r="A123" i="41"/>
  <c r="A124" i="41"/>
  <c r="A125" i="41"/>
  <c r="A126" i="41"/>
  <c r="A127" i="41"/>
  <c r="A128" i="41"/>
  <c r="A129" i="41"/>
  <c r="A81" i="1"/>
  <c r="A82" i="1"/>
  <c r="A85" i="1"/>
  <c r="A86" i="1"/>
  <c r="A87" i="1"/>
  <c r="A88" i="1"/>
  <c r="A89"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73" i="1"/>
  <c r="A74" i="1"/>
  <c r="A75" i="1"/>
  <c r="A76" i="1"/>
  <c r="A77" i="1"/>
  <c r="A78" i="1"/>
  <c r="A59" i="1"/>
  <c r="A60" i="1"/>
  <c r="A61" i="1"/>
  <c r="A62" i="1"/>
  <c r="A63" i="1"/>
  <c r="A64" i="1"/>
  <c r="A65" i="1"/>
  <c r="A66" i="1"/>
  <c r="A67" i="1"/>
  <c r="A68" i="1"/>
  <c r="A69" i="1"/>
  <c r="A70" i="1"/>
  <c r="A71" i="1"/>
  <c r="A72" i="1"/>
  <c r="A70" i="10"/>
  <c r="G70" i="10"/>
  <c r="A71" i="10"/>
  <c r="G71" i="10"/>
  <c r="A72" i="10"/>
  <c r="G72" i="10"/>
  <c r="A73" i="10"/>
  <c r="G73" i="10"/>
  <c r="A74" i="10"/>
  <c r="G74" i="10"/>
  <c r="A75" i="10"/>
  <c r="G75" i="10"/>
  <c r="A76" i="10"/>
  <c r="G76" i="10"/>
  <c r="A77" i="10"/>
  <c r="G77" i="10"/>
  <c r="A78" i="10"/>
  <c r="G78" i="10"/>
  <c r="A95" i="10"/>
  <c r="G95" i="10"/>
  <c r="A96" i="10"/>
  <c r="G96" i="10"/>
  <c r="A97" i="10"/>
  <c r="G97" i="10"/>
  <c r="A98" i="10"/>
  <c r="G98" i="10"/>
  <c r="A99" i="10"/>
  <c r="G99" i="10"/>
  <c r="A100" i="10"/>
  <c r="G100" i="10"/>
  <c r="A101" i="10"/>
  <c r="G101" i="10"/>
  <c r="A102" i="10"/>
  <c r="G102" i="10"/>
  <c r="A103" i="10"/>
  <c r="G103" i="10"/>
  <c r="A104" i="10"/>
  <c r="G104" i="10"/>
  <c r="A105" i="10"/>
  <c r="G105" i="10"/>
  <c r="A106" i="10"/>
  <c r="G106" i="10"/>
  <c r="A107" i="10"/>
  <c r="G107" i="10"/>
  <c r="A108" i="10"/>
  <c r="G108" i="10"/>
  <c r="A109" i="10"/>
  <c r="G109" i="10"/>
  <c r="A110" i="10"/>
  <c r="G110" i="10"/>
  <c r="A111" i="10"/>
  <c r="G111" i="10"/>
  <c r="A112" i="10"/>
  <c r="G112" i="10"/>
  <c r="A113" i="10"/>
  <c r="G113" i="10"/>
  <c r="A114" i="10"/>
  <c r="G114" i="10"/>
  <c r="A115" i="10"/>
  <c r="G115" i="10"/>
  <c r="A116" i="10"/>
  <c r="G116" i="10"/>
  <c r="A117" i="10"/>
  <c r="G117" i="10"/>
  <c r="A118" i="10"/>
  <c r="G118" i="10"/>
  <c r="A119" i="10"/>
  <c r="G119" i="10"/>
  <c r="A120" i="10"/>
  <c r="G120" i="10"/>
  <c r="A121" i="10"/>
  <c r="G121" i="10"/>
  <c r="A122" i="10"/>
  <c r="G122" i="10"/>
  <c r="A123" i="10"/>
  <c r="G123" i="10"/>
  <c r="A124" i="10"/>
  <c r="G124" i="10"/>
  <c r="A125" i="10"/>
  <c r="G125" i="10"/>
  <c r="A126" i="10"/>
  <c r="G126" i="10"/>
  <c r="A127" i="10"/>
  <c r="G127" i="10"/>
  <c r="A128" i="10"/>
  <c r="G128" i="10"/>
  <c r="A129" i="10"/>
  <c r="G129" i="10"/>
  <c r="A75" i="9"/>
  <c r="G75" i="9"/>
  <c r="A76" i="9"/>
  <c r="G76" i="9"/>
  <c r="A77" i="9"/>
  <c r="G77" i="9"/>
  <c r="A78" i="9"/>
  <c r="G78" i="9"/>
  <c r="A58" i="9"/>
  <c r="G58" i="9"/>
  <c r="A59" i="9"/>
  <c r="G59" i="9"/>
  <c r="A60" i="9"/>
  <c r="G60" i="9"/>
  <c r="A61" i="9"/>
  <c r="G61" i="9"/>
  <c r="A62" i="9"/>
  <c r="G62" i="9"/>
  <c r="A63" i="9"/>
  <c r="G63" i="9"/>
  <c r="A64" i="9"/>
  <c r="G64" i="9"/>
  <c r="A65" i="9"/>
  <c r="G65" i="9"/>
  <c r="A66" i="9"/>
  <c r="G66" i="9"/>
  <c r="A67" i="9"/>
  <c r="G67" i="9"/>
  <c r="A68" i="9"/>
  <c r="G68" i="9"/>
  <c r="A69" i="9"/>
  <c r="G69" i="9"/>
  <c r="A70" i="9"/>
  <c r="G70" i="9"/>
  <c r="A71" i="9"/>
  <c r="G71" i="9"/>
  <c r="A72" i="9"/>
  <c r="G72" i="9"/>
  <c r="A73" i="9"/>
  <c r="G73" i="9"/>
  <c r="A74" i="9"/>
  <c r="G74" i="9"/>
  <c r="E90"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70" i="10"/>
  <c r="E71" i="10"/>
  <c r="E72" i="10"/>
  <c r="E73" i="10"/>
  <c r="E74" i="10"/>
  <c r="E75" i="10"/>
  <c r="E76" i="10"/>
  <c r="E77" i="10"/>
  <c r="E78" i="10"/>
  <c r="E81" i="9"/>
  <c r="E82" i="9"/>
  <c r="E86" i="9"/>
  <c r="E87" i="9"/>
  <c r="E88" i="9"/>
  <c r="E89" i="9"/>
  <c r="E90" i="9"/>
  <c r="E91" i="9"/>
  <c r="E92"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A59" i="13"/>
  <c r="D59" i="13"/>
  <c r="F59" i="13"/>
  <c r="R59" i="13" s="1"/>
  <c r="G59" i="13"/>
  <c r="S59" i="13" s="1"/>
  <c r="H59" i="13"/>
  <c r="I59" i="13"/>
  <c r="T59" i="13" s="1"/>
  <c r="J59" i="13"/>
  <c r="U59" i="13" s="1"/>
  <c r="E59" i="9"/>
  <c r="Q59" i="13"/>
  <c r="A60" i="13"/>
  <c r="D60" i="13"/>
  <c r="F60" i="13"/>
  <c r="G60" i="13"/>
  <c r="S60" i="13" s="1"/>
  <c r="H60" i="13"/>
  <c r="I60" i="13"/>
  <c r="T60" i="13" s="1"/>
  <c r="J60" i="13"/>
  <c r="U60" i="13" s="1"/>
  <c r="E60" i="9"/>
  <c r="Q60" i="13"/>
  <c r="A61" i="13"/>
  <c r="D61" i="13"/>
  <c r="F61" i="13"/>
  <c r="R61" i="13" s="1"/>
  <c r="G61" i="13"/>
  <c r="S61" i="13" s="1"/>
  <c r="H61" i="13"/>
  <c r="I61" i="13"/>
  <c r="T61" i="13" s="1"/>
  <c r="J61" i="13"/>
  <c r="U61" i="13" s="1"/>
  <c r="E61" i="9"/>
  <c r="Q61" i="13"/>
  <c r="A62" i="13"/>
  <c r="D62" i="13"/>
  <c r="F62" i="13"/>
  <c r="R62" i="13" s="1"/>
  <c r="G62" i="13"/>
  <c r="S62" i="13" s="1"/>
  <c r="H62" i="13"/>
  <c r="I62" i="13"/>
  <c r="T62" i="13" s="1"/>
  <c r="J62" i="13"/>
  <c r="U62" i="13" s="1"/>
  <c r="E62" i="9"/>
  <c r="Q62" i="13"/>
  <c r="A63" i="13"/>
  <c r="D63" i="13"/>
  <c r="F63" i="13"/>
  <c r="R63" i="13" s="1"/>
  <c r="G63" i="13"/>
  <c r="H63" i="13"/>
  <c r="I63" i="13"/>
  <c r="T63" i="13" s="1"/>
  <c r="J63" i="13"/>
  <c r="U63" i="13" s="1"/>
  <c r="E63" i="9"/>
  <c r="Q63" i="13"/>
  <c r="A64" i="13"/>
  <c r="D64" i="13"/>
  <c r="F64" i="13"/>
  <c r="R64" i="13" s="1"/>
  <c r="G64" i="13"/>
  <c r="S64" i="13" s="1"/>
  <c r="H64" i="13"/>
  <c r="I64" i="13"/>
  <c r="T64" i="13" s="1"/>
  <c r="J64" i="13"/>
  <c r="U64" i="13" s="1"/>
  <c r="E64" i="9"/>
  <c r="Q64" i="13"/>
  <c r="A65" i="13"/>
  <c r="D65" i="13"/>
  <c r="F65" i="13"/>
  <c r="R65" i="13" s="1"/>
  <c r="G65" i="13"/>
  <c r="S65" i="13" s="1"/>
  <c r="H65" i="13"/>
  <c r="I65" i="13"/>
  <c r="T65" i="13" s="1"/>
  <c r="J65" i="13"/>
  <c r="U65" i="13" s="1"/>
  <c r="E65" i="9"/>
  <c r="Q65" i="13"/>
  <c r="A66" i="13"/>
  <c r="D66" i="13"/>
  <c r="F66" i="13"/>
  <c r="R66" i="13" s="1"/>
  <c r="G66" i="13"/>
  <c r="S66" i="13" s="1"/>
  <c r="H66" i="13"/>
  <c r="I66" i="13"/>
  <c r="T66" i="13" s="1"/>
  <c r="J66" i="13"/>
  <c r="U66" i="13" s="1"/>
  <c r="E66" i="9"/>
  <c r="Q66" i="13"/>
  <c r="A67" i="13"/>
  <c r="D67" i="13"/>
  <c r="F67" i="13"/>
  <c r="R67" i="13" s="1"/>
  <c r="G67" i="13"/>
  <c r="S67" i="13" s="1"/>
  <c r="H67" i="13"/>
  <c r="I67" i="13"/>
  <c r="T67" i="13" s="1"/>
  <c r="J67" i="13"/>
  <c r="U67" i="13" s="1"/>
  <c r="E67" i="9"/>
  <c r="Q67" i="13"/>
  <c r="A68" i="13"/>
  <c r="D68" i="13"/>
  <c r="F68" i="13"/>
  <c r="G68" i="13"/>
  <c r="S68" i="13" s="1"/>
  <c r="H68" i="13"/>
  <c r="I68" i="13"/>
  <c r="T68" i="13" s="1"/>
  <c r="J68" i="13"/>
  <c r="U68" i="13" s="1"/>
  <c r="E68" i="9"/>
  <c r="Q68" i="13"/>
  <c r="A69" i="13"/>
  <c r="D69" i="13"/>
  <c r="F69" i="13"/>
  <c r="R69" i="13" s="1"/>
  <c r="G69" i="13"/>
  <c r="S69" i="13" s="1"/>
  <c r="H69" i="13"/>
  <c r="I69" i="13"/>
  <c r="T69" i="13" s="1"/>
  <c r="J69" i="13"/>
  <c r="U69" i="13" s="1"/>
  <c r="E69" i="9"/>
  <c r="Q69" i="13"/>
  <c r="A70" i="13"/>
  <c r="D70" i="13"/>
  <c r="F70" i="13"/>
  <c r="R70" i="13" s="1"/>
  <c r="G70" i="13"/>
  <c r="S70" i="13" s="1"/>
  <c r="H70" i="13"/>
  <c r="I70" i="13"/>
  <c r="T70" i="13" s="1"/>
  <c r="J70" i="13"/>
  <c r="U70" i="13" s="1"/>
  <c r="E70" i="9"/>
  <c r="Q70" i="13"/>
  <c r="A71" i="13"/>
  <c r="D71" i="13"/>
  <c r="F71" i="13"/>
  <c r="R71" i="13" s="1"/>
  <c r="G71" i="13"/>
  <c r="H71" i="13"/>
  <c r="I71" i="13"/>
  <c r="T71" i="13" s="1"/>
  <c r="J71" i="13"/>
  <c r="U71" i="13" s="1"/>
  <c r="E71" i="9"/>
  <c r="Q71" i="13"/>
  <c r="A72" i="13"/>
  <c r="D72" i="13"/>
  <c r="F72" i="13"/>
  <c r="G72" i="13"/>
  <c r="S72" i="13" s="1"/>
  <c r="H72" i="13"/>
  <c r="I72" i="13"/>
  <c r="T72" i="13" s="1"/>
  <c r="J72" i="13"/>
  <c r="U72" i="13" s="1"/>
  <c r="E72" i="9"/>
  <c r="Q72" i="13"/>
  <c r="A73" i="13"/>
  <c r="D73" i="13"/>
  <c r="F73" i="13"/>
  <c r="R73" i="13" s="1"/>
  <c r="G73" i="13"/>
  <c r="S73" i="13" s="1"/>
  <c r="H73" i="13"/>
  <c r="I73" i="13"/>
  <c r="T73" i="13" s="1"/>
  <c r="J73" i="13"/>
  <c r="U73" i="13" s="1"/>
  <c r="E73" i="9"/>
  <c r="Q73" i="13"/>
  <c r="A74" i="13"/>
  <c r="D74" i="13"/>
  <c r="F74" i="13"/>
  <c r="R74" i="13" s="1"/>
  <c r="G74" i="13"/>
  <c r="S74" i="13" s="1"/>
  <c r="H74" i="13"/>
  <c r="I74" i="13"/>
  <c r="J74" i="13"/>
  <c r="U74" i="13" s="1"/>
  <c r="E74" i="9"/>
  <c r="Q74" i="13"/>
  <c r="A75" i="13"/>
  <c r="D75" i="13"/>
  <c r="F75" i="13"/>
  <c r="R75" i="13" s="1"/>
  <c r="G75" i="13"/>
  <c r="H75" i="13"/>
  <c r="I75" i="13"/>
  <c r="T75" i="13" s="1"/>
  <c r="J75" i="13"/>
  <c r="U75" i="13" s="1"/>
  <c r="E75" i="9"/>
  <c r="Q75" i="13"/>
  <c r="A76" i="13"/>
  <c r="D76" i="13"/>
  <c r="F76" i="13"/>
  <c r="G76" i="13"/>
  <c r="S76" i="13" s="1"/>
  <c r="H76" i="13"/>
  <c r="I76" i="13"/>
  <c r="T76" i="13" s="1"/>
  <c r="J76" i="13"/>
  <c r="U76" i="13" s="1"/>
  <c r="E76" i="9"/>
  <c r="Q76" i="13"/>
  <c r="A77" i="13"/>
  <c r="D77" i="13"/>
  <c r="F77" i="13"/>
  <c r="R77" i="13" s="1"/>
  <c r="G77" i="13"/>
  <c r="S77" i="13" s="1"/>
  <c r="H77" i="13"/>
  <c r="I77" i="13"/>
  <c r="T77" i="13" s="1"/>
  <c r="J77" i="13"/>
  <c r="U77" i="13" s="1"/>
  <c r="E77" i="9"/>
  <c r="Q77" i="13"/>
  <c r="A78" i="13"/>
  <c r="D78" i="13"/>
  <c r="F78" i="13"/>
  <c r="R78" i="13" s="1"/>
  <c r="G78" i="13"/>
  <c r="S78" i="13" s="1"/>
  <c r="H78" i="13"/>
  <c r="I78" i="13"/>
  <c r="T78" i="13" s="1"/>
  <c r="J78" i="13"/>
  <c r="U78" i="13" s="1"/>
  <c r="E78" i="9"/>
  <c r="Q78" i="13"/>
  <c r="E58" i="9"/>
  <c r="B89" i="14"/>
  <c r="C89" i="14" s="1"/>
  <c r="B95" i="14"/>
  <c r="C95" i="14" s="1"/>
  <c r="B96" i="14"/>
  <c r="C96" i="14" s="1"/>
  <c r="B98" i="14"/>
  <c r="C98" i="14" s="1"/>
  <c r="B99" i="14"/>
  <c r="C99" i="14" s="1"/>
  <c r="F101" i="10"/>
  <c r="F103" i="10"/>
  <c r="B103" i="14"/>
  <c r="C103" i="14" s="1"/>
  <c r="F105" i="10"/>
  <c r="B106" i="14"/>
  <c r="C106" i="14" s="1"/>
  <c r="F108" i="10"/>
  <c r="F109" i="10"/>
  <c r="F110" i="10"/>
  <c r="F111" i="10"/>
  <c r="F112" i="10"/>
  <c r="F113" i="10"/>
  <c r="F115" i="10"/>
  <c r="F116" i="10"/>
  <c r="F117" i="10"/>
  <c r="B118" i="14"/>
  <c r="C118" i="14" s="1"/>
  <c r="F120" i="10"/>
  <c r="F121" i="10"/>
  <c r="F122" i="10"/>
  <c r="F123" i="10"/>
  <c r="B123" i="14"/>
  <c r="C123" i="14" s="1"/>
  <c r="B126" i="14"/>
  <c r="C126" i="14" s="1"/>
  <c r="B127" i="14"/>
  <c r="C127" i="14" s="1"/>
  <c r="B62" i="14"/>
  <c r="C62" i="14" s="1"/>
  <c r="B63" i="14"/>
  <c r="C63" i="14" s="1"/>
  <c r="B64" i="14"/>
  <c r="C64" i="14" s="1"/>
  <c r="B65" i="14"/>
  <c r="C65" i="14" s="1"/>
  <c r="B66" i="14"/>
  <c r="C66" i="14" s="1"/>
  <c r="B67" i="14"/>
  <c r="C67" i="14" s="1"/>
  <c r="B68" i="14"/>
  <c r="C68" i="14" s="1"/>
  <c r="B69" i="14"/>
  <c r="C69" i="14" s="1"/>
  <c r="B73" i="14"/>
  <c r="C73" i="14" s="1"/>
  <c r="B75" i="14"/>
  <c r="C75" i="14" s="1"/>
  <c r="AE33" i="14"/>
  <c r="AK33" i="14" s="1"/>
  <c r="AE34" i="14"/>
  <c r="AK34" i="14" s="1"/>
  <c r="AE35" i="14"/>
  <c r="AK35" i="14" s="1"/>
  <c r="AE36" i="14"/>
  <c r="AK36" i="14" s="1"/>
  <c r="AE37" i="14"/>
  <c r="AK37" i="14" s="1"/>
  <c r="AE38" i="14"/>
  <c r="AK38" i="14" s="1"/>
  <c r="AE39" i="14"/>
  <c r="AK39" i="14" s="1"/>
  <c r="AE40" i="14"/>
  <c r="AK40" i="14" s="1"/>
  <c r="AE41" i="14"/>
  <c r="AK41" i="14" s="1"/>
  <c r="AE42" i="14"/>
  <c r="AK42" i="14" s="1"/>
  <c r="AE43" i="14"/>
  <c r="AK43" i="14" s="1"/>
  <c r="AE83" i="14"/>
  <c r="AE84" i="14"/>
  <c r="AK84" i="14" s="1"/>
  <c r="AE85" i="14"/>
  <c r="AE86" i="14"/>
  <c r="AK86" i="14" s="1"/>
  <c r="AE87" i="14"/>
  <c r="AE88" i="14"/>
  <c r="AK88" i="14" s="1"/>
  <c r="AE89" i="14"/>
  <c r="AE90" i="14"/>
  <c r="AK90" i="14" s="1"/>
  <c r="AE91" i="14"/>
  <c r="AE92" i="14"/>
  <c r="AK92" i="14" s="1"/>
  <c r="AE93" i="14"/>
  <c r="AE94" i="14"/>
  <c r="AK94" i="14" s="1"/>
  <c r="AE95" i="14"/>
  <c r="AE96" i="14"/>
  <c r="AK96" i="14" s="1"/>
  <c r="AE97" i="14"/>
  <c r="AE98" i="14"/>
  <c r="AK98" i="14" s="1"/>
  <c r="AE99" i="14"/>
  <c r="AE100" i="14"/>
  <c r="AK100" i="14" s="1"/>
  <c r="AE101" i="14"/>
  <c r="AE102" i="14"/>
  <c r="AK102" i="14" s="1"/>
  <c r="AE103" i="14"/>
  <c r="AE104" i="14"/>
  <c r="AK104" i="14" s="1"/>
  <c r="AE105" i="14"/>
  <c r="AE106" i="14"/>
  <c r="AK106" i="14" s="1"/>
  <c r="AE107" i="14"/>
  <c r="AE108" i="14"/>
  <c r="AK108" i="14" s="1"/>
  <c r="AE109" i="14"/>
  <c r="AE110" i="14"/>
  <c r="AK110" i="14" s="1"/>
  <c r="AE111" i="14"/>
  <c r="AE112" i="14"/>
  <c r="AK112" i="14" s="1"/>
  <c r="AE113" i="14"/>
  <c r="AE114" i="14"/>
  <c r="AK114" i="14" s="1"/>
  <c r="AE115" i="14"/>
  <c r="AE116" i="14"/>
  <c r="AK116" i="14" s="1"/>
  <c r="AE117" i="14"/>
  <c r="AE118" i="14"/>
  <c r="AK118" i="14" s="1"/>
  <c r="AE119" i="14"/>
  <c r="AE120" i="14"/>
  <c r="AK120" i="14" s="1"/>
  <c r="AE121" i="14"/>
  <c r="AE122" i="14"/>
  <c r="AK122" i="14" s="1"/>
  <c r="AE123" i="14"/>
  <c r="AE124" i="14"/>
  <c r="AK124" i="14" s="1"/>
  <c r="AE125" i="14"/>
  <c r="AE126" i="14"/>
  <c r="AK126" i="14" s="1"/>
  <c r="AE127" i="14"/>
  <c r="AE128" i="14"/>
  <c r="AK128" i="14" s="1"/>
  <c r="AE69" i="14"/>
  <c r="AK69" i="14" s="1"/>
  <c r="AE70" i="14"/>
  <c r="AK70" i="14" s="1"/>
  <c r="AE71" i="14"/>
  <c r="AK71" i="14" s="1"/>
  <c r="AE72" i="14"/>
  <c r="AK72" i="14" s="1"/>
  <c r="AE73" i="14"/>
  <c r="AK73" i="14" s="1"/>
  <c r="AE74" i="14"/>
  <c r="AK74" i="14" s="1"/>
  <c r="AE75" i="14"/>
  <c r="AK75" i="14" s="1"/>
  <c r="AE76" i="14"/>
  <c r="AK76" i="14" s="1"/>
  <c r="AE77" i="14"/>
  <c r="AK77" i="14" s="1"/>
  <c r="D89" i="14"/>
  <c r="F89" i="14"/>
  <c r="S89" i="14" s="1"/>
  <c r="G89" i="14"/>
  <c r="T89" i="14" s="1"/>
  <c r="H89" i="14"/>
  <c r="I89" i="14"/>
  <c r="J89" i="14"/>
  <c r="U89" i="14" s="1"/>
  <c r="K89" i="14"/>
  <c r="V89" i="14" s="1"/>
  <c r="R89" i="14"/>
  <c r="D95" i="14"/>
  <c r="F95" i="14"/>
  <c r="G95" i="14"/>
  <c r="T95" i="14" s="1"/>
  <c r="H95" i="14"/>
  <c r="I95" i="14"/>
  <c r="J95" i="14"/>
  <c r="U95" i="14" s="1"/>
  <c r="K95" i="14"/>
  <c r="V95" i="14" s="1"/>
  <c r="R95" i="14"/>
  <c r="D96" i="14"/>
  <c r="F96" i="14"/>
  <c r="G96" i="14"/>
  <c r="T96" i="14" s="1"/>
  <c r="H96" i="14"/>
  <c r="I96" i="14"/>
  <c r="J96" i="14"/>
  <c r="U96" i="14" s="1"/>
  <c r="K96" i="14"/>
  <c r="V96" i="14" s="1"/>
  <c r="R96" i="14"/>
  <c r="D97" i="14"/>
  <c r="F97" i="14"/>
  <c r="S97" i="14" s="1"/>
  <c r="G97" i="14"/>
  <c r="T97" i="14" s="1"/>
  <c r="H97" i="14"/>
  <c r="I97" i="14"/>
  <c r="J97" i="14"/>
  <c r="U97" i="14" s="1"/>
  <c r="K97" i="14"/>
  <c r="V97" i="14" s="1"/>
  <c r="R97" i="14"/>
  <c r="D98" i="14"/>
  <c r="F98" i="14"/>
  <c r="S98" i="14" s="1"/>
  <c r="G98" i="14"/>
  <c r="T98" i="14" s="1"/>
  <c r="H98" i="14"/>
  <c r="I98" i="14"/>
  <c r="J98" i="14"/>
  <c r="U98" i="14" s="1"/>
  <c r="K98" i="14"/>
  <c r="V98" i="14" s="1"/>
  <c r="R98" i="14"/>
  <c r="D99" i="14"/>
  <c r="F99" i="14"/>
  <c r="S99" i="14" s="1"/>
  <c r="G99" i="14"/>
  <c r="T99" i="14" s="1"/>
  <c r="H99" i="14"/>
  <c r="I99" i="14"/>
  <c r="J99" i="14"/>
  <c r="U99" i="14" s="1"/>
  <c r="K99" i="14"/>
  <c r="V99" i="14" s="1"/>
  <c r="R99" i="14"/>
  <c r="D100" i="14"/>
  <c r="F100" i="14"/>
  <c r="G100" i="14"/>
  <c r="T100" i="14" s="1"/>
  <c r="H100" i="14"/>
  <c r="I100" i="14"/>
  <c r="J100" i="14"/>
  <c r="U100" i="14" s="1"/>
  <c r="K100" i="14"/>
  <c r="V100" i="14" s="1"/>
  <c r="R100" i="14"/>
  <c r="D101" i="14"/>
  <c r="F101" i="14"/>
  <c r="S101" i="14" s="1"/>
  <c r="G101" i="14"/>
  <c r="T101" i="14" s="1"/>
  <c r="H101" i="14"/>
  <c r="I101" i="14"/>
  <c r="J101" i="14"/>
  <c r="U101" i="14" s="1"/>
  <c r="K101" i="14"/>
  <c r="V101" i="14" s="1"/>
  <c r="R101" i="14"/>
  <c r="D102" i="14"/>
  <c r="F102" i="14"/>
  <c r="S102" i="14" s="1"/>
  <c r="G102" i="14"/>
  <c r="T102" i="14" s="1"/>
  <c r="H102" i="14"/>
  <c r="I102" i="14"/>
  <c r="J102" i="14"/>
  <c r="U102" i="14" s="1"/>
  <c r="K102" i="14"/>
  <c r="V102" i="14" s="1"/>
  <c r="R102" i="14"/>
  <c r="D103" i="14"/>
  <c r="F103" i="14"/>
  <c r="S103" i="14" s="1"/>
  <c r="G103" i="14"/>
  <c r="T103" i="14" s="1"/>
  <c r="H103" i="14"/>
  <c r="I103" i="14"/>
  <c r="J103" i="14"/>
  <c r="U103" i="14" s="1"/>
  <c r="K103" i="14"/>
  <c r="V103" i="14" s="1"/>
  <c r="R103" i="14"/>
  <c r="D104" i="14"/>
  <c r="F104" i="14"/>
  <c r="S104" i="14" s="1"/>
  <c r="G104" i="14"/>
  <c r="T104" i="14" s="1"/>
  <c r="H104" i="14"/>
  <c r="I104" i="14"/>
  <c r="J104" i="14"/>
  <c r="U104" i="14" s="1"/>
  <c r="K104" i="14"/>
  <c r="V104" i="14" s="1"/>
  <c r="R104" i="14"/>
  <c r="D105" i="14"/>
  <c r="F105" i="14"/>
  <c r="S105" i="14" s="1"/>
  <c r="G105" i="14"/>
  <c r="T105" i="14" s="1"/>
  <c r="H105" i="14"/>
  <c r="I105" i="14"/>
  <c r="J105" i="14"/>
  <c r="U105" i="14" s="1"/>
  <c r="K105" i="14"/>
  <c r="V105" i="14" s="1"/>
  <c r="R105" i="14"/>
  <c r="D106" i="14"/>
  <c r="F106" i="14"/>
  <c r="S106" i="14" s="1"/>
  <c r="G106" i="14"/>
  <c r="T106" i="14" s="1"/>
  <c r="H106" i="14"/>
  <c r="I106" i="14"/>
  <c r="J106" i="14"/>
  <c r="U106" i="14" s="1"/>
  <c r="K106" i="14"/>
  <c r="V106" i="14" s="1"/>
  <c r="R106" i="14"/>
  <c r="B107" i="14"/>
  <c r="C107" i="14" s="1"/>
  <c r="D107" i="14"/>
  <c r="F107" i="14"/>
  <c r="G107" i="14"/>
  <c r="T107" i="14" s="1"/>
  <c r="H107" i="14"/>
  <c r="I107" i="14"/>
  <c r="J107" i="14"/>
  <c r="U107" i="14" s="1"/>
  <c r="K107" i="14"/>
  <c r="V107" i="14" s="1"/>
  <c r="R107" i="14"/>
  <c r="D108" i="14"/>
  <c r="F108" i="14"/>
  <c r="S108" i="14" s="1"/>
  <c r="G108" i="14"/>
  <c r="T108" i="14" s="1"/>
  <c r="H108" i="14"/>
  <c r="I108" i="14"/>
  <c r="J108" i="14"/>
  <c r="U108" i="14" s="1"/>
  <c r="K108" i="14"/>
  <c r="V108" i="14" s="1"/>
  <c r="R108" i="14"/>
  <c r="D109" i="14"/>
  <c r="F109" i="14"/>
  <c r="S109" i="14" s="1"/>
  <c r="G109" i="14"/>
  <c r="T109" i="14" s="1"/>
  <c r="H109" i="14"/>
  <c r="I109" i="14"/>
  <c r="J109" i="14"/>
  <c r="U109" i="14" s="1"/>
  <c r="K109" i="14"/>
  <c r="V109" i="14" s="1"/>
  <c r="R109" i="14"/>
  <c r="D110" i="14"/>
  <c r="F110" i="14"/>
  <c r="S110" i="14" s="1"/>
  <c r="G110" i="14"/>
  <c r="H110" i="14"/>
  <c r="I110" i="14"/>
  <c r="J110" i="14"/>
  <c r="U110" i="14" s="1"/>
  <c r="K110" i="14"/>
  <c r="V110" i="14" s="1"/>
  <c r="R110" i="14"/>
  <c r="D111" i="14"/>
  <c r="F111" i="14"/>
  <c r="G111" i="14"/>
  <c r="T111" i="14" s="1"/>
  <c r="H111" i="14"/>
  <c r="I111" i="14"/>
  <c r="J111" i="14"/>
  <c r="U111" i="14" s="1"/>
  <c r="K111" i="14"/>
  <c r="V111" i="14" s="1"/>
  <c r="R111" i="14"/>
  <c r="D112" i="14"/>
  <c r="F112" i="14"/>
  <c r="S112" i="14" s="1"/>
  <c r="G112" i="14"/>
  <c r="H112" i="14"/>
  <c r="I112" i="14"/>
  <c r="J112" i="14"/>
  <c r="U112" i="14" s="1"/>
  <c r="K112" i="14"/>
  <c r="V112" i="14" s="1"/>
  <c r="R112" i="14"/>
  <c r="D113" i="14"/>
  <c r="F113" i="14"/>
  <c r="G113" i="14"/>
  <c r="T113" i="14" s="1"/>
  <c r="H113" i="14"/>
  <c r="I113" i="14"/>
  <c r="J113" i="14"/>
  <c r="U113" i="14" s="1"/>
  <c r="K113" i="14"/>
  <c r="V113" i="14" s="1"/>
  <c r="R113" i="14"/>
  <c r="D114" i="14"/>
  <c r="F114" i="14"/>
  <c r="S114" i="14" s="1"/>
  <c r="G114" i="14"/>
  <c r="T114" i="14" s="1"/>
  <c r="H114" i="14"/>
  <c r="I114" i="14"/>
  <c r="J114" i="14"/>
  <c r="U114" i="14" s="1"/>
  <c r="K114" i="14"/>
  <c r="V114" i="14" s="1"/>
  <c r="R114" i="14"/>
  <c r="B115" i="14"/>
  <c r="C115" i="14" s="1"/>
  <c r="D115" i="14"/>
  <c r="F115" i="14"/>
  <c r="S115" i="14" s="1"/>
  <c r="G115" i="14"/>
  <c r="T115" i="14" s="1"/>
  <c r="H115" i="14"/>
  <c r="I115" i="14"/>
  <c r="J115" i="14"/>
  <c r="U115" i="14" s="1"/>
  <c r="K115" i="14"/>
  <c r="V115" i="14" s="1"/>
  <c r="R115" i="14"/>
  <c r="D116" i="14"/>
  <c r="F116" i="14"/>
  <c r="S116" i="14" s="1"/>
  <c r="G116" i="14"/>
  <c r="T116" i="14" s="1"/>
  <c r="H116" i="14"/>
  <c r="I116" i="14"/>
  <c r="J116" i="14"/>
  <c r="U116" i="14" s="1"/>
  <c r="K116" i="14"/>
  <c r="V116" i="14" s="1"/>
  <c r="R116" i="14"/>
  <c r="D117" i="14"/>
  <c r="F117" i="14"/>
  <c r="G117" i="14"/>
  <c r="T117" i="14" s="1"/>
  <c r="H117" i="14"/>
  <c r="I117" i="14"/>
  <c r="J117" i="14"/>
  <c r="U117" i="14" s="1"/>
  <c r="K117" i="14"/>
  <c r="V117" i="14" s="1"/>
  <c r="R117" i="14"/>
  <c r="D118" i="14"/>
  <c r="F118" i="14"/>
  <c r="S118" i="14" s="1"/>
  <c r="G118" i="14"/>
  <c r="T118" i="14" s="1"/>
  <c r="H118" i="14"/>
  <c r="I118" i="14"/>
  <c r="J118" i="14"/>
  <c r="U118" i="14" s="1"/>
  <c r="K118" i="14"/>
  <c r="V118" i="14" s="1"/>
  <c r="R118" i="14"/>
  <c r="D119" i="14"/>
  <c r="F119" i="14"/>
  <c r="S119" i="14" s="1"/>
  <c r="G119" i="14"/>
  <c r="T119" i="14" s="1"/>
  <c r="H119" i="14"/>
  <c r="I119" i="14"/>
  <c r="J119" i="14"/>
  <c r="U119" i="14" s="1"/>
  <c r="K119" i="14"/>
  <c r="V119" i="14" s="1"/>
  <c r="R119" i="14"/>
  <c r="D120" i="14"/>
  <c r="F120" i="14"/>
  <c r="S120" i="14" s="1"/>
  <c r="G120" i="14"/>
  <c r="T120" i="14" s="1"/>
  <c r="H120" i="14"/>
  <c r="I120" i="14"/>
  <c r="J120" i="14"/>
  <c r="U120" i="14" s="1"/>
  <c r="K120" i="14"/>
  <c r="V120" i="14" s="1"/>
  <c r="R120" i="14"/>
  <c r="D121" i="14"/>
  <c r="F121" i="14"/>
  <c r="G121" i="14"/>
  <c r="T121" i="14" s="1"/>
  <c r="H121" i="14"/>
  <c r="I121" i="14"/>
  <c r="J121" i="14"/>
  <c r="U121" i="14" s="1"/>
  <c r="K121" i="14"/>
  <c r="V121" i="14" s="1"/>
  <c r="R121" i="14"/>
  <c r="D122" i="14"/>
  <c r="F122" i="14"/>
  <c r="S122" i="14" s="1"/>
  <c r="G122" i="14"/>
  <c r="T122" i="14" s="1"/>
  <c r="H122" i="14"/>
  <c r="I122" i="14"/>
  <c r="J122" i="14"/>
  <c r="U122" i="14" s="1"/>
  <c r="K122" i="14"/>
  <c r="V122" i="14" s="1"/>
  <c r="R122" i="14"/>
  <c r="D123" i="14"/>
  <c r="F123" i="14"/>
  <c r="S123" i="14" s="1"/>
  <c r="G123" i="14"/>
  <c r="T123" i="14" s="1"/>
  <c r="H123" i="14"/>
  <c r="I123" i="14"/>
  <c r="J123" i="14"/>
  <c r="U123" i="14" s="1"/>
  <c r="K123" i="14"/>
  <c r="V123" i="14" s="1"/>
  <c r="R123" i="14"/>
  <c r="D124" i="14"/>
  <c r="F124" i="14"/>
  <c r="S124" i="14" s="1"/>
  <c r="G124" i="14"/>
  <c r="T124" i="14" s="1"/>
  <c r="H124" i="14"/>
  <c r="I124" i="14"/>
  <c r="J124" i="14"/>
  <c r="U124" i="14" s="1"/>
  <c r="K124" i="14"/>
  <c r="V124" i="14" s="1"/>
  <c r="R124" i="14"/>
  <c r="D125" i="14"/>
  <c r="F125" i="14"/>
  <c r="G125" i="14"/>
  <c r="T125" i="14" s="1"/>
  <c r="H125" i="14"/>
  <c r="I125" i="14"/>
  <c r="J125" i="14"/>
  <c r="U125" i="14" s="1"/>
  <c r="K125" i="14"/>
  <c r="V125" i="14" s="1"/>
  <c r="R125" i="14"/>
  <c r="D126" i="14"/>
  <c r="F126" i="14"/>
  <c r="S126" i="14" s="1"/>
  <c r="G126" i="14"/>
  <c r="T126" i="14" s="1"/>
  <c r="H126" i="14"/>
  <c r="I126" i="14"/>
  <c r="J126" i="14"/>
  <c r="U126" i="14" s="1"/>
  <c r="K126" i="14"/>
  <c r="V126" i="14" s="1"/>
  <c r="R126" i="14"/>
  <c r="D127" i="14"/>
  <c r="F127" i="14"/>
  <c r="S127" i="14" s="1"/>
  <c r="G127" i="14"/>
  <c r="T127" i="14" s="1"/>
  <c r="H127" i="14"/>
  <c r="I127" i="14"/>
  <c r="J127" i="14"/>
  <c r="U127" i="14" s="1"/>
  <c r="K127" i="14"/>
  <c r="V127" i="14" s="1"/>
  <c r="R127" i="14"/>
  <c r="D128" i="14"/>
  <c r="F128" i="14"/>
  <c r="S128" i="14" s="1"/>
  <c r="G128" i="14"/>
  <c r="T128" i="14" s="1"/>
  <c r="H128" i="14"/>
  <c r="I128" i="14"/>
  <c r="J128" i="14"/>
  <c r="U128" i="14" s="1"/>
  <c r="K128" i="14"/>
  <c r="V128" i="14" s="1"/>
  <c r="R128" i="14"/>
  <c r="A81" i="9"/>
  <c r="G81" i="9"/>
  <c r="A82" i="9"/>
  <c r="G82" i="9"/>
  <c r="A85" i="9"/>
  <c r="G85" i="9"/>
  <c r="A86" i="9"/>
  <c r="G86" i="9"/>
  <c r="A87" i="9"/>
  <c r="G87" i="9"/>
  <c r="A88" i="9"/>
  <c r="G88" i="9"/>
  <c r="A89" i="9"/>
  <c r="G89" i="9"/>
  <c r="A90" i="9"/>
  <c r="G90" i="9"/>
  <c r="A91" i="9"/>
  <c r="G91" i="9"/>
  <c r="A92" i="9"/>
  <c r="G92" i="9"/>
  <c r="A96" i="9"/>
  <c r="G96" i="9"/>
  <c r="A97" i="9"/>
  <c r="G97" i="9"/>
  <c r="A98" i="9"/>
  <c r="G98" i="9"/>
  <c r="A99" i="9"/>
  <c r="G99" i="9"/>
  <c r="A100" i="9"/>
  <c r="G100" i="9"/>
  <c r="A101" i="9"/>
  <c r="G101" i="9"/>
  <c r="A102" i="9"/>
  <c r="G102" i="9"/>
  <c r="A103" i="9"/>
  <c r="G103" i="9"/>
  <c r="A104" i="9"/>
  <c r="G104" i="9"/>
  <c r="A105" i="9"/>
  <c r="G105" i="9"/>
  <c r="A106" i="9"/>
  <c r="G106" i="9"/>
  <c r="A107" i="9"/>
  <c r="G107" i="9"/>
  <c r="A108" i="9"/>
  <c r="G108" i="9"/>
  <c r="A109" i="9"/>
  <c r="G109" i="9"/>
  <c r="A110" i="9"/>
  <c r="G110" i="9"/>
  <c r="A111" i="9"/>
  <c r="G111" i="9"/>
  <c r="A112" i="9"/>
  <c r="G112" i="9"/>
  <c r="A113" i="9"/>
  <c r="G113" i="9"/>
  <c r="A114" i="9"/>
  <c r="G114" i="9"/>
  <c r="A115" i="9"/>
  <c r="G115" i="9"/>
  <c r="A116" i="9"/>
  <c r="G116" i="9"/>
  <c r="A117" i="9"/>
  <c r="G117" i="9"/>
  <c r="A118" i="9"/>
  <c r="G118" i="9"/>
  <c r="A119" i="9"/>
  <c r="G119" i="9"/>
  <c r="A120" i="9"/>
  <c r="G120" i="9"/>
  <c r="A121" i="9"/>
  <c r="G121" i="9"/>
  <c r="A122" i="9"/>
  <c r="G122" i="9"/>
  <c r="A123" i="9"/>
  <c r="G123" i="9"/>
  <c r="A124" i="9"/>
  <c r="G124" i="9"/>
  <c r="A125" i="9"/>
  <c r="G125" i="9"/>
  <c r="A126" i="9"/>
  <c r="G126" i="9"/>
  <c r="A127" i="9"/>
  <c r="G127" i="9"/>
  <c r="A128" i="9"/>
  <c r="G128" i="9"/>
  <c r="A129" i="9"/>
  <c r="G129" i="9"/>
  <c r="D81" i="13"/>
  <c r="D82" i="13"/>
  <c r="D86" i="13"/>
  <c r="D87" i="13"/>
  <c r="D88" i="13"/>
  <c r="D89" i="13"/>
  <c r="D90" i="13"/>
  <c r="D91" i="13"/>
  <c r="D92"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80" i="13"/>
  <c r="D30" i="13"/>
  <c r="D40" i="13"/>
  <c r="D41" i="13"/>
  <c r="D42" i="13"/>
  <c r="D43" i="13"/>
  <c r="D44" i="13"/>
  <c r="D45" i="13"/>
  <c r="D46" i="13"/>
  <c r="D47" i="13"/>
  <c r="D48" i="13"/>
  <c r="D49" i="13"/>
  <c r="D50" i="13"/>
  <c r="D51" i="13"/>
  <c r="D52" i="13"/>
  <c r="D53" i="13"/>
  <c r="D54" i="13"/>
  <c r="D55" i="13"/>
  <c r="D56" i="13"/>
  <c r="D57" i="13"/>
  <c r="D58" i="13"/>
  <c r="D29" i="13"/>
  <c r="A129" i="13"/>
  <c r="F129" i="13"/>
  <c r="R129" i="13" s="1"/>
  <c r="G129" i="13"/>
  <c r="S129" i="13" s="1"/>
  <c r="H129" i="13"/>
  <c r="I129" i="13"/>
  <c r="J129" i="13"/>
  <c r="U129" i="13" s="1"/>
  <c r="Q129" i="13"/>
  <c r="A81" i="13"/>
  <c r="F81" i="13"/>
  <c r="G81" i="13"/>
  <c r="S81" i="13" s="1"/>
  <c r="H81" i="13"/>
  <c r="I81" i="13"/>
  <c r="T81" i="13" s="1"/>
  <c r="J81" i="13"/>
  <c r="U81" i="13" s="1"/>
  <c r="Q81" i="13"/>
  <c r="A82" i="13"/>
  <c r="F82" i="13"/>
  <c r="G82" i="13"/>
  <c r="S82" i="13" s="1"/>
  <c r="H82" i="13"/>
  <c r="I82" i="13"/>
  <c r="T82" i="13" s="1"/>
  <c r="J82" i="13"/>
  <c r="U82" i="13" s="1"/>
  <c r="Q82" i="13"/>
  <c r="A86" i="13"/>
  <c r="F86" i="13"/>
  <c r="G86" i="13"/>
  <c r="S86" i="13" s="1"/>
  <c r="H86" i="13"/>
  <c r="I86" i="13"/>
  <c r="T86" i="13" s="1"/>
  <c r="J86" i="13"/>
  <c r="U86" i="13" s="1"/>
  <c r="Q86" i="13"/>
  <c r="A87" i="13"/>
  <c r="F87" i="13"/>
  <c r="G87" i="13"/>
  <c r="S87" i="13" s="1"/>
  <c r="H87" i="13"/>
  <c r="I87" i="13"/>
  <c r="T87" i="13" s="1"/>
  <c r="J87" i="13"/>
  <c r="U87" i="13" s="1"/>
  <c r="Q87" i="13"/>
  <c r="A88" i="13"/>
  <c r="F88" i="13"/>
  <c r="G88" i="13"/>
  <c r="S88" i="13" s="1"/>
  <c r="H88" i="13"/>
  <c r="I88" i="13"/>
  <c r="T88" i="13" s="1"/>
  <c r="J88" i="13"/>
  <c r="U88" i="13" s="1"/>
  <c r="Q88" i="13"/>
  <c r="A89" i="13"/>
  <c r="F89" i="13"/>
  <c r="G89" i="13"/>
  <c r="S89" i="13" s="1"/>
  <c r="H89" i="13"/>
  <c r="I89" i="13"/>
  <c r="T89" i="13" s="1"/>
  <c r="J89" i="13"/>
  <c r="U89" i="13" s="1"/>
  <c r="Q89" i="13"/>
  <c r="A90" i="13"/>
  <c r="F90" i="13"/>
  <c r="G90" i="13"/>
  <c r="S90" i="13" s="1"/>
  <c r="H90" i="13"/>
  <c r="I90" i="13"/>
  <c r="T90" i="13" s="1"/>
  <c r="J90" i="13"/>
  <c r="U90" i="13" s="1"/>
  <c r="Q90" i="13"/>
  <c r="A91" i="13"/>
  <c r="F91" i="13"/>
  <c r="G91" i="13"/>
  <c r="S91" i="13" s="1"/>
  <c r="H91" i="13"/>
  <c r="I91" i="13"/>
  <c r="T91" i="13" s="1"/>
  <c r="J91" i="13"/>
  <c r="U91" i="13" s="1"/>
  <c r="Q91" i="13"/>
  <c r="A92" i="13"/>
  <c r="F92" i="13"/>
  <c r="G92" i="13"/>
  <c r="S92" i="13" s="1"/>
  <c r="H92" i="13"/>
  <c r="I92" i="13"/>
  <c r="T92" i="13" s="1"/>
  <c r="J92" i="13"/>
  <c r="U92" i="13" s="1"/>
  <c r="Q92" i="13"/>
  <c r="A95" i="13"/>
  <c r="F95" i="13"/>
  <c r="G95" i="13"/>
  <c r="S95" i="13" s="1"/>
  <c r="H95" i="13"/>
  <c r="I95" i="13"/>
  <c r="T95" i="13" s="1"/>
  <c r="J95" i="13"/>
  <c r="U95" i="13" s="1"/>
  <c r="Q95" i="13"/>
  <c r="A96" i="13"/>
  <c r="F96" i="13"/>
  <c r="G96" i="13"/>
  <c r="S96" i="13" s="1"/>
  <c r="H96" i="13"/>
  <c r="I96" i="13"/>
  <c r="T96" i="13" s="1"/>
  <c r="J96" i="13"/>
  <c r="U96" i="13" s="1"/>
  <c r="Q96" i="13"/>
  <c r="A97" i="13"/>
  <c r="F97" i="13"/>
  <c r="G97" i="13"/>
  <c r="S97" i="13" s="1"/>
  <c r="H97" i="13"/>
  <c r="I97" i="13"/>
  <c r="T97" i="13" s="1"/>
  <c r="J97" i="13"/>
  <c r="U97" i="13" s="1"/>
  <c r="Q97" i="13"/>
  <c r="A98" i="13"/>
  <c r="F98" i="13"/>
  <c r="R98" i="13" s="1"/>
  <c r="G98" i="13"/>
  <c r="H98" i="13"/>
  <c r="I98" i="13"/>
  <c r="T98" i="13" s="1"/>
  <c r="J98" i="13"/>
  <c r="U98" i="13" s="1"/>
  <c r="Q98" i="13"/>
  <c r="A99" i="13"/>
  <c r="F99" i="13"/>
  <c r="R99" i="13" s="1"/>
  <c r="G99" i="13"/>
  <c r="H99" i="13"/>
  <c r="I99" i="13"/>
  <c r="T99" i="13" s="1"/>
  <c r="J99" i="13"/>
  <c r="U99" i="13" s="1"/>
  <c r="Q99" i="13"/>
  <c r="A100" i="13"/>
  <c r="F100" i="13"/>
  <c r="R100" i="13" s="1"/>
  <c r="G100" i="13"/>
  <c r="H100" i="13"/>
  <c r="I100" i="13"/>
  <c r="T100" i="13" s="1"/>
  <c r="J100" i="13"/>
  <c r="U100" i="13" s="1"/>
  <c r="Q100" i="13"/>
  <c r="A101" i="13"/>
  <c r="F101" i="13"/>
  <c r="R101" i="13" s="1"/>
  <c r="G101" i="13"/>
  <c r="H101" i="13"/>
  <c r="I101" i="13"/>
  <c r="T101" i="13" s="1"/>
  <c r="J101" i="13"/>
  <c r="U101" i="13" s="1"/>
  <c r="Q101" i="13"/>
  <c r="A102" i="13"/>
  <c r="F102" i="13"/>
  <c r="R102" i="13" s="1"/>
  <c r="G102" i="13"/>
  <c r="H102" i="13"/>
  <c r="I102" i="13"/>
  <c r="T102" i="13" s="1"/>
  <c r="J102" i="13"/>
  <c r="U102" i="13" s="1"/>
  <c r="Q102" i="13"/>
  <c r="A103" i="13"/>
  <c r="F103" i="13"/>
  <c r="R103" i="13" s="1"/>
  <c r="G103" i="13"/>
  <c r="S103" i="13" s="1"/>
  <c r="H103" i="13"/>
  <c r="I103" i="13"/>
  <c r="T103" i="13" s="1"/>
  <c r="J103" i="13"/>
  <c r="U103" i="13" s="1"/>
  <c r="Q103" i="13"/>
  <c r="A104" i="13"/>
  <c r="F104" i="13"/>
  <c r="R104" i="13" s="1"/>
  <c r="G104" i="13"/>
  <c r="S104" i="13" s="1"/>
  <c r="H104" i="13"/>
  <c r="I104" i="13"/>
  <c r="T104" i="13" s="1"/>
  <c r="J104" i="13"/>
  <c r="U104" i="13" s="1"/>
  <c r="Q104" i="13"/>
  <c r="A105" i="13"/>
  <c r="F105" i="13"/>
  <c r="R105" i="13" s="1"/>
  <c r="G105" i="13"/>
  <c r="S105" i="13" s="1"/>
  <c r="H105" i="13"/>
  <c r="I105" i="13"/>
  <c r="T105" i="13" s="1"/>
  <c r="J105" i="13"/>
  <c r="U105" i="13" s="1"/>
  <c r="Q105" i="13"/>
  <c r="A106" i="13"/>
  <c r="F106" i="13"/>
  <c r="R106" i="13" s="1"/>
  <c r="G106" i="13"/>
  <c r="S106" i="13" s="1"/>
  <c r="H106" i="13"/>
  <c r="I106" i="13"/>
  <c r="T106" i="13" s="1"/>
  <c r="J106" i="13"/>
  <c r="U106" i="13" s="1"/>
  <c r="Q106" i="13"/>
  <c r="A107" i="13"/>
  <c r="F107" i="13"/>
  <c r="R107" i="13" s="1"/>
  <c r="G107" i="13"/>
  <c r="S107" i="13" s="1"/>
  <c r="H107" i="13"/>
  <c r="I107" i="13"/>
  <c r="T107" i="13" s="1"/>
  <c r="J107" i="13"/>
  <c r="U107" i="13" s="1"/>
  <c r="Q107" i="13"/>
  <c r="A108" i="13"/>
  <c r="F108" i="13"/>
  <c r="R108" i="13" s="1"/>
  <c r="G108" i="13"/>
  <c r="S108" i="13" s="1"/>
  <c r="H108" i="13"/>
  <c r="I108" i="13"/>
  <c r="T108" i="13" s="1"/>
  <c r="J108" i="13"/>
  <c r="U108" i="13" s="1"/>
  <c r="Q108" i="13"/>
  <c r="A109" i="13"/>
  <c r="F109" i="13"/>
  <c r="R109" i="13" s="1"/>
  <c r="G109" i="13"/>
  <c r="H109" i="13"/>
  <c r="I109" i="13"/>
  <c r="T109" i="13" s="1"/>
  <c r="J109" i="13"/>
  <c r="U109" i="13" s="1"/>
  <c r="Q109" i="13"/>
  <c r="A110" i="13"/>
  <c r="F110" i="13"/>
  <c r="R110" i="13" s="1"/>
  <c r="G110" i="13"/>
  <c r="H110" i="13"/>
  <c r="I110" i="13"/>
  <c r="T110" i="13" s="1"/>
  <c r="J110" i="13"/>
  <c r="U110" i="13" s="1"/>
  <c r="Q110" i="13"/>
  <c r="A111" i="13"/>
  <c r="F111" i="13"/>
  <c r="R111" i="13" s="1"/>
  <c r="G111" i="13"/>
  <c r="H111" i="13"/>
  <c r="I111" i="13"/>
  <c r="T111" i="13" s="1"/>
  <c r="J111" i="13"/>
  <c r="U111" i="13" s="1"/>
  <c r="Q111" i="13"/>
  <c r="A112" i="13"/>
  <c r="F112" i="13"/>
  <c r="R112" i="13" s="1"/>
  <c r="G112" i="13"/>
  <c r="H112" i="13"/>
  <c r="I112" i="13"/>
  <c r="T112" i="13" s="1"/>
  <c r="J112" i="13"/>
  <c r="U112" i="13" s="1"/>
  <c r="Q112" i="13"/>
  <c r="A113" i="13"/>
  <c r="F113" i="13"/>
  <c r="R113" i="13" s="1"/>
  <c r="G113" i="13"/>
  <c r="H113" i="13"/>
  <c r="I113" i="13"/>
  <c r="T113" i="13" s="1"/>
  <c r="J113" i="13"/>
  <c r="U113" i="13" s="1"/>
  <c r="Q113" i="13"/>
  <c r="A114" i="13"/>
  <c r="F114" i="13"/>
  <c r="R114" i="13" s="1"/>
  <c r="G114" i="13"/>
  <c r="S114" i="13" s="1"/>
  <c r="H114" i="13"/>
  <c r="I114" i="13"/>
  <c r="T114" i="13" s="1"/>
  <c r="J114" i="13"/>
  <c r="U114" i="13" s="1"/>
  <c r="Q114" i="13"/>
  <c r="A115" i="13"/>
  <c r="F115" i="13"/>
  <c r="R115" i="13" s="1"/>
  <c r="G115" i="13"/>
  <c r="H115" i="13"/>
  <c r="I115" i="13"/>
  <c r="T115" i="13" s="1"/>
  <c r="J115" i="13"/>
  <c r="U115" i="13" s="1"/>
  <c r="Q115" i="13"/>
  <c r="A116" i="13"/>
  <c r="F116" i="13"/>
  <c r="R116" i="13" s="1"/>
  <c r="G116" i="13"/>
  <c r="H116" i="13"/>
  <c r="I116" i="13"/>
  <c r="T116" i="13" s="1"/>
  <c r="J116" i="13"/>
  <c r="U116" i="13" s="1"/>
  <c r="Q116" i="13"/>
  <c r="A117" i="13"/>
  <c r="F117" i="13"/>
  <c r="R117" i="13" s="1"/>
  <c r="G117" i="13"/>
  <c r="H117" i="13"/>
  <c r="I117" i="13"/>
  <c r="T117" i="13" s="1"/>
  <c r="J117" i="13"/>
  <c r="U117" i="13" s="1"/>
  <c r="Q117" i="13"/>
  <c r="A118" i="13"/>
  <c r="F118" i="13"/>
  <c r="R118" i="13" s="1"/>
  <c r="G118" i="13"/>
  <c r="H118" i="13"/>
  <c r="I118" i="13"/>
  <c r="T118" i="13" s="1"/>
  <c r="J118" i="13"/>
  <c r="U118" i="13" s="1"/>
  <c r="Q118" i="13"/>
  <c r="A119" i="13"/>
  <c r="F119" i="13"/>
  <c r="R119" i="13" s="1"/>
  <c r="G119" i="13"/>
  <c r="H119" i="13"/>
  <c r="I119" i="13"/>
  <c r="T119" i="13" s="1"/>
  <c r="J119" i="13"/>
  <c r="U119" i="13" s="1"/>
  <c r="Q119" i="13"/>
  <c r="A120" i="13"/>
  <c r="F120" i="13"/>
  <c r="R120" i="13" s="1"/>
  <c r="G120" i="13"/>
  <c r="H120" i="13"/>
  <c r="I120" i="13"/>
  <c r="T120" i="13" s="1"/>
  <c r="J120" i="13"/>
  <c r="U120" i="13" s="1"/>
  <c r="Q120" i="13"/>
  <c r="A121" i="13"/>
  <c r="F121" i="13"/>
  <c r="R121" i="13" s="1"/>
  <c r="G121" i="13"/>
  <c r="H121" i="13"/>
  <c r="I121" i="13"/>
  <c r="T121" i="13" s="1"/>
  <c r="J121" i="13"/>
  <c r="U121" i="13" s="1"/>
  <c r="Q121" i="13"/>
  <c r="A122" i="13"/>
  <c r="F122" i="13"/>
  <c r="R122" i="13" s="1"/>
  <c r="G122" i="13"/>
  <c r="H122" i="13"/>
  <c r="I122" i="13"/>
  <c r="T122" i="13" s="1"/>
  <c r="J122" i="13"/>
  <c r="U122" i="13" s="1"/>
  <c r="Q122" i="13"/>
  <c r="A123" i="13"/>
  <c r="F123" i="13"/>
  <c r="R123" i="13" s="1"/>
  <c r="G123" i="13"/>
  <c r="H123" i="13"/>
  <c r="I123" i="13"/>
  <c r="T123" i="13" s="1"/>
  <c r="J123" i="13"/>
  <c r="U123" i="13" s="1"/>
  <c r="Q123" i="13"/>
  <c r="A124" i="13"/>
  <c r="F124" i="13"/>
  <c r="R124" i="13" s="1"/>
  <c r="G124" i="13"/>
  <c r="H124" i="13"/>
  <c r="I124" i="13"/>
  <c r="T124" i="13" s="1"/>
  <c r="J124" i="13"/>
  <c r="U124" i="13" s="1"/>
  <c r="Q124" i="13"/>
  <c r="A125" i="13"/>
  <c r="F125" i="13"/>
  <c r="R125" i="13" s="1"/>
  <c r="G125" i="13"/>
  <c r="H125" i="13"/>
  <c r="I125" i="13"/>
  <c r="T125" i="13" s="1"/>
  <c r="J125" i="13"/>
  <c r="U125" i="13" s="1"/>
  <c r="Q125" i="13"/>
  <c r="A126" i="13"/>
  <c r="F126" i="13"/>
  <c r="R126" i="13" s="1"/>
  <c r="G126" i="13"/>
  <c r="H126" i="13"/>
  <c r="I126" i="13"/>
  <c r="T126" i="13" s="1"/>
  <c r="J126" i="13"/>
  <c r="U126" i="13" s="1"/>
  <c r="Q126" i="13"/>
  <c r="A127" i="13"/>
  <c r="F127" i="13"/>
  <c r="R127" i="13" s="1"/>
  <c r="G127" i="13"/>
  <c r="H127" i="13"/>
  <c r="I127" i="13"/>
  <c r="T127" i="13" s="1"/>
  <c r="J127" i="13"/>
  <c r="U127" i="13" s="1"/>
  <c r="Q127" i="13"/>
  <c r="A128" i="13"/>
  <c r="F128" i="13"/>
  <c r="R128" i="13" s="1"/>
  <c r="G128" i="13"/>
  <c r="H128" i="13"/>
  <c r="I128" i="13"/>
  <c r="T128" i="13" s="1"/>
  <c r="J128" i="13"/>
  <c r="U128" i="13" s="1"/>
  <c r="Q128" i="13"/>
  <c r="AD29" i="11"/>
  <c r="V84" i="12"/>
  <c r="X84" i="12"/>
  <c r="Y84" i="12"/>
  <c r="AA84" i="12"/>
  <c r="V85" i="12"/>
  <c r="X85" i="12"/>
  <c r="Y85" i="12"/>
  <c r="AA85" i="12"/>
  <c r="V86" i="12"/>
  <c r="X86" i="12"/>
  <c r="Y86" i="12"/>
  <c r="AA86" i="12"/>
  <c r="V87" i="12"/>
  <c r="X87" i="12"/>
  <c r="Y87" i="12"/>
  <c r="AA87" i="12"/>
  <c r="V88" i="12"/>
  <c r="X88" i="12"/>
  <c r="Y88" i="12"/>
  <c r="AA88" i="12"/>
  <c r="V89" i="12"/>
  <c r="X89" i="12"/>
  <c r="Y89" i="12"/>
  <c r="AA89" i="12"/>
  <c r="V90" i="12"/>
  <c r="X90" i="12"/>
  <c r="Y90" i="12"/>
  <c r="AA90" i="12"/>
  <c r="V91" i="12"/>
  <c r="X91" i="12"/>
  <c r="Y91" i="12"/>
  <c r="AA91" i="12"/>
  <c r="V92" i="12"/>
  <c r="X92" i="12"/>
  <c r="Y92" i="12"/>
  <c r="AA92" i="12"/>
  <c r="V93" i="12"/>
  <c r="X93" i="12"/>
  <c r="Y93" i="12"/>
  <c r="AA93" i="12"/>
  <c r="V94" i="12"/>
  <c r="X94" i="12"/>
  <c r="Y94" i="12"/>
  <c r="AA94" i="12"/>
  <c r="V95" i="12"/>
  <c r="X95" i="12"/>
  <c r="Y95" i="12"/>
  <c r="AA95" i="12"/>
  <c r="AC95" i="12" s="1"/>
  <c r="V96" i="12"/>
  <c r="X96" i="12"/>
  <c r="Y96" i="12"/>
  <c r="AA96" i="12"/>
  <c r="AC96" i="12" s="1"/>
  <c r="V97" i="12"/>
  <c r="X97" i="12"/>
  <c r="Y97" i="12"/>
  <c r="AA97" i="12"/>
  <c r="AC97" i="12" s="1"/>
  <c r="V98" i="12"/>
  <c r="X98" i="12"/>
  <c r="Y98" i="12"/>
  <c r="AA98" i="12"/>
  <c r="AC98" i="12" s="1"/>
  <c r="V99" i="12"/>
  <c r="X99" i="12"/>
  <c r="Y99" i="12"/>
  <c r="AA99" i="12"/>
  <c r="V100" i="12"/>
  <c r="X100" i="12"/>
  <c r="Y100" i="12"/>
  <c r="AA100" i="12"/>
  <c r="AC100" i="12" s="1"/>
  <c r="V101" i="12"/>
  <c r="X101" i="12"/>
  <c r="Y101" i="12"/>
  <c r="AA101" i="12"/>
  <c r="AC101" i="12" s="1"/>
  <c r="V102" i="12"/>
  <c r="X102" i="12"/>
  <c r="Y102" i="12"/>
  <c r="AA102" i="12"/>
  <c r="V103" i="12"/>
  <c r="X103" i="12"/>
  <c r="Y103" i="12"/>
  <c r="AA103" i="12"/>
  <c r="AC103" i="12" s="1"/>
  <c r="V104" i="12"/>
  <c r="X104" i="12"/>
  <c r="Y104" i="12"/>
  <c r="AA104" i="12"/>
  <c r="AC104" i="12" s="1"/>
  <c r="V105" i="12"/>
  <c r="X105" i="12"/>
  <c r="Y105" i="12"/>
  <c r="AA105" i="12"/>
  <c r="V106" i="12"/>
  <c r="X106" i="12"/>
  <c r="Y106" i="12"/>
  <c r="AA106" i="12"/>
  <c r="V107" i="12"/>
  <c r="X107" i="12"/>
  <c r="Y107" i="12"/>
  <c r="AA107" i="12"/>
  <c r="AC107" i="12" s="1"/>
  <c r="V108" i="12"/>
  <c r="X108" i="12"/>
  <c r="Y108" i="12"/>
  <c r="AA108" i="12"/>
  <c r="AC108" i="12" s="1"/>
  <c r="V109" i="12"/>
  <c r="X109" i="12"/>
  <c r="Y109" i="12"/>
  <c r="AA109" i="12"/>
  <c r="V110" i="12"/>
  <c r="X110" i="12"/>
  <c r="Y110" i="12"/>
  <c r="AA110" i="12"/>
  <c r="V111" i="12"/>
  <c r="X111" i="12"/>
  <c r="Y111" i="12"/>
  <c r="AA111" i="12"/>
  <c r="V112" i="12"/>
  <c r="X112" i="12"/>
  <c r="Y112" i="12"/>
  <c r="AA112" i="12"/>
  <c r="AC112" i="12" s="1"/>
  <c r="V113" i="12"/>
  <c r="X113" i="12"/>
  <c r="Y113" i="12"/>
  <c r="AA113" i="12"/>
  <c r="AC113" i="12" s="1"/>
  <c r="V114" i="12"/>
  <c r="X114" i="12"/>
  <c r="Y114" i="12"/>
  <c r="AA114" i="12"/>
  <c r="AC114" i="12" s="1"/>
  <c r="V115" i="12"/>
  <c r="X115" i="12"/>
  <c r="Y115" i="12"/>
  <c r="AA115" i="12"/>
  <c r="AC115" i="12" s="1"/>
  <c r="V116" i="12"/>
  <c r="X116" i="12"/>
  <c r="Y116" i="12"/>
  <c r="AA116" i="12"/>
  <c r="AC116" i="12" s="1"/>
  <c r="V117" i="12"/>
  <c r="X117" i="12"/>
  <c r="Y117" i="12"/>
  <c r="AA117" i="12"/>
  <c r="V118" i="12"/>
  <c r="X118" i="12"/>
  <c r="Y118" i="12"/>
  <c r="AA118" i="12"/>
  <c r="V119" i="12"/>
  <c r="X119" i="12"/>
  <c r="Y119" i="12"/>
  <c r="AA119" i="12"/>
  <c r="AC119" i="12" s="1"/>
  <c r="V120" i="12"/>
  <c r="X120" i="12"/>
  <c r="Y120" i="12"/>
  <c r="AA120" i="12"/>
  <c r="AC120" i="12" s="1"/>
  <c r="V121" i="12"/>
  <c r="X121" i="12"/>
  <c r="Y121" i="12"/>
  <c r="AA121" i="12"/>
  <c r="AC121" i="12" s="1"/>
  <c r="V122" i="12"/>
  <c r="X122" i="12"/>
  <c r="Y122" i="12"/>
  <c r="AA122" i="12"/>
  <c r="AC122" i="12" s="1"/>
  <c r="V123" i="12"/>
  <c r="X123" i="12"/>
  <c r="Y123" i="12"/>
  <c r="AA123" i="12"/>
  <c r="AC123" i="12" s="1"/>
  <c r="V124" i="12"/>
  <c r="X124" i="12"/>
  <c r="Y124" i="12"/>
  <c r="AA124" i="12"/>
  <c r="V125" i="12"/>
  <c r="X125" i="12"/>
  <c r="Y125" i="12"/>
  <c r="AA125" i="12"/>
  <c r="AC125" i="12" s="1"/>
  <c r="V126" i="12"/>
  <c r="X126" i="12"/>
  <c r="Y126" i="12"/>
  <c r="AA126" i="12"/>
  <c r="V127" i="12"/>
  <c r="X127" i="12"/>
  <c r="Y127" i="12"/>
  <c r="AA127" i="12"/>
  <c r="AC127" i="12" s="1"/>
  <c r="V128" i="12"/>
  <c r="X128" i="12"/>
  <c r="Y128" i="12"/>
  <c r="AA128" i="12"/>
  <c r="V129" i="12"/>
  <c r="X129" i="12"/>
  <c r="Y129" i="12"/>
  <c r="AA129" i="12"/>
  <c r="X70" i="12"/>
  <c r="Y70" i="12"/>
  <c r="AA70" i="12"/>
  <c r="X71" i="12"/>
  <c r="Y71" i="12"/>
  <c r="AA71" i="12"/>
  <c r="X72" i="12"/>
  <c r="Y72" i="12"/>
  <c r="AA72" i="12"/>
  <c r="X73" i="12"/>
  <c r="Y73" i="12"/>
  <c r="AA73" i="12"/>
  <c r="X74" i="12"/>
  <c r="Y74" i="12"/>
  <c r="AA74" i="12"/>
  <c r="X75" i="12"/>
  <c r="Y75" i="12"/>
  <c r="AA75" i="12"/>
  <c r="X76" i="12"/>
  <c r="Y76" i="12"/>
  <c r="AA76" i="12"/>
  <c r="X77" i="12"/>
  <c r="Y77" i="12"/>
  <c r="AA77" i="12"/>
  <c r="X78" i="12"/>
  <c r="Y78" i="12"/>
  <c r="AA78" i="12"/>
  <c r="A128" i="12"/>
  <c r="B128" i="12"/>
  <c r="C128" i="10" s="1"/>
  <c r="D128" i="12"/>
  <c r="G128" i="12"/>
  <c r="H128" i="12"/>
  <c r="I128" i="12"/>
  <c r="J128" i="12"/>
  <c r="K128" i="12"/>
  <c r="L128" i="12"/>
  <c r="A129" i="12"/>
  <c r="B129" i="12"/>
  <c r="D129" i="12"/>
  <c r="G129" i="12"/>
  <c r="H129" i="12"/>
  <c r="I129" i="12"/>
  <c r="J129" i="12"/>
  <c r="K129" i="12"/>
  <c r="L129" i="12"/>
  <c r="A90" i="12"/>
  <c r="D90" i="12"/>
  <c r="G90" i="12"/>
  <c r="H90" i="12"/>
  <c r="I90" i="12"/>
  <c r="J90" i="12"/>
  <c r="K90" i="12"/>
  <c r="L90" i="12"/>
  <c r="A96" i="12"/>
  <c r="B96" i="12"/>
  <c r="D96" i="12"/>
  <c r="G96" i="12"/>
  <c r="H96" i="12"/>
  <c r="I96" i="12"/>
  <c r="J96" i="12"/>
  <c r="K96" i="12"/>
  <c r="L96" i="12"/>
  <c r="A97" i="12"/>
  <c r="B97" i="12"/>
  <c r="B97" i="10" s="1"/>
  <c r="D97" i="12"/>
  <c r="G97" i="12"/>
  <c r="H97" i="12"/>
  <c r="I97" i="12"/>
  <c r="J97" i="12"/>
  <c r="K97" i="12"/>
  <c r="L97" i="12"/>
  <c r="A98" i="12"/>
  <c r="D98" i="12"/>
  <c r="G98" i="12"/>
  <c r="H98" i="12"/>
  <c r="I98" i="12"/>
  <c r="J98" i="12"/>
  <c r="K98" i="12"/>
  <c r="L98" i="12"/>
  <c r="A99" i="12"/>
  <c r="B99" i="12"/>
  <c r="B99" i="10" s="1"/>
  <c r="D99" i="12"/>
  <c r="G99" i="12"/>
  <c r="H99" i="12"/>
  <c r="I99" i="12"/>
  <c r="J99" i="12"/>
  <c r="K99" i="12"/>
  <c r="L99" i="12"/>
  <c r="A100" i="12"/>
  <c r="B100" i="12"/>
  <c r="B100" i="10" s="1"/>
  <c r="D100" i="12"/>
  <c r="G100" i="12"/>
  <c r="H100" i="12"/>
  <c r="I100" i="12"/>
  <c r="J100" i="12"/>
  <c r="K100" i="12"/>
  <c r="L100" i="12"/>
  <c r="A101" i="12"/>
  <c r="B101" i="12"/>
  <c r="D101" i="12"/>
  <c r="G101" i="12"/>
  <c r="H101" i="12"/>
  <c r="I101" i="12"/>
  <c r="J101" i="12"/>
  <c r="K101" i="12"/>
  <c r="L101" i="12"/>
  <c r="A102" i="12"/>
  <c r="B102" i="12"/>
  <c r="D102" i="12"/>
  <c r="G102" i="12"/>
  <c r="H102" i="12"/>
  <c r="I102" i="12"/>
  <c r="J102" i="12"/>
  <c r="K102" i="12"/>
  <c r="L102" i="12"/>
  <c r="A103" i="12"/>
  <c r="B103" i="12"/>
  <c r="D103" i="12"/>
  <c r="G103" i="12"/>
  <c r="H103" i="12"/>
  <c r="I103" i="12"/>
  <c r="J103" i="12"/>
  <c r="K103" i="12"/>
  <c r="L103" i="12"/>
  <c r="A104" i="12"/>
  <c r="B104" i="12"/>
  <c r="B104" i="10" s="1"/>
  <c r="D104" i="12"/>
  <c r="G104" i="12"/>
  <c r="H104" i="12"/>
  <c r="I104" i="12"/>
  <c r="J104" i="12"/>
  <c r="K104" i="12"/>
  <c r="L104" i="12"/>
  <c r="A105" i="12"/>
  <c r="B105" i="12"/>
  <c r="M105" i="12" s="1"/>
  <c r="L104" i="14" s="1"/>
  <c r="D105" i="12"/>
  <c r="G105" i="12"/>
  <c r="H105" i="12"/>
  <c r="I105" i="12"/>
  <c r="J105" i="12"/>
  <c r="K105" i="12"/>
  <c r="L105" i="12"/>
  <c r="A106" i="12"/>
  <c r="B106" i="12"/>
  <c r="C106" i="10" s="1"/>
  <c r="D106" i="12"/>
  <c r="G106" i="12"/>
  <c r="H106" i="12"/>
  <c r="I106" i="12"/>
  <c r="J106" i="12"/>
  <c r="K106" i="12"/>
  <c r="L106" i="12"/>
  <c r="A107" i="12"/>
  <c r="B107" i="12"/>
  <c r="M107" i="12" s="1"/>
  <c r="L106" i="14" s="1"/>
  <c r="D107" i="12"/>
  <c r="G107" i="12"/>
  <c r="H107" i="12"/>
  <c r="I107" i="12"/>
  <c r="J107" i="12"/>
  <c r="K107" i="12"/>
  <c r="L107" i="12"/>
  <c r="A108" i="12"/>
  <c r="B108" i="12"/>
  <c r="D108" i="12"/>
  <c r="G108" i="12"/>
  <c r="H108" i="12"/>
  <c r="I108" i="12"/>
  <c r="J108" i="12"/>
  <c r="K108" i="12"/>
  <c r="L108" i="12"/>
  <c r="A109" i="12"/>
  <c r="B109" i="12"/>
  <c r="M109" i="12" s="1"/>
  <c r="L108" i="14" s="1"/>
  <c r="D109" i="12"/>
  <c r="G109" i="12"/>
  <c r="H109" i="12"/>
  <c r="I109" i="12"/>
  <c r="J109" i="12"/>
  <c r="K109" i="12"/>
  <c r="L109" i="12"/>
  <c r="A110" i="12"/>
  <c r="B110" i="12"/>
  <c r="M110" i="12" s="1"/>
  <c r="L109" i="14" s="1"/>
  <c r="D110" i="12"/>
  <c r="G110" i="12"/>
  <c r="H110" i="12"/>
  <c r="I110" i="12"/>
  <c r="J110" i="12"/>
  <c r="K110" i="12"/>
  <c r="L110" i="12"/>
  <c r="A111" i="12"/>
  <c r="B111" i="12"/>
  <c r="D111" i="12"/>
  <c r="G111" i="12"/>
  <c r="H111" i="12"/>
  <c r="I111" i="12"/>
  <c r="J111" i="12"/>
  <c r="K111" i="12"/>
  <c r="L111" i="12"/>
  <c r="A112" i="12"/>
  <c r="B112" i="12"/>
  <c r="M112" i="12" s="1"/>
  <c r="L111" i="14" s="1"/>
  <c r="D112" i="12"/>
  <c r="G112" i="12"/>
  <c r="H112" i="12"/>
  <c r="I112" i="12"/>
  <c r="J112" i="12"/>
  <c r="K112" i="12"/>
  <c r="L112" i="12"/>
  <c r="A113" i="12"/>
  <c r="B113" i="12"/>
  <c r="M113" i="12" s="1"/>
  <c r="L112" i="14" s="1"/>
  <c r="D113" i="12"/>
  <c r="G113" i="12"/>
  <c r="H113" i="12"/>
  <c r="I113" i="12"/>
  <c r="J113" i="12"/>
  <c r="K113" i="12"/>
  <c r="L113" i="12"/>
  <c r="A114" i="12"/>
  <c r="B114" i="12"/>
  <c r="C114" i="10" s="1"/>
  <c r="D114" i="12"/>
  <c r="G114" i="12"/>
  <c r="H114" i="12"/>
  <c r="I114" i="12"/>
  <c r="J114" i="12"/>
  <c r="K114" i="12"/>
  <c r="L114" i="12"/>
  <c r="A115" i="12"/>
  <c r="B115" i="12"/>
  <c r="D115" i="12"/>
  <c r="G115" i="12"/>
  <c r="H115" i="12"/>
  <c r="I115" i="12"/>
  <c r="J115" i="12"/>
  <c r="K115" i="12"/>
  <c r="L115" i="12"/>
  <c r="A116" i="12"/>
  <c r="B116" i="12"/>
  <c r="M116" i="12" s="1"/>
  <c r="L115" i="14" s="1"/>
  <c r="D116" i="12"/>
  <c r="G116" i="12"/>
  <c r="H116" i="12"/>
  <c r="I116" i="12"/>
  <c r="J116" i="12"/>
  <c r="K116" i="12"/>
  <c r="L116" i="12"/>
  <c r="A117" i="12"/>
  <c r="B117" i="12"/>
  <c r="M117" i="12" s="1"/>
  <c r="L116" i="14" s="1"/>
  <c r="D117" i="12"/>
  <c r="G117" i="12"/>
  <c r="H117" i="12"/>
  <c r="I117" i="12"/>
  <c r="J117" i="12"/>
  <c r="K117" i="12"/>
  <c r="L117" i="12"/>
  <c r="A118" i="12"/>
  <c r="B118" i="12"/>
  <c r="C118" i="10" s="1"/>
  <c r="D118" i="12"/>
  <c r="G118" i="12"/>
  <c r="H118" i="12"/>
  <c r="I118" i="12"/>
  <c r="J118" i="12"/>
  <c r="K118" i="12"/>
  <c r="L118" i="12"/>
  <c r="A119" i="12"/>
  <c r="B119" i="12"/>
  <c r="C119" i="10" s="1"/>
  <c r="D119" i="12"/>
  <c r="G119" i="12"/>
  <c r="H119" i="12"/>
  <c r="I119" i="12"/>
  <c r="J119" i="12"/>
  <c r="K119" i="12"/>
  <c r="L119" i="12"/>
  <c r="A120" i="12"/>
  <c r="B120" i="12"/>
  <c r="C120" i="10" s="1"/>
  <c r="D120" i="12"/>
  <c r="G120" i="12"/>
  <c r="H120" i="12"/>
  <c r="I120" i="12"/>
  <c r="J120" i="12"/>
  <c r="K120" i="12"/>
  <c r="L120" i="12"/>
  <c r="A121" i="12"/>
  <c r="B121" i="12"/>
  <c r="M121" i="12" s="1"/>
  <c r="L120" i="14" s="1"/>
  <c r="D121" i="12"/>
  <c r="G121" i="12"/>
  <c r="H121" i="12"/>
  <c r="I121" i="12"/>
  <c r="J121" i="12"/>
  <c r="K121" i="12"/>
  <c r="L121" i="12"/>
  <c r="A122" i="12"/>
  <c r="B122" i="12"/>
  <c r="C122" i="10" s="1"/>
  <c r="D122" i="12"/>
  <c r="G122" i="12"/>
  <c r="H122" i="12"/>
  <c r="I122" i="12"/>
  <c r="J122" i="12"/>
  <c r="K122" i="12"/>
  <c r="L122" i="12"/>
  <c r="A123" i="12"/>
  <c r="B123" i="12"/>
  <c r="C123" i="10" s="1"/>
  <c r="D123" i="12"/>
  <c r="G123" i="12"/>
  <c r="H123" i="12"/>
  <c r="I123" i="12"/>
  <c r="J123" i="12"/>
  <c r="K123" i="12"/>
  <c r="L123" i="12"/>
  <c r="A124" i="12"/>
  <c r="B124" i="12"/>
  <c r="D124" i="12"/>
  <c r="G124" i="12"/>
  <c r="H124" i="12"/>
  <c r="I124" i="12"/>
  <c r="J124" i="12"/>
  <c r="K124" i="12"/>
  <c r="L124" i="12"/>
  <c r="A125" i="12"/>
  <c r="B125" i="12"/>
  <c r="D125" i="12"/>
  <c r="G125" i="12"/>
  <c r="H125" i="12"/>
  <c r="I125" i="12"/>
  <c r="J125" i="12"/>
  <c r="K125" i="12"/>
  <c r="L125" i="12"/>
  <c r="A126" i="12"/>
  <c r="B126" i="12"/>
  <c r="M126" i="12" s="1"/>
  <c r="L125" i="14" s="1"/>
  <c r="D126" i="12"/>
  <c r="G126" i="12"/>
  <c r="H126" i="12"/>
  <c r="I126" i="12"/>
  <c r="J126" i="12"/>
  <c r="K126" i="12"/>
  <c r="L126" i="12"/>
  <c r="A127" i="12"/>
  <c r="B127" i="12"/>
  <c r="D127" i="10" s="1"/>
  <c r="D127" i="12"/>
  <c r="G127" i="12"/>
  <c r="H127" i="12"/>
  <c r="I127" i="12"/>
  <c r="J127" i="12"/>
  <c r="K127" i="12"/>
  <c r="L127" i="12"/>
  <c r="A78" i="12"/>
  <c r="D78" i="12"/>
  <c r="G78" i="12"/>
  <c r="H78" i="12"/>
  <c r="I78" i="12"/>
  <c r="J78" i="12"/>
  <c r="K78" i="12"/>
  <c r="L78" i="12"/>
  <c r="A70" i="12"/>
  <c r="D70" i="12"/>
  <c r="G70" i="12"/>
  <c r="H70" i="12"/>
  <c r="I70" i="12"/>
  <c r="J70" i="12"/>
  <c r="K70" i="12"/>
  <c r="L70" i="12"/>
  <c r="A71" i="12"/>
  <c r="D71" i="12"/>
  <c r="G71" i="12"/>
  <c r="H71" i="12"/>
  <c r="I71" i="12"/>
  <c r="J71" i="12"/>
  <c r="K71" i="12"/>
  <c r="L71" i="12"/>
  <c r="A72" i="12"/>
  <c r="D72" i="12"/>
  <c r="G72" i="12"/>
  <c r="H72" i="12"/>
  <c r="I72" i="12"/>
  <c r="J72" i="12"/>
  <c r="K72" i="12"/>
  <c r="L72" i="12"/>
  <c r="A73" i="12"/>
  <c r="D73" i="12"/>
  <c r="G73" i="12"/>
  <c r="H73" i="12"/>
  <c r="I73" i="12"/>
  <c r="J73" i="12"/>
  <c r="K73" i="12"/>
  <c r="L73" i="12"/>
  <c r="A74" i="12"/>
  <c r="D74" i="12"/>
  <c r="G74" i="12"/>
  <c r="H74" i="12"/>
  <c r="I74" i="12"/>
  <c r="J74" i="12"/>
  <c r="K74" i="12"/>
  <c r="L74" i="12"/>
  <c r="A75" i="12"/>
  <c r="D75" i="12"/>
  <c r="G75" i="12"/>
  <c r="H75" i="12"/>
  <c r="I75" i="12"/>
  <c r="J75" i="12"/>
  <c r="K75" i="12"/>
  <c r="L75" i="12"/>
  <c r="A76" i="12"/>
  <c r="D76" i="12"/>
  <c r="G76" i="12"/>
  <c r="H76" i="12"/>
  <c r="I76" i="12"/>
  <c r="J76" i="12"/>
  <c r="K76" i="12"/>
  <c r="L76" i="12"/>
  <c r="A77" i="12"/>
  <c r="D77" i="12"/>
  <c r="G77" i="12"/>
  <c r="H77" i="12"/>
  <c r="I77" i="12"/>
  <c r="J77" i="12"/>
  <c r="K77" i="12"/>
  <c r="L77" i="12"/>
  <c r="M54" i="12" l="1"/>
  <c r="T54" i="12" s="1"/>
  <c r="B54" i="10"/>
  <c r="M96" i="12"/>
  <c r="L95" i="14" s="1"/>
  <c r="B96" i="10"/>
  <c r="M53" i="12"/>
  <c r="T53" i="12" s="1"/>
  <c r="B53" i="10"/>
  <c r="B76" i="10"/>
  <c r="C76" i="10" s="1"/>
  <c r="M52" i="12"/>
  <c r="T52" i="12" s="1"/>
  <c r="B52" i="10"/>
  <c r="C75" i="10"/>
  <c r="B75" i="10"/>
  <c r="B73" i="10"/>
  <c r="C73" i="10" s="1"/>
  <c r="M101" i="12"/>
  <c r="L100" i="14" s="1"/>
  <c r="B101" i="10"/>
  <c r="B71" i="10"/>
  <c r="D71" i="10" s="1"/>
  <c r="B98" i="10"/>
  <c r="C98" i="10" s="1"/>
  <c r="M94" i="12"/>
  <c r="L93" i="14" s="1"/>
  <c r="B94" i="10"/>
  <c r="M93" i="12"/>
  <c r="L92" i="14" s="1"/>
  <c r="B93" i="10"/>
  <c r="M84" i="12"/>
  <c r="B84" i="10"/>
  <c r="B103" i="10"/>
  <c r="C103" i="10" s="1"/>
  <c r="M60" i="12"/>
  <c r="T60" i="12" s="1"/>
  <c r="B60" i="10"/>
  <c r="M59" i="12"/>
  <c r="R59" i="12" s="1"/>
  <c r="B59" i="10"/>
  <c r="B102" i="10"/>
  <c r="D102" i="10" s="1"/>
  <c r="M58" i="12"/>
  <c r="Q58" i="12" s="1"/>
  <c r="B58" i="10"/>
  <c r="M57" i="12"/>
  <c r="Q57" i="12" s="1"/>
  <c r="B57" i="10"/>
  <c r="M56" i="12"/>
  <c r="T56" i="12" s="1"/>
  <c r="B56" i="10"/>
  <c r="M55" i="12"/>
  <c r="Q55" i="12" s="1"/>
  <c r="B55" i="10"/>
  <c r="M51" i="12"/>
  <c r="T51" i="12" s="1"/>
  <c r="B51" i="10"/>
  <c r="M50" i="12"/>
  <c r="T50" i="12" s="1"/>
  <c r="B50" i="10"/>
  <c r="S86" i="1"/>
  <c r="R98" i="41"/>
  <c r="O98" i="41" s="1"/>
  <c r="T103" i="1"/>
  <c r="V103" i="1" s="1"/>
  <c r="W103" i="1" s="1"/>
  <c r="S103" i="1"/>
  <c r="U99" i="41"/>
  <c r="V99" i="41"/>
  <c r="W99" i="41" s="1"/>
  <c r="T98" i="41"/>
  <c r="S98" i="41"/>
  <c r="M85" i="12"/>
  <c r="C85" i="41"/>
  <c r="H94" i="1"/>
  <c r="E94" i="1"/>
  <c r="D94" i="1"/>
  <c r="G94" i="1"/>
  <c r="N94" i="1" s="1"/>
  <c r="F94" i="1"/>
  <c r="J94" i="1"/>
  <c r="M94" i="1" s="1"/>
  <c r="K94" i="1" s="1"/>
  <c r="L94" i="1" s="1"/>
  <c r="I94" i="1"/>
  <c r="M86" i="12"/>
  <c r="C86" i="41"/>
  <c r="D83" i="1"/>
  <c r="I83" i="1" s="1"/>
  <c r="E83" i="1"/>
  <c r="F83" i="1"/>
  <c r="G83" i="1"/>
  <c r="H83" i="1"/>
  <c r="AC71" i="12"/>
  <c r="AC99" i="12"/>
  <c r="U58" i="12"/>
  <c r="R55" i="12"/>
  <c r="S55" i="12"/>
  <c r="T49" i="12"/>
  <c r="S49" i="12"/>
  <c r="R49" i="12"/>
  <c r="W49" i="12" s="1"/>
  <c r="Q49" i="12"/>
  <c r="R53" i="12"/>
  <c r="Q54" i="12"/>
  <c r="S53" i="12"/>
  <c r="R54" i="12"/>
  <c r="Q53" i="12"/>
  <c r="S54" i="12"/>
  <c r="F83" i="11"/>
  <c r="E94" i="13"/>
  <c r="F93" i="11"/>
  <c r="W92" i="11" s="1"/>
  <c r="E93" i="13"/>
  <c r="S94" i="13"/>
  <c r="V94" i="13" s="1"/>
  <c r="W94" i="13" s="1"/>
  <c r="B93" i="13"/>
  <c r="C93" i="13" s="1"/>
  <c r="O56" i="12"/>
  <c r="P56" i="12" s="1"/>
  <c r="O54" i="12"/>
  <c r="P54" i="12" s="1"/>
  <c r="AD60" i="12"/>
  <c r="AE60" i="12" s="1"/>
  <c r="AC60" i="12"/>
  <c r="O53" i="12"/>
  <c r="P53" i="12" s="1"/>
  <c r="AC59" i="12"/>
  <c r="AD59" i="12"/>
  <c r="AE59" i="12" s="1"/>
  <c r="AD57" i="12"/>
  <c r="AE57" i="12" s="1"/>
  <c r="AC57" i="12"/>
  <c r="AC56" i="12"/>
  <c r="AD56" i="12"/>
  <c r="AE56" i="12" s="1"/>
  <c r="AD54" i="12"/>
  <c r="AE54" i="12" s="1"/>
  <c r="AC54" i="12"/>
  <c r="AD53" i="12"/>
  <c r="AE53" i="12" s="1"/>
  <c r="AC53" i="12"/>
  <c r="AD51" i="12"/>
  <c r="AE51" i="12" s="1"/>
  <c r="AC51" i="12"/>
  <c r="AD50" i="12"/>
  <c r="AE50" i="12" s="1"/>
  <c r="AC50" i="12"/>
  <c r="AD58" i="12"/>
  <c r="AE58" i="12" s="1"/>
  <c r="AC58" i="12"/>
  <c r="AD55" i="12"/>
  <c r="AE55" i="12" s="1"/>
  <c r="AC55" i="12"/>
  <c r="O59" i="12"/>
  <c r="P59" i="12" s="1"/>
  <c r="O57" i="12"/>
  <c r="P57" i="12" s="1"/>
  <c r="AD52" i="12"/>
  <c r="AE52" i="12" s="1"/>
  <c r="AC52" i="12"/>
  <c r="AA58" i="41"/>
  <c r="M128" i="12"/>
  <c r="L127" i="14" s="1"/>
  <c r="M114" i="12"/>
  <c r="L113" i="14" s="1"/>
  <c r="M127" i="12"/>
  <c r="L126" i="14" s="1"/>
  <c r="F93" i="12"/>
  <c r="B111" i="14"/>
  <c r="C111" i="14" s="1"/>
  <c r="M118" i="12"/>
  <c r="L117" i="14" s="1"/>
  <c r="M123" i="12"/>
  <c r="L122" i="14" s="1"/>
  <c r="N48" i="14"/>
  <c r="M122" i="12"/>
  <c r="L121" i="14" s="1"/>
  <c r="F78" i="10"/>
  <c r="B77" i="14"/>
  <c r="C77" i="14" s="1"/>
  <c r="F77" i="10"/>
  <c r="B76" i="14"/>
  <c r="C76" i="14" s="1"/>
  <c r="F75" i="10"/>
  <c r="B74" i="14"/>
  <c r="C74" i="14" s="1"/>
  <c r="F73" i="10"/>
  <c r="B72" i="14"/>
  <c r="C72" i="14" s="1"/>
  <c r="B61" i="14"/>
  <c r="C61" i="14" s="1"/>
  <c r="B60" i="14"/>
  <c r="C60" i="14" s="1"/>
  <c r="B71" i="14"/>
  <c r="C71" i="14" s="1"/>
  <c r="F71" i="10"/>
  <c r="B59" i="14"/>
  <c r="C59" i="14" s="1"/>
  <c r="B70" i="14"/>
  <c r="C70" i="14" s="1"/>
  <c r="F94" i="10"/>
  <c r="M98" i="12"/>
  <c r="L97" i="14" s="1"/>
  <c r="C70" i="10"/>
  <c r="F57" i="10"/>
  <c r="B56" i="14"/>
  <c r="C56" i="14" s="1"/>
  <c r="F70" i="10"/>
  <c r="F59" i="10"/>
  <c r="B58" i="14"/>
  <c r="C58" i="14" s="1"/>
  <c r="F56" i="10"/>
  <c r="B55" i="14"/>
  <c r="C55" i="14" s="1"/>
  <c r="F55" i="10"/>
  <c r="B54" i="14"/>
  <c r="C54" i="14" s="1"/>
  <c r="F54" i="10"/>
  <c r="B53" i="14"/>
  <c r="C53" i="14" s="1"/>
  <c r="F52" i="10"/>
  <c r="B51" i="14"/>
  <c r="C51" i="14" s="1"/>
  <c r="F51" i="10"/>
  <c r="B50" i="14"/>
  <c r="C50" i="14" s="1"/>
  <c r="F50" i="10"/>
  <c r="B49" i="14"/>
  <c r="C49" i="14" s="1"/>
  <c r="F53" i="10"/>
  <c r="B52" i="14"/>
  <c r="C52" i="14" s="1"/>
  <c r="F58" i="10"/>
  <c r="B57" i="14"/>
  <c r="C57" i="14" s="1"/>
  <c r="AC93" i="12"/>
  <c r="AC90" i="12"/>
  <c r="AC89" i="12"/>
  <c r="AC87" i="12"/>
  <c r="M95" i="12"/>
  <c r="L94" i="14" s="1"/>
  <c r="C95" i="10"/>
  <c r="F93" i="10"/>
  <c r="AC75" i="12"/>
  <c r="AC91" i="12"/>
  <c r="N94" i="11"/>
  <c r="K94" i="13" s="1"/>
  <c r="B94" i="9"/>
  <c r="F84" i="12"/>
  <c r="F92" i="10"/>
  <c r="M91" i="12"/>
  <c r="L90" i="14" s="1"/>
  <c r="AD91" i="12"/>
  <c r="AE91" i="12" s="1"/>
  <c r="M92" i="12"/>
  <c r="L91" i="14" s="1"/>
  <c r="F90" i="10"/>
  <c r="B90" i="14"/>
  <c r="C90" i="14" s="1"/>
  <c r="C90" i="10"/>
  <c r="D90" i="10"/>
  <c r="AC86" i="12"/>
  <c r="W94" i="14"/>
  <c r="X94" i="14" s="1"/>
  <c r="F85" i="12"/>
  <c r="F92" i="12"/>
  <c r="AA91" i="41"/>
  <c r="E90" i="14"/>
  <c r="F86" i="12"/>
  <c r="E92" i="14"/>
  <c r="E93" i="14"/>
  <c r="E94" i="14"/>
  <c r="F91" i="12"/>
  <c r="F95" i="12"/>
  <c r="V83" i="13"/>
  <c r="W83" i="13" s="1"/>
  <c r="E84" i="13"/>
  <c r="E83" i="13"/>
  <c r="V84" i="13"/>
  <c r="W84" i="13" s="1"/>
  <c r="W92" i="14"/>
  <c r="X92" i="14" s="1"/>
  <c r="W91" i="14"/>
  <c r="X91" i="14" s="1"/>
  <c r="W90" i="14"/>
  <c r="X90" i="14" s="1"/>
  <c r="S93" i="14"/>
  <c r="W93" i="14" s="1"/>
  <c r="X93" i="14" s="1"/>
  <c r="E91" i="14"/>
  <c r="B83" i="13"/>
  <c r="C83" i="13" s="1"/>
  <c r="AC85" i="12"/>
  <c r="AC84" i="12"/>
  <c r="B83" i="9"/>
  <c r="N83" i="11"/>
  <c r="K83" i="13" s="1"/>
  <c r="AC70" i="12"/>
  <c r="AC73" i="12"/>
  <c r="AC76" i="12"/>
  <c r="AA92" i="41"/>
  <c r="AA93" i="41"/>
  <c r="F94" i="12"/>
  <c r="T94" i="12" s="1"/>
  <c r="V85" i="13"/>
  <c r="W85" i="13" s="1"/>
  <c r="E85" i="13"/>
  <c r="M102" i="12"/>
  <c r="L101" i="14" s="1"/>
  <c r="C116" i="10"/>
  <c r="D105" i="10"/>
  <c r="D126" i="10"/>
  <c r="M119" i="12"/>
  <c r="L118" i="14" s="1"/>
  <c r="M111" i="12"/>
  <c r="L110" i="14" s="1"/>
  <c r="M106" i="12"/>
  <c r="L105" i="14" s="1"/>
  <c r="D101" i="10"/>
  <c r="M103" i="12"/>
  <c r="L102" i="14" s="1"/>
  <c r="D110" i="10"/>
  <c r="M129" i="12"/>
  <c r="L128" i="14" s="1"/>
  <c r="AC77" i="12"/>
  <c r="C77" i="10"/>
  <c r="M77" i="12"/>
  <c r="L76" i="14" s="1"/>
  <c r="U60" i="12"/>
  <c r="M75" i="12"/>
  <c r="L74" i="14" s="1"/>
  <c r="M71" i="12"/>
  <c r="M73" i="12"/>
  <c r="B93" i="9"/>
  <c r="M90" i="12"/>
  <c r="L89" i="14" s="1"/>
  <c r="F94" i="11"/>
  <c r="V93" i="13"/>
  <c r="W93" i="13" s="1"/>
  <c r="F94" i="9"/>
  <c r="F95" i="10"/>
  <c r="C96" i="10"/>
  <c r="D75" i="10"/>
  <c r="U57" i="12"/>
  <c r="C111" i="10"/>
  <c r="D111" i="10"/>
  <c r="M72" i="12"/>
  <c r="C72" i="10"/>
  <c r="M97" i="12"/>
  <c r="L96" i="14" s="1"/>
  <c r="D97" i="10"/>
  <c r="C78" i="10"/>
  <c r="D78" i="10"/>
  <c r="M125" i="12"/>
  <c r="L124" i="14" s="1"/>
  <c r="M108" i="12"/>
  <c r="L107" i="14" s="1"/>
  <c r="C108" i="10"/>
  <c r="M100" i="12"/>
  <c r="L99" i="14" s="1"/>
  <c r="C100" i="10"/>
  <c r="C74" i="10"/>
  <c r="D74" i="10"/>
  <c r="M124" i="12"/>
  <c r="L123" i="14" s="1"/>
  <c r="C124" i="10"/>
  <c r="M99" i="12"/>
  <c r="L98" i="14" s="1"/>
  <c r="C99" i="10"/>
  <c r="D129" i="10"/>
  <c r="C129" i="10"/>
  <c r="D121" i="10"/>
  <c r="C112" i="10"/>
  <c r="AD127" i="12"/>
  <c r="AE127" i="12" s="1"/>
  <c r="AD115" i="12"/>
  <c r="AE115" i="12" s="1"/>
  <c r="D115" i="10"/>
  <c r="F109" i="12"/>
  <c r="AD107" i="12"/>
  <c r="AE107" i="12" s="1"/>
  <c r="M104" i="12"/>
  <c r="L103" i="14" s="1"/>
  <c r="C104" i="10"/>
  <c r="F101" i="12"/>
  <c r="D113" i="10"/>
  <c r="D109" i="10"/>
  <c r="B119" i="14"/>
  <c r="C119" i="14" s="1"/>
  <c r="B112" i="14"/>
  <c r="C112" i="14" s="1"/>
  <c r="B104" i="14"/>
  <c r="C104" i="14" s="1"/>
  <c r="F74" i="10"/>
  <c r="B116" i="14"/>
  <c r="C116" i="14" s="1"/>
  <c r="B108" i="14"/>
  <c r="C108" i="14" s="1"/>
  <c r="B120" i="14"/>
  <c r="C120" i="14" s="1"/>
  <c r="B100" i="14"/>
  <c r="C100" i="14" s="1"/>
  <c r="F100" i="10"/>
  <c r="F104" i="10"/>
  <c r="B114" i="14"/>
  <c r="C114" i="14" s="1"/>
  <c r="B110" i="14"/>
  <c r="C110" i="14" s="1"/>
  <c r="F107" i="10"/>
  <c r="B121" i="14"/>
  <c r="C121" i="14" s="1"/>
  <c r="B102" i="14"/>
  <c r="C102" i="14" s="1"/>
  <c r="F119" i="10"/>
  <c r="F127" i="10"/>
  <c r="B122" i="14"/>
  <c r="C122" i="14" s="1"/>
  <c r="B109" i="14"/>
  <c r="C109" i="14" s="1"/>
  <c r="F124" i="10"/>
  <c r="F96" i="10"/>
  <c r="F76" i="10"/>
  <c r="F72" i="10"/>
  <c r="B125" i="14"/>
  <c r="C125" i="14" s="1"/>
  <c r="F126" i="10"/>
  <c r="F118" i="10"/>
  <c r="B117" i="14"/>
  <c r="C117" i="14" s="1"/>
  <c r="F114" i="10"/>
  <c r="B113" i="14"/>
  <c r="C113" i="14" s="1"/>
  <c r="B105" i="14"/>
  <c r="C105" i="14" s="1"/>
  <c r="F106" i="10"/>
  <c r="B101" i="14"/>
  <c r="C101" i="14" s="1"/>
  <c r="F102" i="10"/>
  <c r="F98" i="10"/>
  <c r="B97" i="14"/>
  <c r="C97" i="14" s="1"/>
  <c r="B128" i="14"/>
  <c r="C128" i="14" s="1"/>
  <c r="F129" i="10"/>
  <c r="F125" i="10"/>
  <c r="B124" i="14"/>
  <c r="C124" i="14" s="1"/>
  <c r="F97" i="10"/>
  <c r="F99" i="10"/>
  <c r="F128" i="10"/>
  <c r="U59" i="12"/>
  <c r="AA124" i="41"/>
  <c r="AA120" i="41"/>
  <c r="AA109" i="41"/>
  <c r="AA117" i="41"/>
  <c r="AA115" i="41"/>
  <c r="AA107" i="41"/>
  <c r="AA128" i="41"/>
  <c r="AA111" i="41"/>
  <c r="U50" i="12"/>
  <c r="AA113" i="41"/>
  <c r="AA105" i="41"/>
  <c r="AA100" i="41"/>
  <c r="AA119" i="41"/>
  <c r="U56" i="12"/>
  <c r="AA122" i="41"/>
  <c r="AA44" i="41"/>
  <c r="AA126" i="41"/>
  <c r="AA102" i="41"/>
  <c r="AA94" i="41"/>
  <c r="AA82" i="41"/>
  <c r="AA99" i="41"/>
  <c r="AA98" i="41"/>
  <c r="U54" i="12"/>
  <c r="AA118" i="41"/>
  <c r="AA116" i="41"/>
  <c r="AA114" i="41"/>
  <c r="AA112" i="41"/>
  <c r="AA110" i="41"/>
  <c r="AA108" i="41"/>
  <c r="AA106" i="41"/>
  <c r="AA104" i="41"/>
  <c r="AA129" i="41"/>
  <c r="AA127" i="41"/>
  <c r="AA125" i="41"/>
  <c r="AA123" i="41"/>
  <c r="AA121" i="41"/>
  <c r="AA103" i="41"/>
  <c r="AA96" i="41"/>
  <c r="AA101" i="41"/>
  <c r="U53" i="12"/>
  <c r="U52" i="12"/>
  <c r="U55" i="12"/>
  <c r="U51" i="12"/>
  <c r="AA95" i="41"/>
  <c r="D73" i="10"/>
  <c r="D76" i="10"/>
  <c r="D122" i="10"/>
  <c r="C127" i="10"/>
  <c r="D118" i="10"/>
  <c r="D106" i="10"/>
  <c r="D123" i="10"/>
  <c r="D119" i="10"/>
  <c r="D114" i="10"/>
  <c r="D103" i="10"/>
  <c r="D128" i="10"/>
  <c r="D120" i="10"/>
  <c r="V62" i="13"/>
  <c r="W62" i="13" s="1"/>
  <c r="V67" i="13"/>
  <c r="W67" i="13" s="1"/>
  <c r="V64" i="13"/>
  <c r="W64" i="13" s="1"/>
  <c r="E74" i="13"/>
  <c r="V73" i="13"/>
  <c r="W73" i="13" s="1"/>
  <c r="E71" i="13"/>
  <c r="E66" i="13"/>
  <c r="V59" i="13"/>
  <c r="W59" i="13" s="1"/>
  <c r="V78" i="13"/>
  <c r="W78" i="13" s="1"/>
  <c r="V61" i="13"/>
  <c r="W61" i="13" s="1"/>
  <c r="E75" i="13"/>
  <c r="V70" i="13"/>
  <c r="W70" i="13" s="1"/>
  <c r="V65" i="13"/>
  <c r="W65" i="13" s="1"/>
  <c r="E65" i="13"/>
  <c r="E63" i="13"/>
  <c r="V77" i="13"/>
  <c r="W77" i="13" s="1"/>
  <c r="E78" i="13"/>
  <c r="V69" i="13"/>
  <c r="W69" i="13" s="1"/>
  <c r="E77" i="13"/>
  <c r="E76" i="13"/>
  <c r="E72" i="13"/>
  <c r="E70" i="13"/>
  <c r="E69" i="13"/>
  <c r="E68" i="13"/>
  <c r="E62" i="13"/>
  <c r="R76" i="13"/>
  <c r="V76" i="13" s="1"/>
  <c r="W76" i="13" s="1"/>
  <c r="S75" i="13"/>
  <c r="V75" i="13" s="1"/>
  <c r="W75" i="13" s="1"/>
  <c r="R72" i="13"/>
  <c r="V72" i="13" s="1"/>
  <c r="W72" i="13" s="1"/>
  <c r="S71" i="13"/>
  <c r="V71" i="13" s="1"/>
  <c r="W71" i="13" s="1"/>
  <c r="R68" i="13"/>
  <c r="V68" i="13" s="1"/>
  <c r="W68" i="13" s="1"/>
  <c r="V66" i="13"/>
  <c r="W66" i="13" s="1"/>
  <c r="E61" i="13"/>
  <c r="E60" i="13"/>
  <c r="T74" i="13"/>
  <c r="V74" i="13" s="1"/>
  <c r="W74" i="13" s="1"/>
  <c r="E67" i="13"/>
  <c r="S63" i="13"/>
  <c r="V63" i="13" s="1"/>
  <c r="W63" i="13" s="1"/>
  <c r="E59" i="13"/>
  <c r="E73" i="13"/>
  <c r="E64" i="13"/>
  <c r="R60" i="13"/>
  <c r="V60" i="13" s="1"/>
  <c r="W60" i="13" s="1"/>
  <c r="V106" i="13"/>
  <c r="W106" i="13" s="1"/>
  <c r="V107" i="13"/>
  <c r="W107" i="13" s="1"/>
  <c r="V114" i="13"/>
  <c r="W114" i="13" s="1"/>
  <c r="V105" i="13"/>
  <c r="W105" i="13" s="1"/>
  <c r="E124" i="13"/>
  <c r="E123" i="13"/>
  <c r="E122" i="13"/>
  <c r="E121" i="13"/>
  <c r="E120" i="13"/>
  <c r="E119" i="13"/>
  <c r="E118" i="13"/>
  <c r="E117" i="13"/>
  <c r="E116" i="13"/>
  <c r="E115" i="13"/>
  <c r="E113" i="13"/>
  <c r="E111" i="13"/>
  <c r="E109" i="13"/>
  <c r="E90" i="13"/>
  <c r="E89" i="13"/>
  <c r="E88" i="13"/>
  <c r="E87" i="13"/>
  <c r="E86" i="13"/>
  <c r="E82" i="13"/>
  <c r="E81" i="13"/>
  <c r="E129" i="13"/>
  <c r="E112" i="13"/>
  <c r="E110" i="13"/>
  <c r="AD123" i="12"/>
  <c r="AE123" i="12" s="1"/>
  <c r="AK127" i="14"/>
  <c r="AK125" i="14"/>
  <c r="AK123" i="14"/>
  <c r="AK121" i="14"/>
  <c r="AK119" i="14"/>
  <c r="AK117" i="14"/>
  <c r="AK115" i="14"/>
  <c r="AK113" i="14"/>
  <c r="AK111" i="14"/>
  <c r="AK109" i="14"/>
  <c r="AK107" i="14"/>
  <c r="AK105" i="14"/>
  <c r="AK103" i="14"/>
  <c r="AK101" i="14"/>
  <c r="AK99" i="14"/>
  <c r="AK97" i="14"/>
  <c r="AK95" i="14"/>
  <c r="AK93" i="14"/>
  <c r="AK91" i="14"/>
  <c r="AK89" i="14"/>
  <c r="AK87" i="14"/>
  <c r="AK85" i="14"/>
  <c r="AK83" i="14"/>
  <c r="E89" i="14"/>
  <c r="E126" i="14"/>
  <c r="E96" i="14"/>
  <c r="E122" i="14"/>
  <c r="E100" i="14"/>
  <c r="W124" i="14"/>
  <c r="X124" i="14" s="1"/>
  <c r="E97" i="14"/>
  <c r="W109" i="14"/>
  <c r="X109" i="14" s="1"/>
  <c r="E116" i="14"/>
  <c r="S100" i="14"/>
  <c r="W100" i="14" s="1"/>
  <c r="X100" i="14" s="1"/>
  <c r="S96" i="14"/>
  <c r="W96" i="14" s="1"/>
  <c r="X96" i="14" s="1"/>
  <c r="E119" i="14"/>
  <c r="E108" i="14"/>
  <c r="E118" i="14"/>
  <c r="E105" i="14"/>
  <c r="W101" i="14"/>
  <c r="X101" i="14" s="1"/>
  <c r="W118" i="14"/>
  <c r="X118" i="14" s="1"/>
  <c r="W123" i="14"/>
  <c r="X123" i="14" s="1"/>
  <c r="W122" i="14"/>
  <c r="X122" i="14" s="1"/>
  <c r="W120" i="14"/>
  <c r="X120" i="14" s="1"/>
  <c r="E101" i="14"/>
  <c r="W127" i="14"/>
  <c r="X127" i="14" s="1"/>
  <c r="W126" i="14"/>
  <c r="X126" i="14" s="1"/>
  <c r="E120" i="14"/>
  <c r="E114" i="14"/>
  <c r="E104" i="14"/>
  <c r="W99" i="14"/>
  <c r="X99" i="14" s="1"/>
  <c r="W89" i="14"/>
  <c r="X89" i="14" s="1"/>
  <c r="W128" i="14"/>
  <c r="X128" i="14" s="1"/>
  <c r="E127" i="14"/>
  <c r="N127" i="14" s="1"/>
  <c r="AF127" i="14" s="1"/>
  <c r="E125" i="14"/>
  <c r="E124" i="14"/>
  <c r="W115" i="14"/>
  <c r="X115" i="14" s="1"/>
  <c r="W114" i="14"/>
  <c r="X114" i="14" s="1"/>
  <c r="E109" i="14"/>
  <c r="W98" i="14"/>
  <c r="X98" i="14" s="1"/>
  <c r="E117" i="14"/>
  <c r="E112" i="14"/>
  <c r="E123" i="14"/>
  <c r="W97" i="14"/>
  <c r="X97" i="14" s="1"/>
  <c r="E128" i="14"/>
  <c r="W119" i="14"/>
  <c r="X119" i="14" s="1"/>
  <c r="W116" i="14"/>
  <c r="X116" i="14" s="1"/>
  <c r="E115" i="14"/>
  <c r="N115" i="14" s="1"/>
  <c r="AF115" i="14" s="1"/>
  <c r="W103" i="14"/>
  <c r="X103" i="14" s="1"/>
  <c r="W102" i="14"/>
  <c r="X102" i="14" s="1"/>
  <c r="E121" i="14"/>
  <c r="E111" i="14"/>
  <c r="S111" i="14"/>
  <c r="W111" i="14" s="1"/>
  <c r="X111" i="14" s="1"/>
  <c r="E110" i="14"/>
  <c r="T110" i="14"/>
  <c r="W110" i="14" s="1"/>
  <c r="X110" i="14" s="1"/>
  <c r="E95" i="14"/>
  <c r="N95" i="14" s="1"/>
  <c r="S95" i="14"/>
  <c r="W95" i="14" s="1"/>
  <c r="X95" i="14" s="1"/>
  <c r="E113" i="14"/>
  <c r="E107" i="14"/>
  <c r="S107" i="14"/>
  <c r="W107" i="14" s="1"/>
  <c r="X107" i="14" s="1"/>
  <c r="W106" i="14"/>
  <c r="X106" i="14" s="1"/>
  <c r="S125" i="14"/>
  <c r="W125" i="14" s="1"/>
  <c r="X125" i="14" s="1"/>
  <c r="S121" i="14"/>
  <c r="W121" i="14" s="1"/>
  <c r="X121" i="14" s="1"/>
  <c r="S117" i="14"/>
  <c r="W117" i="14" s="1"/>
  <c r="X117" i="14" s="1"/>
  <c r="S113" i="14"/>
  <c r="W113" i="14" s="1"/>
  <c r="X113" i="14" s="1"/>
  <c r="E99" i="14"/>
  <c r="E98" i="14"/>
  <c r="T112" i="14"/>
  <c r="W112" i="14" s="1"/>
  <c r="X112" i="14" s="1"/>
  <c r="W104" i="14"/>
  <c r="X104" i="14" s="1"/>
  <c r="W108" i="14"/>
  <c r="X108" i="14" s="1"/>
  <c r="E106" i="14"/>
  <c r="N106" i="14" s="1"/>
  <c r="AF106" i="14" s="1"/>
  <c r="W105" i="14"/>
  <c r="X105" i="14" s="1"/>
  <c r="E103" i="14"/>
  <c r="E102" i="14"/>
  <c r="T129" i="13"/>
  <c r="V129" i="13" s="1"/>
  <c r="W129" i="13" s="1"/>
  <c r="V104" i="13"/>
  <c r="W104" i="13" s="1"/>
  <c r="E128" i="13"/>
  <c r="S128" i="13"/>
  <c r="V128" i="13" s="1"/>
  <c r="W128" i="13" s="1"/>
  <c r="E127" i="13"/>
  <c r="S127" i="13"/>
  <c r="V127" i="13" s="1"/>
  <c r="W127" i="13" s="1"/>
  <c r="E126" i="13"/>
  <c r="S126" i="13"/>
  <c r="V126" i="13" s="1"/>
  <c r="W126" i="13" s="1"/>
  <c r="E125" i="13"/>
  <c r="S125" i="13"/>
  <c r="V125" i="13" s="1"/>
  <c r="W125" i="13" s="1"/>
  <c r="V108" i="13"/>
  <c r="W108" i="13" s="1"/>
  <c r="V103" i="13"/>
  <c r="W103" i="13" s="1"/>
  <c r="E102" i="13"/>
  <c r="S102" i="13"/>
  <c r="V102" i="13" s="1"/>
  <c r="W102" i="13" s="1"/>
  <c r="E101" i="13"/>
  <c r="S101" i="13"/>
  <c r="V101" i="13" s="1"/>
  <c r="W101" i="13" s="1"/>
  <c r="E99" i="13"/>
  <c r="S99" i="13"/>
  <c r="V99" i="13" s="1"/>
  <c r="W99" i="13" s="1"/>
  <c r="E98" i="13"/>
  <c r="S98" i="13"/>
  <c r="V98" i="13" s="1"/>
  <c r="W98" i="13" s="1"/>
  <c r="S124" i="13"/>
  <c r="V124" i="13" s="1"/>
  <c r="W124" i="13" s="1"/>
  <c r="S123" i="13"/>
  <c r="V123" i="13" s="1"/>
  <c r="W123" i="13" s="1"/>
  <c r="S122" i="13"/>
  <c r="V122" i="13" s="1"/>
  <c r="W122" i="13" s="1"/>
  <c r="S121" i="13"/>
  <c r="V121" i="13" s="1"/>
  <c r="W121" i="13" s="1"/>
  <c r="S120" i="13"/>
  <c r="V120" i="13" s="1"/>
  <c r="W120" i="13" s="1"/>
  <c r="S119" i="13"/>
  <c r="V119" i="13" s="1"/>
  <c r="W119" i="13" s="1"/>
  <c r="S118" i="13"/>
  <c r="V118" i="13" s="1"/>
  <c r="W118" i="13" s="1"/>
  <c r="S117" i="13"/>
  <c r="V117" i="13" s="1"/>
  <c r="W117" i="13" s="1"/>
  <c r="S116" i="13"/>
  <c r="V116" i="13" s="1"/>
  <c r="W116" i="13" s="1"/>
  <c r="S115" i="13"/>
  <c r="V115" i="13" s="1"/>
  <c r="W115" i="13" s="1"/>
  <c r="E114" i="13"/>
  <c r="S113" i="13"/>
  <c r="V113" i="13" s="1"/>
  <c r="W113" i="13" s="1"/>
  <c r="S112" i="13"/>
  <c r="V112" i="13" s="1"/>
  <c r="W112" i="13" s="1"/>
  <c r="S111" i="13"/>
  <c r="V111" i="13" s="1"/>
  <c r="W111" i="13" s="1"/>
  <c r="S110" i="13"/>
  <c r="V110" i="13" s="1"/>
  <c r="W110" i="13" s="1"/>
  <c r="S109" i="13"/>
  <c r="V109" i="13" s="1"/>
  <c r="W109" i="13" s="1"/>
  <c r="E108" i="13"/>
  <c r="E107" i="13"/>
  <c r="E106" i="13"/>
  <c r="E105" i="13"/>
  <c r="E104" i="13"/>
  <c r="E103" i="13"/>
  <c r="E100" i="13"/>
  <c r="S100" i="13"/>
  <c r="V100" i="13" s="1"/>
  <c r="W100" i="13" s="1"/>
  <c r="E97" i="13"/>
  <c r="R97" i="13"/>
  <c r="V97" i="13" s="1"/>
  <c r="W97" i="13" s="1"/>
  <c r="E95" i="13"/>
  <c r="R95" i="13"/>
  <c r="V95" i="13" s="1"/>
  <c r="W95" i="13" s="1"/>
  <c r="E91" i="13"/>
  <c r="R91" i="13"/>
  <c r="V91" i="13" s="1"/>
  <c r="W91" i="13" s="1"/>
  <c r="E96" i="13"/>
  <c r="R96" i="13"/>
  <c r="V96" i="13" s="1"/>
  <c r="W96" i="13" s="1"/>
  <c r="E92" i="13"/>
  <c r="R92" i="13"/>
  <c r="V92" i="13" s="1"/>
  <c r="W92" i="13" s="1"/>
  <c r="R90" i="13"/>
  <c r="V90" i="13" s="1"/>
  <c r="W90" i="13" s="1"/>
  <c r="R89" i="13"/>
  <c r="V89" i="13" s="1"/>
  <c r="W89" i="13" s="1"/>
  <c r="R88" i="13"/>
  <c r="V88" i="13" s="1"/>
  <c r="W88" i="13" s="1"/>
  <c r="R87" i="13"/>
  <c r="V87" i="13" s="1"/>
  <c r="W87" i="13" s="1"/>
  <c r="R86" i="13"/>
  <c r="V86" i="13" s="1"/>
  <c r="W86" i="13" s="1"/>
  <c r="R82" i="13"/>
  <c r="V82" i="13" s="1"/>
  <c r="W82" i="13" s="1"/>
  <c r="R81" i="13"/>
  <c r="V81" i="13" s="1"/>
  <c r="W81" i="13" s="1"/>
  <c r="AD109" i="12"/>
  <c r="AE109" i="12" s="1"/>
  <c r="AD97" i="12"/>
  <c r="AE97" i="12" s="1"/>
  <c r="F76" i="12"/>
  <c r="F78" i="12"/>
  <c r="F129" i="12"/>
  <c r="M115" i="12"/>
  <c r="L114" i="14" s="1"/>
  <c r="F71" i="12"/>
  <c r="AD70" i="12"/>
  <c r="AE70" i="12" s="1"/>
  <c r="F127" i="12"/>
  <c r="F125" i="12"/>
  <c r="AD103" i="12"/>
  <c r="AE103" i="12" s="1"/>
  <c r="F75" i="12"/>
  <c r="AD129" i="12"/>
  <c r="AE129" i="12" s="1"/>
  <c r="AD121" i="12"/>
  <c r="AE121" i="12" s="1"/>
  <c r="AD98" i="12"/>
  <c r="AE98" i="12" s="1"/>
  <c r="AD72" i="12"/>
  <c r="AE72" i="12" s="1"/>
  <c r="AC72" i="12"/>
  <c r="M78" i="12"/>
  <c r="L77" i="14" s="1"/>
  <c r="F123" i="12"/>
  <c r="M120" i="12"/>
  <c r="L119" i="14" s="1"/>
  <c r="AD99" i="12"/>
  <c r="AE99" i="12" s="1"/>
  <c r="AC78" i="12"/>
  <c r="AD78" i="12"/>
  <c r="AE78" i="12" s="1"/>
  <c r="AC74" i="12"/>
  <c r="AD74" i="12"/>
  <c r="AE74" i="12" s="1"/>
  <c r="F77" i="12"/>
  <c r="F117" i="12"/>
  <c r="M76" i="12"/>
  <c r="L75" i="14" s="1"/>
  <c r="N75" i="14" s="1"/>
  <c r="AD76" i="12"/>
  <c r="AE76" i="12" s="1"/>
  <c r="M74" i="12"/>
  <c r="L73" i="14" s="1"/>
  <c r="N73" i="14" s="1"/>
  <c r="M70" i="12"/>
  <c r="L69" i="14" s="1"/>
  <c r="N69" i="14" s="1"/>
  <c r="AD111" i="12"/>
  <c r="AE111" i="12" s="1"/>
  <c r="AC111" i="12"/>
  <c r="F73" i="12"/>
  <c r="F72" i="12"/>
  <c r="F126" i="12"/>
  <c r="F118" i="12"/>
  <c r="F116" i="12"/>
  <c r="F111" i="12"/>
  <c r="F110" i="12"/>
  <c r="F108" i="12"/>
  <c r="F103" i="12"/>
  <c r="F102" i="12"/>
  <c r="F100" i="12"/>
  <c r="AC129" i="12"/>
  <c r="AD128" i="12"/>
  <c r="AE128" i="12" s="1"/>
  <c r="AC128" i="12"/>
  <c r="AD125" i="12"/>
  <c r="AE125" i="12" s="1"/>
  <c r="AD124" i="12"/>
  <c r="AE124" i="12" s="1"/>
  <c r="AC124" i="12"/>
  <c r="AD116" i="12"/>
  <c r="AE116" i="12" s="1"/>
  <c r="AD101" i="12"/>
  <c r="AE101" i="12" s="1"/>
  <c r="AD92" i="12"/>
  <c r="AE92" i="12" s="1"/>
  <c r="AC92" i="12"/>
  <c r="AC88" i="12"/>
  <c r="AD118" i="12"/>
  <c r="AE118" i="12" s="1"/>
  <c r="AC118" i="12"/>
  <c r="AC117" i="12"/>
  <c r="AD117" i="12"/>
  <c r="AE117" i="12" s="1"/>
  <c r="F74" i="12"/>
  <c r="F70" i="12"/>
  <c r="F122" i="12"/>
  <c r="F115" i="12"/>
  <c r="F114" i="12"/>
  <c r="F112" i="12"/>
  <c r="F107" i="12"/>
  <c r="F106" i="12"/>
  <c r="F104" i="12"/>
  <c r="F99" i="12"/>
  <c r="F98" i="12"/>
  <c r="F96" i="12"/>
  <c r="T96" i="12" s="1"/>
  <c r="AD93" i="12"/>
  <c r="AE93" i="12" s="1"/>
  <c r="F90" i="12"/>
  <c r="AD110" i="12"/>
  <c r="AE110" i="12" s="1"/>
  <c r="AC110" i="12"/>
  <c r="AC109" i="12"/>
  <c r="AD106" i="12"/>
  <c r="AE106" i="12" s="1"/>
  <c r="AC106" i="12"/>
  <c r="AC105" i="12"/>
  <c r="AD105" i="12"/>
  <c r="AE105" i="12" s="1"/>
  <c r="F113" i="12"/>
  <c r="F105" i="12"/>
  <c r="F97" i="12"/>
  <c r="F128" i="12"/>
  <c r="AD122" i="12"/>
  <c r="AE122" i="12" s="1"/>
  <c r="AD113" i="12"/>
  <c r="AE113" i="12" s="1"/>
  <c r="AD108" i="12"/>
  <c r="AE108" i="12" s="1"/>
  <c r="AD102" i="12"/>
  <c r="AE102" i="12" s="1"/>
  <c r="AC102" i="12"/>
  <c r="AD95" i="12"/>
  <c r="AE95" i="12" s="1"/>
  <c r="AD90" i="12"/>
  <c r="AE90" i="12" s="1"/>
  <c r="AD126" i="12"/>
  <c r="AE126" i="12" s="1"/>
  <c r="AC126" i="12"/>
  <c r="AD119" i="12"/>
  <c r="AE119" i="12" s="1"/>
  <c r="AD114" i="12"/>
  <c r="AE114" i="12" s="1"/>
  <c r="AD100" i="12"/>
  <c r="AE100" i="12" s="1"/>
  <c r="AD94" i="12"/>
  <c r="AE94" i="12" s="1"/>
  <c r="AC94" i="12"/>
  <c r="AD120" i="12"/>
  <c r="AE120" i="12" s="1"/>
  <c r="AD112" i="12"/>
  <c r="AE112" i="12" s="1"/>
  <c r="AD104" i="12"/>
  <c r="AE104" i="12" s="1"/>
  <c r="AD96" i="12"/>
  <c r="AE96" i="12" s="1"/>
  <c r="AD77" i="12"/>
  <c r="AE77" i="12" s="1"/>
  <c r="AD75" i="12"/>
  <c r="AE75" i="12" s="1"/>
  <c r="AD73" i="12"/>
  <c r="AE73" i="12" s="1"/>
  <c r="AD71" i="12"/>
  <c r="AE71" i="12" s="1"/>
  <c r="F124" i="12"/>
  <c r="F121" i="12"/>
  <c r="F119" i="12"/>
  <c r="F120" i="12"/>
  <c r="S59" i="12" l="1"/>
  <c r="Q59" i="12"/>
  <c r="T59" i="12"/>
  <c r="T101" i="12"/>
  <c r="R57" i="12"/>
  <c r="S60" i="12"/>
  <c r="N93" i="14"/>
  <c r="R56" i="12"/>
  <c r="Q56" i="12"/>
  <c r="S51" i="12"/>
  <c r="R51" i="12"/>
  <c r="W51" i="12" s="1"/>
  <c r="O51" i="12" s="1"/>
  <c r="P51" i="12" s="1"/>
  <c r="S52" i="12"/>
  <c r="R52" i="12"/>
  <c r="Q52" i="12"/>
  <c r="T84" i="12"/>
  <c r="D98" i="10"/>
  <c r="C71" i="10"/>
  <c r="Q51" i="12"/>
  <c r="T58" i="12"/>
  <c r="T57" i="12"/>
  <c r="L49" i="14"/>
  <c r="S58" i="12"/>
  <c r="Q50" i="12"/>
  <c r="C102" i="10"/>
  <c r="N92" i="14"/>
  <c r="O92" i="14" s="1"/>
  <c r="P92" i="14" s="1"/>
  <c r="T93" i="12"/>
  <c r="S57" i="12"/>
  <c r="T55" i="12"/>
  <c r="R58" i="12"/>
  <c r="S50" i="12"/>
  <c r="R50" i="12"/>
  <c r="W50" i="12" s="1"/>
  <c r="O50" i="12" s="1"/>
  <c r="P50" i="12" s="1"/>
  <c r="S56" i="12"/>
  <c r="N77" i="14"/>
  <c r="U98" i="41"/>
  <c r="V98" i="41"/>
  <c r="W98" i="41" s="1"/>
  <c r="T103" i="12"/>
  <c r="Q94" i="1"/>
  <c r="U94" i="1"/>
  <c r="P94" i="1"/>
  <c r="R94" i="1"/>
  <c r="O94" i="1" s="1"/>
  <c r="F85" i="41"/>
  <c r="G85" i="41"/>
  <c r="H85" i="41"/>
  <c r="D85" i="41"/>
  <c r="E85" i="41" s="1"/>
  <c r="T86" i="12"/>
  <c r="P83" i="1"/>
  <c r="T102" i="12"/>
  <c r="N83" i="1"/>
  <c r="D86" i="41"/>
  <c r="E86" i="41" s="1"/>
  <c r="F86" i="41"/>
  <c r="H86" i="41"/>
  <c r="G86" i="41"/>
  <c r="I86" i="41"/>
  <c r="R86" i="41"/>
  <c r="P86" i="41"/>
  <c r="N111" i="14"/>
  <c r="AF111" i="14" s="1"/>
  <c r="T98" i="12"/>
  <c r="J83" i="1"/>
  <c r="M83" i="1" s="1"/>
  <c r="Q83" i="1" s="1"/>
  <c r="D104" i="10"/>
  <c r="D124" i="10"/>
  <c r="D112" i="10"/>
  <c r="C101" i="10"/>
  <c r="C105" i="10"/>
  <c r="D95" i="10"/>
  <c r="T90" i="12"/>
  <c r="T100" i="12"/>
  <c r="T99" i="12"/>
  <c r="T97" i="12"/>
  <c r="T104" i="12"/>
  <c r="M93" i="13"/>
  <c r="X93" i="13" s="1"/>
  <c r="T95" i="12"/>
  <c r="T91" i="12"/>
  <c r="T92" i="12"/>
  <c r="N126" i="14"/>
  <c r="AF126" i="14" s="1"/>
  <c r="W93" i="11"/>
  <c r="W82" i="11"/>
  <c r="AA97" i="41"/>
  <c r="R95" i="12"/>
  <c r="W95" i="12" s="1"/>
  <c r="S95" i="12"/>
  <c r="AA76" i="41"/>
  <c r="U76" i="12"/>
  <c r="AA74" i="41"/>
  <c r="U74" i="12"/>
  <c r="U121" i="12"/>
  <c r="U105" i="12"/>
  <c r="R85" i="12"/>
  <c r="W85" i="12" s="1"/>
  <c r="S85" i="12"/>
  <c r="AA71" i="41"/>
  <c r="U71" i="12"/>
  <c r="R84" i="12"/>
  <c r="W84" i="12" s="1"/>
  <c r="R100" i="12"/>
  <c r="W100" i="12" s="1"/>
  <c r="T85" i="12"/>
  <c r="S84" i="12"/>
  <c r="S100" i="12"/>
  <c r="U95" i="12"/>
  <c r="U100" i="12"/>
  <c r="R90" i="12"/>
  <c r="W90" i="12" s="1"/>
  <c r="R101" i="12"/>
  <c r="R96" i="12"/>
  <c r="W96" i="12" s="1"/>
  <c r="U108" i="12"/>
  <c r="S90" i="12"/>
  <c r="S101" i="12"/>
  <c r="S96" i="12"/>
  <c r="R102" i="12"/>
  <c r="U116" i="12"/>
  <c r="S102" i="12"/>
  <c r="U124" i="12"/>
  <c r="U101" i="12"/>
  <c r="U96" i="12"/>
  <c r="U119" i="12"/>
  <c r="AA72" i="41"/>
  <c r="U72" i="12"/>
  <c r="U109" i="12"/>
  <c r="U102" i="12"/>
  <c r="R103" i="12"/>
  <c r="U117" i="12"/>
  <c r="R104" i="12"/>
  <c r="U110" i="12"/>
  <c r="S103" i="12"/>
  <c r="R94" i="12"/>
  <c r="W94" i="12" s="1"/>
  <c r="AA77" i="41"/>
  <c r="U77" i="12"/>
  <c r="U125" i="12"/>
  <c r="S104" i="12"/>
  <c r="U118" i="12"/>
  <c r="S94" i="12"/>
  <c r="U126" i="12"/>
  <c r="U103" i="12"/>
  <c r="AA73" i="41"/>
  <c r="U73" i="12"/>
  <c r="AA75" i="41"/>
  <c r="U75" i="12"/>
  <c r="AA70" i="41"/>
  <c r="U70" i="12"/>
  <c r="R92" i="12"/>
  <c r="W92" i="12" s="1"/>
  <c r="U104" i="12"/>
  <c r="U94" i="12"/>
  <c r="S92" i="12"/>
  <c r="U112" i="12"/>
  <c r="R99" i="12"/>
  <c r="W99" i="12" s="1"/>
  <c r="R91" i="12"/>
  <c r="W91" i="12" s="1"/>
  <c r="U120" i="12"/>
  <c r="S99" i="12"/>
  <c r="S91" i="12"/>
  <c r="R98" i="12"/>
  <c r="W98" i="12" s="1"/>
  <c r="U92" i="12"/>
  <c r="U113" i="12"/>
  <c r="S98" i="12"/>
  <c r="U129" i="12"/>
  <c r="U99" i="12"/>
  <c r="Z99" i="12" s="1"/>
  <c r="U91" i="12"/>
  <c r="R86" i="12"/>
  <c r="W86" i="12" s="1"/>
  <c r="U111" i="12"/>
  <c r="U98" i="12"/>
  <c r="Z98" i="12" s="1"/>
  <c r="AA68" i="41"/>
  <c r="S86" i="12"/>
  <c r="R93" i="12"/>
  <c r="W93" i="12" s="1"/>
  <c r="U127" i="12"/>
  <c r="U106" i="12"/>
  <c r="R97" i="12"/>
  <c r="W97" i="12" s="1"/>
  <c r="S93" i="12"/>
  <c r="U107" i="12"/>
  <c r="U114" i="12"/>
  <c r="AA78" i="41"/>
  <c r="U78" i="12"/>
  <c r="AA69" i="41"/>
  <c r="S97" i="12"/>
  <c r="U115" i="12"/>
  <c r="U122" i="12"/>
  <c r="U128" i="12"/>
  <c r="U93" i="12"/>
  <c r="U123" i="12"/>
  <c r="S116" i="12"/>
  <c r="R116" i="12"/>
  <c r="T116" i="12"/>
  <c r="T74" i="12"/>
  <c r="S74" i="12"/>
  <c r="R74" i="12"/>
  <c r="Q74" i="12"/>
  <c r="S120" i="12"/>
  <c r="T120" i="12"/>
  <c r="R120" i="12"/>
  <c r="T122" i="12"/>
  <c r="S122" i="12"/>
  <c r="R122" i="12"/>
  <c r="R119" i="12"/>
  <c r="S119" i="12"/>
  <c r="T119" i="12"/>
  <c r="T70" i="12"/>
  <c r="S70" i="12"/>
  <c r="R70" i="12"/>
  <c r="Q70" i="12"/>
  <c r="R118" i="12"/>
  <c r="T118" i="12"/>
  <c r="S118" i="12"/>
  <c r="T75" i="12"/>
  <c r="S75" i="12"/>
  <c r="R75" i="12"/>
  <c r="Q75" i="12"/>
  <c r="T124" i="12"/>
  <c r="S124" i="12"/>
  <c r="R124" i="12"/>
  <c r="T72" i="12"/>
  <c r="S72" i="12"/>
  <c r="R72" i="12"/>
  <c r="Q72" i="12"/>
  <c r="T105" i="12"/>
  <c r="S105" i="12"/>
  <c r="R105" i="12"/>
  <c r="Q73" i="12"/>
  <c r="T73" i="12"/>
  <c r="S73" i="12"/>
  <c r="R73" i="12"/>
  <c r="T125" i="12"/>
  <c r="S125" i="12"/>
  <c r="R125" i="12"/>
  <c r="AA65" i="41"/>
  <c r="AA66" i="41"/>
  <c r="AA62" i="41"/>
  <c r="D70" i="10"/>
  <c r="T71" i="12"/>
  <c r="S71" i="12"/>
  <c r="R71" i="12"/>
  <c r="Q71" i="12"/>
  <c r="AA63" i="41"/>
  <c r="T128" i="12"/>
  <c r="S128" i="12"/>
  <c r="R128" i="12"/>
  <c r="Q128" i="12"/>
  <c r="T78" i="12"/>
  <c r="S78" i="12"/>
  <c r="R78" i="12"/>
  <c r="Q78" i="12"/>
  <c r="T117" i="12"/>
  <c r="S117" i="12"/>
  <c r="R117" i="12"/>
  <c r="T77" i="12"/>
  <c r="S77" i="12"/>
  <c r="Q77" i="12"/>
  <c r="R77" i="12"/>
  <c r="T76" i="12"/>
  <c r="S76" i="12"/>
  <c r="R76" i="12"/>
  <c r="Q76" i="12"/>
  <c r="AA61" i="41"/>
  <c r="T127" i="12"/>
  <c r="S127" i="12"/>
  <c r="R127" i="12"/>
  <c r="AA64" i="41"/>
  <c r="T113" i="12"/>
  <c r="S113" i="12"/>
  <c r="R113" i="12"/>
  <c r="T123" i="12"/>
  <c r="S123" i="12"/>
  <c r="R123" i="12"/>
  <c r="T126" i="12"/>
  <c r="S126" i="12"/>
  <c r="R126" i="12"/>
  <c r="T106" i="12"/>
  <c r="S106" i="12"/>
  <c r="R106" i="12"/>
  <c r="T107" i="12"/>
  <c r="S107" i="12"/>
  <c r="R107" i="12"/>
  <c r="T112" i="12"/>
  <c r="S112" i="12"/>
  <c r="R112" i="12"/>
  <c r="T108" i="12"/>
  <c r="S108" i="12"/>
  <c r="R108" i="12"/>
  <c r="T121" i="12"/>
  <c r="S121" i="12"/>
  <c r="R121" i="12"/>
  <c r="T110" i="12"/>
  <c r="S110" i="12"/>
  <c r="R110" i="12"/>
  <c r="T129" i="12"/>
  <c r="S129" i="12"/>
  <c r="R129" i="12"/>
  <c r="Q129" i="12"/>
  <c r="R114" i="12"/>
  <c r="T114" i="12"/>
  <c r="S114" i="12"/>
  <c r="S115" i="12"/>
  <c r="R115" i="12"/>
  <c r="T115" i="12"/>
  <c r="T111" i="12"/>
  <c r="S111" i="12"/>
  <c r="R111" i="12"/>
  <c r="AA67" i="41"/>
  <c r="T109" i="12"/>
  <c r="S109" i="12"/>
  <c r="R109" i="12"/>
  <c r="M94" i="13"/>
  <c r="X94" i="13" s="1"/>
  <c r="V93" i="11"/>
  <c r="V94" i="11"/>
  <c r="N98" i="14"/>
  <c r="AF98" i="14" s="1"/>
  <c r="Y48" i="14"/>
  <c r="O48" i="14"/>
  <c r="N96" i="14"/>
  <c r="O96" i="14" s="1"/>
  <c r="P96" i="14" s="1"/>
  <c r="AA56" i="41"/>
  <c r="AA59" i="41"/>
  <c r="AA51" i="41"/>
  <c r="AA60" i="41"/>
  <c r="AA54" i="41"/>
  <c r="AA52" i="41"/>
  <c r="AA50" i="41"/>
  <c r="AA55" i="41"/>
  <c r="AA53" i="41"/>
  <c r="AA57" i="41"/>
  <c r="D108" i="10"/>
  <c r="N121" i="14"/>
  <c r="AF121" i="14" s="1"/>
  <c r="N76" i="14"/>
  <c r="Y76" i="14" s="1"/>
  <c r="D99" i="10"/>
  <c r="N118" i="14"/>
  <c r="Y118" i="14" s="1"/>
  <c r="N74" i="14"/>
  <c r="O74" i="14" s="1"/>
  <c r="AC74" i="14" s="1"/>
  <c r="AO74" i="14" s="1"/>
  <c r="D116" i="10"/>
  <c r="C59" i="10"/>
  <c r="D59" i="10"/>
  <c r="Y77" i="14"/>
  <c r="O77" i="14"/>
  <c r="AC77" i="14" s="1"/>
  <c r="AO77" i="14" s="1"/>
  <c r="L60" i="14"/>
  <c r="N60" i="14" s="1"/>
  <c r="L71" i="14"/>
  <c r="N71" i="14" s="1"/>
  <c r="L61" i="14"/>
  <c r="N61" i="14" s="1"/>
  <c r="L72" i="14"/>
  <c r="N72" i="14" s="1"/>
  <c r="L59" i="14"/>
  <c r="N59" i="14" s="1"/>
  <c r="L70" i="14"/>
  <c r="N70" i="14" s="1"/>
  <c r="Y69" i="14"/>
  <c r="O69" i="14"/>
  <c r="AC69" i="14" s="1"/>
  <c r="AO69" i="14" s="1"/>
  <c r="Y73" i="14"/>
  <c r="O73" i="14"/>
  <c r="AC73" i="14" s="1"/>
  <c r="AO73" i="14" s="1"/>
  <c r="O75" i="14"/>
  <c r="AC75" i="14" s="1"/>
  <c r="AO75" i="14" s="1"/>
  <c r="Y75" i="14"/>
  <c r="C126" i="10"/>
  <c r="C109" i="10"/>
  <c r="D100" i="10"/>
  <c r="C110" i="10"/>
  <c r="L58" i="14"/>
  <c r="N58" i="14" s="1"/>
  <c r="N116" i="14"/>
  <c r="O116" i="14" s="1"/>
  <c r="P116" i="14" s="1"/>
  <c r="N117" i="14"/>
  <c r="O117" i="14" s="1"/>
  <c r="P117" i="14" s="1"/>
  <c r="N101" i="14"/>
  <c r="AF101" i="14" s="1"/>
  <c r="N94" i="14"/>
  <c r="O94" i="14" s="1"/>
  <c r="P94" i="14" s="1"/>
  <c r="N112" i="14"/>
  <c r="Y112" i="14" s="1"/>
  <c r="N104" i="14"/>
  <c r="O104" i="14" s="1"/>
  <c r="P104" i="14" s="1"/>
  <c r="O127" i="14"/>
  <c r="P127" i="14" s="1"/>
  <c r="O106" i="14"/>
  <c r="P106" i="14" s="1"/>
  <c r="O115" i="14"/>
  <c r="P115" i="14" s="1"/>
  <c r="D96" i="10"/>
  <c r="AF95" i="14"/>
  <c r="O95" i="14"/>
  <c r="P95" i="14" s="1"/>
  <c r="C94" i="10"/>
  <c r="D94" i="10"/>
  <c r="D93" i="10"/>
  <c r="C93" i="10"/>
  <c r="D94" i="9"/>
  <c r="C94" i="9"/>
  <c r="N90" i="14"/>
  <c r="O90" i="14" s="1"/>
  <c r="P90" i="14" s="1"/>
  <c r="N91" i="14"/>
  <c r="O91" i="14" s="1"/>
  <c r="P91" i="14" s="1"/>
  <c r="C92" i="10"/>
  <c r="D92" i="10"/>
  <c r="Y93" i="14"/>
  <c r="O93" i="14"/>
  <c r="P93" i="14" s="1"/>
  <c r="Z93" i="14" s="1"/>
  <c r="AA93" i="14" s="1"/>
  <c r="AB93" i="14" s="1"/>
  <c r="N89" i="14"/>
  <c r="AF89" i="14" s="1"/>
  <c r="C91" i="10"/>
  <c r="D91" i="10"/>
  <c r="D77" i="10"/>
  <c r="M83" i="13"/>
  <c r="D72" i="10"/>
  <c r="D83" i="9"/>
  <c r="C83" i="9"/>
  <c r="N99" i="14"/>
  <c r="Y99" i="14" s="1"/>
  <c r="D93" i="9"/>
  <c r="C93" i="9"/>
  <c r="N113" i="14"/>
  <c r="Y113" i="14" s="1"/>
  <c r="AG127" i="14"/>
  <c r="AH127" i="14" s="1"/>
  <c r="AI127" i="14"/>
  <c r="AJ127" i="14" s="1"/>
  <c r="AG98" i="14"/>
  <c r="AI98" i="14"/>
  <c r="AI121" i="14"/>
  <c r="AG121" i="14"/>
  <c r="AG91" i="14"/>
  <c r="AI91" i="14"/>
  <c r="AG122" i="14"/>
  <c r="AI122" i="14"/>
  <c r="C121" i="10"/>
  <c r="C115" i="10"/>
  <c r="N97" i="14"/>
  <c r="D107" i="10"/>
  <c r="C107" i="10"/>
  <c r="D125" i="10"/>
  <c r="C125" i="10"/>
  <c r="AI97" i="14"/>
  <c r="AG97" i="14"/>
  <c r="AG105" i="14"/>
  <c r="AI105" i="14"/>
  <c r="AG114" i="14"/>
  <c r="AI114" i="14"/>
  <c r="AG107" i="14"/>
  <c r="AI107" i="14"/>
  <c r="AI120" i="14"/>
  <c r="AG120" i="14"/>
  <c r="AI106" i="14"/>
  <c r="AJ106" i="14" s="1"/>
  <c r="AG106" i="14"/>
  <c r="AH106" i="14" s="1"/>
  <c r="N128" i="14"/>
  <c r="AG123" i="14"/>
  <c r="AI123" i="14"/>
  <c r="AI96" i="14"/>
  <c r="AG96" i="14"/>
  <c r="AG89" i="14"/>
  <c r="AI89" i="14"/>
  <c r="AG111" i="14"/>
  <c r="AI111" i="14"/>
  <c r="AG93" i="14"/>
  <c r="AI93" i="14"/>
  <c r="AI101" i="14"/>
  <c r="AG101" i="14"/>
  <c r="AG109" i="14"/>
  <c r="AI109" i="14"/>
  <c r="AG117" i="14"/>
  <c r="AI117" i="14"/>
  <c r="AI124" i="14"/>
  <c r="AG124" i="14"/>
  <c r="N107" i="14"/>
  <c r="N100" i="14"/>
  <c r="C97" i="10"/>
  <c r="C113" i="10"/>
  <c r="AG100" i="14"/>
  <c r="AI100" i="14"/>
  <c r="D117" i="10"/>
  <c r="C117" i="10"/>
  <c r="AG118" i="14"/>
  <c r="AI118" i="14"/>
  <c r="AG112" i="14"/>
  <c r="AI112" i="14"/>
  <c r="AG99" i="14"/>
  <c r="AI99" i="14"/>
  <c r="AI115" i="14"/>
  <c r="AJ115" i="14" s="1"/>
  <c r="AG115" i="14"/>
  <c r="AH115" i="14" s="1"/>
  <c r="AI92" i="14"/>
  <c r="AG92" i="14"/>
  <c r="N108" i="14"/>
  <c r="O108" i="14" s="1"/>
  <c r="P108" i="14" s="1"/>
  <c r="AI119" i="14"/>
  <c r="AG119" i="14"/>
  <c r="AG104" i="14"/>
  <c r="AI104" i="14"/>
  <c r="AG90" i="14"/>
  <c r="AI90" i="14"/>
  <c r="AG95" i="14"/>
  <c r="AI95" i="14"/>
  <c r="AG103" i="14"/>
  <c r="AI103" i="14"/>
  <c r="AG113" i="14"/>
  <c r="AI113" i="14"/>
  <c r="AG94" i="14"/>
  <c r="AI94" i="14"/>
  <c r="AG102" i="14"/>
  <c r="AI102" i="14"/>
  <c r="AI110" i="14"/>
  <c r="AG110" i="14"/>
  <c r="AI125" i="14"/>
  <c r="AG125" i="14"/>
  <c r="AI116" i="14"/>
  <c r="AG116" i="14"/>
  <c r="AG126" i="14"/>
  <c r="AI126" i="14"/>
  <c r="AI128" i="14"/>
  <c r="AG128" i="14"/>
  <c r="N103" i="14"/>
  <c r="N123" i="14"/>
  <c r="N109" i="14"/>
  <c r="Y109" i="14" s="1"/>
  <c r="N125" i="14"/>
  <c r="AG108" i="14"/>
  <c r="AI108" i="14"/>
  <c r="N122" i="14"/>
  <c r="Y122" i="14" s="1"/>
  <c r="N120" i="14"/>
  <c r="N110" i="14"/>
  <c r="AF93" i="14"/>
  <c r="N102" i="14"/>
  <c r="N105" i="14"/>
  <c r="N124" i="14"/>
  <c r="N119" i="14"/>
  <c r="AI76" i="14"/>
  <c r="AG76" i="14"/>
  <c r="AG77" i="14"/>
  <c r="AI77" i="14"/>
  <c r="AI69" i="14"/>
  <c r="AG69" i="14"/>
  <c r="AI71" i="14"/>
  <c r="AG71" i="14"/>
  <c r="AI74" i="14"/>
  <c r="AG74" i="14"/>
  <c r="AG72" i="14"/>
  <c r="AI72" i="14"/>
  <c r="AG70" i="14"/>
  <c r="AI70" i="14"/>
  <c r="AI73" i="14"/>
  <c r="AG73" i="14"/>
  <c r="AG75" i="14"/>
  <c r="AI75" i="14"/>
  <c r="N114" i="14"/>
  <c r="AF92" i="14"/>
  <c r="Y95" i="14"/>
  <c r="Y106" i="14"/>
  <c r="Y115" i="14"/>
  <c r="Y127" i="14"/>
  <c r="AJ111" i="14" l="1"/>
  <c r="AH111" i="14"/>
  <c r="Y92" i="14"/>
  <c r="R83" i="1"/>
  <c r="O83" i="1" s="1"/>
  <c r="S83" i="1" s="1"/>
  <c r="N85" i="41"/>
  <c r="O111" i="14"/>
  <c r="P111" i="14" s="1"/>
  <c r="I85" i="41"/>
  <c r="P85" i="41" s="1"/>
  <c r="J85" i="41"/>
  <c r="M85" i="41" s="1"/>
  <c r="T94" i="1"/>
  <c r="V94" i="1" s="1"/>
  <c r="W94" i="1" s="1"/>
  <c r="S94" i="1"/>
  <c r="R85" i="41"/>
  <c r="Y111" i="14"/>
  <c r="J86" i="41"/>
  <c r="M86" i="41" s="1"/>
  <c r="O86" i="41" s="1"/>
  <c r="T86" i="41" s="1"/>
  <c r="N86" i="41"/>
  <c r="U83" i="1"/>
  <c r="K83" i="1"/>
  <c r="L83" i="1" s="1"/>
  <c r="Y126" i="14"/>
  <c r="AJ126" i="14"/>
  <c r="AH126" i="14"/>
  <c r="O126" i="14"/>
  <c r="P126" i="14" s="1"/>
  <c r="Z126" i="14" s="1"/>
  <c r="AA126" i="14" s="1"/>
  <c r="AB126" i="14" s="1"/>
  <c r="N93" i="13"/>
  <c r="O93" i="13" s="1"/>
  <c r="Y93" i="13" s="1"/>
  <c r="Z93" i="13" s="1"/>
  <c r="AA93" i="13" s="1"/>
  <c r="AB93" i="13" s="1"/>
  <c r="AC93" i="13" s="1"/>
  <c r="N94" i="13"/>
  <c r="O94" i="13" s="1"/>
  <c r="Y94" i="13" s="1"/>
  <c r="Z94" i="13" s="1"/>
  <c r="AA94" i="13" s="1"/>
  <c r="AB94" i="13" s="1"/>
  <c r="AC94" i="13" s="1"/>
  <c r="U97" i="12"/>
  <c r="Z97" i="12" s="1"/>
  <c r="AA49" i="41"/>
  <c r="U49" i="12"/>
  <c r="Y96" i="14"/>
  <c r="Q96" i="14" s="1"/>
  <c r="AF96" i="14"/>
  <c r="AJ96" i="14" s="1"/>
  <c r="AJ121" i="14"/>
  <c r="Y98" i="14"/>
  <c r="Y121" i="14"/>
  <c r="AH121" i="14"/>
  <c r="O121" i="14"/>
  <c r="P121" i="14" s="1"/>
  <c r="Z121" i="14" s="1"/>
  <c r="AA121" i="14" s="1"/>
  <c r="AB121" i="14" s="1"/>
  <c r="O98" i="14"/>
  <c r="P98" i="14" s="1"/>
  <c r="Z98" i="14" s="1"/>
  <c r="AA98" i="14" s="1"/>
  <c r="AB98" i="14" s="1"/>
  <c r="AC98" i="14" s="1"/>
  <c r="AF108" i="14"/>
  <c r="AH108" i="14" s="1"/>
  <c r="AF118" i="14"/>
  <c r="AJ118" i="14" s="1"/>
  <c r="AF117" i="14"/>
  <c r="AH117" i="14" s="1"/>
  <c r="Y117" i="14"/>
  <c r="AF116" i="14"/>
  <c r="AJ116" i="14" s="1"/>
  <c r="AC116" i="14"/>
  <c r="AO116" i="14" s="1"/>
  <c r="O118" i="14"/>
  <c r="P118" i="14" s="1"/>
  <c r="Z118" i="14" s="1"/>
  <c r="AA118" i="14" s="1"/>
  <c r="AB118" i="14" s="1"/>
  <c r="Y116" i="14"/>
  <c r="AJ98" i="14"/>
  <c r="P48" i="14"/>
  <c r="Z48" i="14" s="1"/>
  <c r="AA48" i="14" s="1"/>
  <c r="AB48" i="14" s="1"/>
  <c r="AC48" i="14" s="1"/>
  <c r="AO48" i="14" s="1"/>
  <c r="AJ101" i="14"/>
  <c r="Y94" i="14"/>
  <c r="Q94" i="14" s="1"/>
  <c r="O76" i="14"/>
  <c r="AC76" i="14" s="1"/>
  <c r="AO76" i="14" s="1"/>
  <c r="O101" i="14"/>
  <c r="P101" i="14" s="1"/>
  <c r="Z101" i="14" s="1"/>
  <c r="AA101" i="14" s="1"/>
  <c r="AB101" i="14" s="1"/>
  <c r="Y74" i="14"/>
  <c r="AH101" i="14"/>
  <c r="Y101" i="14"/>
  <c r="AH98" i="14"/>
  <c r="O128" i="12"/>
  <c r="O129" i="12"/>
  <c r="Q74" i="14"/>
  <c r="P74" i="14"/>
  <c r="Z74" i="14" s="1"/>
  <c r="AA74" i="14" s="1"/>
  <c r="AB74" i="14" s="1"/>
  <c r="AD74" i="14"/>
  <c r="P75" i="14"/>
  <c r="Z75" i="14" s="1"/>
  <c r="AA75" i="14" s="1"/>
  <c r="AB75" i="14" s="1"/>
  <c r="Q75" i="14"/>
  <c r="AD75" i="14"/>
  <c r="P73" i="14"/>
  <c r="Z73" i="14" s="1"/>
  <c r="AA73" i="14" s="1"/>
  <c r="AB73" i="14" s="1"/>
  <c r="AD73" i="14"/>
  <c r="Q73" i="14"/>
  <c r="P69" i="14"/>
  <c r="Z69" i="14" s="1"/>
  <c r="AA69" i="14" s="1"/>
  <c r="AB69" i="14" s="1"/>
  <c r="Q69" i="14"/>
  <c r="AD69" i="14"/>
  <c r="O70" i="14"/>
  <c r="AC70" i="14" s="1"/>
  <c r="AO70" i="14" s="1"/>
  <c r="Y70" i="14"/>
  <c r="Y59" i="14"/>
  <c r="O59" i="14"/>
  <c r="AC59" i="14" s="1"/>
  <c r="AO59" i="14" s="1"/>
  <c r="O72" i="14"/>
  <c r="AC72" i="14" s="1"/>
  <c r="AO72" i="14" s="1"/>
  <c r="Y72" i="14"/>
  <c r="O70" i="12"/>
  <c r="H59" i="10" s="1"/>
  <c r="I59" i="10" s="1"/>
  <c r="J59" i="10" s="1"/>
  <c r="L59" i="10" s="1"/>
  <c r="M59" i="10" s="1"/>
  <c r="Y61" i="14"/>
  <c r="O61" i="14"/>
  <c r="AC61" i="14" s="1"/>
  <c r="AO61" i="14" s="1"/>
  <c r="Y71" i="14"/>
  <c r="O71" i="14"/>
  <c r="AC71" i="14" s="1"/>
  <c r="AO71" i="14" s="1"/>
  <c r="Y60" i="14"/>
  <c r="O60" i="14"/>
  <c r="AC60" i="14" s="1"/>
  <c r="AO60" i="14" s="1"/>
  <c r="AD77" i="14"/>
  <c r="P77" i="14"/>
  <c r="Z77" i="14" s="1"/>
  <c r="AA77" i="14" s="1"/>
  <c r="AB77" i="14" s="1"/>
  <c r="Q77" i="14"/>
  <c r="O71" i="12"/>
  <c r="P71" i="12" s="1"/>
  <c r="AD117" i="14"/>
  <c r="AF94" i="14"/>
  <c r="AH94" i="14" s="1"/>
  <c r="Y58" i="14"/>
  <c r="O58" i="14"/>
  <c r="AC58" i="14" s="1"/>
  <c r="AO58" i="14" s="1"/>
  <c r="Y104" i="14"/>
  <c r="AF104" i="14"/>
  <c r="AH104" i="14" s="1"/>
  <c r="AC104" i="14"/>
  <c r="AO104" i="14" s="1"/>
  <c r="AF110" i="14"/>
  <c r="AJ110" i="14" s="1"/>
  <c r="O110" i="14"/>
  <c r="P110" i="14" s="1"/>
  <c r="Z110" i="14" s="1"/>
  <c r="AA110" i="14" s="1"/>
  <c r="AB110" i="14" s="1"/>
  <c r="AF120" i="14"/>
  <c r="AJ120" i="14" s="1"/>
  <c r="O120" i="14"/>
  <c r="P120" i="14" s="1"/>
  <c r="Z120" i="14" s="1"/>
  <c r="AA120" i="14" s="1"/>
  <c r="AB120" i="14" s="1"/>
  <c r="AF123" i="14"/>
  <c r="AJ123" i="14" s="1"/>
  <c r="O123" i="14"/>
  <c r="P123" i="14" s="1"/>
  <c r="Z123" i="14" s="1"/>
  <c r="AA123" i="14" s="1"/>
  <c r="AB123" i="14" s="1"/>
  <c r="AF113" i="14"/>
  <c r="AJ113" i="14" s="1"/>
  <c r="O113" i="14"/>
  <c r="P113" i="14" s="1"/>
  <c r="Z113" i="14" s="1"/>
  <c r="AA113" i="14" s="1"/>
  <c r="AB113" i="14" s="1"/>
  <c r="Y125" i="14"/>
  <c r="O125" i="14"/>
  <c r="P125" i="14" s="1"/>
  <c r="Z125" i="14" s="1"/>
  <c r="AA125" i="14" s="1"/>
  <c r="AB125" i="14" s="1"/>
  <c r="Y114" i="14"/>
  <c r="O114" i="14"/>
  <c r="P114" i="14" s="1"/>
  <c r="Y124" i="14"/>
  <c r="O124" i="14"/>
  <c r="P124" i="14" s="1"/>
  <c r="AF103" i="14"/>
  <c r="AH103" i="14" s="1"/>
  <c r="O103" i="14"/>
  <c r="P103" i="14" s="1"/>
  <c r="Z103" i="14" s="1"/>
  <c r="AA103" i="14" s="1"/>
  <c r="AB103" i="14" s="1"/>
  <c r="AF105" i="14"/>
  <c r="AH105" i="14" s="1"/>
  <c r="O105" i="14"/>
  <c r="P105" i="14" s="1"/>
  <c r="Z105" i="14" s="1"/>
  <c r="AA105" i="14" s="1"/>
  <c r="AB105" i="14" s="1"/>
  <c r="AF107" i="14"/>
  <c r="AH107" i="14" s="1"/>
  <c r="O107" i="14"/>
  <c r="P107" i="14" s="1"/>
  <c r="Z107" i="14" s="1"/>
  <c r="AA107" i="14" s="1"/>
  <c r="AB107" i="14" s="1"/>
  <c r="AF112" i="14"/>
  <c r="AJ112" i="14" s="1"/>
  <c r="O112" i="14"/>
  <c r="P112" i="14" s="1"/>
  <c r="Z112" i="14" s="1"/>
  <c r="AA112" i="14" s="1"/>
  <c r="AB112" i="14" s="1"/>
  <c r="AF102" i="14"/>
  <c r="AJ102" i="14" s="1"/>
  <c r="O102" i="14"/>
  <c r="P102" i="14" s="1"/>
  <c r="Z102" i="14" s="1"/>
  <c r="AA102" i="14" s="1"/>
  <c r="AB102" i="14" s="1"/>
  <c r="Y120" i="14"/>
  <c r="AF119" i="14"/>
  <c r="AJ119" i="14" s="1"/>
  <c r="O119" i="14"/>
  <c r="P119" i="14" s="1"/>
  <c r="Z119" i="14" s="1"/>
  <c r="AA119" i="14" s="1"/>
  <c r="AB119" i="14" s="1"/>
  <c r="AF100" i="14"/>
  <c r="AH100" i="14" s="1"/>
  <c r="O100" i="14"/>
  <c r="P100" i="14" s="1"/>
  <c r="Z100" i="14" s="1"/>
  <c r="AA100" i="14" s="1"/>
  <c r="AB100" i="14" s="1"/>
  <c r="Y128" i="14"/>
  <c r="O128" i="14"/>
  <c r="P128" i="14" s="1"/>
  <c r="Z128" i="14" s="1"/>
  <c r="AA128" i="14" s="1"/>
  <c r="AB128" i="14" s="1"/>
  <c r="AF122" i="14"/>
  <c r="AH122" i="14" s="1"/>
  <c r="O122" i="14"/>
  <c r="P122" i="14" s="1"/>
  <c r="Z122" i="14" s="1"/>
  <c r="AA122" i="14" s="1"/>
  <c r="AB122" i="14" s="1"/>
  <c r="AF109" i="14"/>
  <c r="AJ109" i="14" s="1"/>
  <c r="O109" i="14"/>
  <c r="P109" i="14" s="1"/>
  <c r="Z109" i="14" s="1"/>
  <c r="AA109" i="14" s="1"/>
  <c r="AB109" i="14" s="1"/>
  <c r="AH93" i="14"/>
  <c r="AF99" i="14"/>
  <c r="AJ99" i="14" s="1"/>
  <c r="O99" i="14"/>
  <c r="P99" i="14" s="1"/>
  <c r="Z99" i="14" s="1"/>
  <c r="AA99" i="14" s="1"/>
  <c r="AB99" i="14" s="1"/>
  <c r="AF97" i="14"/>
  <c r="AH97" i="14" s="1"/>
  <c r="O97" i="14"/>
  <c r="P97" i="14" s="1"/>
  <c r="Z97" i="14" s="1"/>
  <c r="AA97" i="14" s="1"/>
  <c r="AB97" i="14" s="1"/>
  <c r="AJ95" i="14"/>
  <c r="AH95" i="14"/>
  <c r="O89" i="14"/>
  <c r="P89" i="14" s="1"/>
  <c r="Z89" i="14" s="1"/>
  <c r="AA89" i="14" s="1"/>
  <c r="AB89" i="14" s="1"/>
  <c r="AC89" i="14" s="1"/>
  <c r="AJ89" i="14"/>
  <c r="Y89" i="14"/>
  <c r="AC93" i="14"/>
  <c r="Q93" i="14"/>
  <c r="Y90" i="14"/>
  <c r="AF90" i="14"/>
  <c r="AJ90" i="14" s="1"/>
  <c r="AN75" i="14"/>
  <c r="AF91" i="14"/>
  <c r="AJ91" i="14" s="1"/>
  <c r="Y91" i="14"/>
  <c r="Q91" i="14" s="1"/>
  <c r="AH89" i="14"/>
  <c r="AF71" i="14"/>
  <c r="AH71" i="14" s="1"/>
  <c r="AF72" i="14"/>
  <c r="AH72" i="14" s="1"/>
  <c r="AF76" i="14"/>
  <c r="AJ76" i="14" s="1"/>
  <c r="AF77" i="14"/>
  <c r="AJ77" i="14" s="1"/>
  <c r="AF74" i="14"/>
  <c r="AH74" i="14" s="1"/>
  <c r="AF70" i="14"/>
  <c r="AJ70" i="14" s="1"/>
  <c r="AF69" i="14"/>
  <c r="AJ69" i="14" s="1"/>
  <c r="AF73" i="14"/>
  <c r="AH73" i="14" s="1"/>
  <c r="AJ92" i="14"/>
  <c r="Z90" i="14"/>
  <c r="AA90" i="14" s="1"/>
  <c r="AB90" i="14" s="1"/>
  <c r="AC90" i="14" s="1"/>
  <c r="N83" i="13"/>
  <c r="X83" i="13"/>
  <c r="Z91" i="14"/>
  <c r="AA91" i="14" s="1"/>
  <c r="AB91" i="14" s="1"/>
  <c r="AC91" i="14" s="1"/>
  <c r="Z92" i="14"/>
  <c r="AA92" i="14" s="1"/>
  <c r="AB92" i="14" s="1"/>
  <c r="AC92" i="14" s="1"/>
  <c r="Q92" i="14"/>
  <c r="AC108" i="14"/>
  <c r="AO108" i="14" s="1"/>
  <c r="AD108" i="14"/>
  <c r="Y123" i="14"/>
  <c r="Y108" i="14"/>
  <c r="Y107" i="14"/>
  <c r="AF128" i="14"/>
  <c r="AJ128" i="14" s="1"/>
  <c r="Y103" i="14"/>
  <c r="Z94" i="14"/>
  <c r="AA94" i="14" s="1"/>
  <c r="AB94" i="14" s="1"/>
  <c r="AC94" i="14" s="1"/>
  <c r="Y100" i="14"/>
  <c r="Y97" i="14"/>
  <c r="AF125" i="14"/>
  <c r="AH125" i="14" s="1"/>
  <c r="AJ93" i="14"/>
  <c r="Y110" i="14"/>
  <c r="Y102" i="14"/>
  <c r="Y105" i="14"/>
  <c r="Q116" i="14"/>
  <c r="Y119" i="14"/>
  <c r="AF124" i="14"/>
  <c r="AJ124" i="14" s="1"/>
  <c r="Q104" i="14"/>
  <c r="AF114" i="14"/>
  <c r="AH114" i="14" s="1"/>
  <c r="AH92" i="14"/>
  <c r="AF75" i="14"/>
  <c r="AJ75" i="14" s="1"/>
  <c r="Z104" i="14"/>
  <c r="AA104" i="14" s="1"/>
  <c r="AB104" i="14" s="1"/>
  <c r="AD116" i="14"/>
  <c r="AD104" i="14"/>
  <c r="Z116" i="14"/>
  <c r="AA116" i="14" s="1"/>
  <c r="AB116" i="14" s="1"/>
  <c r="AL95" i="14"/>
  <c r="AM95" i="14" s="1"/>
  <c r="AN95" i="14" s="1"/>
  <c r="AL115" i="14"/>
  <c r="AM115" i="14" s="1"/>
  <c r="AN115" i="14"/>
  <c r="AL93" i="14"/>
  <c r="AM93" i="14" s="1"/>
  <c r="AN93" i="14" s="1"/>
  <c r="AL91" i="14"/>
  <c r="AM91" i="14" s="1"/>
  <c r="AN91" i="14" s="1"/>
  <c r="AL96" i="14"/>
  <c r="AM96" i="14" s="1"/>
  <c r="AN96" i="14" s="1"/>
  <c r="AL108" i="14"/>
  <c r="AM108" i="14" s="1"/>
  <c r="AN108" i="14"/>
  <c r="Q108" i="14"/>
  <c r="Z96" i="14"/>
  <c r="AA96" i="14" s="1"/>
  <c r="AB96" i="14" s="1"/>
  <c r="AC96" i="14" s="1"/>
  <c r="AN127" i="14"/>
  <c r="AL127" i="14"/>
  <c r="AM127" i="14" s="1"/>
  <c r="AL106" i="14"/>
  <c r="AM106" i="14" s="1"/>
  <c r="AN106" i="14"/>
  <c r="Z108" i="14"/>
  <c r="AA108" i="14" s="1"/>
  <c r="AB108" i="14" s="1"/>
  <c r="AN111" i="14"/>
  <c r="AL111" i="14"/>
  <c r="AM111" i="14" s="1"/>
  <c r="AL94" i="14"/>
  <c r="AM94" i="14" s="1"/>
  <c r="AN94" i="14" s="1"/>
  <c r="Z117" i="14"/>
  <c r="AA117" i="14" s="1"/>
  <c r="AB117" i="14" s="1"/>
  <c r="AL117" i="14"/>
  <c r="AM117" i="14" s="1"/>
  <c r="AN117" i="14"/>
  <c r="AL104" i="14"/>
  <c r="AM104" i="14" s="1"/>
  <c r="AN104" i="14"/>
  <c r="AL116" i="14"/>
  <c r="AM116" i="14" s="1"/>
  <c r="AN116" i="14"/>
  <c r="AL75" i="14"/>
  <c r="AM75" i="14" s="1"/>
  <c r="AC117" i="14"/>
  <c r="AO117" i="14" s="1"/>
  <c r="Q117" i="14"/>
  <c r="Z111" i="14"/>
  <c r="AA111" i="14" s="1"/>
  <c r="AB111" i="14" s="1"/>
  <c r="Q111" i="14"/>
  <c r="AC111" i="14"/>
  <c r="AO111" i="14" s="1"/>
  <c r="AD111" i="14"/>
  <c r="AD127" i="14"/>
  <c r="Z127" i="14"/>
  <c r="AA127" i="14" s="1"/>
  <c r="AB127" i="14" s="1"/>
  <c r="Q127" i="14"/>
  <c r="AC127" i="14"/>
  <c r="AO127" i="14" s="1"/>
  <c r="Q106" i="14"/>
  <c r="AC106" i="14"/>
  <c r="AO106" i="14" s="1"/>
  <c r="AD106" i="14"/>
  <c r="Z106" i="14"/>
  <c r="AA106" i="14" s="1"/>
  <c r="AB106" i="14" s="1"/>
  <c r="Z95" i="14"/>
  <c r="AA95" i="14" s="1"/>
  <c r="AB95" i="14" s="1"/>
  <c r="AC95" i="14" s="1"/>
  <c r="Q95" i="14"/>
  <c r="AD115" i="14"/>
  <c r="Z115" i="14"/>
  <c r="AA115" i="14" s="1"/>
  <c r="AB115" i="14" s="1"/>
  <c r="Q115" i="14"/>
  <c r="AC115" i="14"/>
  <c r="AO115" i="14" s="1"/>
  <c r="T83" i="1" l="1"/>
  <c r="V83" i="1" s="1"/>
  <c r="W83" i="1" s="1"/>
  <c r="AD94" i="14"/>
  <c r="AO94" i="14"/>
  <c r="AD91" i="14"/>
  <c r="AO91" i="14"/>
  <c r="AD98" i="14"/>
  <c r="AO98" i="14"/>
  <c r="AD89" i="14"/>
  <c r="AO89" i="14"/>
  <c r="AD90" i="14"/>
  <c r="AO90" i="14"/>
  <c r="AD95" i="14"/>
  <c r="AO95" i="14"/>
  <c r="AD126" i="14"/>
  <c r="AD93" i="14"/>
  <c r="AO93" i="14"/>
  <c r="AD92" i="14"/>
  <c r="AO92" i="14"/>
  <c r="AD96" i="14"/>
  <c r="AO96" i="14"/>
  <c r="O85" i="41"/>
  <c r="T85" i="41" s="1"/>
  <c r="AD48" i="14"/>
  <c r="AL126" i="14"/>
  <c r="AM126" i="14" s="1"/>
  <c r="AN126" i="14"/>
  <c r="Q126" i="14"/>
  <c r="AC126" i="14"/>
  <c r="AO126" i="14" s="1"/>
  <c r="Q48" i="14"/>
  <c r="K85" i="41"/>
  <c r="Q85" i="41"/>
  <c r="U86" i="41"/>
  <c r="V86" i="41"/>
  <c r="W86" i="41" s="1"/>
  <c r="S86" i="41"/>
  <c r="K86" i="41"/>
  <c r="L86" i="41" s="1"/>
  <c r="AA86" i="41" s="1"/>
  <c r="Q86" i="41"/>
  <c r="AJ117" i="14"/>
  <c r="AD121" i="14"/>
  <c r="AH118" i="14"/>
  <c r="AC121" i="14"/>
  <c r="AO121" i="14" s="1"/>
  <c r="AL121" i="14"/>
  <c r="AM121" i="14" s="1"/>
  <c r="AN121" i="14"/>
  <c r="Q121" i="14"/>
  <c r="Q98" i="14"/>
  <c r="AH96" i="14"/>
  <c r="AA90" i="41"/>
  <c r="U90" i="12"/>
  <c r="AA84" i="41"/>
  <c r="U84" i="12"/>
  <c r="AL118" i="14"/>
  <c r="AM118" i="14" s="1"/>
  <c r="Q118" i="14"/>
  <c r="AN118" i="14"/>
  <c r="AJ108" i="14"/>
  <c r="AC118" i="14"/>
  <c r="AO118" i="14" s="1"/>
  <c r="AH116" i="14"/>
  <c r="AD118" i="14"/>
  <c r="AL98" i="14"/>
  <c r="AM98" i="14" s="1"/>
  <c r="AN98" i="14" s="1"/>
  <c r="Q101" i="14"/>
  <c r="AD101" i="14"/>
  <c r="AD76" i="14"/>
  <c r="P94" i="13"/>
  <c r="P93" i="13"/>
  <c r="Q76" i="14"/>
  <c r="P76" i="14"/>
  <c r="Z76" i="14" s="1"/>
  <c r="AA76" i="14" s="1"/>
  <c r="AB76" i="14" s="1"/>
  <c r="AL110" i="14"/>
  <c r="AM110" i="14" s="1"/>
  <c r="AC102" i="14"/>
  <c r="AO102" i="14" s="1"/>
  <c r="Q102" i="14"/>
  <c r="AH113" i="14"/>
  <c r="AN110" i="14"/>
  <c r="AC123" i="14"/>
  <c r="AO123" i="14" s="1"/>
  <c r="AC110" i="14"/>
  <c r="AO110" i="14" s="1"/>
  <c r="AH120" i="14"/>
  <c r="AH110" i="14"/>
  <c r="Q123" i="14"/>
  <c r="Q110" i="14"/>
  <c r="AN101" i="14"/>
  <c r="AJ100" i="14"/>
  <c r="AN123" i="14"/>
  <c r="AL101" i="14"/>
  <c r="AM101" i="14" s="1"/>
  <c r="AD110" i="14"/>
  <c r="AC101" i="14"/>
  <c r="AO101" i="14" s="1"/>
  <c r="AL123" i="14"/>
  <c r="AM123" i="14" s="1"/>
  <c r="AD113" i="14"/>
  <c r="AC113" i="14"/>
  <c r="AO113" i="14" s="1"/>
  <c r="Q113" i="14"/>
  <c r="AH123" i="14"/>
  <c r="AD120" i="14"/>
  <c r="AC100" i="14"/>
  <c r="AO100" i="14" s="1"/>
  <c r="Q100" i="14"/>
  <c r="AD123" i="14"/>
  <c r="AN112" i="14"/>
  <c r="AL112" i="14"/>
  <c r="AM112" i="14" s="1"/>
  <c r="AC112" i="14"/>
  <c r="AO112" i="14" s="1"/>
  <c r="AH102" i="14"/>
  <c r="AD112" i="14"/>
  <c r="AJ104" i="14"/>
  <c r="Q112" i="14"/>
  <c r="AL128" i="14"/>
  <c r="AM128" i="14" s="1"/>
  <c r="AN128" i="14"/>
  <c r="P129" i="12"/>
  <c r="H129" i="10"/>
  <c r="I129" i="10" s="1"/>
  <c r="J129" i="10" s="1"/>
  <c r="L129" i="10" s="1"/>
  <c r="M129" i="10" s="1"/>
  <c r="P128" i="12"/>
  <c r="H128" i="10"/>
  <c r="I128" i="10" s="1"/>
  <c r="J128" i="10" s="1"/>
  <c r="L128" i="10" s="1"/>
  <c r="M128" i="10" s="1"/>
  <c r="H71" i="10"/>
  <c r="I71" i="10" s="1"/>
  <c r="J71" i="10" s="1"/>
  <c r="L71" i="10" s="1"/>
  <c r="M71" i="10" s="1"/>
  <c r="P70" i="12"/>
  <c r="H70" i="10"/>
  <c r="I70" i="10" s="1"/>
  <c r="J70" i="10" s="1"/>
  <c r="L70" i="10" s="1"/>
  <c r="M70" i="10" s="1"/>
  <c r="AJ94" i="14"/>
  <c r="P70" i="14"/>
  <c r="Z70" i="14" s="1"/>
  <c r="AA70" i="14" s="1"/>
  <c r="AB70" i="14" s="1"/>
  <c r="Q70" i="14"/>
  <c r="AD70" i="14"/>
  <c r="AD60" i="14"/>
  <c r="Q60" i="14"/>
  <c r="P60" i="14"/>
  <c r="Z60" i="14" s="1"/>
  <c r="AA60" i="14" s="1"/>
  <c r="AB60" i="14" s="1"/>
  <c r="AD71" i="14"/>
  <c r="P71" i="14"/>
  <c r="Z71" i="14" s="1"/>
  <c r="AA71" i="14" s="1"/>
  <c r="AB71" i="14" s="1"/>
  <c r="Q71" i="14"/>
  <c r="P61" i="14"/>
  <c r="Z61" i="14" s="1"/>
  <c r="AA61" i="14" s="1"/>
  <c r="AB61" i="14" s="1"/>
  <c r="Q61" i="14"/>
  <c r="AD61" i="14"/>
  <c r="AD59" i="14"/>
  <c r="P59" i="14"/>
  <c r="Z59" i="14" s="1"/>
  <c r="AA59" i="14" s="1"/>
  <c r="AB59" i="14" s="1"/>
  <c r="Q59" i="14"/>
  <c r="P72" i="14"/>
  <c r="Z72" i="14" s="1"/>
  <c r="AA72" i="14" s="1"/>
  <c r="AB72" i="14" s="1"/>
  <c r="AD72" i="14"/>
  <c r="Q72" i="14"/>
  <c r="AN125" i="14"/>
  <c r="AC119" i="14"/>
  <c r="AO119" i="14" s="1"/>
  <c r="Q119" i="14"/>
  <c r="AC128" i="14"/>
  <c r="AO128" i="14" s="1"/>
  <c r="AN100" i="14"/>
  <c r="AC114" i="14"/>
  <c r="AO114" i="14" s="1"/>
  <c r="AN120" i="14"/>
  <c r="AD102" i="14"/>
  <c r="AL100" i="14"/>
  <c r="AM100" i="14" s="1"/>
  <c r="AD58" i="14"/>
  <c r="P58" i="14"/>
  <c r="Z58" i="14" s="1"/>
  <c r="AA58" i="14" s="1"/>
  <c r="AB58" i="14" s="1"/>
  <c r="Q58" i="14"/>
  <c r="Q120" i="14"/>
  <c r="AL99" i="14"/>
  <c r="AM99" i="14" s="1"/>
  <c r="AN99" i="14" s="1"/>
  <c r="AC120" i="14"/>
  <c r="AO120" i="14" s="1"/>
  <c r="AH119" i="14"/>
  <c r="AJ125" i="14"/>
  <c r="AL89" i="14"/>
  <c r="AM89" i="14" s="1"/>
  <c r="AN89" i="14" s="1"/>
  <c r="Q107" i="14"/>
  <c r="AH112" i="14"/>
  <c r="AC107" i="14"/>
  <c r="AO107" i="14" s="1"/>
  <c r="AJ97" i="14"/>
  <c r="AD107" i="14"/>
  <c r="Q105" i="14"/>
  <c r="AC105" i="14"/>
  <c r="AO105" i="14" s="1"/>
  <c r="AH128" i="14"/>
  <c r="AJ105" i="14"/>
  <c r="AJ107" i="14"/>
  <c r="AD105" i="14"/>
  <c r="AD122" i="14"/>
  <c r="AH109" i="14"/>
  <c r="AD103" i="14"/>
  <c r="AJ103" i="14"/>
  <c r="AH99" i="14"/>
  <c r="AN103" i="14"/>
  <c r="AL103" i="14"/>
  <c r="AM103" i="14" s="1"/>
  <c r="AL122" i="14"/>
  <c r="AM122" i="14" s="1"/>
  <c r="AC103" i="14"/>
  <c r="AO103" i="14" s="1"/>
  <c r="AC125" i="14"/>
  <c r="AO125" i="14" s="1"/>
  <c r="Q122" i="14"/>
  <c r="AC97" i="14"/>
  <c r="AC109" i="14"/>
  <c r="AO109" i="14" s="1"/>
  <c r="Q128" i="14"/>
  <c r="AL119" i="14"/>
  <c r="AM119" i="14" s="1"/>
  <c r="AN109" i="14"/>
  <c r="AC124" i="14"/>
  <c r="AO124" i="14" s="1"/>
  <c r="AJ122" i="14"/>
  <c r="AN122" i="14"/>
  <c r="Q103" i="14"/>
  <c r="AD119" i="14"/>
  <c r="Q109" i="14"/>
  <c r="AC99" i="14"/>
  <c r="AD128" i="14"/>
  <c r="AN119" i="14"/>
  <c r="AL109" i="14"/>
  <c r="AM109" i="14" s="1"/>
  <c r="AN107" i="14"/>
  <c r="AD100" i="14"/>
  <c r="Q99" i="14"/>
  <c r="AD109" i="14"/>
  <c r="AC122" i="14"/>
  <c r="AO122" i="14" s="1"/>
  <c r="AN102" i="14"/>
  <c r="AN105" i="14"/>
  <c r="AL113" i="14"/>
  <c r="AM113" i="14" s="1"/>
  <c r="AL125" i="14"/>
  <c r="AM125" i="14" s="1"/>
  <c r="AL102" i="14"/>
  <c r="AM102" i="14" s="1"/>
  <c r="AL105" i="14"/>
  <c r="AM105" i="14" s="1"/>
  <c r="AN113" i="14"/>
  <c r="AL107" i="14"/>
  <c r="AM107" i="14" s="1"/>
  <c r="AH91" i="14"/>
  <c r="AH90" i="14"/>
  <c r="AN71" i="14"/>
  <c r="AN69" i="14"/>
  <c r="AN70" i="14"/>
  <c r="AN77" i="14"/>
  <c r="AN73" i="14"/>
  <c r="AN72" i="14"/>
  <c r="AL76" i="14"/>
  <c r="AM76" i="14" s="1"/>
  <c r="AN76" i="14"/>
  <c r="AN74" i="14"/>
  <c r="AJ72" i="14"/>
  <c r="AJ71" i="14"/>
  <c r="AJ74" i="14"/>
  <c r="AH77" i="14"/>
  <c r="Q90" i="14"/>
  <c r="Q89" i="14"/>
  <c r="AH69" i="14"/>
  <c r="AH70" i="14"/>
  <c r="AH76" i="14"/>
  <c r="AJ73" i="14"/>
  <c r="O83" i="13"/>
  <c r="Y83" i="13" s="1"/>
  <c r="Z83" i="13" s="1"/>
  <c r="AA83" i="13" s="1"/>
  <c r="AB83" i="13" s="1"/>
  <c r="AC83" i="13" s="1"/>
  <c r="AL97" i="14"/>
  <c r="AM97" i="14" s="1"/>
  <c r="AN97" i="14" s="1"/>
  <c r="Q97" i="14"/>
  <c r="AD125" i="14"/>
  <c r="AL120" i="14"/>
  <c r="AM120" i="14" s="1"/>
  <c r="AL73" i="14"/>
  <c r="AM73" i="14" s="1"/>
  <c r="AL90" i="14"/>
  <c r="AM90" i="14" s="1"/>
  <c r="AN90" i="14" s="1"/>
  <c r="AL74" i="14"/>
  <c r="AM74" i="14" s="1"/>
  <c r="AL69" i="14"/>
  <c r="AM69" i="14" s="1"/>
  <c r="AL70" i="14"/>
  <c r="AM70" i="14" s="1"/>
  <c r="AL71" i="14"/>
  <c r="AM71" i="14" s="1"/>
  <c r="Q125" i="14"/>
  <c r="AJ114" i="14"/>
  <c r="AL77" i="14"/>
  <c r="AM77" i="14" s="1"/>
  <c r="AL72" i="14"/>
  <c r="AM72" i="14" s="1"/>
  <c r="AN124" i="14"/>
  <c r="AL114" i="14"/>
  <c r="AM114" i="14" s="1"/>
  <c r="Z124" i="14"/>
  <c r="AA124" i="14" s="1"/>
  <c r="AB124" i="14" s="1"/>
  <c r="Q124" i="14"/>
  <c r="AL124" i="14"/>
  <c r="AM124" i="14" s="1"/>
  <c r="Q114" i="14"/>
  <c r="AH124" i="14"/>
  <c r="AD124" i="14"/>
  <c r="AD114" i="14"/>
  <c r="Z114" i="14"/>
  <c r="AA114" i="14" s="1"/>
  <c r="AB114" i="14" s="1"/>
  <c r="AL92" i="14"/>
  <c r="AM92" i="14" s="1"/>
  <c r="AN92" i="14" s="1"/>
  <c r="AN114" i="14"/>
  <c r="AH75" i="14"/>
  <c r="S85" i="41" l="1"/>
  <c r="AD97" i="14"/>
  <c r="AO97" i="14"/>
  <c r="AD99" i="14"/>
  <c r="AO99" i="14"/>
  <c r="U86" i="12"/>
  <c r="L85" i="41"/>
  <c r="AA85" i="41" s="1"/>
  <c r="U85" i="12"/>
  <c r="Z85" i="12" s="1"/>
  <c r="U85" i="41"/>
  <c r="V85" i="41"/>
  <c r="W85" i="41" s="1"/>
  <c r="V83" i="11"/>
  <c r="P83" i="13"/>
  <c r="X128" i="11"/>
  <c r="Z128" i="11"/>
  <c r="AA128" i="11"/>
  <c r="AB128" i="11"/>
  <c r="AD128" i="11"/>
  <c r="AF128" i="11" s="1"/>
  <c r="X129" i="11"/>
  <c r="Z129" i="11"/>
  <c r="AA129" i="11"/>
  <c r="AB129" i="11"/>
  <c r="AD129" i="11"/>
  <c r="AF129" i="11" s="1"/>
  <c r="A30" i="11"/>
  <c r="B30" i="11"/>
  <c r="D30" i="11"/>
  <c r="G30" i="11"/>
  <c r="H30" i="11"/>
  <c r="I30" i="11"/>
  <c r="J30" i="11"/>
  <c r="K30" i="11"/>
  <c r="L30" i="11"/>
  <c r="M30" i="11"/>
  <c r="F30" i="9"/>
  <c r="X30" i="11"/>
  <c r="Z30" i="11"/>
  <c r="AA30" i="11"/>
  <c r="AC30" i="11"/>
  <c r="AD30" i="11"/>
  <c r="AF30" i="11" s="1"/>
  <c r="A31" i="11"/>
  <c r="B31" i="11"/>
  <c r="D31" i="11"/>
  <c r="G31" i="11"/>
  <c r="H31" i="11"/>
  <c r="I31" i="11"/>
  <c r="J31" i="11"/>
  <c r="K31" i="11"/>
  <c r="L31" i="11"/>
  <c r="M31" i="11"/>
  <c r="X31" i="11"/>
  <c r="Z31" i="11"/>
  <c r="AA31" i="11"/>
  <c r="AC31" i="11"/>
  <c r="AD31" i="11"/>
  <c r="AF31" i="11" s="1"/>
  <c r="A32" i="11"/>
  <c r="B32" i="11"/>
  <c r="D32" i="11"/>
  <c r="G32" i="11"/>
  <c r="H32" i="11"/>
  <c r="I32" i="11"/>
  <c r="J32" i="11"/>
  <c r="K32" i="11"/>
  <c r="L32" i="11"/>
  <c r="M32" i="11"/>
  <c r="X32" i="11"/>
  <c r="Z32" i="11"/>
  <c r="AA32" i="11"/>
  <c r="AC32" i="11"/>
  <c r="AD32" i="11"/>
  <c r="AF32" i="11" s="1"/>
  <c r="A33" i="11"/>
  <c r="B33" i="11"/>
  <c r="N33" i="11" s="1"/>
  <c r="K33" i="13" s="1"/>
  <c r="M33" i="13" s="1"/>
  <c r="D33" i="11"/>
  <c r="G33" i="11"/>
  <c r="H33" i="11"/>
  <c r="I33" i="11"/>
  <c r="J33" i="11"/>
  <c r="K33" i="11"/>
  <c r="L33" i="11"/>
  <c r="M33" i="11"/>
  <c r="X33" i="11"/>
  <c r="Z33" i="11"/>
  <c r="AA33" i="11"/>
  <c r="AC33" i="11"/>
  <c r="AD33" i="11"/>
  <c r="AF33" i="11" s="1"/>
  <c r="A34" i="11"/>
  <c r="B34" i="11"/>
  <c r="D34" i="11"/>
  <c r="G34" i="11"/>
  <c r="H34" i="11"/>
  <c r="I34" i="11"/>
  <c r="J34" i="11"/>
  <c r="K34" i="11"/>
  <c r="L34" i="11"/>
  <c r="M34" i="11"/>
  <c r="X34" i="11"/>
  <c r="Z34" i="11"/>
  <c r="AA34" i="11"/>
  <c r="AC34" i="11"/>
  <c r="AD34" i="11"/>
  <c r="A35" i="11"/>
  <c r="B35" i="11"/>
  <c r="N35" i="11" s="1"/>
  <c r="K35" i="13" s="1"/>
  <c r="M35" i="13" s="1"/>
  <c r="D35" i="11"/>
  <c r="G35" i="11"/>
  <c r="H35" i="11"/>
  <c r="I35" i="11"/>
  <c r="J35" i="11"/>
  <c r="K35" i="11"/>
  <c r="L35" i="11"/>
  <c r="M35" i="11"/>
  <c r="X35" i="11"/>
  <c r="Z35" i="11"/>
  <c r="AA35" i="11"/>
  <c r="AC35" i="11"/>
  <c r="AD35" i="11"/>
  <c r="A36" i="11"/>
  <c r="B36" i="11"/>
  <c r="D36" i="11"/>
  <c r="G36" i="11"/>
  <c r="H36" i="11"/>
  <c r="I36" i="11"/>
  <c r="J36" i="11"/>
  <c r="K36" i="11"/>
  <c r="L36" i="11"/>
  <c r="M36" i="11"/>
  <c r="F36" i="9"/>
  <c r="X36" i="11"/>
  <c r="Z36" i="11"/>
  <c r="AA36" i="11"/>
  <c r="AC36" i="11"/>
  <c r="AD36" i="11"/>
  <c r="AF36" i="11" s="1"/>
  <c r="A37" i="11"/>
  <c r="B37" i="11"/>
  <c r="N37" i="11" s="1"/>
  <c r="K37" i="13" s="1"/>
  <c r="M37" i="13" s="1"/>
  <c r="D37" i="11"/>
  <c r="G37" i="11"/>
  <c r="H37" i="11"/>
  <c r="I37" i="11"/>
  <c r="J37" i="11"/>
  <c r="K37" i="11"/>
  <c r="L37" i="11"/>
  <c r="M37" i="11"/>
  <c r="X37" i="11"/>
  <c r="Z37" i="11"/>
  <c r="AA37" i="11"/>
  <c r="AC37" i="11"/>
  <c r="AD37" i="11"/>
  <c r="AF37" i="11" s="1"/>
  <c r="A38" i="11"/>
  <c r="B38" i="11"/>
  <c r="B38" i="9" s="1"/>
  <c r="Q38" i="9" s="1"/>
  <c r="R38" i="9" s="1"/>
  <c r="D38" i="11"/>
  <c r="G38" i="11"/>
  <c r="H38" i="11"/>
  <c r="I38" i="11"/>
  <c r="J38" i="11"/>
  <c r="K38" i="11"/>
  <c r="L38" i="11"/>
  <c r="M38" i="11"/>
  <c r="F38" i="9"/>
  <c r="X38" i="11"/>
  <c r="Z38" i="11"/>
  <c r="AA38" i="11"/>
  <c r="AC38" i="11"/>
  <c r="AD38" i="11"/>
  <c r="AF38" i="11" s="1"/>
  <c r="A39" i="11"/>
  <c r="B39" i="11"/>
  <c r="N39" i="11" s="1"/>
  <c r="K39" i="13" s="1"/>
  <c r="M39" i="13" s="1"/>
  <c r="D39" i="11"/>
  <c r="G39" i="11"/>
  <c r="H39" i="11"/>
  <c r="I39" i="11"/>
  <c r="J39" i="11"/>
  <c r="K39" i="11"/>
  <c r="L39" i="11"/>
  <c r="M39" i="11"/>
  <c r="X39" i="11"/>
  <c r="Z39" i="11"/>
  <c r="AA39" i="11"/>
  <c r="AC39" i="11"/>
  <c r="AD39" i="11"/>
  <c r="A40" i="11"/>
  <c r="B40" i="11"/>
  <c r="N40" i="11" s="1"/>
  <c r="K40" i="13" s="1"/>
  <c r="D40" i="11"/>
  <c r="G40" i="11"/>
  <c r="H40" i="11"/>
  <c r="I40" i="11"/>
  <c r="J40" i="11"/>
  <c r="K40" i="11"/>
  <c r="L40" i="11"/>
  <c r="M40" i="11"/>
  <c r="X40" i="11"/>
  <c r="Z40" i="11"/>
  <c r="AA40" i="11"/>
  <c r="AC40" i="11"/>
  <c r="AD40" i="11"/>
  <c r="A41" i="11"/>
  <c r="B41" i="11"/>
  <c r="N41" i="11" s="1"/>
  <c r="D41" i="11"/>
  <c r="G41" i="11"/>
  <c r="H41" i="11"/>
  <c r="I41" i="11"/>
  <c r="J41" i="11"/>
  <c r="K41" i="11"/>
  <c r="L41" i="11"/>
  <c r="M41" i="11"/>
  <c r="F41" i="9"/>
  <c r="X41" i="11"/>
  <c r="Z41" i="11"/>
  <c r="AA41" i="11"/>
  <c r="AB41" i="11"/>
  <c r="AC41" i="11"/>
  <c r="AD41" i="11"/>
  <c r="AF41" i="11" s="1"/>
  <c r="A42" i="11"/>
  <c r="B42" i="11"/>
  <c r="N42" i="11" s="1"/>
  <c r="D42" i="11"/>
  <c r="G42" i="11"/>
  <c r="H42" i="11"/>
  <c r="I42" i="11"/>
  <c r="J42" i="11"/>
  <c r="K42" i="11"/>
  <c r="L42" i="11"/>
  <c r="M42" i="11"/>
  <c r="B42" i="13"/>
  <c r="C42" i="13" s="1"/>
  <c r="X42" i="11"/>
  <c r="Z42" i="11"/>
  <c r="AA42" i="11"/>
  <c r="AB42" i="11"/>
  <c r="AC42" i="11"/>
  <c r="AD42" i="11"/>
  <c r="AF42" i="11" s="1"/>
  <c r="A43" i="11"/>
  <c r="B43" i="11"/>
  <c r="D43" i="11"/>
  <c r="G43" i="11"/>
  <c r="H43" i="11"/>
  <c r="I43" i="11"/>
  <c r="J43" i="11"/>
  <c r="K43" i="11"/>
  <c r="L43" i="11"/>
  <c r="M43" i="11"/>
  <c r="F43" i="9"/>
  <c r="X43" i="11"/>
  <c r="Z43" i="11"/>
  <c r="AA43" i="11"/>
  <c r="AC43" i="11"/>
  <c r="AD43" i="11"/>
  <c r="AF43" i="11" s="1"/>
  <c r="A44" i="11"/>
  <c r="B44" i="11"/>
  <c r="N44" i="11" s="1"/>
  <c r="D44" i="11"/>
  <c r="G44" i="11"/>
  <c r="H44" i="11"/>
  <c r="I44" i="11"/>
  <c r="J44" i="11"/>
  <c r="K44" i="11"/>
  <c r="L44" i="11"/>
  <c r="M44" i="11"/>
  <c r="B44" i="13"/>
  <c r="C44" i="13" s="1"/>
  <c r="X44" i="11"/>
  <c r="Z44" i="11"/>
  <c r="AA44" i="11"/>
  <c r="AB44" i="11"/>
  <c r="AC44" i="11"/>
  <c r="AD44" i="11"/>
  <c r="AF44" i="11" s="1"/>
  <c r="A45" i="11"/>
  <c r="B45" i="11"/>
  <c r="N45" i="11" s="1"/>
  <c r="D45" i="11"/>
  <c r="G45" i="11"/>
  <c r="H45" i="11"/>
  <c r="I45" i="11"/>
  <c r="J45" i="11"/>
  <c r="K45" i="11"/>
  <c r="L45" i="11"/>
  <c r="M45" i="11"/>
  <c r="F45" i="9"/>
  <c r="X45" i="11"/>
  <c r="Z45" i="11"/>
  <c r="AA45" i="11"/>
  <c r="AB45" i="11"/>
  <c r="AC45" i="11"/>
  <c r="AD45" i="11"/>
  <c r="AF45" i="11" s="1"/>
  <c r="A46" i="11"/>
  <c r="B46" i="11"/>
  <c r="N46" i="11" s="1"/>
  <c r="D46" i="11"/>
  <c r="G46" i="11"/>
  <c r="H46" i="11"/>
  <c r="I46" i="11"/>
  <c r="J46" i="11"/>
  <c r="K46" i="11"/>
  <c r="L46" i="11"/>
  <c r="M46" i="11"/>
  <c r="F46" i="9"/>
  <c r="X46" i="11"/>
  <c r="Z46" i="11"/>
  <c r="AA46" i="11"/>
  <c r="AB46" i="11"/>
  <c r="AC46" i="11"/>
  <c r="AD46" i="11"/>
  <c r="AF46" i="11" s="1"/>
  <c r="A47" i="11"/>
  <c r="B47" i="11"/>
  <c r="D47" i="11"/>
  <c r="G47" i="11"/>
  <c r="H47" i="11"/>
  <c r="I47" i="11"/>
  <c r="J47" i="11"/>
  <c r="K47" i="11"/>
  <c r="L47" i="11"/>
  <c r="M47" i="11"/>
  <c r="F47" i="9"/>
  <c r="X47" i="11"/>
  <c r="Z47" i="11"/>
  <c r="AA47" i="11"/>
  <c r="AC47" i="11"/>
  <c r="AD47" i="11"/>
  <c r="A48" i="11"/>
  <c r="B48" i="11"/>
  <c r="D48" i="11"/>
  <c r="G48" i="11"/>
  <c r="H48" i="11"/>
  <c r="I48" i="11"/>
  <c r="J48" i="11"/>
  <c r="K48" i="11"/>
  <c r="L48" i="11"/>
  <c r="M48" i="11"/>
  <c r="F48" i="9"/>
  <c r="X48" i="11"/>
  <c r="Z48" i="11"/>
  <c r="AA48" i="11"/>
  <c r="AC48" i="11"/>
  <c r="AD48" i="11"/>
  <c r="A49" i="11"/>
  <c r="B49" i="11"/>
  <c r="N49" i="11" s="1"/>
  <c r="K49" i="13" s="1"/>
  <c r="D49" i="11"/>
  <c r="G49" i="11"/>
  <c r="H49" i="11"/>
  <c r="I49" i="11"/>
  <c r="J49" i="11"/>
  <c r="K49" i="11"/>
  <c r="L49" i="11"/>
  <c r="M49" i="11"/>
  <c r="F49" i="9"/>
  <c r="X49" i="11"/>
  <c r="Z49" i="11"/>
  <c r="AA49" i="11"/>
  <c r="AB49" i="11"/>
  <c r="AC49" i="11"/>
  <c r="AD49" i="11"/>
  <c r="AF49" i="11" s="1"/>
  <c r="A50" i="11"/>
  <c r="B50" i="11"/>
  <c r="N50" i="11" s="1"/>
  <c r="K50" i="13" s="1"/>
  <c r="D50" i="11"/>
  <c r="G50" i="11"/>
  <c r="H50" i="11"/>
  <c r="I50" i="11"/>
  <c r="J50" i="11"/>
  <c r="K50" i="11"/>
  <c r="L50" i="11"/>
  <c r="M50" i="11"/>
  <c r="F50" i="9"/>
  <c r="X50" i="11"/>
  <c r="Z50" i="11"/>
  <c r="AA50" i="11"/>
  <c r="AB50" i="11"/>
  <c r="AC50" i="11"/>
  <c r="AD50" i="11"/>
  <c r="AF50" i="11" s="1"/>
  <c r="A51" i="11"/>
  <c r="B51" i="11"/>
  <c r="N51" i="11" s="1"/>
  <c r="K51" i="13" s="1"/>
  <c r="D51" i="11"/>
  <c r="G51" i="11"/>
  <c r="H51" i="11"/>
  <c r="I51" i="11"/>
  <c r="J51" i="11"/>
  <c r="K51" i="11"/>
  <c r="L51" i="11"/>
  <c r="M51" i="11"/>
  <c r="B51" i="13"/>
  <c r="C51" i="13" s="1"/>
  <c r="X51" i="11"/>
  <c r="Z51" i="11"/>
  <c r="AA51" i="11"/>
  <c r="AB51" i="11"/>
  <c r="AC51" i="11"/>
  <c r="AD51" i="11"/>
  <c r="A52" i="11"/>
  <c r="B52" i="11"/>
  <c r="N52" i="11" s="1"/>
  <c r="K52" i="13" s="1"/>
  <c r="D52" i="11"/>
  <c r="G52" i="11"/>
  <c r="H52" i="11"/>
  <c r="I52" i="11"/>
  <c r="J52" i="11"/>
  <c r="K52" i="11"/>
  <c r="L52" i="11"/>
  <c r="M52" i="11"/>
  <c r="F52" i="9"/>
  <c r="X52" i="11"/>
  <c r="Z52" i="11"/>
  <c r="AA52" i="11"/>
  <c r="AB52" i="11"/>
  <c r="AC52" i="11"/>
  <c r="AD52" i="11"/>
  <c r="AF52" i="11" s="1"/>
  <c r="A53" i="11"/>
  <c r="B53" i="11"/>
  <c r="N53" i="11" s="1"/>
  <c r="K53" i="13" s="1"/>
  <c r="D53" i="11"/>
  <c r="G53" i="11"/>
  <c r="H53" i="11"/>
  <c r="I53" i="11"/>
  <c r="J53" i="11"/>
  <c r="K53" i="11"/>
  <c r="L53" i="11"/>
  <c r="M53" i="11"/>
  <c r="F53" i="9"/>
  <c r="X53" i="11"/>
  <c r="Z53" i="11"/>
  <c r="AA53" i="11"/>
  <c r="AB53" i="11"/>
  <c r="AC53" i="11"/>
  <c r="AD53" i="11"/>
  <c r="A54" i="11"/>
  <c r="B54" i="11"/>
  <c r="N54" i="11" s="1"/>
  <c r="K54" i="13" s="1"/>
  <c r="D54" i="11"/>
  <c r="G54" i="11"/>
  <c r="H54" i="11"/>
  <c r="I54" i="11"/>
  <c r="J54" i="11"/>
  <c r="K54" i="11"/>
  <c r="L54" i="11"/>
  <c r="M54" i="11"/>
  <c r="B54" i="13"/>
  <c r="C54" i="13" s="1"/>
  <c r="X54" i="11"/>
  <c r="Z54" i="11"/>
  <c r="AA54" i="11"/>
  <c r="AB54" i="11"/>
  <c r="AC54" i="11"/>
  <c r="AD54" i="11"/>
  <c r="A55" i="11"/>
  <c r="B55" i="11"/>
  <c r="N55" i="11" s="1"/>
  <c r="D55" i="11"/>
  <c r="G55" i="11"/>
  <c r="H55" i="11"/>
  <c r="I55" i="11"/>
  <c r="J55" i="11"/>
  <c r="K55" i="11"/>
  <c r="L55" i="11"/>
  <c r="M55" i="11"/>
  <c r="F55" i="9"/>
  <c r="X55" i="11"/>
  <c r="Z55" i="11"/>
  <c r="AA55" i="11"/>
  <c r="AB55" i="11"/>
  <c r="AC55" i="11"/>
  <c r="AD55" i="11"/>
  <c r="AF55" i="11" s="1"/>
  <c r="A56" i="11"/>
  <c r="B56" i="11"/>
  <c r="N56" i="11" s="1"/>
  <c r="K56" i="13" s="1"/>
  <c r="D56" i="11"/>
  <c r="G56" i="11"/>
  <c r="H56" i="11"/>
  <c r="I56" i="11"/>
  <c r="J56" i="11"/>
  <c r="K56" i="11"/>
  <c r="L56" i="11"/>
  <c r="M56" i="11"/>
  <c r="F56" i="9"/>
  <c r="X56" i="11"/>
  <c r="Z56" i="11"/>
  <c r="AA56" i="11"/>
  <c r="AB56" i="11"/>
  <c r="AC56" i="11"/>
  <c r="AD56" i="11"/>
  <c r="AF56" i="11" s="1"/>
  <c r="A57" i="11"/>
  <c r="B57" i="11"/>
  <c r="N57" i="11" s="1"/>
  <c r="D57" i="11"/>
  <c r="G57" i="11"/>
  <c r="H57" i="11"/>
  <c r="I57" i="11"/>
  <c r="J57" i="11"/>
  <c r="K57" i="11"/>
  <c r="L57" i="11"/>
  <c r="M57" i="11"/>
  <c r="F57" i="9"/>
  <c r="X57" i="11"/>
  <c r="Z57" i="11"/>
  <c r="AA57" i="11"/>
  <c r="AB57" i="11"/>
  <c r="AC57" i="11"/>
  <c r="AD57" i="11"/>
  <c r="A58" i="11"/>
  <c r="B58" i="11"/>
  <c r="B58" i="9" s="1"/>
  <c r="D58" i="11"/>
  <c r="G58" i="11"/>
  <c r="H58" i="11"/>
  <c r="I58" i="11"/>
  <c r="J58" i="11"/>
  <c r="K58" i="11"/>
  <c r="L58" i="11"/>
  <c r="M58" i="11"/>
  <c r="F58" i="9"/>
  <c r="X58" i="11"/>
  <c r="Z58" i="11"/>
  <c r="AA58" i="11"/>
  <c r="AB58" i="11"/>
  <c r="AC58" i="11"/>
  <c r="AD58" i="11"/>
  <c r="A59" i="11"/>
  <c r="B59" i="11"/>
  <c r="D59" i="11"/>
  <c r="G59" i="11"/>
  <c r="H59" i="11"/>
  <c r="I59" i="11"/>
  <c r="J59" i="11"/>
  <c r="K59" i="11"/>
  <c r="L59" i="11"/>
  <c r="M59" i="11"/>
  <c r="X59" i="11"/>
  <c r="Z59" i="11"/>
  <c r="AA59" i="11"/>
  <c r="AB59" i="11"/>
  <c r="AC59" i="11"/>
  <c r="AD59" i="11"/>
  <c r="AF59" i="11" s="1"/>
  <c r="A60" i="11"/>
  <c r="B60" i="11"/>
  <c r="D60" i="11"/>
  <c r="G60" i="11"/>
  <c r="H60" i="11"/>
  <c r="I60" i="11"/>
  <c r="J60" i="11"/>
  <c r="K60" i="11"/>
  <c r="L60" i="11"/>
  <c r="M60" i="11"/>
  <c r="X60" i="11"/>
  <c r="Z60" i="11"/>
  <c r="AA60" i="11"/>
  <c r="AB60" i="11"/>
  <c r="AC60" i="11"/>
  <c r="AD60" i="11"/>
  <c r="AF60" i="11" s="1"/>
  <c r="A61" i="11"/>
  <c r="B61" i="11"/>
  <c r="B61" i="9" s="1"/>
  <c r="D61" i="11"/>
  <c r="G61" i="11"/>
  <c r="H61" i="11"/>
  <c r="I61" i="11"/>
  <c r="J61" i="11"/>
  <c r="K61" i="11"/>
  <c r="L61" i="11"/>
  <c r="M61" i="11"/>
  <c r="X61" i="11"/>
  <c r="Z61" i="11"/>
  <c r="AA61" i="11"/>
  <c r="AB61" i="11"/>
  <c r="AC61" i="11"/>
  <c r="AD61" i="11"/>
  <c r="AF61" i="11" s="1"/>
  <c r="A62" i="11"/>
  <c r="B62" i="11"/>
  <c r="B62" i="9" s="1"/>
  <c r="D62" i="11"/>
  <c r="G62" i="11"/>
  <c r="H62" i="11"/>
  <c r="I62" i="11"/>
  <c r="J62" i="11"/>
  <c r="K62" i="11"/>
  <c r="L62" i="11"/>
  <c r="M62" i="11"/>
  <c r="X62" i="11"/>
  <c r="Z62" i="11"/>
  <c r="AA62" i="11"/>
  <c r="AB62" i="11"/>
  <c r="AC62" i="11"/>
  <c r="AD62" i="11"/>
  <c r="AF62" i="11" s="1"/>
  <c r="A63" i="11"/>
  <c r="B63" i="11"/>
  <c r="D63" i="11"/>
  <c r="G63" i="11"/>
  <c r="H63" i="11"/>
  <c r="I63" i="11"/>
  <c r="J63" i="11"/>
  <c r="K63" i="11"/>
  <c r="L63" i="11"/>
  <c r="M63" i="11"/>
  <c r="X63" i="11"/>
  <c r="Z63" i="11"/>
  <c r="AA63" i="11"/>
  <c r="AB63" i="11"/>
  <c r="AC63" i="11"/>
  <c r="AD63" i="11"/>
  <c r="A64" i="11"/>
  <c r="B64" i="11"/>
  <c r="D64" i="11"/>
  <c r="G64" i="11"/>
  <c r="H64" i="11"/>
  <c r="I64" i="11"/>
  <c r="J64" i="11"/>
  <c r="K64" i="11"/>
  <c r="L64" i="11"/>
  <c r="M64" i="11"/>
  <c r="X64" i="11"/>
  <c r="Z64" i="11"/>
  <c r="AA64" i="11"/>
  <c r="AB64" i="11"/>
  <c r="AC64" i="11"/>
  <c r="AD64" i="11"/>
  <c r="AF64" i="11" s="1"/>
  <c r="A65" i="11"/>
  <c r="B65" i="11"/>
  <c r="D65" i="11"/>
  <c r="G65" i="11"/>
  <c r="H65" i="11"/>
  <c r="I65" i="11"/>
  <c r="J65" i="11"/>
  <c r="K65" i="11"/>
  <c r="L65" i="11"/>
  <c r="M65" i="11"/>
  <c r="X65" i="11"/>
  <c r="Z65" i="11"/>
  <c r="AA65" i="11"/>
  <c r="AB65" i="11"/>
  <c r="AC65" i="11"/>
  <c r="AD65" i="11"/>
  <c r="AF65" i="11" s="1"/>
  <c r="A66" i="11"/>
  <c r="B66" i="11"/>
  <c r="D66" i="11"/>
  <c r="G66" i="11"/>
  <c r="H66" i="11"/>
  <c r="I66" i="11"/>
  <c r="J66" i="11"/>
  <c r="K66" i="11"/>
  <c r="L66" i="11"/>
  <c r="M66" i="11"/>
  <c r="X66" i="11"/>
  <c r="Z66" i="11"/>
  <c r="AA66" i="11"/>
  <c r="AB66" i="11"/>
  <c r="AC66" i="11"/>
  <c r="AD66" i="11"/>
  <c r="AF66" i="11" s="1"/>
  <c r="A67" i="11"/>
  <c r="B67" i="11"/>
  <c r="B67" i="9" s="1"/>
  <c r="D67" i="11"/>
  <c r="G67" i="11"/>
  <c r="H67" i="11"/>
  <c r="I67" i="11"/>
  <c r="J67" i="11"/>
  <c r="K67" i="11"/>
  <c r="L67" i="11"/>
  <c r="M67" i="11"/>
  <c r="X67" i="11"/>
  <c r="Z67" i="11"/>
  <c r="AA67" i="11"/>
  <c r="AB67" i="11"/>
  <c r="AC67" i="11"/>
  <c r="AD67" i="11"/>
  <c r="A68" i="11"/>
  <c r="B68" i="11"/>
  <c r="D68" i="11"/>
  <c r="G68" i="11"/>
  <c r="H68" i="11"/>
  <c r="I68" i="11"/>
  <c r="J68" i="11"/>
  <c r="K68" i="11"/>
  <c r="L68" i="11"/>
  <c r="M68" i="11"/>
  <c r="X68" i="11"/>
  <c r="Z68" i="11"/>
  <c r="AA68" i="11"/>
  <c r="AB68" i="11"/>
  <c r="AC68" i="11"/>
  <c r="AD68" i="11"/>
  <c r="AF68" i="11" s="1"/>
  <c r="A69" i="11"/>
  <c r="B69" i="11"/>
  <c r="D69" i="11"/>
  <c r="G69" i="11"/>
  <c r="H69" i="11"/>
  <c r="I69" i="11"/>
  <c r="J69" i="11"/>
  <c r="K69" i="11"/>
  <c r="L69" i="11"/>
  <c r="M69" i="11"/>
  <c r="X69" i="11"/>
  <c r="Z69" i="11"/>
  <c r="AA69" i="11"/>
  <c r="AB69" i="11"/>
  <c r="AC69" i="11"/>
  <c r="AD69" i="11"/>
  <c r="AF69" i="11" s="1"/>
  <c r="A70" i="11"/>
  <c r="B70" i="11"/>
  <c r="D70" i="11"/>
  <c r="G70" i="11"/>
  <c r="H70" i="11"/>
  <c r="I70" i="11"/>
  <c r="J70" i="11"/>
  <c r="K70" i="11"/>
  <c r="L70" i="11"/>
  <c r="M70" i="11"/>
  <c r="X70" i="11"/>
  <c r="Z70" i="11"/>
  <c r="AA70" i="11"/>
  <c r="AB70" i="11"/>
  <c r="AC70" i="11"/>
  <c r="AD70" i="11"/>
  <c r="A71" i="11"/>
  <c r="B71" i="11"/>
  <c r="D71" i="11"/>
  <c r="G71" i="11"/>
  <c r="H71" i="11"/>
  <c r="I71" i="11"/>
  <c r="J71" i="11"/>
  <c r="K71" i="11"/>
  <c r="L71" i="11"/>
  <c r="M71" i="11"/>
  <c r="X71" i="11"/>
  <c r="Z71" i="11"/>
  <c r="AA71" i="11"/>
  <c r="AB71" i="11"/>
  <c r="AC71" i="11"/>
  <c r="AD71" i="11"/>
  <c r="A72" i="11"/>
  <c r="B72" i="11"/>
  <c r="D72" i="11"/>
  <c r="G72" i="11"/>
  <c r="H72" i="11"/>
  <c r="I72" i="11"/>
  <c r="J72" i="11"/>
  <c r="K72" i="11"/>
  <c r="L72" i="11"/>
  <c r="M72" i="11"/>
  <c r="X72" i="11"/>
  <c r="Z72" i="11"/>
  <c r="AA72" i="11"/>
  <c r="AB72" i="11"/>
  <c r="AC72" i="11"/>
  <c r="AD72" i="11"/>
  <c r="AF72" i="11" s="1"/>
  <c r="A73" i="11"/>
  <c r="B73" i="11"/>
  <c r="D73" i="11"/>
  <c r="G73" i="11"/>
  <c r="H73" i="11"/>
  <c r="I73" i="11"/>
  <c r="J73" i="11"/>
  <c r="K73" i="11"/>
  <c r="L73" i="11"/>
  <c r="M73" i="11"/>
  <c r="X73" i="11"/>
  <c r="Z73" i="11"/>
  <c r="AA73" i="11"/>
  <c r="AB73" i="11"/>
  <c r="AC73" i="11"/>
  <c r="AD73" i="11"/>
  <c r="AF73" i="11" s="1"/>
  <c r="A74" i="11"/>
  <c r="B74" i="11"/>
  <c r="B74" i="9" s="1"/>
  <c r="D74" i="11"/>
  <c r="G74" i="11"/>
  <c r="H74" i="11"/>
  <c r="I74" i="11"/>
  <c r="J74" i="11"/>
  <c r="K74" i="11"/>
  <c r="L74" i="11"/>
  <c r="M74" i="11"/>
  <c r="X74" i="11"/>
  <c r="Z74" i="11"/>
  <c r="AA74" i="11"/>
  <c r="AB74" i="11"/>
  <c r="AC74" i="11"/>
  <c r="AD74" i="11"/>
  <c r="A75" i="11"/>
  <c r="B75" i="11"/>
  <c r="D75" i="11"/>
  <c r="G75" i="11"/>
  <c r="H75" i="11"/>
  <c r="I75" i="11"/>
  <c r="J75" i="11"/>
  <c r="K75" i="11"/>
  <c r="L75" i="11"/>
  <c r="M75" i="11"/>
  <c r="X75" i="11"/>
  <c r="Z75" i="11"/>
  <c r="AA75" i="11"/>
  <c r="AB75" i="11"/>
  <c r="AC75" i="11"/>
  <c r="AD75" i="11"/>
  <c r="AF75" i="11" s="1"/>
  <c r="A76" i="11"/>
  <c r="B76" i="11"/>
  <c r="D76" i="11"/>
  <c r="G76" i="11"/>
  <c r="H76" i="11"/>
  <c r="I76" i="11"/>
  <c r="J76" i="11"/>
  <c r="K76" i="11"/>
  <c r="L76" i="11"/>
  <c r="M76" i="11"/>
  <c r="X76" i="11"/>
  <c r="Z76" i="11"/>
  <c r="AA76" i="11"/>
  <c r="AB76" i="11"/>
  <c r="AC76" i="11"/>
  <c r="AD76" i="11"/>
  <c r="AF76" i="11" s="1"/>
  <c r="A77" i="11"/>
  <c r="B77" i="11"/>
  <c r="B77" i="9" s="1"/>
  <c r="D77" i="11"/>
  <c r="G77" i="11"/>
  <c r="H77" i="11"/>
  <c r="I77" i="11"/>
  <c r="J77" i="11"/>
  <c r="K77" i="11"/>
  <c r="L77" i="11"/>
  <c r="M77" i="11"/>
  <c r="X77" i="11"/>
  <c r="Z77" i="11"/>
  <c r="AA77" i="11"/>
  <c r="AB77" i="11"/>
  <c r="AC77" i="11"/>
  <c r="AD77" i="11"/>
  <c r="A78" i="11"/>
  <c r="B78" i="11"/>
  <c r="B78" i="9" s="1"/>
  <c r="D78" i="11"/>
  <c r="G78" i="11"/>
  <c r="H78" i="11"/>
  <c r="I78" i="11"/>
  <c r="J78" i="11"/>
  <c r="K78" i="11"/>
  <c r="L78" i="11"/>
  <c r="M78" i="11"/>
  <c r="X78" i="11"/>
  <c r="Z78" i="11"/>
  <c r="AA78" i="11"/>
  <c r="AB78" i="11"/>
  <c r="AC78" i="11"/>
  <c r="AD78" i="11"/>
  <c r="AF78" i="11" s="1"/>
  <c r="A128" i="11"/>
  <c r="B128" i="11"/>
  <c r="D128" i="11"/>
  <c r="G128" i="11"/>
  <c r="H128" i="11"/>
  <c r="I128" i="11"/>
  <c r="J128" i="11"/>
  <c r="K128" i="11"/>
  <c r="L128" i="11"/>
  <c r="M128" i="11"/>
  <c r="A129" i="11"/>
  <c r="B129" i="11"/>
  <c r="D129" i="11"/>
  <c r="V129" i="11" s="1"/>
  <c r="G129" i="11"/>
  <c r="H129" i="11"/>
  <c r="I129" i="11"/>
  <c r="J129" i="11"/>
  <c r="K129" i="11"/>
  <c r="L129" i="11"/>
  <c r="M129" i="11"/>
  <c r="B85" i="13"/>
  <c r="C85" i="13" s="1"/>
  <c r="F95" i="9"/>
  <c r="B80" i="13"/>
  <c r="C80" i="13" s="1"/>
  <c r="A82" i="11"/>
  <c r="A84" i="11"/>
  <c r="A85" i="11"/>
  <c r="A86" i="11"/>
  <c r="A87" i="11"/>
  <c r="A88" i="11"/>
  <c r="A89" i="11"/>
  <c r="A90" i="11"/>
  <c r="A91" i="11"/>
  <c r="A92"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81" i="11"/>
  <c r="B81" i="11"/>
  <c r="D81" i="11"/>
  <c r="G81" i="11"/>
  <c r="H81" i="11"/>
  <c r="I81" i="11"/>
  <c r="J81" i="11"/>
  <c r="K81" i="11"/>
  <c r="L81" i="11"/>
  <c r="M81" i="11"/>
  <c r="B82" i="11"/>
  <c r="C82" i="1" s="1"/>
  <c r="D82" i="11"/>
  <c r="G82" i="11"/>
  <c r="H82" i="11"/>
  <c r="I82" i="11"/>
  <c r="J82" i="11"/>
  <c r="K82" i="11"/>
  <c r="L82" i="11"/>
  <c r="M82" i="11"/>
  <c r="B84" i="11"/>
  <c r="C84" i="1" s="1"/>
  <c r="D84" i="11"/>
  <c r="G84" i="11"/>
  <c r="H84" i="11"/>
  <c r="I84" i="11"/>
  <c r="J84" i="11"/>
  <c r="K84" i="11"/>
  <c r="L84" i="11"/>
  <c r="M84" i="11"/>
  <c r="B85" i="11"/>
  <c r="D85" i="11"/>
  <c r="G85" i="11"/>
  <c r="H85" i="11"/>
  <c r="I85" i="11"/>
  <c r="J85" i="11"/>
  <c r="K85" i="11"/>
  <c r="L85" i="11"/>
  <c r="M85" i="11"/>
  <c r="B86" i="11"/>
  <c r="D86" i="11"/>
  <c r="G86" i="11"/>
  <c r="H86" i="11"/>
  <c r="I86" i="11"/>
  <c r="J86" i="11"/>
  <c r="K86" i="11"/>
  <c r="L86" i="11"/>
  <c r="M86" i="11"/>
  <c r="B87" i="11"/>
  <c r="D87" i="11"/>
  <c r="G87" i="11"/>
  <c r="H87" i="11"/>
  <c r="I87" i="11"/>
  <c r="J87" i="11"/>
  <c r="K87" i="11"/>
  <c r="L87" i="11"/>
  <c r="M87" i="11"/>
  <c r="B88" i="11"/>
  <c r="V88" i="11" s="1"/>
  <c r="D88" i="11"/>
  <c r="G88" i="11"/>
  <c r="H88" i="11"/>
  <c r="I88" i="11"/>
  <c r="J88" i="11"/>
  <c r="K88" i="11"/>
  <c r="L88" i="11"/>
  <c r="M88" i="11"/>
  <c r="B89" i="11"/>
  <c r="V89" i="11" s="1"/>
  <c r="D89" i="11"/>
  <c r="G89" i="11"/>
  <c r="H89" i="11"/>
  <c r="I89" i="11"/>
  <c r="J89" i="11"/>
  <c r="K89" i="11"/>
  <c r="L89" i="11"/>
  <c r="M89" i="11"/>
  <c r="B90" i="11"/>
  <c r="V90" i="11" s="1"/>
  <c r="D90" i="11"/>
  <c r="G90" i="11"/>
  <c r="H90" i="11"/>
  <c r="I90" i="11"/>
  <c r="J90" i="11"/>
  <c r="K90" i="11"/>
  <c r="L90" i="11"/>
  <c r="M90" i="11"/>
  <c r="B91" i="11"/>
  <c r="V91" i="11" s="1"/>
  <c r="D91" i="11"/>
  <c r="G91" i="11"/>
  <c r="H91" i="11"/>
  <c r="I91" i="11"/>
  <c r="J91" i="11"/>
  <c r="K91" i="11"/>
  <c r="L91" i="11"/>
  <c r="M91" i="11"/>
  <c r="B92" i="11"/>
  <c r="D92" i="11"/>
  <c r="G92" i="11"/>
  <c r="H92" i="11"/>
  <c r="I92" i="11"/>
  <c r="J92" i="11"/>
  <c r="K92" i="11"/>
  <c r="L92" i="11"/>
  <c r="M92" i="11"/>
  <c r="B95" i="11"/>
  <c r="D95" i="11"/>
  <c r="G95" i="11"/>
  <c r="H95" i="11"/>
  <c r="I95" i="11"/>
  <c r="J95" i="11"/>
  <c r="K95" i="11"/>
  <c r="L95" i="11"/>
  <c r="M95" i="11"/>
  <c r="B96" i="11"/>
  <c r="V96" i="11" s="1"/>
  <c r="D96" i="11"/>
  <c r="G96" i="11"/>
  <c r="H96" i="11"/>
  <c r="I96" i="11"/>
  <c r="J96" i="11"/>
  <c r="K96" i="11"/>
  <c r="L96" i="11"/>
  <c r="M96" i="11"/>
  <c r="B97" i="11"/>
  <c r="V97" i="11" s="1"/>
  <c r="D97" i="11"/>
  <c r="G97" i="11"/>
  <c r="H97" i="11"/>
  <c r="I97" i="11"/>
  <c r="J97" i="11"/>
  <c r="K97" i="11"/>
  <c r="L97" i="11"/>
  <c r="M97" i="11"/>
  <c r="B98" i="11"/>
  <c r="V98" i="11" s="1"/>
  <c r="D98" i="11"/>
  <c r="G98" i="11"/>
  <c r="H98" i="11"/>
  <c r="I98" i="11"/>
  <c r="J98" i="11"/>
  <c r="K98" i="11"/>
  <c r="L98" i="11"/>
  <c r="M98" i="11"/>
  <c r="B99" i="11"/>
  <c r="V99" i="11" s="1"/>
  <c r="D99" i="11"/>
  <c r="G99" i="11"/>
  <c r="H99" i="11"/>
  <c r="I99" i="11"/>
  <c r="J99" i="11"/>
  <c r="K99" i="11"/>
  <c r="L99" i="11"/>
  <c r="M99" i="11"/>
  <c r="B100" i="11"/>
  <c r="D100" i="11"/>
  <c r="G100" i="11"/>
  <c r="H100" i="11"/>
  <c r="I100" i="11"/>
  <c r="J100" i="11"/>
  <c r="K100" i="11"/>
  <c r="L100" i="11"/>
  <c r="M100" i="11"/>
  <c r="B101" i="11"/>
  <c r="D101" i="11"/>
  <c r="G101" i="11"/>
  <c r="H101" i="11"/>
  <c r="I101" i="11"/>
  <c r="J101" i="11"/>
  <c r="K101" i="11"/>
  <c r="L101" i="11"/>
  <c r="M101" i="11"/>
  <c r="B102" i="11"/>
  <c r="D102" i="11"/>
  <c r="G102" i="11"/>
  <c r="H102" i="11"/>
  <c r="I102" i="11"/>
  <c r="J102" i="11"/>
  <c r="K102" i="11"/>
  <c r="L102" i="11"/>
  <c r="M102" i="11"/>
  <c r="B103" i="11"/>
  <c r="D103" i="11"/>
  <c r="G103" i="11"/>
  <c r="H103" i="11"/>
  <c r="I103" i="11"/>
  <c r="J103" i="11"/>
  <c r="K103" i="11"/>
  <c r="L103" i="11"/>
  <c r="M103" i="11"/>
  <c r="B104" i="11"/>
  <c r="D104" i="11"/>
  <c r="G104" i="11"/>
  <c r="H104" i="11"/>
  <c r="I104" i="11"/>
  <c r="J104" i="11"/>
  <c r="K104" i="11"/>
  <c r="L104" i="11"/>
  <c r="M104" i="11"/>
  <c r="B105" i="11"/>
  <c r="D105" i="11"/>
  <c r="V105" i="11" s="1"/>
  <c r="G105" i="11"/>
  <c r="H105" i="11"/>
  <c r="I105" i="11"/>
  <c r="J105" i="11"/>
  <c r="K105" i="11"/>
  <c r="L105" i="11"/>
  <c r="M105" i="11"/>
  <c r="B106" i="11"/>
  <c r="D106" i="11"/>
  <c r="G106" i="11"/>
  <c r="H106" i="11"/>
  <c r="I106" i="11"/>
  <c r="J106" i="11"/>
  <c r="K106" i="11"/>
  <c r="L106" i="11"/>
  <c r="M106" i="11"/>
  <c r="B107" i="11"/>
  <c r="D107" i="11"/>
  <c r="V107" i="11" s="1"/>
  <c r="G107" i="11"/>
  <c r="H107" i="11"/>
  <c r="I107" i="11"/>
  <c r="J107" i="11"/>
  <c r="K107" i="11"/>
  <c r="L107" i="11"/>
  <c r="M107" i="11"/>
  <c r="B108" i="11"/>
  <c r="D108" i="11"/>
  <c r="G108" i="11"/>
  <c r="H108" i="11"/>
  <c r="I108" i="11"/>
  <c r="J108" i="11"/>
  <c r="K108" i="11"/>
  <c r="L108" i="11"/>
  <c r="M108" i="11"/>
  <c r="B109" i="11"/>
  <c r="D109" i="11"/>
  <c r="V109" i="11" s="1"/>
  <c r="G109" i="11"/>
  <c r="H109" i="11"/>
  <c r="I109" i="11"/>
  <c r="J109" i="11"/>
  <c r="K109" i="11"/>
  <c r="L109" i="11"/>
  <c r="M109" i="11"/>
  <c r="B110" i="11"/>
  <c r="D110" i="11"/>
  <c r="G110" i="11"/>
  <c r="H110" i="11"/>
  <c r="I110" i="11"/>
  <c r="J110" i="11"/>
  <c r="K110" i="11"/>
  <c r="L110" i="11"/>
  <c r="M110" i="11"/>
  <c r="B111" i="11"/>
  <c r="D111" i="11"/>
  <c r="V111" i="11" s="1"/>
  <c r="G111" i="11"/>
  <c r="H111" i="11"/>
  <c r="I111" i="11"/>
  <c r="J111" i="11"/>
  <c r="K111" i="11"/>
  <c r="L111" i="11"/>
  <c r="M111" i="11"/>
  <c r="B112" i="11"/>
  <c r="D112" i="11"/>
  <c r="V112" i="11" s="1"/>
  <c r="G112" i="11"/>
  <c r="H112" i="11"/>
  <c r="I112" i="11"/>
  <c r="J112" i="11"/>
  <c r="K112" i="11"/>
  <c r="L112" i="11"/>
  <c r="M112" i="11"/>
  <c r="B113" i="11"/>
  <c r="D113" i="11"/>
  <c r="V113" i="11" s="1"/>
  <c r="G113" i="11"/>
  <c r="H113" i="11"/>
  <c r="I113" i="11"/>
  <c r="J113" i="11"/>
  <c r="K113" i="11"/>
  <c r="L113" i="11"/>
  <c r="M113" i="11"/>
  <c r="B114" i="11"/>
  <c r="D114" i="11"/>
  <c r="G114" i="11"/>
  <c r="H114" i="11"/>
  <c r="I114" i="11"/>
  <c r="J114" i="11"/>
  <c r="K114" i="11"/>
  <c r="L114" i="11"/>
  <c r="M114" i="11"/>
  <c r="B115" i="11"/>
  <c r="D115" i="11"/>
  <c r="V115" i="11" s="1"/>
  <c r="G115" i="11"/>
  <c r="H115" i="11"/>
  <c r="I115" i="11"/>
  <c r="J115" i="11"/>
  <c r="K115" i="11"/>
  <c r="L115" i="11"/>
  <c r="M115" i="11"/>
  <c r="B116" i="11"/>
  <c r="D116" i="11"/>
  <c r="G116" i="11"/>
  <c r="H116" i="11"/>
  <c r="I116" i="11"/>
  <c r="J116" i="11"/>
  <c r="K116" i="11"/>
  <c r="L116" i="11"/>
  <c r="M116" i="11"/>
  <c r="B117" i="11"/>
  <c r="D117" i="11"/>
  <c r="V117" i="11" s="1"/>
  <c r="G117" i="11"/>
  <c r="H117" i="11"/>
  <c r="I117" i="11"/>
  <c r="J117" i="11"/>
  <c r="K117" i="11"/>
  <c r="L117" i="11"/>
  <c r="M117" i="11"/>
  <c r="B118" i="11"/>
  <c r="D118" i="11"/>
  <c r="G118" i="11"/>
  <c r="H118" i="11"/>
  <c r="I118" i="11"/>
  <c r="J118" i="11"/>
  <c r="K118" i="11"/>
  <c r="L118" i="11"/>
  <c r="M118" i="11"/>
  <c r="B119" i="11"/>
  <c r="D119" i="11"/>
  <c r="V119" i="11" s="1"/>
  <c r="G119" i="11"/>
  <c r="H119" i="11"/>
  <c r="I119" i="11"/>
  <c r="J119" i="11"/>
  <c r="K119" i="11"/>
  <c r="L119" i="11"/>
  <c r="M119" i="11"/>
  <c r="B120" i="11"/>
  <c r="D120" i="11"/>
  <c r="V120" i="11" s="1"/>
  <c r="G120" i="11"/>
  <c r="H120" i="11"/>
  <c r="I120" i="11"/>
  <c r="J120" i="11"/>
  <c r="K120" i="11"/>
  <c r="L120" i="11"/>
  <c r="M120" i="11"/>
  <c r="B121" i="11"/>
  <c r="D121" i="11"/>
  <c r="V121" i="11" s="1"/>
  <c r="G121" i="11"/>
  <c r="H121" i="11"/>
  <c r="I121" i="11"/>
  <c r="J121" i="11"/>
  <c r="K121" i="11"/>
  <c r="L121" i="11"/>
  <c r="M121" i="11"/>
  <c r="B122" i="11"/>
  <c r="D122" i="11"/>
  <c r="G122" i="11"/>
  <c r="H122" i="11"/>
  <c r="I122" i="11"/>
  <c r="J122" i="11"/>
  <c r="K122" i="11"/>
  <c r="L122" i="11"/>
  <c r="M122" i="11"/>
  <c r="B123" i="11"/>
  <c r="D123" i="11"/>
  <c r="V123" i="11" s="1"/>
  <c r="G123" i="11"/>
  <c r="H123" i="11"/>
  <c r="I123" i="11"/>
  <c r="J123" i="11"/>
  <c r="K123" i="11"/>
  <c r="L123" i="11"/>
  <c r="M123" i="11"/>
  <c r="B124" i="11"/>
  <c r="D124" i="11"/>
  <c r="G124" i="11"/>
  <c r="H124" i="11"/>
  <c r="I124" i="11"/>
  <c r="J124" i="11"/>
  <c r="K124" i="11"/>
  <c r="L124" i="11"/>
  <c r="M124" i="11"/>
  <c r="B125" i="11"/>
  <c r="D125" i="11"/>
  <c r="V125" i="11" s="1"/>
  <c r="G125" i="11"/>
  <c r="H125" i="11"/>
  <c r="I125" i="11"/>
  <c r="J125" i="11"/>
  <c r="K125" i="11"/>
  <c r="L125" i="11"/>
  <c r="M125" i="11"/>
  <c r="B126" i="11"/>
  <c r="D126" i="11"/>
  <c r="G126" i="11"/>
  <c r="H126" i="11"/>
  <c r="I126" i="11"/>
  <c r="J126" i="11"/>
  <c r="K126" i="11"/>
  <c r="L126" i="11"/>
  <c r="M126" i="11"/>
  <c r="B127" i="11"/>
  <c r="D127" i="11"/>
  <c r="V127" i="11" s="1"/>
  <c r="G127" i="11"/>
  <c r="H127" i="11"/>
  <c r="I127" i="11"/>
  <c r="J127" i="11"/>
  <c r="K127" i="11"/>
  <c r="L127" i="11"/>
  <c r="M127" i="11"/>
  <c r="F39" i="9"/>
  <c r="B29" i="13"/>
  <c r="C29" i="13" s="1"/>
  <c r="A89" i="10"/>
  <c r="E89" i="10"/>
  <c r="F89" i="10"/>
  <c r="G89" i="10"/>
  <c r="B88" i="14"/>
  <c r="C88" i="14" s="1"/>
  <c r="D88" i="14"/>
  <c r="F88" i="14"/>
  <c r="G88" i="14"/>
  <c r="T88" i="14" s="1"/>
  <c r="H88" i="14"/>
  <c r="I88" i="14"/>
  <c r="J88" i="14"/>
  <c r="U88" i="14" s="1"/>
  <c r="K88" i="14"/>
  <c r="V88" i="14" s="1"/>
  <c r="R88" i="14"/>
  <c r="A89" i="12"/>
  <c r="B89" i="12"/>
  <c r="B89" i="10" s="1"/>
  <c r="D89" i="12"/>
  <c r="G89" i="12"/>
  <c r="H89" i="12"/>
  <c r="I89" i="12"/>
  <c r="J89" i="12"/>
  <c r="K89" i="12"/>
  <c r="L89" i="12"/>
  <c r="V90" i="10"/>
  <c r="A32" i="41"/>
  <c r="A33" i="41"/>
  <c r="A82" i="10"/>
  <c r="E82" i="10"/>
  <c r="F82" i="10"/>
  <c r="G82" i="10"/>
  <c r="B81" i="14"/>
  <c r="C81" i="14" s="1"/>
  <c r="D81" i="14"/>
  <c r="F81" i="14"/>
  <c r="S81" i="14" s="1"/>
  <c r="G81" i="14"/>
  <c r="T81" i="14" s="1"/>
  <c r="H81" i="14"/>
  <c r="I81" i="14"/>
  <c r="J81" i="14"/>
  <c r="U81" i="14" s="1"/>
  <c r="K81" i="14"/>
  <c r="V81" i="14" s="1"/>
  <c r="R81" i="14"/>
  <c r="B82" i="14"/>
  <c r="C82" i="14" s="1"/>
  <c r="D82" i="14"/>
  <c r="F82" i="14"/>
  <c r="G82" i="14"/>
  <c r="T82" i="14" s="1"/>
  <c r="H82" i="14"/>
  <c r="I82" i="14"/>
  <c r="J82" i="14"/>
  <c r="U82" i="14" s="1"/>
  <c r="K82" i="14"/>
  <c r="V82" i="14" s="1"/>
  <c r="R82" i="14"/>
  <c r="A82" i="12"/>
  <c r="B82" i="12"/>
  <c r="B82" i="10" s="1"/>
  <c r="D82" i="12"/>
  <c r="G82" i="12"/>
  <c r="H82" i="12"/>
  <c r="I82" i="12"/>
  <c r="J82" i="12"/>
  <c r="K82" i="12"/>
  <c r="L82" i="12"/>
  <c r="A83" i="12"/>
  <c r="B83" i="12"/>
  <c r="B83" i="10" s="1"/>
  <c r="D83" i="12"/>
  <c r="G83" i="12"/>
  <c r="H83" i="12"/>
  <c r="I83" i="12"/>
  <c r="J83" i="12"/>
  <c r="K83" i="12"/>
  <c r="L83" i="12"/>
  <c r="E84" i="10"/>
  <c r="E85" i="10"/>
  <c r="E87" i="10"/>
  <c r="E88" i="10"/>
  <c r="E80" i="10"/>
  <c r="E40" i="10"/>
  <c r="E31" i="10"/>
  <c r="E32" i="10"/>
  <c r="E34" i="10"/>
  <c r="E35" i="10"/>
  <c r="E37" i="10"/>
  <c r="E29" i="10"/>
  <c r="F84" i="10"/>
  <c r="B84" i="14"/>
  <c r="C84" i="14" s="1"/>
  <c r="F86" i="10"/>
  <c r="F87" i="10"/>
  <c r="F88" i="10"/>
  <c r="B80" i="14"/>
  <c r="C80" i="14" s="1"/>
  <c r="F40" i="10"/>
  <c r="F30" i="10"/>
  <c r="B30" i="14"/>
  <c r="C30" i="14" s="1"/>
  <c r="F32" i="10"/>
  <c r="F33" i="10"/>
  <c r="F35" i="10"/>
  <c r="B35" i="14"/>
  <c r="C35" i="14" s="1"/>
  <c r="B36" i="14"/>
  <c r="C36" i="14" s="1"/>
  <c r="F29" i="10"/>
  <c r="E39" i="10"/>
  <c r="B87" i="14"/>
  <c r="C87" i="14" s="1"/>
  <c r="B33" i="14"/>
  <c r="C33" i="14" s="1"/>
  <c r="P23" i="14"/>
  <c r="O23" i="13"/>
  <c r="Q46" i="13"/>
  <c r="Q47" i="13"/>
  <c r="A40" i="1"/>
  <c r="A41" i="1"/>
  <c r="Q40" i="13"/>
  <c r="Q41" i="13"/>
  <c r="Q42" i="13"/>
  <c r="Q43" i="13"/>
  <c r="Q44" i="13"/>
  <c r="Q45" i="13"/>
  <c r="AC24" i="14"/>
  <c r="AB24" i="13"/>
  <c r="A30" i="41"/>
  <c r="A31" i="41"/>
  <c r="A34" i="41"/>
  <c r="A35" i="41"/>
  <c r="A36" i="41"/>
  <c r="A37" i="41"/>
  <c r="A38" i="41"/>
  <c r="A29" i="41"/>
  <c r="V91" i="10"/>
  <c r="A85" i="10"/>
  <c r="G85" i="10"/>
  <c r="A86" i="10"/>
  <c r="G86" i="10"/>
  <c r="A87" i="10"/>
  <c r="G87" i="10"/>
  <c r="A88" i="10"/>
  <c r="G88" i="10"/>
  <c r="D84" i="14"/>
  <c r="F84" i="14"/>
  <c r="S84" i="14" s="1"/>
  <c r="G84" i="14"/>
  <c r="T84" i="14" s="1"/>
  <c r="H84" i="14"/>
  <c r="I84" i="14"/>
  <c r="J84" i="14"/>
  <c r="U84" i="14" s="1"/>
  <c r="K84" i="14"/>
  <c r="V84" i="14" s="1"/>
  <c r="R84" i="14"/>
  <c r="D85" i="14"/>
  <c r="F85" i="14"/>
  <c r="S85" i="14" s="1"/>
  <c r="G85" i="14"/>
  <c r="T85" i="14" s="1"/>
  <c r="H85" i="14"/>
  <c r="I85" i="14"/>
  <c r="J85" i="14"/>
  <c r="U85" i="14" s="1"/>
  <c r="K85" i="14"/>
  <c r="V85" i="14" s="1"/>
  <c r="R85" i="14"/>
  <c r="D86" i="14"/>
  <c r="F86" i="14"/>
  <c r="S86" i="14" s="1"/>
  <c r="G86" i="14"/>
  <c r="T86" i="14" s="1"/>
  <c r="H86" i="14"/>
  <c r="I86" i="14"/>
  <c r="J86" i="14"/>
  <c r="U86" i="14" s="1"/>
  <c r="K86" i="14"/>
  <c r="V86" i="14" s="1"/>
  <c r="R86" i="14"/>
  <c r="D87" i="14"/>
  <c r="F87" i="14"/>
  <c r="S87" i="14" s="1"/>
  <c r="G87" i="14"/>
  <c r="T87" i="14" s="1"/>
  <c r="H87" i="14"/>
  <c r="I87" i="14"/>
  <c r="J87" i="14"/>
  <c r="U87" i="14" s="1"/>
  <c r="K87" i="14"/>
  <c r="V87" i="14" s="1"/>
  <c r="R87" i="14"/>
  <c r="A84" i="10"/>
  <c r="G84" i="10"/>
  <c r="R83" i="14"/>
  <c r="B83" i="14"/>
  <c r="C83" i="14" s="1"/>
  <c r="D83" i="14"/>
  <c r="F83" i="14"/>
  <c r="G83" i="14"/>
  <c r="T83" i="14" s="1"/>
  <c r="H83" i="14"/>
  <c r="I83" i="14"/>
  <c r="J83" i="14"/>
  <c r="U83" i="14" s="1"/>
  <c r="K83" i="14"/>
  <c r="V83" i="14" s="1"/>
  <c r="AC79" i="11"/>
  <c r="AC80" i="11"/>
  <c r="AC81" i="11"/>
  <c r="AC82" i="11"/>
  <c r="AC83" i="11"/>
  <c r="AC84" i="11"/>
  <c r="AC85" i="11"/>
  <c r="AC86" i="11"/>
  <c r="AC29" i="11"/>
  <c r="M79" i="11"/>
  <c r="M80" i="11"/>
  <c r="M29" i="11"/>
  <c r="L29" i="11"/>
  <c r="AA28" i="13"/>
  <c r="AE31" i="14"/>
  <c r="AK31" i="14" s="1"/>
  <c r="AE30" i="14"/>
  <c r="AK30" i="14" s="1"/>
  <c r="AE28" i="14"/>
  <c r="AK28" i="14" s="1"/>
  <c r="AD29" i="13"/>
  <c r="AJ29" i="13" s="1"/>
  <c r="AD25" i="13"/>
  <c r="G29" i="10"/>
  <c r="G30" i="10"/>
  <c r="G31" i="10"/>
  <c r="G32" i="10"/>
  <c r="G80" i="10"/>
  <c r="G81" i="10"/>
  <c r="G83" i="10"/>
  <c r="G33" i="10"/>
  <c r="G34" i="10"/>
  <c r="G35" i="10"/>
  <c r="G36" i="10"/>
  <c r="G37" i="10"/>
  <c r="G38" i="10"/>
  <c r="G39" i="10"/>
  <c r="B80" i="11"/>
  <c r="C80" i="1" s="1"/>
  <c r="F80" i="1" s="1"/>
  <c r="G29" i="9"/>
  <c r="B81" i="12"/>
  <c r="B81" i="10" s="1"/>
  <c r="B87" i="12"/>
  <c r="B88" i="12"/>
  <c r="B88" i="10" s="1"/>
  <c r="A7" i="46"/>
  <c r="A8" i="46"/>
  <c r="A9" i="46"/>
  <c r="E18" i="46"/>
  <c r="E19" i="46"/>
  <c r="B20" i="46"/>
  <c r="A31" i="46"/>
  <c r="A39" i="46"/>
  <c r="G40" i="46"/>
  <c r="A41" i="46"/>
  <c r="B42" i="46"/>
  <c r="D42" i="46"/>
  <c r="E42" i="46"/>
  <c r="D43" i="46"/>
  <c r="F50" i="46"/>
  <c r="G50" i="46" s="1"/>
  <c r="E56" i="46"/>
  <c r="A7" i="49"/>
  <c r="A8" i="49"/>
  <c r="A9" i="49"/>
  <c r="E18" i="49"/>
  <c r="E19" i="49"/>
  <c r="B20" i="49"/>
  <c r="A31" i="49"/>
  <c r="A39" i="49"/>
  <c r="F50" i="49"/>
  <c r="G50" i="49" s="1"/>
  <c r="E40" i="49"/>
  <c r="A41" i="49"/>
  <c r="B42" i="49"/>
  <c r="D42" i="49"/>
  <c r="D43" i="49"/>
  <c r="E61" i="49"/>
  <c r="H15" i="68"/>
  <c r="I15" i="68" s="1"/>
  <c r="L15" i="68"/>
  <c r="M15" i="68"/>
  <c r="N15" i="68"/>
  <c r="P15" i="68"/>
  <c r="Q15" i="68"/>
  <c r="H16" i="68"/>
  <c r="I16" i="68" s="1"/>
  <c r="L16" i="68"/>
  <c r="M16" i="68"/>
  <c r="N16" i="68"/>
  <c r="P16" i="68"/>
  <c r="Q16" i="68"/>
  <c r="H17" i="68"/>
  <c r="I17" i="68" s="1"/>
  <c r="L17" i="68"/>
  <c r="M17" i="68"/>
  <c r="N17" i="68"/>
  <c r="P17" i="68"/>
  <c r="Q17" i="68"/>
  <c r="P18" i="68"/>
  <c r="Q18" i="68"/>
  <c r="P19" i="68"/>
  <c r="Q19" i="68"/>
  <c r="R19" i="68" s="1"/>
  <c r="H28" i="68"/>
  <c r="I28" i="68" s="1"/>
  <c r="J28" i="68" s="1"/>
  <c r="L28" i="68"/>
  <c r="M28" i="68" s="1"/>
  <c r="N28" i="68" s="1"/>
  <c r="H29" i="68"/>
  <c r="I29" i="68"/>
  <c r="J29" i="68" s="1"/>
  <c r="L29" i="68"/>
  <c r="M29" i="68"/>
  <c r="N29" i="68"/>
  <c r="H30" i="68"/>
  <c r="I30" i="68" s="1"/>
  <c r="J30" i="68" s="1"/>
  <c r="L30" i="68"/>
  <c r="M30" i="68" s="1"/>
  <c r="N30" i="68" s="1"/>
  <c r="H31" i="68"/>
  <c r="I31" i="68"/>
  <c r="J31" i="68" s="1"/>
  <c r="L31" i="68"/>
  <c r="M31" i="68"/>
  <c r="N31" i="68"/>
  <c r="H32" i="68"/>
  <c r="I32" i="68" s="1"/>
  <c r="J32" i="68" s="1"/>
  <c r="L32" i="68"/>
  <c r="M32" i="68" s="1"/>
  <c r="N32" i="68" s="1"/>
  <c r="H33" i="68"/>
  <c r="I33" i="68"/>
  <c r="J33" i="68" s="1"/>
  <c r="L33" i="68"/>
  <c r="M33" i="68"/>
  <c r="N33" i="68"/>
  <c r="H34" i="68"/>
  <c r="I34" i="68" s="1"/>
  <c r="J34" i="68" s="1"/>
  <c r="L34" i="68"/>
  <c r="M34" i="68" s="1"/>
  <c r="N34" i="68" s="1"/>
  <c r="H35" i="68"/>
  <c r="I35" i="68"/>
  <c r="J35" i="68" s="1"/>
  <c r="L35" i="68"/>
  <c r="M35" i="68"/>
  <c r="N35" i="68"/>
  <c r="H36" i="68"/>
  <c r="I36" i="68" s="1"/>
  <c r="J36" i="68" s="1"/>
  <c r="L36" i="68"/>
  <c r="M36" i="68" s="1"/>
  <c r="N36" i="68" s="1"/>
  <c r="H37" i="68"/>
  <c r="I37" i="68"/>
  <c r="J37" i="68" s="1"/>
  <c r="L37" i="68"/>
  <c r="M37" i="68"/>
  <c r="N37" i="68"/>
  <c r="H38" i="68"/>
  <c r="I38" i="68" s="1"/>
  <c r="J38" i="68" s="1"/>
  <c r="L38" i="68"/>
  <c r="M38" i="68" s="1"/>
  <c r="N38" i="68" s="1"/>
  <c r="A7" i="34"/>
  <c r="A8" i="34"/>
  <c r="A9" i="34"/>
  <c r="A10" i="34"/>
  <c r="A11" i="34"/>
  <c r="H21" i="34"/>
  <c r="K21" i="34"/>
  <c r="L21" i="34" s="1"/>
  <c r="M21" i="34"/>
  <c r="N21" i="34"/>
  <c r="S21" i="34"/>
  <c r="T21" i="34"/>
  <c r="X21" i="34"/>
  <c r="U21" i="34"/>
  <c r="W21" i="34"/>
  <c r="AB21" i="34"/>
  <c r="AD21" i="34"/>
  <c r="AO21" i="34"/>
  <c r="AR21" i="34" s="1"/>
  <c r="AQ21" i="34"/>
  <c r="H22" i="34"/>
  <c r="K22" i="34"/>
  <c r="L22" i="34" s="1"/>
  <c r="AC22" i="34" s="1"/>
  <c r="AH22" i="34" s="1"/>
  <c r="M22" i="34"/>
  <c r="N22" i="34"/>
  <c r="S22" i="34"/>
  <c r="T22" i="34" s="1"/>
  <c r="X22" i="34" s="1"/>
  <c r="U22" i="34"/>
  <c r="W22" i="34"/>
  <c r="AB22" i="34"/>
  <c r="AD22" i="34"/>
  <c r="AO22" i="34"/>
  <c r="AR22" i="34" s="1"/>
  <c r="AQ22" i="34"/>
  <c r="H23" i="34"/>
  <c r="K23" i="34"/>
  <c r="L23" i="34" s="1"/>
  <c r="O23" i="34" s="1"/>
  <c r="M23" i="34"/>
  <c r="N23" i="34"/>
  <c r="T23" i="34"/>
  <c r="X23" i="34" s="1"/>
  <c r="U23" i="34"/>
  <c r="W23" i="34"/>
  <c r="AB23" i="34"/>
  <c r="AD23" i="34"/>
  <c r="AO23" i="34"/>
  <c r="AR23" i="34" s="1"/>
  <c r="AQ23" i="34"/>
  <c r="H25" i="34"/>
  <c r="L25" i="34"/>
  <c r="AC25" i="34" s="1"/>
  <c r="AE25" i="34" s="1"/>
  <c r="M25" i="34"/>
  <c r="N25" i="34"/>
  <c r="AB25" i="34"/>
  <c r="AD25" i="34"/>
  <c r="H26" i="34"/>
  <c r="L26" i="34"/>
  <c r="M26" i="34"/>
  <c r="N26" i="34"/>
  <c r="AB26" i="34"/>
  <c r="AD26" i="34"/>
  <c r="H30" i="34"/>
  <c r="K30" i="34"/>
  <c r="L30" i="34" s="1"/>
  <c r="M30" i="34"/>
  <c r="N30" i="34"/>
  <c r="S30" i="34"/>
  <c r="U30" i="34"/>
  <c r="W30" i="34"/>
  <c r="AB30" i="34"/>
  <c r="AE30" i="34" s="1"/>
  <c r="AD30" i="34"/>
  <c r="AO30" i="34"/>
  <c r="AQ30" i="34"/>
  <c r="H31" i="34"/>
  <c r="K31" i="34"/>
  <c r="L31" i="34" s="1"/>
  <c r="M31" i="34"/>
  <c r="N31" i="34"/>
  <c r="S31" i="34"/>
  <c r="T31" i="34" s="1"/>
  <c r="X31" i="34" s="1"/>
  <c r="U31" i="34"/>
  <c r="W31" i="34"/>
  <c r="AB31" i="34"/>
  <c r="AD31" i="34"/>
  <c r="AO31" i="34"/>
  <c r="AR31" i="34" s="1"/>
  <c r="AQ31" i="34"/>
  <c r="H32" i="34"/>
  <c r="Q32" i="34" s="1"/>
  <c r="Y32" i="34" s="1"/>
  <c r="Z32" i="34" s="1"/>
  <c r="K32" i="34"/>
  <c r="L32" i="34" s="1"/>
  <c r="M32" i="34"/>
  <c r="N32" i="34"/>
  <c r="S32" i="34"/>
  <c r="V32" i="34" s="1"/>
  <c r="U32" i="34"/>
  <c r="W32" i="34"/>
  <c r="AB32" i="34"/>
  <c r="AD32" i="34"/>
  <c r="AE32" i="34" s="1"/>
  <c r="AO32" i="34"/>
  <c r="AQ32" i="34"/>
  <c r="H34" i="34"/>
  <c r="Q34" i="34"/>
  <c r="L34" i="34"/>
  <c r="O34" i="34" s="1"/>
  <c r="P34" i="34"/>
  <c r="Z34" i="34"/>
  <c r="M34" i="34"/>
  <c r="N34" i="34"/>
  <c r="AB34" i="34"/>
  <c r="AC34" i="34"/>
  <c r="AD34" i="34"/>
  <c r="AE34" i="34" s="1"/>
  <c r="H35" i="34"/>
  <c r="L35" i="34"/>
  <c r="M35" i="34"/>
  <c r="N35" i="34"/>
  <c r="AB35" i="34"/>
  <c r="AD35" i="34"/>
  <c r="A7" i="60"/>
  <c r="A8" i="60"/>
  <c r="A9" i="60"/>
  <c r="A10" i="60"/>
  <c r="A11" i="60"/>
  <c r="H21" i="60"/>
  <c r="K21" i="60"/>
  <c r="M21" i="60"/>
  <c r="N21" i="60"/>
  <c r="S21" i="60"/>
  <c r="T21" i="60"/>
  <c r="U21" i="60"/>
  <c r="Y21" i="60"/>
  <c r="AA21" i="60"/>
  <c r="AJ21" i="60"/>
  <c r="AM21" i="60"/>
  <c r="AL21" i="60"/>
  <c r="H22" i="60"/>
  <c r="K22" i="60"/>
  <c r="L22" i="60"/>
  <c r="M22" i="60"/>
  <c r="N22" i="60"/>
  <c r="S22" i="60"/>
  <c r="T22" i="60" s="1"/>
  <c r="U22" i="60" s="1"/>
  <c r="Y22" i="60"/>
  <c r="AA22" i="60"/>
  <c r="AJ22" i="60"/>
  <c r="AM22" i="60" s="1"/>
  <c r="AL22" i="60"/>
  <c r="H27" i="60"/>
  <c r="K27" i="60"/>
  <c r="L27" i="60" s="1"/>
  <c r="M27" i="60"/>
  <c r="N27" i="60"/>
  <c r="S27" i="60"/>
  <c r="T27" i="60"/>
  <c r="U27" i="60" s="1"/>
  <c r="Y27" i="60"/>
  <c r="AA27" i="60"/>
  <c r="AJ27" i="60"/>
  <c r="AL27" i="60"/>
  <c r="H28" i="60"/>
  <c r="K28" i="60"/>
  <c r="L28" i="60" s="1"/>
  <c r="Z28" i="60" s="1"/>
  <c r="AE28" i="60" s="1"/>
  <c r="O28" i="60"/>
  <c r="M28" i="60"/>
  <c r="N28" i="60"/>
  <c r="S28" i="60"/>
  <c r="T28" i="60"/>
  <c r="U28" i="60"/>
  <c r="Y28" i="60"/>
  <c r="AA28" i="60"/>
  <c r="AB28" i="60"/>
  <c r="AJ28" i="60"/>
  <c r="AM28" i="60"/>
  <c r="AL28" i="60"/>
  <c r="H29" i="60"/>
  <c r="K29" i="60"/>
  <c r="L29" i="60"/>
  <c r="Z29" i="60" s="1"/>
  <c r="M29" i="60"/>
  <c r="N29" i="60"/>
  <c r="S29" i="60"/>
  <c r="T29" i="60"/>
  <c r="U29" i="60" s="1"/>
  <c r="Y29" i="60"/>
  <c r="AA29" i="60"/>
  <c r="AJ29" i="60"/>
  <c r="AM29" i="60" s="1"/>
  <c r="AL29" i="60"/>
  <c r="H30" i="60"/>
  <c r="K30" i="60"/>
  <c r="L30" i="60" s="1"/>
  <c r="M30" i="60"/>
  <c r="N30" i="60"/>
  <c r="S30" i="60"/>
  <c r="T30" i="60" s="1"/>
  <c r="U30" i="60" s="1"/>
  <c r="Y30" i="60"/>
  <c r="AA30" i="60"/>
  <c r="AJ30" i="60"/>
  <c r="AM30" i="60"/>
  <c r="AL30" i="60"/>
  <c r="A7" i="70"/>
  <c r="A8" i="70"/>
  <c r="A9" i="70"/>
  <c r="A10" i="70"/>
  <c r="A11" i="70"/>
  <c r="E19" i="70"/>
  <c r="E20" i="70"/>
  <c r="A33" i="70"/>
  <c r="F33" i="70"/>
  <c r="E34" i="70"/>
  <c r="A35" i="70"/>
  <c r="B36" i="70"/>
  <c r="B59" i="70" s="1"/>
  <c r="D36" i="70"/>
  <c r="C37" i="70"/>
  <c r="D45" i="70"/>
  <c r="F45" i="70" s="1"/>
  <c r="E45" i="70"/>
  <c r="D46" i="70"/>
  <c r="B51" i="70"/>
  <c r="C51" i="70" s="1"/>
  <c r="D51" i="70"/>
  <c r="E51" i="70" s="1"/>
  <c r="C64" i="70"/>
  <c r="D64" i="70"/>
  <c r="A7" i="58"/>
  <c r="A8" i="58"/>
  <c r="A9" i="58"/>
  <c r="A10" i="58"/>
  <c r="A11" i="58"/>
  <c r="AG19" i="58"/>
  <c r="E20" i="58"/>
  <c r="A33" i="58"/>
  <c r="F33" i="58"/>
  <c r="E34" i="58"/>
  <c r="A35" i="58"/>
  <c r="B36" i="58"/>
  <c r="D36" i="58"/>
  <c r="C37" i="58"/>
  <c r="D45" i="58"/>
  <c r="E45" i="58"/>
  <c r="D46" i="58"/>
  <c r="E64" i="58"/>
  <c r="A7" i="32"/>
  <c r="A8" i="32"/>
  <c r="A9" i="32"/>
  <c r="A10" i="32"/>
  <c r="A11" i="32"/>
  <c r="J15" i="32"/>
  <c r="J16" i="32"/>
  <c r="C24" i="32"/>
  <c r="C25" i="32"/>
  <c r="B26" i="32"/>
  <c r="C26" i="32"/>
  <c r="C27" i="32"/>
  <c r="B28" i="32"/>
  <c r="D25" i="32"/>
  <c r="H25" i="32"/>
  <c r="L25" i="32" s="1"/>
  <c r="C28" i="32"/>
  <c r="C29" i="32"/>
  <c r="C31" i="32"/>
  <c r="C32" i="32"/>
  <c r="B33" i="32"/>
  <c r="C33" i="32"/>
  <c r="C34" i="32"/>
  <c r="B35" i="32"/>
  <c r="D33" i="32"/>
  <c r="H33" i="32" s="1"/>
  <c r="L33" i="32" s="1"/>
  <c r="C35" i="32"/>
  <c r="C36" i="32"/>
  <c r="C38" i="32"/>
  <c r="C39" i="32"/>
  <c r="B40" i="32"/>
  <c r="C40" i="32"/>
  <c r="C41" i="32"/>
  <c r="B42" i="32"/>
  <c r="C42" i="32"/>
  <c r="C43" i="32"/>
  <c r="C45" i="32"/>
  <c r="C46" i="32"/>
  <c r="M33" i="32" s="1"/>
  <c r="D48" i="32"/>
  <c r="J41" i="32" s="1"/>
  <c r="F50" i="32"/>
  <c r="H51" i="32"/>
  <c r="B55" i="32" s="1"/>
  <c r="E52" i="32"/>
  <c r="F52" i="32"/>
  <c r="H54" i="32"/>
  <c r="D57" i="32"/>
  <c r="E57" i="32"/>
  <c r="A7" i="41"/>
  <c r="A8" i="41"/>
  <c r="A9" i="41"/>
  <c r="A10" i="41"/>
  <c r="A11" i="41"/>
  <c r="A80" i="41"/>
  <c r="A7" i="1"/>
  <c r="A8" i="1"/>
  <c r="A9" i="1"/>
  <c r="A10" i="1"/>
  <c r="A11" i="1"/>
  <c r="A29" i="1"/>
  <c r="A30" i="1"/>
  <c r="A31" i="1"/>
  <c r="A32" i="1"/>
  <c r="A33" i="1"/>
  <c r="A34" i="1"/>
  <c r="A35" i="1"/>
  <c r="A36" i="1"/>
  <c r="A37" i="1"/>
  <c r="A38" i="1"/>
  <c r="A39" i="1"/>
  <c r="A42" i="1"/>
  <c r="A43" i="1"/>
  <c r="A44" i="1"/>
  <c r="A45" i="1"/>
  <c r="A46" i="1"/>
  <c r="A80" i="1"/>
  <c r="E45" i="4"/>
  <c r="M3" i="69"/>
  <c r="F25" i="69" s="1"/>
  <c r="M4" i="69"/>
  <c r="F24" i="69" s="1"/>
  <c r="K24" i="69" s="1"/>
  <c r="J24" i="69"/>
  <c r="N9" i="69"/>
  <c r="A7" i="5"/>
  <c r="B7" i="4" s="1"/>
  <c r="A8" i="5"/>
  <c r="B8" i="4" s="1"/>
  <c r="A9" i="5"/>
  <c r="B9" i="4" s="1"/>
  <c r="A10" i="5"/>
  <c r="A11" i="5"/>
  <c r="G18" i="5"/>
  <c r="D27" i="5"/>
  <c r="I27" i="5"/>
  <c r="J27" i="5" s="1"/>
  <c r="D29" i="5"/>
  <c r="H29" i="5"/>
  <c r="I29" i="5"/>
  <c r="K29" i="5"/>
  <c r="J30" i="5"/>
  <c r="D31" i="5"/>
  <c r="H31" i="5"/>
  <c r="I31" i="5" s="1"/>
  <c r="K31" i="5"/>
  <c r="I33" i="5"/>
  <c r="K33" i="5"/>
  <c r="C36" i="5"/>
  <c r="B58" i="5"/>
  <c r="C60" i="5"/>
  <c r="F60" i="5"/>
  <c r="E58" i="5"/>
  <c r="F58" i="5" s="1"/>
  <c r="B60" i="5"/>
  <c r="C62" i="5" s="1"/>
  <c r="D60" i="5"/>
  <c r="E60" i="5" s="1"/>
  <c r="E62" i="5"/>
  <c r="F62" i="5" s="1"/>
  <c r="A7" i="6"/>
  <c r="A8" i="6"/>
  <c r="A9" i="6"/>
  <c r="A10" i="6"/>
  <c r="A11" i="6"/>
  <c r="G25" i="6"/>
  <c r="I25" i="6"/>
  <c r="H25" i="6"/>
  <c r="A26" i="6"/>
  <c r="A27" i="6" s="1"/>
  <c r="G26" i="6"/>
  <c r="I26" i="6"/>
  <c r="G27" i="6"/>
  <c r="H27" i="6" s="1"/>
  <c r="A28" i="6"/>
  <c r="A29" i="6"/>
  <c r="A30" i="6" s="1"/>
  <c r="A31" i="6" s="1"/>
  <c r="A32" i="6"/>
  <c r="A33" i="6"/>
  <c r="A34" i="6" s="1"/>
  <c r="A35" i="6" s="1"/>
  <c r="A36" i="6" s="1"/>
  <c r="A37" i="6" s="1"/>
  <c r="A38" i="6" s="1"/>
  <c r="A39" i="6" s="1"/>
  <c r="A40" i="6" s="1"/>
  <c r="A41" i="6" s="1"/>
  <c r="A42" i="6" s="1"/>
  <c r="A43" i="6" s="1"/>
  <c r="A44" i="6" s="1"/>
  <c r="A45" i="6" s="1"/>
  <c r="G28" i="6"/>
  <c r="H28" i="6" s="1"/>
  <c r="I28" i="6"/>
  <c r="G29" i="6"/>
  <c r="G30" i="6"/>
  <c r="H30" i="6" s="1"/>
  <c r="I30" i="6"/>
  <c r="G31" i="6"/>
  <c r="G32" i="6"/>
  <c r="H32" i="6"/>
  <c r="G33" i="6"/>
  <c r="H33" i="6" s="1"/>
  <c r="G34" i="6"/>
  <c r="I34" i="6" s="1"/>
  <c r="G35" i="6"/>
  <c r="H35" i="6" s="1"/>
  <c r="G36" i="6"/>
  <c r="H36" i="6" s="1"/>
  <c r="I36" i="6"/>
  <c r="G37" i="6"/>
  <c r="G38" i="6"/>
  <c r="I38" i="6" s="1"/>
  <c r="H38" i="6"/>
  <c r="G39" i="6"/>
  <c r="H39" i="6"/>
  <c r="G40" i="6"/>
  <c r="H40" i="6" s="1"/>
  <c r="G41" i="6"/>
  <c r="H41" i="6"/>
  <c r="I41" i="6"/>
  <c r="G42" i="6"/>
  <c r="I42" i="6" s="1"/>
  <c r="G43" i="6"/>
  <c r="H43" i="6"/>
  <c r="G44" i="6"/>
  <c r="I44" i="6" s="1"/>
  <c r="G45" i="6"/>
  <c r="G47" i="6"/>
  <c r="G49" i="6"/>
  <c r="H49" i="6" s="1"/>
  <c r="A7" i="10"/>
  <c r="A8" i="10"/>
  <c r="A9" i="10"/>
  <c r="A10" i="10"/>
  <c r="A11" i="10"/>
  <c r="A15" i="10"/>
  <c r="A29" i="10"/>
  <c r="N29" i="10"/>
  <c r="S29" i="10"/>
  <c r="T29" i="10" s="1"/>
  <c r="U29" i="10" s="1"/>
  <c r="A30" i="10"/>
  <c r="N30" i="10"/>
  <c r="S30" i="10"/>
  <c r="T30" i="10" s="1"/>
  <c r="U30" i="10" s="1"/>
  <c r="A31" i="10"/>
  <c r="N31" i="10"/>
  <c r="S31" i="10"/>
  <c r="T31" i="10" s="1"/>
  <c r="U31" i="10" s="1"/>
  <c r="A32" i="10"/>
  <c r="N32" i="10"/>
  <c r="S32" i="10"/>
  <c r="T32" i="10" s="1"/>
  <c r="U32" i="10" s="1"/>
  <c r="A33" i="10"/>
  <c r="N33" i="10"/>
  <c r="S33" i="10"/>
  <c r="T33" i="10" s="1"/>
  <c r="U33" i="10" s="1"/>
  <c r="A34" i="10"/>
  <c r="N34" i="10"/>
  <c r="S34" i="10"/>
  <c r="T34" i="10" s="1"/>
  <c r="U34" i="10" s="1"/>
  <c r="A35" i="10"/>
  <c r="N35" i="10"/>
  <c r="S35" i="10"/>
  <c r="T35" i="10" s="1"/>
  <c r="U35" i="10" s="1"/>
  <c r="A36" i="10"/>
  <c r="N36" i="10"/>
  <c r="S36" i="10"/>
  <c r="T36" i="10" s="1"/>
  <c r="U36" i="10" s="1"/>
  <c r="A37" i="10"/>
  <c r="N37" i="10"/>
  <c r="S37" i="10"/>
  <c r="T37" i="10" s="1"/>
  <c r="U37" i="10" s="1"/>
  <c r="A38" i="10"/>
  <c r="N38" i="10"/>
  <c r="S38" i="10"/>
  <c r="T38" i="10" s="1"/>
  <c r="U38" i="10" s="1"/>
  <c r="A39" i="10"/>
  <c r="N39" i="10"/>
  <c r="S39" i="10"/>
  <c r="T39" i="10" s="1"/>
  <c r="U39" i="10" s="1"/>
  <c r="A40" i="10"/>
  <c r="G40" i="10"/>
  <c r="N40" i="10"/>
  <c r="S40" i="10"/>
  <c r="T40" i="10" s="1"/>
  <c r="U40" i="10" s="1"/>
  <c r="A41" i="10"/>
  <c r="E41" i="10"/>
  <c r="F41" i="10"/>
  <c r="G41" i="10"/>
  <c r="N41" i="10"/>
  <c r="S41" i="10"/>
  <c r="T41" i="10" s="1"/>
  <c r="U41" i="10" s="1"/>
  <c r="A42" i="10"/>
  <c r="E42" i="10"/>
  <c r="F42" i="10"/>
  <c r="G42" i="10"/>
  <c r="N42" i="10"/>
  <c r="S42" i="10"/>
  <c r="T42" i="10" s="1"/>
  <c r="U42" i="10" s="1"/>
  <c r="A43" i="10"/>
  <c r="E43" i="10"/>
  <c r="F43" i="10"/>
  <c r="G43" i="10"/>
  <c r="N43" i="10"/>
  <c r="S43" i="10"/>
  <c r="T43" i="10" s="1"/>
  <c r="U43" i="10" s="1"/>
  <c r="A44" i="10"/>
  <c r="E44" i="10"/>
  <c r="F44" i="10"/>
  <c r="G44" i="10"/>
  <c r="N44" i="10"/>
  <c r="S44" i="10"/>
  <c r="T44" i="10" s="1"/>
  <c r="U44" i="10" s="1"/>
  <c r="A45" i="10"/>
  <c r="E45" i="10"/>
  <c r="F45" i="10"/>
  <c r="G45" i="10"/>
  <c r="N45" i="10"/>
  <c r="S45" i="10"/>
  <c r="T45" i="10" s="1"/>
  <c r="U45" i="10" s="1"/>
  <c r="A46" i="10"/>
  <c r="E46" i="10"/>
  <c r="F46" i="10"/>
  <c r="G46" i="10"/>
  <c r="N46" i="10"/>
  <c r="S46" i="10"/>
  <c r="T46" i="10" s="1"/>
  <c r="U46" i="10" s="1"/>
  <c r="A47" i="10"/>
  <c r="E47" i="10"/>
  <c r="F47" i="10"/>
  <c r="G47" i="10"/>
  <c r="N47" i="10"/>
  <c r="S47" i="10"/>
  <c r="T47" i="10" s="1"/>
  <c r="U47" i="10" s="1"/>
  <c r="A48" i="10"/>
  <c r="E48" i="10"/>
  <c r="F48" i="10"/>
  <c r="G48" i="10"/>
  <c r="N48" i="10"/>
  <c r="S48" i="10"/>
  <c r="T48" i="10" s="1"/>
  <c r="U48" i="10" s="1"/>
  <c r="A60" i="10"/>
  <c r="E60" i="10"/>
  <c r="F60" i="10"/>
  <c r="G60" i="10"/>
  <c r="N60" i="10"/>
  <c r="S60" i="10"/>
  <c r="T60" i="10" s="1"/>
  <c r="U60" i="10" s="1"/>
  <c r="A61" i="10"/>
  <c r="E61" i="10"/>
  <c r="F61" i="10"/>
  <c r="G61" i="10"/>
  <c r="N61" i="10"/>
  <c r="S61" i="10"/>
  <c r="T61" i="10" s="1"/>
  <c r="U61" i="10" s="1"/>
  <c r="A62" i="10"/>
  <c r="E62" i="10"/>
  <c r="F62" i="10"/>
  <c r="G62" i="10"/>
  <c r="N62" i="10"/>
  <c r="S62" i="10"/>
  <c r="T62" i="10" s="1"/>
  <c r="U62" i="10" s="1"/>
  <c r="A63" i="10"/>
  <c r="E63" i="10"/>
  <c r="F63" i="10"/>
  <c r="G63" i="10"/>
  <c r="O52" i="12" s="1"/>
  <c r="P52" i="12" s="1"/>
  <c r="N63" i="10"/>
  <c r="S63" i="10"/>
  <c r="T63" i="10" s="1"/>
  <c r="U63" i="10" s="1"/>
  <c r="A64" i="10"/>
  <c r="E64" i="10"/>
  <c r="F64" i="10"/>
  <c r="G64" i="10"/>
  <c r="N64" i="10"/>
  <c r="S64" i="10"/>
  <c r="T64" i="10" s="1"/>
  <c r="U64" i="10" s="1"/>
  <c r="A65" i="10"/>
  <c r="E65" i="10"/>
  <c r="F65" i="10"/>
  <c r="G65" i="10"/>
  <c r="N65" i="10"/>
  <c r="S65" i="10"/>
  <c r="T65" i="10" s="1"/>
  <c r="U65" i="10" s="1"/>
  <c r="A66" i="10"/>
  <c r="E66" i="10"/>
  <c r="F66" i="10"/>
  <c r="G66" i="10"/>
  <c r="O55" i="12" s="1"/>
  <c r="P55" i="12" s="1"/>
  <c r="N66" i="10"/>
  <c r="S66" i="10"/>
  <c r="T66" i="10" s="1"/>
  <c r="U66" i="10" s="1"/>
  <c r="A67" i="10"/>
  <c r="E67" i="10"/>
  <c r="F67" i="10"/>
  <c r="G67" i="10"/>
  <c r="N67" i="10"/>
  <c r="S67" i="10"/>
  <c r="T67" i="10" s="1"/>
  <c r="U67" i="10" s="1"/>
  <c r="A68" i="10"/>
  <c r="E68" i="10"/>
  <c r="F68" i="10"/>
  <c r="G68" i="10"/>
  <c r="N68" i="10"/>
  <c r="S68" i="10"/>
  <c r="T68" i="10" s="1"/>
  <c r="U68" i="10" s="1"/>
  <c r="A69" i="10"/>
  <c r="E69" i="10"/>
  <c r="F69" i="10"/>
  <c r="G69" i="10"/>
  <c r="O58" i="12" s="1"/>
  <c r="P58" i="12" s="1"/>
  <c r="N69" i="10"/>
  <c r="S69" i="10"/>
  <c r="T69" i="10" s="1"/>
  <c r="U69" i="10" s="1"/>
  <c r="A80" i="10"/>
  <c r="F80" i="10"/>
  <c r="N80" i="10"/>
  <c r="S80" i="10"/>
  <c r="T80" i="10" s="1"/>
  <c r="U80" i="10" s="1"/>
  <c r="A81" i="10"/>
  <c r="E81" i="10"/>
  <c r="N81" i="10"/>
  <c r="S81" i="10"/>
  <c r="T81" i="10" s="1"/>
  <c r="U81" i="10" s="1"/>
  <c r="N82" i="10"/>
  <c r="S82" i="10"/>
  <c r="T82" i="10" s="1"/>
  <c r="U82" i="10" s="1"/>
  <c r="A83" i="10"/>
  <c r="E83" i="10"/>
  <c r="N83" i="10"/>
  <c r="S83" i="10"/>
  <c r="T83" i="10" s="1"/>
  <c r="U83" i="10" s="1"/>
  <c r="N84" i="10"/>
  <c r="S84" i="10"/>
  <c r="T84" i="10" s="1"/>
  <c r="U84" i="10" s="1"/>
  <c r="N85" i="10"/>
  <c r="S85" i="10"/>
  <c r="T85" i="10" s="1"/>
  <c r="U85" i="10" s="1"/>
  <c r="N86" i="10"/>
  <c r="S86" i="10"/>
  <c r="T86" i="10" s="1"/>
  <c r="U86" i="10" s="1"/>
  <c r="N87" i="10"/>
  <c r="S87" i="10"/>
  <c r="T87" i="10" s="1"/>
  <c r="U87" i="10" s="1"/>
  <c r="N88" i="10"/>
  <c r="S88" i="10"/>
  <c r="T88" i="10" s="1"/>
  <c r="U88" i="10" s="1"/>
  <c r="N89" i="10"/>
  <c r="S89" i="10"/>
  <c r="T89" i="10" s="1"/>
  <c r="U89" i="10" s="1"/>
  <c r="N90" i="10"/>
  <c r="S90" i="10"/>
  <c r="T90" i="10" s="1"/>
  <c r="U90" i="10" s="1"/>
  <c r="N91" i="10"/>
  <c r="S91" i="10"/>
  <c r="T91" i="10" s="1"/>
  <c r="U91" i="10" s="1"/>
  <c r="N92" i="10"/>
  <c r="S92" i="10"/>
  <c r="T92" i="10" s="1"/>
  <c r="U92" i="10" s="1"/>
  <c r="N93" i="10"/>
  <c r="S93" i="10"/>
  <c r="T93" i="10" s="1"/>
  <c r="U93" i="10" s="1"/>
  <c r="N94" i="10"/>
  <c r="S94" i="10"/>
  <c r="T94" i="10" s="1"/>
  <c r="U94" i="10" s="1"/>
  <c r="N95" i="10"/>
  <c r="S95" i="10"/>
  <c r="T95" i="10" s="1"/>
  <c r="U95" i="10" s="1"/>
  <c r="N96" i="10"/>
  <c r="S96" i="10"/>
  <c r="T96" i="10" s="1"/>
  <c r="U96" i="10" s="1"/>
  <c r="N97" i="10"/>
  <c r="S97" i="10"/>
  <c r="T97" i="10" s="1"/>
  <c r="U97" i="10" s="1"/>
  <c r="N98" i="10"/>
  <c r="S98" i="10"/>
  <c r="T98" i="10" s="1"/>
  <c r="U98" i="10" s="1"/>
  <c r="N99" i="10"/>
  <c r="S99" i="10"/>
  <c r="T99" i="10" s="1"/>
  <c r="U99" i="10" s="1"/>
  <c r="N100" i="10"/>
  <c r="S100" i="10"/>
  <c r="T100" i="10" s="1"/>
  <c r="U100" i="10" s="1"/>
  <c r="N101" i="10"/>
  <c r="S101" i="10"/>
  <c r="T101" i="10" s="1"/>
  <c r="U101" i="10" s="1"/>
  <c r="N102" i="10"/>
  <c r="S102" i="10"/>
  <c r="T102" i="10" s="1"/>
  <c r="U102" i="10" s="1"/>
  <c r="N103" i="10"/>
  <c r="S103" i="10"/>
  <c r="T103" i="10" s="1"/>
  <c r="U103" i="10" s="1"/>
  <c r="N104" i="10"/>
  <c r="S104" i="10"/>
  <c r="T104" i="10" s="1"/>
  <c r="U104" i="10" s="1"/>
  <c r="N105" i="10"/>
  <c r="S105" i="10"/>
  <c r="T105" i="10" s="1"/>
  <c r="U105" i="10" s="1"/>
  <c r="N106" i="10"/>
  <c r="S106" i="10"/>
  <c r="T106" i="10" s="1"/>
  <c r="U106" i="10" s="1"/>
  <c r="N107" i="10"/>
  <c r="S107" i="10"/>
  <c r="T107" i="10" s="1"/>
  <c r="U107" i="10" s="1"/>
  <c r="N108" i="10"/>
  <c r="S108" i="10"/>
  <c r="T108" i="10" s="1"/>
  <c r="U108" i="10" s="1"/>
  <c r="N109" i="10"/>
  <c r="S109" i="10"/>
  <c r="T109" i="10" s="1"/>
  <c r="U109" i="10" s="1"/>
  <c r="N110" i="10"/>
  <c r="S110" i="10"/>
  <c r="T110" i="10" s="1"/>
  <c r="U110" i="10" s="1"/>
  <c r="N111" i="10"/>
  <c r="S111" i="10"/>
  <c r="T111" i="10" s="1"/>
  <c r="U111" i="10" s="1"/>
  <c r="N112" i="10"/>
  <c r="S112" i="10"/>
  <c r="T112" i="10" s="1"/>
  <c r="U112" i="10" s="1"/>
  <c r="N113" i="10"/>
  <c r="S113" i="10"/>
  <c r="T113" i="10" s="1"/>
  <c r="U113" i="10" s="1"/>
  <c r="N114" i="10"/>
  <c r="S114" i="10"/>
  <c r="T114" i="10" s="1"/>
  <c r="U114" i="10" s="1"/>
  <c r="N115" i="10"/>
  <c r="S115" i="10"/>
  <c r="T115" i="10" s="1"/>
  <c r="U115" i="10" s="1"/>
  <c r="N116" i="10"/>
  <c r="S116" i="10"/>
  <c r="T116" i="10" s="1"/>
  <c r="U116" i="10" s="1"/>
  <c r="N117" i="10"/>
  <c r="S117" i="10"/>
  <c r="T117" i="10" s="1"/>
  <c r="U117" i="10" s="1"/>
  <c r="N118" i="10"/>
  <c r="S118" i="10"/>
  <c r="T118" i="10" s="1"/>
  <c r="U118" i="10" s="1"/>
  <c r="N119" i="10"/>
  <c r="S119" i="10"/>
  <c r="T119" i="10" s="1"/>
  <c r="U119" i="10" s="1"/>
  <c r="N120" i="10"/>
  <c r="S120" i="10"/>
  <c r="T120" i="10" s="1"/>
  <c r="U120" i="10" s="1"/>
  <c r="N121" i="10"/>
  <c r="S121" i="10"/>
  <c r="T121" i="10" s="1"/>
  <c r="U121" i="10" s="1"/>
  <c r="N122" i="10"/>
  <c r="S122" i="10"/>
  <c r="T122" i="10"/>
  <c r="U122" i="10" s="1"/>
  <c r="N123" i="10"/>
  <c r="S123" i="10"/>
  <c r="T123" i="10" s="1"/>
  <c r="U123" i="10" s="1"/>
  <c r="N124" i="10"/>
  <c r="S124" i="10"/>
  <c r="T124" i="10" s="1"/>
  <c r="U124" i="10" s="1"/>
  <c r="N125" i="10"/>
  <c r="S125" i="10"/>
  <c r="T125" i="10" s="1"/>
  <c r="U125" i="10" s="1"/>
  <c r="N126" i="10"/>
  <c r="S126" i="10"/>
  <c r="T126" i="10" s="1"/>
  <c r="U126" i="10" s="1"/>
  <c r="N127" i="10"/>
  <c r="S127" i="10"/>
  <c r="T127" i="10" s="1"/>
  <c r="U127" i="10" s="1"/>
  <c r="A7" i="9"/>
  <c r="A8" i="9"/>
  <c r="A9" i="9"/>
  <c r="D10" i="9"/>
  <c r="D11" i="9"/>
  <c r="A15" i="9"/>
  <c r="A29" i="9"/>
  <c r="E29" i="9"/>
  <c r="N29" i="9"/>
  <c r="S29" i="9"/>
  <c r="T29" i="9" s="1"/>
  <c r="U29" i="9" s="1"/>
  <c r="A30" i="9"/>
  <c r="E30" i="9"/>
  <c r="G30" i="9"/>
  <c r="N30" i="9"/>
  <c r="S30" i="9"/>
  <c r="T30" i="9" s="1"/>
  <c r="U30" i="9" s="1"/>
  <c r="A31" i="9"/>
  <c r="E31" i="9"/>
  <c r="G31" i="9"/>
  <c r="N31" i="9"/>
  <c r="S31" i="9"/>
  <c r="T31" i="9" s="1"/>
  <c r="U31" i="9" s="1"/>
  <c r="A32" i="9"/>
  <c r="E32" i="9"/>
  <c r="G32" i="9"/>
  <c r="N32" i="9"/>
  <c r="S32" i="9"/>
  <c r="T32" i="9" s="1"/>
  <c r="U32" i="9" s="1"/>
  <c r="A33" i="9"/>
  <c r="E33" i="9"/>
  <c r="G33" i="9"/>
  <c r="N33" i="9"/>
  <c r="S33" i="9"/>
  <c r="T33" i="9" s="1"/>
  <c r="U33" i="9" s="1"/>
  <c r="A34" i="9"/>
  <c r="E34" i="9"/>
  <c r="G34" i="9"/>
  <c r="N34" i="9"/>
  <c r="S34" i="9"/>
  <c r="T34" i="9" s="1"/>
  <c r="U34" i="9" s="1"/>
  <c r="A35" i="9"/>
  <c r="E35" i="9"/>
  <c r="G35" i="9"/>
  <c r="N35" i="9"/>
  <c r="S35" i="9"/>
  <c r="T35" i="9" s="1"/>
  <c r="U35" i="9" s="1"/>
  <c r="A36" i="9"/>
  <c r="E36" i="9"/>
  <c r="G36" i="9"/>
  <c r="N36" i="9"/>
  <c r="S36" i="9"/>
  <c r="T36" i="9" s="1"/>
  <c r="U36" i="9" s="1"/>
  <c r="A37" i="9"/>
  <c r="E37" i="9"/>
  <c r="G37" i="9"/>
  <c r="N37" i="9"/>
  <c r="S37" i="9"/>
  <c r="T37" i="9" s="1"/>
  <c r="U37" i="9" s="1"/>
  <c r="A38" i="9"/>
  <c r="E38" i="9"/>
  <c r="G38" i="9"/>
  <c r="N38" i="9"/>
  <c r="S38" i="9"/>
  <c r="T38" i="9" s="1"/>
  <c r="U38" i="9" s="1"/>
  <c r="A39" i="9"/>
  <c r="E39" i="9"/>
  <c r="G39" i="9"/>
  <c r="N39" i="9"/>
  <c r="S39" i="9"/>
  <c r="T39" i="9" s="1"/>
  <c r="U39" i="9" s="1"/>
  <c r="A40" i="9"/>
  <c r="E40" i="9"/>
  <c r="G40" i="9"/>
  <c r="N40" i="9"/>
  <c r="S40" i="9"/>
  <c r="T40" i="9" s="1"/>
  <c r="U40" i="9" s="1"/>
  <c r="A41" i="9"/>
  <c r="E41" i="9"/>
  <c r="G41" i="9"/>
  <c r="N41" i="9"/>
  <c r="S41" i="9"/>
  <c r="T41" i="9" s="1"/>
  <c r="U41" i="9" s="1"/>
  <c r="A42" i="9"/>
  <c r="E42" i="9"/>
  <c r="G42" i="9"/>
  <c r="N42" i="9"/>
  <c r="S42" i="9"/>
  <c r="T42" i="9" s="1"/>
  <c r="U42" i="9" s="1"/>
  <c r="A43" i="9"/>
  <c r="E43" i="9"/>
  <c r="G43" i="9"/>
  <c r="N43" i="9"/>
  <c r="S43" i="9"/>
  <c r="T43" i="9" s="1"/>
  <c r="U43" i="9" s="1"/>
  <c r="A44" i="9"/>
  <c r="E44" i="9"/>
  <c r="G44" i="9"/>
  <c r="N44" i="9"/>
  <c r="S44" i="9"/>
  <c r="T44" i="9" s="1"/>
  <c r="U44" i="9" s="1"/>
  <c r="A45" i="9"/>
  <c r="E45" i="9"/>
  <c r="G45" i="9"/>
  <c r="N45" i="9"/>
  <c r="S45" i="9"/>
  <c r="T45" i="9" s="1"/>
  <c r="U45" i="9" s="1"/>
  <c r="A46" i="9"/>
  <c r="E46" i="9"/>
  <c r="G46" i="9"/>
  <c r="N46" i="9"/>
  <c r="S46" i="9"/>
  <c r="T46" i="9" s="1"/>
  <c r="U46" i="9" s="1"/>
  <c r="E47" i="9"/>
  <c r="G47" i="9"/>
  <c r="N47" i="9"/>
  <c r="S47" i="9"/>
  <c r="T47" i="9" s="1"/>
  <c r="U47" i="9" s="1"/>
  <c r="E48" i="9"/>
  <c r="G48" i="9"/>
  <c r="N48" i="9"/>
  <c r="S48" i="9"/>
  <c r="T48" i="9" s="1"/>
  <c r="U48" i="9" s="1"/>
  <c r="E49" i="9"/>
  <c r="G49" i="9"/>
  <c r="N49" i="9"/>
  <c r="S49" i="9"/>
  <c r="T49" i="9" s="1"/>
  <c r="E50" i="9"/>
  <c r="G50" i="9"/>
  <c r="N50" i="9"/>
  <c r="S50" i="9"/>
  <c r="T50" i="9" s="1"/>
  <c r="U50" i="9" s="1"/>
  <c r="E51" i="9"/>
  <c r="G51" i="9"/>
  <c r="N51" i="9"/>
  <c r="S51" i="9"/>
  <c r="T51" i="9" s="1"/>
  <c r="U51" i="9" s="1"/>
  <c r="E52" i="9"/>
  <c r="G52" i="9"/>
  <c r="N52" i="9"/>
  <c r="S52" i="9"/>
  <c r="T52" i="9" s="1"/>
  <c r="U52" i="9" s="1"/>
  <c r="E53" i="9"/>
  <c r="G53" i="9"/>
  <c r="N53" i="9"/>
  <c r="S53" i="9"/>
  <c r="T53" i="9" s="1"/>
  <c r="U53" i="9" s="1"/>
  <c r="E54" i="9"/>
  <c r="G54" i="9"/>
  <c r="N54" i="9"/>
  <c r="S54" i="9"/>
  <c r="T54" i="9" s="1"/>
  <c r="U54" i="9" s="1"/>
  <c r="E55" i="9"/>
  <c r="G55" i="9"/>
  <c r="N55" i="9"/>
  <c r="S55" i="9"/>
  <c r="T55" i="9" s="1"/>
  <c r="U55" i="9" s="1"/>
  <c r="E56" i="9"/>
  <c r="G56" i="9"/>
  <c r="N56" i="9"/>
  <c r="S56" i="9"/>
  <c r="T56" i="9" s="1"/>
  <c r="U56" i="9" s="1"/>
  <c r="E57" i="9"/>
  <c r="G57" i="9"/>
  <c r="N57" i="9"/>
  <c r="S57" i="9"/>
  <c r="T57" i="9" s="1"/>
  <c r="U57" i="9" s="1"/>
  <c r="N58" i="9"/>
  <c r="S58" i="9"/>
  <c r="T58" i="9" s="1"/>
  <c r="U58" i="9" s="1"/>
  <c r="A80" i="9"/>
  <c r="E80" i="9"/>
  <c r="G80" i="9"/>
  <c r="N80" i="9"/>
  <c r="S80" i="9"/>
  <c r="T80" i="9" s="1"/>
  <c r="U80" i="9" s="1"/>
  <c r="N81" i="9"/>
  <c r="S81" i="9"/>
  <c r="T81" i="9" s="1"/>
  <c r="U81" i="9" s="1"/>
  <c r="N82" i="9"/>
  <c r="S82" i="9"/>
  <c r="T82" i="9" s="1"/>
  <c r="U82" i="9" s="1"/>
  <c r="N83" i="9"/>
  <c r="S83" i="9"/>
  <c r="T83" i="9" s="1"/>
  <c r="U83" i="9" s="1"/>
  <c r="N84" i="9"/>
  <c r="S84" i="9"/>
  <c r="T84" i="9" s="1"/>
  <c r="U84" i="9" s="1"/>
  <c r="N85" i="9"/>
  <c r="S85" i="9"/>
  <c r="T85" i="9" s="1"/>
  <c r="U85" i="9" s="1"/>
  <c r="N86" i="9"/>
  <c r="S86" i="9"/>
  <c r="T86" i="9" s="1"/>
  <c r="U86" i="9" s="1"/>
  <c r="N87" i="9"/>
  <c r="S87" i="9"/>
  <c r="T87" i="9" s="1"/>
  <c r="U87" i="9" s="1"/>
  <c r="N88" i="9"/>
  <c r="S88" i="9"/>
  <c r="T88" i="9" s="1"/>
  <c r="U88" i="9" s="1"/>
  <c r="N89" i="9"/>
  <c r="S89" i="9"/>
  <c r="T89" i="9" s="1"/>
  <c r="U89" i="9" s="1"/>
  <c r="N90" i="9"/>
  <c r="S90" i="9"/>
  <c r="T90" i="9" s="1"/>
  <c r="U90" i="9" s="1"/>
  <c r="N91" i="9"/>
  <c r="S91" i="9"/>
  <c r="T91" i="9" s="1"/>
  <c r="U91" i="9" s="1"/>
  <c r="N92" i="9"/>
  <c r="S92" i="9"/>
  <c r="T92" i="9" s="1"/>
  <c r="U92" i="9" s="1"/>
  <c r="N93" i="9"/>
  <c r="S93" i="9"/>
  <c r="T93" i="9" s="1"/>
  <c r="U93" i="9" s="1"/>
  <c r="N94" i="9"/>
  <c r="S94" i="9"/>
  <c r="T94" i="9" s="1"/>
  <c r="U94" i="9" s="1"/>
  <c r="N95" i="9"/>
  <c r="S95" i="9"/>
  <c r="T95" i="9" s="1"/>
  <c r="U95" i="9" s="1"/>
  <c r="N96" i="9"/>
  <c r="S96" i="9"/>
  <c r="T96" i="9" s="1"/>
  <c r="U96" i="9" s="1"/>
  <c r="N97" i="9"/>
  <c r="S97" i="9"/>
  <c r="T97" i="9" s="1"/>
  <c r="U97" i="9" s="1"/>
  <c r="N98" i="9"/>
  <c r="S98" i="9"/>
  <c r="T98" i="9" s="1"/>
  <c r="U98" i="9" s="1"/>
  <c r="N99" i="9"/>
  <c r="S99" i="9"/>
  <c r="T99" i="9" s="1"/>
  <c r="U99" i="9" s="1"/>
  <c r="N100" i="9"/>
  <c r="S100" i="9"/>
  <c r="T100" i="9" s="1"/>
  <c r="U100" i="9" s="1"/>
  <c r="N101" i="9"/>
  <c r="S101" i="9"/>
  <c r="T101" i="9" s="1"/>
  <c r="U101" i="9" s="1"/>
  <c r="N102" i="9"/>
  <c r="S102" i="9"/>
  <c r="T102" i="9" s="1"/>
  <c r="U102" i="9" s="1"/>
  <c r="N103" i="9"/>
  <c r="S103" i="9"/>
  <c r="T103" i="9" s="1"/>
  <c r="U103" i="9" s="1"/>
  <c r="N104" i="9"/>
  <c r="S104" i="9"/>
  <c r="T104" i="9" s="1"/>
  <c r="U104" i="9" s="1"/>
  <c r="N105" i="9"/>
  <c r="S105" i="9"/>
  <c r="T105" i="9" s="1"/>
  <c r="U105" i="9" s="1"/>
  <c r="N106" i="9"/>
  <c r="S106" i="9"/>
  <c r="T106" i="9" s="1"/>
  <c r="U106" i="9" s="1"/>
  <c r="N107" i="9"/>
  <c r="S107" i="9"/>
  <c r="T107" i="9" s="1"/>
  <c r="U107" i="9" s="1"/>
  <c r="N108" i="9"/>
  <c r="S108" i="9"/>
  <c r="T108" i="9" s="1"/>
  <c r="U108" i="9" s="1"/>
  <c r="N109" i="9"/>
  <c r="S109" i="9"/>
  <c r="T109" i="9" s="1"/>
  <c r="U109" i="9" s="1"/>
  <c r="N110" i="9"/>
  <c r="S110" i="9"/>
  <c r="T110" i="9" s="1"/>
  <c r="U110" i="9" s="1"/>
  <c r="N111" i="9"/>
  <c r="S111" i="9"/>
  <c r="T111" i="9" s="1"/>
  <c r="U111" i="9" s="1"/>
  <c r="N112" i="9"/>
  <c r="S112" i="9"/>
  <c r="T112" i="9" s="1"/>
  <c r="U112" i="9" s="1"/>
  <c r="N113" i="9"/>
  <c r="S113" i="9"/>
  <c r="T113" i="9" s="1"/>
  <c r="U113" i="9" s="1"/>
  <c r="N114" i="9"/>
  <c r="S114" i="9"/>
  <c r="T114" i="9" s="1"/>
  <c r="U114" i="9" s="1"/>
  <c r="N115" i="9"/>
  <c r="S115" i="9"/>
  <c r="T115" i="9" s="1"/>
  <c r="U115" i="9" s="1"/>
  <c r="N116" i="9"/>
  <c r="S116" i="9"/>
  <c r="T116" i="9" s="1"/>
  <c r="U116" i="9" s="1"/>
  <c r="N117" i="9"/>
  <c r="S117" i="9"/>
  <c r="T117" i="9" s="1"/>
  <c r="U117" i="9" s="1"/>
  <c r="N118" i="9"/>
  <c r="S118" i="9"/>
  <c r="T118" i="9" s="1"/>
  <c r="U118" i="9" s="1"/>
  <c r="N119" i="9"/>
  <c r="S119" i="9"/>
  <c r="T119" i="9" s="1"/>
  <c r="U119" i="9" s="1"/>
  <c r="N120" i="9"/>
  <c r="S120" i="9"/>
  <c r="T120" i="9" s="1"/>
  <c r="U120" i="9" s="1"/>
  <c r="N121" i="9"/>
  <c r="S121" i="9"/>
  <c r="T121" i="9" s="1"/>
  <c r="U121" i="9" s="1"/>
  <c r="N122" i="9"/>
  <c r="S122" i="9"/>
  <c r="T122" i="9" s="1"/>
  <c r="U122" i="9" s="1"/>
  <c r="N123" i="9"/>
  <c r="S123" i="9"/>
  <c r="T123" i="9" s="1"/>
  <c r="U123" i="9" s="1"/>
  <c r="N124" i="9"/>
  <c r="S124" i="9"/>
  <c r="T124" i="9" s="1"/>
  <c r="U124" i="9" s="1"/>
  <c r="N125" i="9"/>
  <c r="S125" i="9"/>
  <c r="T125" i="9" s="1"/>
  <c r="U125" i="9" s="1"/>
  <c r="N126" i="9"/>
  <c r="S126" i="9"/>
  <c r="T126" i="9" s="1"/>
  <c r="U126" i="9" s="1"/>
  <c r="N127" i="9"/>
  <c r="S127" i="9"/>
  <c r="T127" i="9" s="1"/>
  <c r="U127" i="9" s="1"/>
  <c r="A7" i="14"/>
  <c r="A8" i="14"/>
  <c r="A9" i="14"/>
  <c r="A10" i="14"/>
  <c r="A11" i="14"/>
  <c r="A16" i="14"/>
  <c r="AE25" i="14"/>
  <c r="A28" i="14"/>
  <c r="B28" i="14"/>
  <c r="C28" i="14" s="1"/>
  <c r="D28" i="14"/>
  <c r="F28" i="14"/>
  <c r="G28" i="14"/>
  <c r="T28" i="14" s="1"/>
  <c r="H28" i="14"/>
  <c r="I28" i="14"/>
  <c r="J28" i="14"/>
  <c r="U28" i="14" s="1"/>
  <c r="K28" i="14"/>
  <c r="V28" i="14" s="1"/>
  <c r="R28" i="14"/>
  <c r="A29" i="14"/>
  <c r="D29" i="14"/>
  <c r="F29" i="14"/>
  <c r="S29" i="14" s="1"/>
  <c r="G29" i="14"/>
  <c r="T29" i="14" s="1"/>
  <c r="H29" i="14"/>
  <c r="I29" i="14"/>
  <c r="J29" i="14"/>
  <c r="U29" i="14" s="1"/>
  <c r="K29" i="14"/>
  <c r="V29" i="14" s="1"/>
  <c r="R29" i="14"/>
  <c r="AE29" i="14"/>
  <c r="AK29" i="14" s="1"/>
  <c r="A30" i="14"/>
  <c r="D30" i="14"/>
  <c r="F30" i="14"/>
  <c r="S30" i="14" s="1"/>
  <c r="G30" i="14"/>
  <c r="T30" i="14" s="1"/>
  <c r="H30" i="14"/>
  <c r="I30" i="14"/>
  <c r="J30" i="14"/>
  <c r="U30" i="14" s="1"/>
  <c r="K30" i="14"/>
  <c r="V30" i="14" s="1"/>
  <c r="R30" i="14"/>
  <c r="A31" i="14"/>
  <c r="D31" i="14"/>
  <c r="F31" i="14"/>
  <c r="S31" i="14" s="1"/>
  <c r="G31" i="14"/>
  <c r="H31" i="14"/>
  <c r="I31" i="14"/>
  <c r="J31" i="14"/>
  <c r="U31" i="14" s="1"/>
  <c r="K31" i="14"/>
  <c r="V31" i="14" s="1"/>
  <c r="R31" i="14"/>
  <c r="A32" i="14"/>
  <c r="D32" i="14"/>
  <c r="F32" i="14"/>
  <c r="G32" i="14"/>
  <c r="T32" i="14" s="1"/>
  <c r="H32" i="14"/>
  <c r="I32" i="14"/>
  <c r="J32" i="14"/>
  <c r="U32" i="14" s="1"/>
  <c r="K32" i="14"/>
  <c r="V32" i="14" s="1"/>
  <c r="R32" i="14"/>
  <c r="AE32" i="14"/>
  <c r="AK32" i="14" s="1"/>
  <c r="A33" i="14"/>
  <c r="D33" i="14"/>
  <c r="F33" i="14"/>
  <c r="G33" i="14"/>
  <c r="T33" i="14" s="1"/>
  <c r="H33" i="14"/>
  <c r="I33" i="14"/>
  <c r="J33" i="14"/>
  <c r="U33" i="14" s="1"/>
  <c r="K33" i="14"/>
  <c r="V33" i="14" s="1"/>
  <c r="R33" i="14"/>
  <c r="A34" i="14"/>
  <c r="D34" i="14"/>
  <c r="F34" i="14"/>
  <c r="S34" i="14" s="1"/>
  <c r="G34" i="14"/>
  <c r="T34" i="14" s="1"/>
  <c r="H34" i="14"/>
  <c r="I34" i="14"/>
  <c r="J34" i="14"/>
  <c r="U34" i="14" s="1"/>
  <c r="K34" i="14"/>
  <c r="V34" i="14" s="1"/>
  <c r="R34" i="14"/>
  <c r="A35" i="14"/>
  <c r="D35" i="14"/>
  <c r="F35" i="14"/>
  <c r="S35" i="14" s="1"/>
  <c r="G35" i="14"/>
  <c r="T35" i="14" s="1"/>
  <c r="H35" i="14"/>
  <c r="I35" i="14"/>
  <c r="J35" i="14"/>
  <c r="U35" i="14" s="1"/>
  <c r="K35" i="14"/>
  <c r="V35" i="14" s="1"/>
  <c r="R35" i="14"/>
  <c r="A36" i="14"/>
  <c r="D36" i="14"/>
  <c r="F36" i="14"/>
  <c r="S36" i="14" s="1"/>
  <c r="G36" i="14"/>
  <c r="H36" i="14"/>
  <c r="I36" i="14"/>
  <c r="J36" i="14"/>
  <c r="U36" i="14" s="1"/>
  <c r="K36" i="14"/>
  <c r="V36" i="14" s="1"/>
  <c r="R36" i="14"/>
  <c r="A37" i="14"/>
  <c r="D37" i="14"/>
  <c r="F37" i="14"/>
  <c r="G37" i="14"/>
  <c r="T37" i="14" s="1"/>
  <c r="H37" i="14"/>
  <c r="I37" i="14"/>
  <c r="J37" i="14"/>
  <c r="U37" i="14" s="1"/>
  <c r="K37" i="14"/>
  <c r="V37" i="14" s="1"/>
  <c r="R37" i="14"/>
  <c r="A38" i="14"/>
  <c r="D38" i="14"/>
  <c r="F38" i="14"/>
  <c r="S38" i="14" s="1"/>
  <c r="G38" i="14"/>
  <c r="T38" i="14" s="1"/>
  <c r="H38" i="14"/>
  <c r="I38" i="14"/>
  <c r="J38" i="14"/>
  <c r="U38" i="14" s="1"/>
  <c r="K38" i="14"/>
  <c r="V38" i="14" s="1"/>
  <c r="R38" i="14"/>
  <c r="A39" i="14"/>
  <c r="D39" i="14"/>
  <c r="F39" i="14"/>
  <c r="S39" i="14" s="1"/>
  <c r="G39" i="14"/>
  <c r="T39" i="14" s="1"/>
  <c r="H39" i="14"/>
  <c r="I39" i="14"/>
  <c r="J39" i="14"/>
  <c r="U39" i="14" s="1"/>
  <c r="K39" i="14"/>
  <c r="V39" i="14" s="1"/>
  <c r="R39" i="14"/>
  <c r="A40" i="14"/>
  <c r="B40" i="14"/>
  <c r="C40" i="14" s="1"/>
  <c r="D40" i="14"/>
  <c r="F40" i="14"/>
  <c r="S40" i="14" s="1"/>
  <c r="G40" i="14"/>
  <c r="T40" i="14" s="1"/>
  <c r="H40" i="14"/>
  <c r="I40" i="14"/>
  <c r="J40" i="14"/>
  <c r="U40" i="14" s="1"/>
  <c r="K40" i="14"/>
  <c r="V40" i="14" s="1"/>
  <c r="R40" i="14"/>
  <c r="A41" i="14"/>
  <c r="B41" i="14"/>
  <c r="C41" i="14" s="1"/>
  <c r="D41" i="14"/>
  <c r="F41" i="14"/>
  <c r="S41" i="14" s="1"/>
  <c r="G41" i="14"/>
  <c r="T41" i="14" s="1"/>
  <c r="H41" i="14"/>
  <c r="I41" i="14"/>
  <c r="J41" i="14"/>
  <c r="U41" i="14" s="1"/>
  <c r="K41" i="14"/>
  <c r="R41" i="14"/>
  <c r="A42" i="14"/>
  <c r="B42" i="14"/>
  <c r="C42" i="14" s="1"/>
  <c r="D42" i="14"/>
  <c r="F42" i="14"/>
  <c r="G42" i="14"/>
  <c r="T42" i="14" s="1"/>
  <c r="H42" i="14"/>
  <c r="I42" i="14"/>
  <c r="J42" i="14"/>
  <c r="U42" i="14" s="1"/>
  <c r="K42" i="14"/>
  <c r="V42" i="14" s="1"/>
  <c r="R42" i="14"/>
  <c r="A43" i="14"/>
  <c r="B43" i="14"/>
  <c r="C43" i="14" s="1"/>
  <c r="D43" i="14"/>
  <c r="F43" i="14"/>
  <c r="G43" i="14"/>
  <c r="T43" i="14" s="1"/>
  <c r="H43" i="14"/>
  <c r="I43" i="14"/>
  <c r="J43" i="14"/>
  <c r="U43" i="14" s="1"/>
  <c r="K43" i="14"/>
  <c r="V43" i="14" s="1"/>
  <c r="R43" i="14"/>
  <c r="A44" i="14"/>
  <c r="B44" i="14"/>
  <c r="C44" i="14" s="1"/>
  <c r="D44" i="14"/>
  <c r="F44" i="14"/>
  <c r="G44" i="14"/>
  <c r="T44" i="14" s="1"/>
  <c r="H44" i="14"/>
  <c r="I44" i="14"/>
  <c r="J44" i="14"/>
  <c r="U44" i="14" s="1"/>
  <c r="K44" i="14"/>
  <c r="V44" i="14" s="1"/>
  <c r="R44" i="14"/>
  <c r="AE44" i="14"/>
  <c r="AK44" i="14" s="1"/>
  <c r="A45" i="14"/>
  <c r="B45" i="14"/>
  <c r="C45" i="14" s="1"/>
  <c r="D45" i="14"/>
  <c r="F45" i="14"/>
  <c r="G45" i="14"/>
  <c r="T45" i="14" s="1"/>
  <c r="H45" i="14"/>
  <c r="I45" i="14"/>
  <c r="J45" i="14"/>
  <c r="U45" i="14" s="1"/>
  <c r="K45" i="14"/>
  <c r="V45" i="14" s="1"/>
  <c r="R45" i="14"/>
  <c r="AE45" i="14"/>
  <c r="AK45" i="14" s="1"/>
  <c r="A46" i="14"/>
  <c r="B46" i="14"/>
  <c r="C46" i="14" s="1"/>
  <c r="D46" i="14"/>
  <c r="F46" i="14"/>
  <c r="G46" i="14"/>
  <c r="T46" i="14" s="1"/>
  <c r="H46" i="14"/>
  <c r="I46" i="14"/>
  <c r="J46" i="14"/>
  <c r="U46" i="14" s="1"/>
  <c r="K46" i="14"/>
  <c r="V46" i="14" s="1"/>
  <c r="R46" i="14"/>
  <c r="AE46" i="14"/>
  <c r="AK46" i="14" s="1"/>
  <c r="A47" i="14"/>
  <c r="B47" i="14"/>
  <c r="C47" i="14" s="1"/>
  <c r="D47" i="14"/>
  <c r="F47" i="14"/>
  <c r="G47" i="14"/>
  <c r="T47" i="14" s="1"/>
  <c r="H47" i="14"/>
  <c r="I47" i="14"/>
  <c r="J47" i="14"/>
  <c r="U47" i="14" s="1"/>
  <c r="K47" i="14"/>
  <c r="V47" i="14" s="1"/>
  <c r="R47" i="14"/>
  <c r="AE47" i="14"/>
  <c r="AK47" i="14" s="1"/>
  <c r="AE59" i="14"/>
  <c r="AK59" i="14" s="1"/>
  <c r="AE60" i="14"/>
  <c r="AK60" i="14" s="1"/>
  <c r="AE61" i="14"/>
  <c r="AK61" i="14" s="1"/>
  <c r="AE62" i="14"/>
  <c r="AK62" i="14" s="1"/>
  <c r="AE63" i="14"/>
  <c r="AK63" i="14" s="1"/>
  <c r="AE64" i="14"/>
  <c r="AK64" i="14" s="1"/>
  <c r="AE65" i="14"/>
  <c r="AK65" i="14" s="1"/>
  <c r="AE66" i="14"/>
  <c r="AK66" i="14" s="1"/>
  <c r="AE67" i="14"/>
  <c r="AK67" i="14" s="1"/>
  <c r="AE68" i="14"/>
  <c r="AK68" i="14" s="1"/>
  <c r="U78" i="14"/>
  <c r="V78" i="14"/>
  <c r="B79" i="14"/>
  <c r="C79" i="14" s="1"/>
  <c r="D79" i="14"/>
  <c r="F79" i="14"/>
  <c r="G79" i="14"/>
  <c r="T79" i="14" s="1"/>
  <c r="H79" i="14"/>
  <c r="I79" i="14"/>
  <c r="J79" i="14"/>
  <c r="U79" i="14" s="1"/>
  <c r="K79" i="14"/>
  <c r="V79" i="14" s="1"/>
  <c r="R79" i="14"/>
  <c r="AE79" i="14"/>
  <c r="AK79" i="14" s="1"/>
  <c r="D80" i="14"/>
  <c r="F80" i="14"/>
  <c r="S80" i="14" s="1"/>
  <c r="G80" i="14"/>
  <c r="T80" i="14" s="1"/>
  <c r="H80" i="14"/>
  <c r="I80" i="14"/>
  <c r="J80" i="14"/>
  <c r="U80" i="14" s="1"/>
  <c r="K80" i="14"/>
  <c r="V80" i="14" s="1"/>
  <c r="R80" i="14"/>
  <c r="AE80" i="14"/>
  <c r="AK80" i="14" s="1"/>
  <c r="AE81" i="14"/>
  <c r="AK81" i="14" s="1"/>
  <c r="AE82" i="14"/>
  <c r="AK82" i="14" s="1"/>
  <c r="A7" i="13"/>
  <c r="A8" i="13"/>
  <c r="A9" i="13"/>
  <c r="A10" i="13"/>
  <c r="A11" i="13"/>
  <c r="A16" i="13"/>
  <c r="A29" i="13"/>
  <c r="F29" i="13"/>
  <c r="R29" i="13" s="1"/>
  <c r="G29" i="13"/>
  <c r="S29" i="13" s="1"/>
  <c r="H29" i="13"/>
  <c r="I29" i="13"/>
  <c r="T29" i="13" s="1"/>
  <c r="J29" i="13"/>
  <c r="U29" i="13" s="1"/>
  <c r="Q29" i="13"/>
  <c r="A30" i="13"/>
  <c r="F30" i="13"/>
  <c r="R30" i="13" s="1"/>
  <c r="G30" i="13"/>
  <c r="S30" i="13" s="1"/>
  <c r="H30" i="13"/>
  <c r="I30" i="13"/>
  <c r="T30" i="13" s="1"/>
  <c r="J30" i="13"/>
  <c r="U30" i="13" s="1"/>
  <c r="Q30" i="13"/>
  <c r="A31" i="13"/>
  <c r="AD31" i="13"/>
  <c r="AJ31" i="13" s="1"/>
  <c r="A32" i="13"/>
  <c r="AD32" i="13"/>
  <c r="AJ32" i="13" s="1"/>
  <c r="A33" i="13"/>
  <c r="AD33" i="13"/>
  <c r="AJ33" i="13" s="1"/>
  <c r="A34" i="13"/>
  <c r="AD34" i="13"/>
  <c r="AJ34" i="13" s="1"/>
  <c r="A35" i="13"/>
  <c r="AD35" i="13"/>
  <c r="AJ35" i="13" s="1"/>
  <c r="A36" i="13"/>
  <c r="AD36" i="13"/>
  <c r="AJ36" i="13" s="1"/>
  <c r="A37" i="13"/>
  <c r="AD37" i="13"/>
  <c r="AJ37" i="13" s="1"/>
  <c r="A38" i="13"/>
  <c r="AD38" i="13"/>
  <c r="AJ38" i="13" s="1"/>
  <c r="A39" i="13"/>
  <c r="AD39" i="13"/>
  <c r="AJ39" i="13" s="1"/>
  <c r="A40" i="13"/>
  <c r="F40" i="13"/>
  <c r="G40" i="13"/>
  <c r="S40" i="13" s="1"/>
  <c r="H40" i="13"/>
  <c r="I40" i="13"/>
  <c r="T40" i="13" s="1"/>
  <c r="J40" i="13"/>
  <c r="U40" i="13" s="1"/>
  <c r="AD40" i="13"/>
  <c r="AJ40" i="13" s="1"/>
  <c r="A41" i="13"/>
  <c r="F41" i="13"/>
  <c r="R41" i="13" s="1"/>
  <c r="G41" i="13"/>
  <c r="S41" i="13" s="1"/>
  <c r="H41" i="13"/>
  <c r="I41" i="13"/>
  <c r="T41" i="13" s="1"/>
  <c r="J41" i="13"/>
  <c r="U41" i="13" s="1"/>
  <c r="AD41" i="13"/>
  <c r="AJ41" i="13" s="1"/>
  <c r="A42" i="13"/>
  <c r="F42" i="13"/>
  <c r="R42" i="13" s="1"/>
  <c r="G42" i="13"/>
  <c r="H42" i="13"/>
  <c r="I42" i="13"/>
  <c r="T42" i="13" s="1"/>
  <c r="J42" i="13"/>
  <c r="U42" i="13" s="1"/>
  <c r="AD42" i="13"/>
  <c r="AJ42" i="13" s="1"/>
  <c r="A43" i="13"/>
  <c r="F43" i="13"/>
  <c r="R43" i="13" s="1"/>
  <c r="G43" i="13"/>
  <c r="S43" i="13" s="1"/>
  <c r="H43" i="13"/>
  <c r="I43" i="13"/>
  <c r="T43" i="13" s="1"/>
  <c r="J43" i="13"/>
  <c r="U43" i="13" s="1"/>
  <c r="AD43" i="13"/>
  <c r="AJ43" i="13" s="1"/>
  <c r="A44" i="13"/>
  <c r="F44" i="13"/>
  <c r="G44" i="13"/>
  <c r="S44" i="13" s="1"/>
  <c r="H44" i="13"/>
  <c r="I44" i="13"/>
  <c r="T44" i="13" s="1"/>
  <c r="J44" i="13"/>
  <c r="U44" i="13" s="1"/>
  <c r="AD44" i="13"/>
  <c r="AJ44" i="13" s="1"/>
  <c r="A45" i="13"/>
  <c r="F45" i="13"/>
  <c r="R45" i="13" s="1"/>
  <c r="G45" i="13"/>
  <c r="S45" i="13" s="1"/>
  <c r="H45" i="13"/>
  <c r="I45" i="13"/>
  <c r="T45" i="13" s="1"/>
  <c r="J45" i="13"/>
  <c r="U45" i="13" s="1"/>
  <c r="AD45" i="13"/>
  <c r="AJ45" i="13" s="1"/>
  <c r="A46" i="13"/>
  <c r="F46" i="13"/>
  <c r="R46" i="13" s="1"/>
  <c r="G46" i="13"/>
  <c r="S46" i="13" s="1"/>
  <c r="H46" i="13"/>
  <c r="I46" i="13"/>
  <c r="J46" i="13"/>
  <c r="U46" i="13" s="1"/>
  <c r="AD46" i="13"/>
  <c r="AJ46" i="13" s="1"/>
  <c r="F47" i="13"/>
  <c r="R47" i="13" s="1"/>
  <c r="G47" i="13"/>
  <c r="S47" i="13" s="1"/>
  <c r="H47" i="13"/>
  <c r="I47" i="13"/>
  <c r="J47" i="13"/>
  <c r="U47" i="13" s="1"/>
  <c r="AD47" i="13"/>
  <c r="AJ47" i="13" s="1"/>
  <c r="F48" i="13"/>
  <c r="R48" i="13" s="1"/>
  <c r="G48" i="13"/>
  <c r="S48" i="13" s="1"/>
  <c r="H48" i="13"/>
  <c r="I48" i="13"/>
  <c r="J48" i="13"/>
  <c r="U48" i="13" s="1"/>
  <c r="Q48" i="13"/>
  <c r="AD48" i="13"/>
  <c r="AJ48" i="13" s="1"/>
  <c r="F49" i="13"/>
  <c r="G49" i="13"/>
  <c r="S49" i="13" s="1"/>
  <c r="H49" i="13"/>
  <c r="I49" i="13"/>
  <c r="T49" i="13" s="1"/>
  <c r="J49" i="13"/>
  <c r="U49" i="13" s="1"/>
  <c r="Q49" i="13"/>
  <c r="AD49" i="13"/>
  <c r="AJ49" i="13" s="1"/>
  <c r="F50" i="13"/>
  <c r="R50" i="13" s="1"/>
  <c r="G50" i="13"/>
  <c r="S50" i="13" s="1"/>
  <c r="H50" i="13"/>
  <c r="I50" i="13"/>
  <c r="T50" i="13" s="1"/>
  <c r="J50" i="13"/>
  <c r="U50" i="13" s="1"/>
  <c r="Q50" i="13"/>
  <c r="AD50" i="13"/>
  <c r="AJ50" i="13" s="1"/>
  <c r="F51" i="13"/>
  <c r="R51" i="13" s="1"/>
  <c r="G51" i="13"/>
  <c r="S51" i="13" s="1"/>
  <c r="H51" i="13"/>
  <c r="I51" i="13"/>
  <c r="T51" i="13" s="1"/>
  <c r="J51" i="13"/>
  <c r="U51" i="13" s="1"/>
  <c r="Q51" i="13"/>
  <c r="AD51" i="13"/>
  <c r="AJ51" i="13" s="1"/>
  <c r="F52" i="13"/>
  <c r="R52" i="13" s="1"/>
  <c r="G52" i="13"/>
  <c r="S52" i="13" s="1"/>
  <c r="H52" i="13"/>
  <c r="I52" i="13"/>
  <c r="J52" i="13"/>
  <c r="U52" i="13" s="1"/>
  <c r="Q52" i="13"/>
  <c r="AD52" i="13"/>
  <c r="AJ52" i="13" s="1"/>
  <c r="F53" i="13"/>
  <c r="R53" i="13" s="1"/>
  <c r="G53" i="13"/>
  <c r="S53" i="13" s="1"/>
  <c r="H53" i="13"/>
  <c r="I53" i="13"/>
  <c r="T53" i="13" s="1"/>
  <c r="J53" i="13"/>
  <c r="U53" i="13" s="1"/>
  <c r="Q53" i="13"/>
  <c r="AD53" i="13"/>
  <c r="AJ53" i="13" s="1"/>
  <c r="F54" i="13"/>
  <c r="R54" i="13" s="1"/>
  <c r="G54" i="13"/>
  <c r="S54" i="13" s="1"/>
  <c r="H54" i="13"/>
  <c r="I54" i="13"/>
  <c r="T54" i="13" s="1"/>
  <c r="J54" i="13"/>
  <c r="U54" i="13" s="1"/>
  <c r="Q54" i="13"/>
  <c r="AD54" i="13"/>
  <c r="AJ54" i="13" s="1"/>
  <c r="F55" i="13"/>
  <c r="R55" i="13" s="1"/>
  <c r="G55" i="13"/>
  <c r="S55" i="13" s="1"/>
  <c r="H55" i="13"/>
  <c r="I55" i="13"/>
  <c r="T55" i="13" s="1"/>
  <c r="J55" i="13"/>
  <c r="U55" i="13" s="1"/>
  <c r="Q55" i="13"/>
  <c r="AD55" i="13"/>
  <c r="AJ55" i="13" s="1"/>
  <c r="F56" i="13"/>
  <c r="R56" i="13" s="1"/>
  <c r="G56" i="13"/>
  <c r="S56" i="13" s="1"/>
  <c r="H56" i="13"/>
  <c r="I56" i="13"/>
  <c r="T56" i="13" s="1"/>
  <c r="J56" i="13"/>
  <c r="U56" i="13" s="1"/>
  <c r="Q56" i="13"/>
  <c r="AD56" i="13"/>
  <c r="AJ56" i="13" s="1"/>
  <c r="F57" i="13"/>
  <c r="G57" i="13"/>
  <c r="S57" i="13" s="1"/>
  <c r="H57" i="13"/>
  <c r="I57" i="13"/>
  <c r="T57" i="13" s="1"/>
  <c r="J57" i="13"/>
  <c r="U57" i="13" s="1"/>
  <c r="Q57" i="13"/>
  <c r="AD57" i="13"/>
  <c r="AJ57" i="13" s="1"/>
  <c r="F58" i="13"/>
  <c r="R58" i="13" s="1"/>
  <c r="G58" i="13"/>
  <c r="S58" i="13" s="1"/>
  <c r="H58" i="13"/>
  <c r="I58" i="13"/>
  <c r="T58" i="13" s="1"/>
  <c r="J58" i="13"/>
  <c r="U58" i="13" s="1"/>
  <c r="Q58" i="13"/>
  <c r="AD58" i="13"/>
  <c r="AJ58" i="13" s="1"/>
  <c r="A80" i="13"/>
  <c r="F80" i="13"/>
  <c r="R80" i="13" s="1"/>
  <c r="G80" i="13"/>
  <c r="S80" i="13" s="1"/>
  <c r="H80" i="13"/>
  <c r="I80" i="13"/>
  <c r="J80" i="13"/>
  <c r="U80" i="13" s="1"/>
  <c r="Q80" i="13"/>
  <c r="AD80" i="13"/>
  <c r="AJ80" i="13" s="1"/>
  <c r="AD81" i="13"/>
  <c r="AJ81" i="13" s="1"/>
  <c r="AD82" i="13"/>
  <c r="AJ82" i="13" s="1"/>
  <c r="AD83" i="13"/>
  <c r="AJ83" i="13" s="1"/>
  <c r="AD84" i="13"/>
  <c r="AJ84" i="13" s="1"/>
  <c r="AD85" i="13"/>
  <c r="AJ85" i="13" s="1"/>
  <c r="AD86" i="13"/>
  <c r="AJ86" i="13" s="1"/>
  <c r="AD87" i="13"/>
  <c r="AJ87" i="13" s="1"/>
  <c r="AD88" i="13"/>
  <c r="AJ88" i="13" s="1"/>
  <c r="AD89" i="13"/>
  <c r="AJ89" i="13" s="1"/>
  <c r="AD90" i="13"/>
  <c r="AJ90" i="13" s="1"/>
  <c r="AD91" i="13"/>
  <c r="AJ91" i="13" s="1"/>
  <c r="AD92" i="13"/>
  <c r="AJ92" i="13" s="1"/>
  <c r="AD93" i="13"/>
  <c r="AJ93" i="13" s="1"/>
  <c r="AD94" i="13"/>
  <c r="AJ94" i="13" s="1"/>
  <c r="AD95" i="13"/>
  <c r="AJ95" i="13" s="1"/>
  <c r="AD96" i="13"/>
  <c r="AJ96" i="13" s="1"/>
  <c r="AD97" i="13"/>
  <c r="AJ97" i="13" s="1"/>
  <c r="AD98" i="13"/>
  <c r="AJ98" i="13" s="1"/>
  <c r="AD99" i="13"/>
  <c r="AJ99" i="13" s="1"/>
  <c r="AD100" i="13"/>
  <c r="AJ100" i="13" s="1"/>
  <c r="AD101" i="13"/>
  <c r="AJ101" i="13" s="1"/>
  <c r="AD102" i="13"/>
  <c r="AJ102" i="13" s="1"/>
  <c r="AD103" i="13"/>
  <c r="AJ103" i="13" s="1"/>
  <c r="AD104" i="13"/>
  <c r="AJ104" i="13" s="1"/>
  <c r="AD105" i="13"/>
  <c r="AJ105" i="13" s="1"/>
  <c r="AD106" i="13"/>
  <c r="AJ106" i="13" s="1"/>
  <c r="AD107" i="13"/>
  <c r="AJ107" i="13" s="1"/>
  <c r="AD108" i="13"/>
  <c r="AJ108" i="13" s="1"/>
  <c r="AD109" i="13"/>
  <c r="AJ109" i="13" s="1"/>
  <c r="AD110" i="13"/>
  <c r="AJ110" i="13" s="1"/>
  <c r="AD111" i="13"/>
  <c r="AJ111" i="13" s="1"/>
  <c r="AD112" i="13"/>
  <c r="AJ112" i="13" s="1"/>
  <c r="AD113" i="13"/>
  <c r="AJ113" i="13" s="1"/>
  <c r="AD114" i="13"/>
  <c r="AJ114" i="13" s="1"/>
  <c r="AD115" i="13"/>
  <c r="AJ115" i="13" s="1"/>
  <c r="AD116" i="13"/>
  <c r="AJ116" i="13" s="1"/>
  <c r="AD117" i="13"/>
  <c r="AJ117" i="13" s="1"/>
  <c r="AD118" i="13"/>
  <c r="AJ118" i="13" s="1"/>
  <c r="AD119" i="13"/>
  <c r="AJ119" i="13" s="1"/>
  <c r="AD120" i="13"/>
  <c r="AJ120" i="13" s="1"/>
  <c r="AD121" i="13"/>
  <c r="AJ121" i="13" s="1"/>
  <c r="AD122" i="13"/>
  <c r="AJ122" i="13" s="1"/>
  <c r="AD123" i="13"/>
  <c r="AJ123" i="13" s="1"/>
  <c r="AD124" i="13"/>
  <c r="AJ124" i="13" s="1"/>
  <c r="AD125" i="13"/>
  <c r="AJ125" i="13" s="1"/>
  <c r="AD126" i="13"/>
  <c r="AJ126" i="13" s="1"/>
  <c r="AD127" i="13"/>
  <c r="AJ127" i="13" s="1"/>
  <c r="A7" i="12"/>
  <c r="A8" i="12"/>
  <c r="A9" i="12"/>
  <c r="A10" i="12"/>
  <c r="A11" i="12"/>
  <c r="A15" i="12"/>
  <c r="C29" i="41"/>
  <c r="D29" i="12"/>
  <c r="G29" i="12"/>
  <c r="H29" i="12"/>
  <c r="I29" i="12"/>
  <c r="J29" i="12"/>
  <c r="K29" i="12"/>
  <c r="L29" i="12"/>
  <c r="V29" i="12"/>
  <c r="X29" i="12"/>
  <c r="Y29" i="12"/>
  <c r="AA29" i="12"/>
  <c r="AC29" i="12" s="1"/>
  <c r="B30" i="12"/>
  <c r="B30" i="10" s="1"/>
  <c r="D30" i="12"/>
  <c r="G30" i="12"/>
  <c r="H30" i="12"/>
  <c r="I30" i="12"/>
  <c r="J30" i="12"/>
  <c r="K30" i="12"/>
  <c r="L30" i="12"/>
  <c r="X30" i="12"/>
  <c r="Y30" i="12"/>
  <c r="AA30" i="12"/>
  <c r="AC30" i="12" s="1"/>
  <c r="B31" i="12"/>
  <c r="B31" i="10" s="1"/>
  <c r="D31" i="12"/>
  <c r="G31" i="12"/>
  <c r="H31" i="12"/>
  <c r="I31" i="12"/>
  <c r="J31" i="12"/>
  <c r="K31" i="12"/>
  <c r="L31" i="12"/>
  <c r="X31" i="12"/>
  <c r="Y31" i="12"/>
  <c r="AA31" i="12"/>
  <c r="AC31" i="12" s="1"/>
  <c r="B32" i="12"/>
  <c r="B32" i="10" s="1"/>
  <c r="D32" i="12"/>
  <c r="G32" i="12"/>
  <c r="H32" i="12"/>
  <c r="I32" i="12"/>
  <c r="J32" i="12"/>
  <c r="K32" i="12"/>
  <c r="L32" i="12"/>
  <c r="X32" i="12"/>
  <c r="Y32" i="12"/>
  <c r="AA32" i="12"/>
  <c r="AC32" i="12" s="1"/>
  <c r="B33" i="12"/>
  <c r="D33" i="12"/>
  <c r="G33" i="12"/>
  <c r="H33" i="12"/>
  <c r="I33" i="12"/>
  <c r="J33" i="12"/>
  <c r="K33" i="12"/>
  <c r="L33" i="12"/>
  <c r="X33" i="12"/>
  <c r="Y33" i="12"/>
  <c r="AA33" i="12"/>
  <c r="AC33" i="12" s="1"/>
  <c r="B34" i="12"/>
  <c r="B34" i="10" s="1"/>
  <c r="D34" i="12"/>
  <c r="G34" i="12"/>
  <c r="H34" i="12"/>
  <c r="I34" i="12"/>
  <c r="J34" i="12"/>
  <c r="K34" i="12"/>
  <c r="L34" i="12"/>
  <c r="X34" i="12"/>
  <c r="Y34" i="12"/>
  <c r="AA34" i="12"/>
  <c r="AC34" i="12" s="1"/>
  <c r="B35" i="12"/>
  <c r="D35" i="12"/>
  <c r="G35" i="12"/>
  <c r="H35" i="12"/>
  <c r="I35" i="12"/>
  <c r="J35" i="12"/>
  <c r="K35" i="12"/>
  <c r="L35" i="12"/>
  <c r="X35" i="12"/>
  <c r="Y35" i="12"/>
  <c r="AA35" i="12"/>
  <c r="AC35" i="12" s="1"/>
  <c r="B36" i="12"/>
  <c r="B36" i="10" s="1"/>
  <c r="D36" i="12"/>
  <c r="G36" i="12"/>
  <c r="H36" i="12"/>
  <c r="I36" i="12"/>
  <c r="J36" i="12"/>
  <c r="K36" i="12"/>
  <c r="L36" i="12"/>
  <c r="X36" i="12"/>
  <c r="Y36" i="12"/>
  <c r="AA36" i="12"/>
  <c r="AC36" i="12" s="1"/>
  <c r="B37" i="12"/>
  <c r="B37" i="10" s="1"/>
  <c r="D37" i="12"/>
  <c r="G37" i="12"/>
  <c r="H37" i="12"/>
  <c r="I37" i="12"/>
  <c r="J37" i="12"/>
  <c r="K37" i="12"/>
  <c r="L37" i="12"/>
  <c r="X37" i="12"/>
  <c r="Y37" i="12"/>
  <c r="AA37" i="12"/>
  <c r="AC37" i="12" s="1"/>
  <c r="B38" i="12"/>
  <c r="D38" i="12"/>
  <c r="G38" i="12"/>
  <c r="H38" i="12"/>
  <c r="I38" i="12"/>
  <c r="J38" i="12"/>
  <c r="K38" i="12"/>
  <c r="L38" i="12"/>
  <c r="X38" i="12"/>
  <c r="Y38" i="12"/>
  <c r="AA38" i="12"/>
  <c r="AC38" i="12" s="1"/>
  <c r="B39" i="12"/>
  <c r="B39" i="10" s="1"/>
  <c r="D39" i="12"/>
  <c r="G39" i="12"/>
  <c r="H39" i="12"/>
  <c r="I39" i="12"/>
  <c r="J39" i="12"/>
  <c r="K39" i="12"/>
  <c r="L39" i="12"/>
  <c r="X39" i="12"/>
  <c r="Y39" i="12"/>
  <c r="AA39" i="12"/>
  <c r="AC39" i="12" s="1"/>
  <c r="B40" i="12"/>
  <c r="B40" i="10" s="1"/>
  <c r="D40" i="12"/>
  <c r="G40" i="12"/>
  <c r="H40" i="12"/>
  <c r="I40" i="12"/>
  <c r="J40" i="12"/>
  <c r="K40" i="12"/>
  <c r="L40" i="12"/>
  <c r="X40" i="12"/>
  <c r="Y40" i="12"/>
  <c r="AA40" i="12"/>
  <c r="AC40" i="12" s="1"/>
  <c r="B41" i="12"/>
  <c r="B41" i="10" s="1"/>
  <c r="D41" i="12"/>
  <c r="G41" i="12"/>
  <c r="H41" i="12"/>
  <c r="I41" i="12"/>
  <c r="J41" i="12"/>
  <c r="K41" i="12"/>
  <c r="L41" i="12"/>
  <c r="X41" i="12"/>
  <c r="Y41" i="12"/>
  <c r="AA41" i="12"/>
  <c r="AC41" i="12" s="1"/>
  <c r="B42" i="12"/>
  <c r="B42" i="10" s="1"/>
  <c r="D42" i="12"/>
  <c r="G42" i="12"/>
  <c r="H42" i="12"/>
  <c r="I42" i="12"/>
  <c r="J42" i="12"/>
  <c r="K42" i="12"/>
  <c r="L42" i="12"/>
  <c r="X42" i="12"/>
  <c r="Y42" i="12"/>
  <c r="AA42" i="12"/>
  <c r="AC42" i="12" s="1"/>
  <c r="B43" i="12"/>
  <c r="B43" i="10" s="1"/>
  <c r="D43" i="12"/>
  <c r="G43" i="12"/>
  <c r="H43" i="12"/>
  <c r="I43" i="12"/>
  <c r="J43" i="12"/>
  <c r="K43" i="12"/>
  <c r="L43" i="12"/>
  <c r="X43" i="12"/>
  <c r="Y43" i="12"/>
  <c r="AA43" i="12"/>
  <c r="AC43" i="12" s="1"/>
  <c r="B44" i="12"/>
  <c r="D44" i="12"/>
  <c r="G44" i="12"/>
  <c r="H44" i="12"/>
  <c r="I44" i="12"/>
  <c r="J44" i="12"/>
  <c r="K44" i="12"/>
  <c r="L44" i="12"/>
  <c r="X44" i="12"/>
  <c r="Y44" i="12"/>
  <c r="AA44" i="12"/>
  <c r="AC44" i="12" s="1"/>
  <c r="B45" i="12"/>
  <c r="B45" i="10" s="1"/>
  <c r="D45" i="12"/>
  <c r="G45" i="12"/>
  <c r="H45" i="12"/>
  <c r="I45" i="12"/>
  <c r="J45" i="12"/>
  <c r="K45" i="12"/>
  <c r="L45" i="12"/>
  <c r="X45" i="12"/>
  <c r="Y45" i="12"/>
  <c r="AA45" i="12"/>
  <c r="AC45" i="12" s="1"/>
  <c r="B46" i="12"/>
  <c r="D46" i="12"/>
  <c r="G46" i="12"/>
  <c r="H46" i="12"/>
  <c r="I46" i="12"/>
  <c r="J46" i="12"/>
  <c r="K46" i="12"/>
  <c r="L46" i="12"/>
  <c r="X46" i="12"/>
  <c r="Y46" i="12"/>
  <c r="AA46" i="12"/>
  <c r="AC46" i="12" s="1"/>
  <c r="B47" i="12"/>
  <c r="D47" i="12"/>
  <c r="G47" i="12"/>
  <c r="H47" i="12"/>
  <c r="I47" i="12"/>
  <c r="J47" i="12"/>
  <c r="K47" i="12"/>
  <c r="L47" i="12"/>
  <c r="X47" i="12"/>
  <c r="Y47" i="12"/>
  <c r="AA47" i="12"/>
  <c r="AC47" i="12" s="1"/>
  <c r="B48" i="12"/>
  <c r="B48" i="10" s="1"/>
  <c r="D48" i="12"/>
  <c r="G48" i="12"/>
  <c r="H48" i="12"/>
  <c r="I48" i="12"/>
  <c r="J48" i="12"/>
  <c r="K48" i="12"/>
  <c r="L48" i="12"/>
  <c r="X48" i="12"/>
  <c r="Y48" i="12"/>
  <c r="AA48" i="12"/>
  <c r="AC48" i="12" s="1"/>
  <c r="X49" i="12"/>
  <c r="Y49" i="12"/>
  <c r="AA49" i="12"/>
  <c r="AC49" i="12" s="1"/>
  <c r="A61" i="12"/>
  <c r="B61" i="12"/>
  <c r="B61" i="10" s="1"/>
  <c r="D61" i="12"/>
  <c r="G61" i="12"/>
  <c r="H61" i="12"/>
  <c r="I61" i="12"/>
  <c r="J61" i="12"/>
  <c r="K61" i="12"/>
  <c r="L61" i="12"/>
  <c r="X61" i="12"/>
  <c r="Y61" i="12"/>
  <c r="AA61" i="12"/>
  <c r="AC61" i="12" s="1"/>
  <c r="A62" i="12"/>
  <c r="B62" i="12"/>
  <c r="B62" i="10" s="1"/>
  <c r="D62" i="12"/>
  <c r="G62" i="12"/>
  <c r="H62" i="12"/>
  <c r="I62" i="12"/>
  <c r="J62" i="12"/>
  <c r="K62" i="12"/>
  <c r="L62" i="12"/>
  <c r="X62" i="12"/>
  <c r="Y62" i="12"/>
  <c r="AA62" i="12"/>
  <c r="AC62" i="12" s="1"/>
  <c r="A63" i="12"/>
  <c r="B63" i="12"/>
  <c r="B63" i="10" s="1"/>
  <c r="D63" i="12"/>
  <c r="G63" i="12"/>
  <c r="H63" i="12"/>
  <c r="I63" i="12"/>
  <c r="J63" i="12"/>
  <c r="K63" i="12"/>
  <c r="L63" i="12"/>
  <c r="X63" i="12"/>
  <c r="Y63" i="12"/>
  <c r="AA63" i="12"/>
  <c r="AC63" i="12" s="1"/>
  <c r="A64" i="12"/>
  <c r="B64" i="12"/>
  <c r="B64" i="10" s="1"/>
  <c r="D64" i="12"/>
  <c r="G64" i="12"/>
  <c r="H64" i="12"/>
  <c r="I64" i="12"/>
  <c r="J64" i="12"/>
  <c r="K64" i="12"/>
  <c r="L64" i="12"/>
  <c r="X64" i="12"/>
  <c r="Y64" i="12"/>
  <c r="AA64" i="12"/>
  <c r="AC64" i="12" s="1"/>
  <c r="A65" i="12"/>
  <c r="B65" i="12"/>
  <c r="B65" i="10" s="1"/>
  <c r="D65" i="12"/>
  <c r="G65" i="12"/>
  <c r="H65" i="12"/>
  <c r="I65" i="12"/>
  <c r="J65" i="12"/>
  <c r="K65" i="12"/>
  <c r="L65" i="12"/>
  <c r="X65" i="12"/>
  <c r="Y65" i="12"/>
  <c r="AA65" i="12"/>
  <c r="AC65" i="12" s="1"/>
  <c r="A66" i="12"/>
  <c r="B66" i="12"/>
  <c r="B66" i="10" s="1"/>
  <c r="D66" i="12"/>
  <c r="G66" i="12"/>
  <c r="H66" i="12"/>
  <c r="I66" i="12"/>
  <c r="J66" i="12"/>
  <c r="K66" i="12"/>
  <c r="L66" i="12"/>
  <c r="X66" i="12"/>
  <c r="Y66" i="12"/>
  <c r="AA66" i="12"/>
  <c r="AC66" i="12" s="1"/>
  <c r="A67" i="12"/>
  <c r="B67" i="12"/>
  <c r="B67" i="10" s="1"/>
  <c r="D67" i="12"/>
  <c r="G67" i="12"/>
  <c r="H67" i="12"/>
  <c r="I67" i="12"/>
  <c r="J67" i="12"/>
  <c r="K67" i="12"/>
  <c r="L67" i="12"/>
  <c r="X67" i="12"/>
  <c r="Y67" i="12"/>
  <c r="AA67" i="12"/>
  <c r="A68" i="12"/>
  <c r="B68" i="12"/>
  <c r="B68" i="10" s="1"/>
  <c r="D68" i="12"/>
  <c r="G68" i="12"/>
  <c r="H68" i="12"/>
  <c r="I68" i="12"/>
  <c r="J68" i="12"/>
  <c r="K68" i="12"/>
  <c r="L68" i="12"/>
  <c r="X68" i="12"/>
  <c r="Y68" i="12"/>
  <c r="AA68" i="12"/>
  <c r="AC68" i="12" s="1"/>
  <c r="A69" i="12"/>
  <c r="B69" i="12"/>
  <c r="B69" i="10" s="1"/>
  <c r="D69" i="12"/>
  <c r="G69" i="12"/>
  <c r="H69" i="12"/>
  <c r="I69" i="12"/>
  <c r="J69" i="12"/>
  <c r="K69" i="12"/>
  <c r="L69" i="12"/>
  <c r="X69" i="12"/>
  <c r="Y69" i="12"/>
  <c r="AA69" i="12"/>
  <c r="AC69" i="12" s="1"/>
  <c r="A80" i="12"/>
  <c r="B80" i="12"/>
  <c r="C80" i="41" s="1"/>
  <c r="D80" i="12"/>
  <c r="G80" i="12"/>
  <c r="H80" i="12"/>
  <c r="I80" i="12"/>
  <c r="J80" i="12"/>
  <c r="K80" i="12"/>
  <c r="L80" i="12"/>
  <c r="V80" i="12"/>
  <c r="X80" i="12"/>
  <c r="Y80" i="12"/>
  <c r="AA80" i="12"/>
  <c r="AC80" i="12" s="1"/>
  <c r="A81" i="12"/>
  <c r="D81" i="12"/>
  <c r="G81" i="12"/>
  <c r="H81" i="12"/>
  <c r="I81" i="12"/>
  <c r="J81" i="12"/>
  <c r="K81" i="12"/>
  <c r="L81" i="12"/>
  <c r="V81" i="12"/>
  <c r="X81" i="12"/>
  <c r="Y81" i="12"/>
  <c r="AA81" i="12"/>
  <c r="AC81" i="12" s="1"/>
  <c r="V82" i="12"/>
  <c r="X82" i="12"/>
  <c r="Y82" i="12"/>
  <c r="AA82" i="12"/>
  <c r="AC82" i="12" s="1"/>
  <c r="V83" i="12"/>
  <c r="X83" i="12"/>
  <c r="Y83" i="12"/>
  <c r="AA83" i="12"/>
  <c r="AC83" i="12" s="1"/>
  <c r="A87" i="12"/>
  <c r="D87" i="12"/>
  <c r="G87" i="12"/>
  <c r="H87" i="12"/>
  <c r="I87" i="12"/>
  <c r="J87" i="12"/>
  <c r="K87" i="12"/>
  <c r="L87" i="12"/>
  <c r="A88" i="12"/>
  <c r="D88" i="12"/>
  <c r="G88" i="12"/>
  <c r="H88" i="12"/>
  <c r="I88" i="12"/>
  <c r="J88" i="12"/>
  <c r="K88" i="12"/>
  <c r="L88" i="12"/>
  <c r="A10" i="11"/>
  <c r="A11" i="11"/>
  <c r="A15" i="11"/>
  <c r="A29" i="11"/>
  <c r="B29" i="11"/>
  <c r="D29" i="11"/>
  <c r="G29" i="11"/>
  <c r="H29" i="11"/>
  <c r="I29" i="11"/>
  <c r="J29" i="11"/>
  <c r="K29" i="11"/>
  <c r="X29" i="11"/>
  <c r="Z29" i="11"/>
  <c r="AF29" i="11"/>
  <c r="Y79" i="11"/>
  <c r="Z79" i="11"/>
  <c r="A80" i="11"/>
  <c r="D80" i="11"/>
  <c r="G80" i="11"/>
  <c r="H80" i="11"/>
  <c r="I80" i="11"/>
  <c r="J80" i="11"/>
  <c r="K80" i="11"/>
  <c r="L80" i="11"/>
  <c r="X80" i="11"/>
  <c r="Z80" i="11"/>
  <c r="AA80" i="11"/>
  <c r="AD80" i="11"/>
  <c r="AF80" i="11" s="1"/>
  <c r="X81" i="11"/>
  <c r="Z81" i="11"/>
  <c r="AD81" i="11"/>
  <c r="AF81" i="11" s="1"/>
  <c r="X82" i="11"/>
  <c r="Z82" i="11"/>
  <c r="AA82" i="11"/>
  <c r="AD82" i="11"/>
  <c r="X83" i="11"/>
  <c r="Z83" i="11"/>
  <c r="AA83" i="11"/>
  <c r="AD83" i="11"/>
  <c r="AF83" i="11" s="1"/>
  <c r="X84" i="11"/>
  <c r="Z84" i="11"/>
  <c r="AA84" i="11"/>
  <c r="AD84" i="11"/>
  <c r="X85" i="11"/>
  <c r="Z85" i="11"/>
  <c r="AD85" i="11"/>
  <c r="AF85" i="11" s="1"/>
  <c r="X86" i="11"/>
  <c r="Z86" i="11"/>
  <c r="AD86" i="11"/>
  <c r="AF86" i="11" s="1"/>
  <c r="X87" i="11"/>
  <c r="Z87" i="11"/>
  <c r="AA87" i="11"/>
  <c r="AD87" i="11"/>
  <c r="AF87" i="11" s="1"/>
  <c r="X88" i="11"/>
  <c r="Z88" i="11"/>
  <c r="AA88" i="11"/>
  <c r="AD88" i="11"/>
  <c r="AF88" i="11" s="1"/>
  <c r="X89" i="11"/>
  <c r="Z89" i="11"/>
  <c r="AA89" i="11"/>
  <c r="AD89" i="11"/>
  <c r="AF89" i="11" s="1"/>
  <c r="X90" i="11"/>
  <c r="Z90" i="11"/>
  <c r="AA90" i="11"/>
  <c r="AD90" i="11"/>
  <c r="X91" i="11"/>
  <c r="Z91" i="11"/>
  <c r="AA91" i="11"/>
  <c r="AD91" i="11"/>
  <c r="X92" i="11"/>
  <c r="Z92" i="11"/>
  <c r="AA92" i="11"/>
  <c r="AD92" i="11"/>
  <c r="AF92" i="11" s="1"/>
  <c r="X93" i="11"/>
  <c r="Z93" i="11"/>
  <c r="AA93" i="11"/>
  <c r="AD93" i="11"/>
  <c r="X94" i="11"/>
  <c r="Z94" i="11"/>
  <c r="AA94" i="11"/>
  <c r="AD94" i="11"/>
  <c r="AF94" i="11" s="1"/>
  <c r="X95" i="11"/>
  <c r="Z95" i="11"/>
  <c r="AA95" i="11"/>
  <c r="AD95" i="11"/>
  <c r="X96" i="11"/>
  <c r="Z96" i="11"/>
  <c r="AA96" i="11"/>
  <c r="AD96" i="11"/>
  <c r="X97" i="11"/>
  <c r="Z97" i="11"/>
  <c r="AA97" i="11"/>
  <c r="AB97" i="11"/>
  <c r="AD97" i="11"/>
  <c r="AF97" i="11" s="1"/>
  <c r="X98" i="11"/>
  <c r="Z98" i="11"/>
  <c r="AA98" i="11"/>
  <c r="AB98" i="11"/>
  <c r="AD98" i="11"/>
  <c r="AF98" i="11" s="1"/>
  <c r="X99" i="11"/>
  <c r="Z99" i="11"/>
  <c r="AA99" i="11"/>
  <c r="AB99" i="11"/>
  <c r="AD99" i="11"/>
  <c r="AF99" i="11" s="1"/>
  <c r="X100" i="11"/>
  <c r="Z100" i="11"/>
  <c r="AA100" i="11"/>
  <c r="AB100" i="11"/>
  <c r="AD100" i="11"/>
  <c r="AF100" i="11" s="1"/>
  <c r="X101" i="11"/>
  <c r="Z101" i="11"/>
  <c r="AA101" i="11"/>
  <c r="AD101" i="11"/>
  <c r="AF101" i="11" s="1"/>
  <c r="X102" i="11"/>
  <c r="Z102" i="11"/>
  <c r="AA102" i="11"/>
  <c r="AD102" i="11"/>
  <c r="AF102" i="11" s="1"/>
  <c r="X103" i="11"/>
  <c r="Z103" i="11"/>
  <c r="AA103" i="11"/>
  <c r="AD103" i="11"/>
  <c r="X104" i="11"/>
  <c r="Z104" i="11"/>
  <c r="AA104" i="11"/>
  <c r="AD104" i="11"/>
  <c r="X105" i="11"/>
  <c r="Z105" i="11"/>
  <c r="AA105" i="11"/>
  <c r="AB105" i="11"/>
  <c r="AD105" i="11"/>
  <c r="X106" i="11"/>
  <c r="Z106" i="11"/>
  <c r="AA106" i="11"/>
  <c r="AB106" i="11"/>
  <c r="AD106" i="11"/>
  <c r="X107" i="11"/>
  <c r="Z107" i="11"/>
  <c r="AA107" i="11"/>
  <c r="AB107" i="11"/>
  <c r="AD107" i="11"/>
  <c r="AF107" i="11" s="1"/>
  <c r="X108" i="11"/>
  <c r="Z108" i="11"/>
  <c r="AA108" i="11"/>
  <c r="AB108" i="11"/>
  <c r="AD108" i="11"/>
  <c r="AF108" i="11" s="1"/>
  <c r="X109" i="11"/>
  <c r="Z109" i="11"/>
  <c r="AA109" i="11"/>
  <c r="AB109" i="11"/>
  <c r="AD109" i="11"/>
  <c r="X110" i="11"/>
  <c r="Z110" i="11"/>
  <c r="AA110" i="11"/>
  <c r="AB110" i="11"/>
  <c r="AD110" i="11"/>
  <c r="X111" i="11"/>
  <c r="Z111" i="11"/>
  <c r="AA111" i="11"/>
  <c r="AB111" i="11"/>
  <c r="AD111" i="11"/>
  <c r="AF111" i="11" s="1"/>
  <c r="X112" i="11"/>
  <c r="Z112" i="11"/>
  <c r="AA112" i="11"/>
  <c r="AB112" i="11"/>
  <c r="AD112" i="11"/>
  <c r="X113" i="11"/>
  <c r="Z113" i="11"/>
  <c r="AA113" i="11"/>
  <c r="AB113" i="11"/>
  <c r="AD113" i="11"/>
  <c r="X114" i="11"/>
  <c r="Z114" i="11"/>
  <c r="AA114" i="11"/>
  <c r="AB114" i="11"/>
  <c r="AD114" i="11"/>
  <c r="X115" i="11"/>
  <c r="Z115" i="11"/>
  <c r="AA115" i="11"/>
  <c r="AB115" i="11"/>
  <c r="AD115" i="11"/>
  <c r="AF115" i="11" s="1"/>
  <c r="X116" i="11"/>
  <c r="Z116" i="11"/>
  <c r="AA116" i="11"/>
  <c r="AB116" i="11"/>
  <c r="AD116" i="11"/>
  <c r="X117" i="11"/>
  <c r="Z117" i="11"/>
  <c r="AA117" i="11"/>
  <c r="AB117" i="11"/>
  <c r="AD117" i="11"/>
  <c r="X118" i="11"/>
  <c r="Z118" i="11"/>
  <c r="AA118" i="11"/>
  <c r="AB118" i="11"/>
  <c r="AD118" i="11"/>
  <c r="AF118" i="11" s="1"/>
  <c r="X119" i="11"/>
  <c r="Z119" i="11"/>
  <c r="AA119" i="11"/>
  <c r="AB119" i="11"/>
  <c r="AD119" i="11"/>
  <c r="AF119" i="11" s="1"/>
  <c r="X120" i="11"/>
  <c r="Z120" i="11"/>
  <c r="AA120" i="11"/>
  <c r="AB120" i="11"/>
  <c r="AD120" i="11"/>
  <c r="AF120" i="11" s="1"/>
  <c r="X121" i="11"/>
  <c r="Z121" i="11"/>
  <c r="AA121" i="11"/>
  <c r="AB121" i="11"/>
  <c r="AD121" i="11"/>
  <c r="AF121" i="11" s="1"/>
  <c r="X122" i="11"/>
  <c r="Z122" i="11"/>
  <c r="AA122" i="11"/>
  <c r="AB122" i="11"/>
  <c r="AD122" i="11"/>
  <c r="AF122" i="11" s="1"/>
  <c r="X123" i="11"/>
  <c r="Z123" i="11"/>
  <c r="AA123" i="11"/>
  <c r="AB123" i="11"/>
  <c r="AD123" i="11"/>
  <c r="AF123" i="11" s="1"/>
  <c r="X124" i="11"/>
  <c r="Z124" i="11"/>
  <c r="AA124" i="11"/>
  <c r="AB124" i="11"/>
  <c r="AD124" i="11"/>
  <c r="X125" i="11"/>
  <c r="Z125" i="11"/>
  <c r="AA125" i="11"/>
  <c r="AB125" i="11"/>
  <c r="AD125" i="11"/>
  <c r="X126" i="11"/>
  <c r="Z126" i="11"/>
  <c r="AA126" i="11"/>
  <c r="AB126" i="11"/>
  <c r="AD126" i="11"/>
  <c r="AF126" i="11" s="1"/>
  <c r="X127" i="11"/>
  <c r="Z127" i="11"/>
  <c r="AA127" i="11"/>
  <c r="AB127" i="11"/>
  <c r="AD127" i="11"/>
  <c r="AF127" i="11" s="1"/>
  <c r="A7" i="29"/>
  <c r="A8" i="29"/>
  <c r="A9" i="29"/>
  <c r="A10" i="29"/>
  <c r="A11" i="29"/>
  <c r="A47" i="13"/>
  <c r="AB95" i="11"/>
  <c r="AB89" i="11"/>
  <c r="AB96" i="11"/>
  <c r="AB90" i="11"/>
  <c r="R34" i="32"/>
  <c r="R41" i="32"/>
  <c r="R39" i="32"/>
  <c r="M43" i="32"/>
  <c r="M34" i="32"/>
  <c r="R32" i="32"/>
  <c r="M41" i="32"/>
  <c r="M32" i="32"/>
  <c r="M40" i="32"/>
  <c r="AA29" i="11"/>
  <c r="O30" i="34"/>
  <c r="AC30" i="34"/>
  <c r="R18" i="68"/>
  <c r="O32" i="34"/>
  <c r="AC32" i="34"/>
  <c r="E59" i="58"/>
  <c r="F53" i="58"/>
  <c r="H53" i="58" s="1"/>
  <c r="J25" i="69"/>
  <c r="K25" i="69"/>
  <c r="H44" i="6"/>
  <c r="D26" i="32"/>
  <c r="H26" i="32" s="1"/>
  <c r="L26" i="32" s="1"/>
  <c r="C59" i="70"/>
  <c r="H34" i="6"/>
  <c r="AR32" i="34"/>
  <c r="AR30" i="34"/>
  <c r="I29" i="6"/>
  <c r="H29" i="6"/>
  <c r="H42" i="6"/>
  <c r="I33" i="6"/>
  <c r="AC26" i="34"/>
  <c r="AE26" i="34" s="1"/>
  <c r="O26" i="34"/>
  <c r="P26" i="34" s="1"/>
  <c r="M29" i="32"/>
  <c r="M26" i="32"/>
  <c r="AC35" i="34"/>
  <c r="AE35" i="34"/>
  <c r="O35" i="34"/>
  <c r="P35" i="34"/>
  <c r="Z35" i="34" s="1"/>
  <c r="I37" i="6"/>
  <c r="H37" i="6"/>
  <c r="D24" i="32"/>
  <c r="H24" i="32"/>
  <c r="L24" i="32"/>
  <c r="D29" i="32"/>
  <c r="H29" i="32" s="1"/>
  <c r="L29" i="32" s="1"/>
  <c r="N29" i="32" s="1"/>
  <c r="O29" i="32" s="1"/>
  <c r="Q29" i="32" s="1"/>
  <c r="I29" i="32" s="1"/>
  <c r="D27" i="32"/>
  <c r="H27" i="32" s="1"/>
  <c r="L27" i="32" s="1"/>
  <c r="D28" i="32"/>
  <c r="H28" i="32"/>
  <c r="L28" i="32" s="1"/>
  <c r="V30" i="34"/>
  <c r="P32" i="34"/>
  <c r="P30" i="34"/>
  <c r="Q30" i="34" s="1"/>
  <c r="E56" i="49"/>
  <c r="I45" i="6"/>
  <c r="H45" i="6"/>
  <c r="L21" i="60"/>
  <c r="O21" i="60" s="1"/>
  <c r="P21" i="60" s="1"/>
  <c r="Q21" i="60" s="1"/>
  <c r="V21" i="60" s="1"/>
  <c r="W21" i="60" s="1"/>
  <c r="M36" i="32"/>
  <c r="P28" i="60"/>
  <c r="H26" i="6"/>
  <c r="Q28" i="60"/>
  <c r="V28" i="60" s="1"/>
  <c r="W28" i="60" s="1"/>
  <c r="P23" i="34"/>
  <c r="Q23" i="34" s="1"/>
  <c r="Y23" i="34" s="1"/>
  <c r="Z23" i="34" s="1"/>
  <c r="I39" i="6"/>
  <c r="D43" i="32"/>
  <c r="H43" i="32"/>
  <c r="L43" i="32"/>
  <c r="D40" i="32"/>
  <c r="H40" i="32"/>
  <c r="L40" i="32"/>
  <c r="D39" i="32"/>
  <c r="H39" i="32"/>
  <c r="L39" i="32"/>
  <c r="B51" i="58"/>
  <c r="C51" i="58"/>
  <c r="D51" i="58"/>
  <c r="E51" i="58"/>
  <c r="F51" i="58" s="1"/>
  <c r="B64" i="58"/>
  <c r="B59" i="58"/>
  <c r="O29" i="60"/>
  <c r="P29" i="60" s="1"/>
  <c r="Q29" i="60" s="1"/>
  <c r="V29" i="60" s="1"/>
  <c r="W29" i="60" s="1"/>
  <c r="O31" i="34"/>
  <c r="AC31" i="34"/>
  <c r="AE31" i="34"/>
  <c r="H50" i="49"/>
  <c r="M5" i="69"/>
  <c r="M7" i="69" s="1"/>
  <c r="F23" i="69"/>
  <c r="K23" i="69" s="1"/>
  <c r="K28" i="69" s="1"/>
  <c r="J31" i="69" s="1"/>
  <c r="D35" i="32"/>
  <c r="H35" i="32"/>
  <c r="L35" i="32"/>
  <c r="E64" i="70"/>
  <c r="F64" i="70" s="1"/>
  <c r="T30" i="34"/>
  <c r="X30" i="34" s="1"/>
  <c r="E61" i="46"/>
  <c r="I43" i="6"/>
  <c r="I35" i="6"/>
  <c r="I27" i="6"/>
  <c r="D36" i="32"/>
  <c r="H36" i="32"/>
  <c r="L36" i="32"/>
  <c r="N36" i="32" s="1"/>
  <c r="O36" i="32" s="1"/>
  <c r="Q36" i="32" s="1"/>
  <c r="P31" i="34"/>
  <c r="Q31" i="34"/>
  <c r="Y31" i="34" s="1"/>
  <c r="Z31" i="34" s="1"/>
  <c r="H50" i="46"/>
  <c r="I40" i="6"/>
  <c r="I32" i="6"/>
  <c r="V21" i="34"/>
  <c r="AA81" i="11"/>
  <c r="AH31" i="34"/>
  <c r="AH32" i="34"/>
  <c r="F28" i="69"/>
  <c r="AH30" i="34"/>
  <c r="C64" i="58"/>
  <c r="D64" i="58"/>
  <c r="F64" i="58" s="1"/>
  <c r="C59" i="58"/>
  <c r="F59" i="58"/>
  <c r="AA85" i="11"/>
  <c r="AA86" i="11"/>
  <c r="AB88" i="11"/>
  <c r="A47" i="9"/>
  <c r="A47" i="1"/>
  <c r="A48" i="9"/>
  <c r="AB101" i="11"/>
  <c r="AB93" i="11"/>
  <c r="F36" i="10"/>
  <c r="B31" i="14"/>
  <c r="C31" i="14" s="1"/>
  <c r="B29" i="14"/>
  <c r="C29" i="14" s="1"/>
  <c r="F81" i="10"/>
  <c r="B86" i="14"/>
  <c r="C86" i="14" s="1"/>
  <c r="B34" i="14"/>
  <c r="C34" i="14" s="1"/>
  <c r="F83" i="10"/>
  <c r="F31" i="10"/>
  <c r="E38" i="10"/>
  <c r="F37" i="10"/>
  <c r="F34" i="10"/>
  <c r="F85" i="10"/>
  <c r="B39" i="14"/>
  <c r="C39" i="14" s="1"/>
  <c r="B32" i="14"/>
  <c r="C32" i="14" s="1"/>
  <c r="B85" i="14"/>
  <c r="C85" i="14" s="1"/>
  <c r="E33" i="10"/>
  <c r="E86" i="10"/>
  <c r="E30" i="10"/>
  <c r="E36" i="10"/>
  <c r="F38" i="10"/>
  <c r="B37" i="14"/>
  <c r="C37" i="14" s="1"/>
  <c r="B38" i="14"/>
  <c r="C38" i="14" s="1"/>
  <c r="F39" i="10"/>
  <c r="A48" i="13"/>
  <c r="V92" i="10"/>
  <c r="AB102" i="11"/>
  <c r="AB94" i="11"/>
  <c r="A48" i="1"/>
  <c r="A49" i="9"/>
  <c r="A49" i="1"/>
  <c r="A49" i="13"/>
  <c r="A50" i="13"/>
  <c r="A50" i="9"/>
  <c r="A50" i="1"/>
  <c r="A51" i="13"/>
  <c r="A51" i="9"/>
  <c r="A52" i="9"/>
  <c r="A51" i="1"/>
  <c r="A52" i="13"/>
  <c r="A53" i="1"/>
  <c r="A54" i="9"/>
  <c r="M38" i="12" l="1"/>
  <c r="L37" i="14" s="1"/>
  <c r="B38" i="10"/>
  <c r="C87" i="41"/>
  <c r="F87" i="41" s="1"/>
  <c r="B87" i="10"/>
  <c r="N31" i="11"/>
  <c r="K31" i="13" s="1"/>
  <c r="M31" i="13" s="1"/>
  <c r="C31" i="1"/>
  <c r="M33" i="12"/>
  <c r="L32" i="14" s="1"/>
  <c r="B33" i="10"/>
  <c r="B34" i="9"/>
  <c r="V34" i="9" s="1"/>
  <c r="W34" i="9" s="1"/>
  <c r="X34" i="9" s="1"/>
  <c r="Y34" i="9" s="1"/>
  <c r="C34" i="1"/>
  <c r="B35" i="10"/>
  <c r="C35" i="10" s="1"/>
  <c r="N32" i="11"/>
  <c r="K32" i="13" s="1"/>
  <c r="M32" i="13" s="1"/>
  <c r="N32" i="13" s="1"/>
  <c r="C32" i="1"/>
  <c r="V104" i="11"/>
  <c r="AB104" i="11" s="1"/>
  <c r="C47" i="41"/>
  <c r="F47" i="41" s="1"/>
  <c r="B47" i="10"/>
  <c r="M44" i="12"/>
  <c r="L43" i="14" s="1"/>
  <c r="B44" i="10"/>
  <c r="C46" i="41"/>
  <c r="D46" i="41" s="1"/>
  <c r="E46" i="41" s="1"/>
  <c r="B46" i="10"/>
  <c r="O46" i="10" s="1"/>
  <c r="P46" i="10" s="1"/>
  <c r="Q46" i="10" s="1"/>
  <c r="R46" i="10" s="1"/>
  <c r="U65" i="12"/>
  <c r="U63" i="12"/>
  <c r="U61" i="12"/>
  <c r="O60" i="12"/>
  <c r="P60" i="12" s="1"/>
  <c r="R60" i="12"/>
  <c r="N47" i="11"/>
  <c r="K47" i="13" s="1"/>
  <c r="C47" i="1"/>
  <c r="N48" i="11"/>
  <c r="K48" i="13" s="1"/>
  <c r="C48" i="1"/>
  <c r="V103" i="11"/>
  <c r="AB103" i="11" s="1"/>
  <c r="N43" i="11"/>
  <c r="K43" i="13" s="1"/>
  <c r="C43" i="1"/>
  <c r="C30" i="41"/>
  <c r="H82" i="1"/>
  <c r="F82" i="1"/>
  <c r="D82" i="1"/>
  <c r="I82" i="1" s="1"/>
  <c r="G82" i="1"/>
  <c r="E82" i="1"/>
  <c r="V43" i="10"/>
  <c r="C43" i="41"/>
  <c r="M83" i="12"/>
  <c r="L82" i="14" s="1"/>
  <c r="C83" i="41"/>
  <c r="D36" i="10"/>
  <c r="C36" i="41"/>
  <c r="H87" i="41"/>
  <c r="G87" i="41"/>
  <c r="J87" i="41"/>
  <c r="C85" i="1"/>
  <c r="D37" i="10"/>
  <c r="C37" i="41"/>
  <c r="N30" i="11"/>
  <c r="K30" i="13" s="1"/>
  <c r="C30" i="1"/>
  <c r="C87" i="1"/>
  <c r="D84" i="1"/>
  <c r="J84" i="1" s="1"/>
  <c r="E84" i="1"/>
  <c r="F84" i="1"/>
  <c r="G84" i="1"/>
  <c r="H84" i="1"/>
  <c r="N35" i="13"/>
  <c r="X35" i="13"/>
  <c r="X33" i="13"/>
  <c r="N33" i="13"/>
  <c r="N39" i="13"/>
  <c r="X39" i="13"/>
  <c r="X31" i="13"/>
  <c r="N31" i="13"/>
  <c r="X37" i="13"/>
  <c r="N37" i="13"/>
  <c r="D56" i="10"/>
  <c r="U67" i="12"/>
  <c r="C57" i="10"/>
  <c r="U68" i="12"/>
  <c r="D55" i="10"/>
  <c r="U66" i="12"/>
  <c r="C53" i="10"/>
  <c r="U64" i="12"/>
  <c r="C51" i="10"/>
  <c r="U62" i="12"/>
  <c r="B95" i="9"/>
  <c r="C95" i="9" s="1"/>
  <c r="V95" i="11"/>
  <c r="B84" i="9"/>
  <c r="C84" i="9" s="1"/>
  <c r="C58" i="10"/>
  <c r="U69" i="12"/>
  <c r="V101" i="11"/>
  <c r="AG129" i="11"/>
  <c r="AH129" i="11" s="1"/>
  <c r="U44" i="12"/>
  <c r="U82" i="12"/>
  <c r="V124" i="11"/>
  <c r="V116" i="11"/>
  <c r="V108" i="11"/>
  <c r="V100" i="11"/>
  <c r="V122" i="11"/>
  <c r="V114" i="11"/>
  <c r="V106" i="11"/>
  <c r="V128" i="11"/>
  <c r="V126" i="11"/>
  <c r="V118" i="11"/>
  <c r="V110" i="11"/>
  <c r="V102" i="11"/>
  <c r="V76" i="11"/>
  <c r="V73" i="11"/>
  <c r="V70" i="11"/>
  <c r="V67" i="11"/>
  <c r="V64" i="11"/>
  <c r="V61" i="11"/>
  <c r="V51" i="11"/>
  <c r="V77" i="11"/>
  <c r="V74" i="11"/>
  <c r="V71" i="11"/>
  <c r="V68" i="11"/>
  <c r="V65" i="11"/>
  <c r="V62" i="11"/>
  <c r="V59" i="11"/>
  <c r="V78" i="11"/>
  <c r="V75" i="11"/>
  <c r="V72" i="11"/>
  <c r="V69" i="11"/>
  <c r="V66" i="11"/>
  <c r="V63" i="11"/>
  <c r="V60" i="11"/>
  <c r="O95" i="12"/>
  <c r="P95" i="12" s="1"/>
  <c r="O94" i="12"/>
  <c r="O93" i="12"/>
  <c r="O92" i="12"/>
  <c r="M65" i="12"/>
  <c r="L64" i="14" s="1"/>
  <c r="N64" i="14" s="1"/>
  <c r="Y64" i="14" s="1"/>
  <c r="V63" i="10"/>
  <c r="O75" i="12"/>
  <c r="M61" i="12"/>
  <c r="N49" i="14" s="1"/>
  <c r="O73" i="12"/>
  <c r="O72" i="12"/>
  <c r="O78" i="12"/>
  <c r="O76" i="12"/>
  <c r="P76" i="12" s="1"/>
  <c r="O74" i="12"/>
  <c r="M48" i="12"/>
  <c r="L47" i="14" s="1"/>
  <c r="D47" i="10"/>
  <c r="F30" i="11"/>
  <c r="C81" i="10"/>
  <c r="M89" i="12"/>
  <c r="L88" i="14" s="1"/>
  <c r="AA42" i="41"/>
  <c r="F39" i="11"/>
  <c r="U39" i="11" s="1"/>
  <c r="B55" i="9"/>
  <c r="C55" i="9" s="1"/>
  <c r="M41" i="12"/>
  <c r="L40" i="14" s="1"/>
  <c r="B43" i="9"/>
  <c r="C43" i="9" s="1"/>
  <c r="F88" i="12"/>
  <c r="AG87" i="14" s="1"/>
  <c r="B84" i="13"/>
  <c r="C84" i="13" s="1"/>
  <c r="F84" i="9"/>
  <c r="B45" i="9"/>
  <c r="D45" i="9" s="1"/>
  <c r="AA32" i="41"/>
  <c r="M81" i="12"/>
  <c r="L80" i="14" s="1"/>
  <c r="AG51" i="11"/>
  <c r="AH51" i="11" s="1"/>
  <c r="N62" i="11"/>
  <c r="K62" i="13" s="1"/>
  <c r="B47" i="9"/>
  <c r="V47" i="9" s="1"/>
  <c r="W47" i="9" s="1"/>
  <c r="X47" i="9" s="1"/>
  <c r="Y47" i="9" s="1"/>
  <c r="N78" i="11"/>
  <c r="K78" i="13" s="1"/>
  <c r="AF51" i="11"/>
  <c r="AG44" i="11"/>
  <c r="AH44" i="11" s="1"/>
  <c r="AG76" i="11"/>
  <c r="AH76" i="11" s="1"/>
  <c r="AD87" i="12"/>
  <c r="AE87" i="12" s="1"/>
  <c r="AG39" i="11"/>
  <c r="AH39" i="11" s="1"/>
  <c r="AG50" i="11"/>
  <c r="AH50" i="11" s="1"/>
  <c r="B33" i="9"/>
  <c r="V33" i="9" s="1"/>
  <c r="W33" i="9" s="1"/>
  <c r="X33" i="9" s="1"/>
  <c r="Y33" i="9" s="1"/>
  <c r="E29" i="13"/>
  <c r="AG74" i="11"/>
  <c r="AH74" i="11" s="1"/>
  <c r="AG54" i="11"/>
  <c r="AH54" i="11" s="1"/>
  <c r="B35" i="9"/>
  <c r="D35" i="9" s="1"/>
  <c r="N74" i="11"/>
  <c r="K74" i="13" s="1"/>
  <c r="AG59" i="11"/>
  <c r="AH59" i="11" s="1"/>
  <c r="AG43" i="11"/>
  <c r="AH43" i="11" s="1"/>
  <c r="E39" i="14"/>
  <c r="F35" i="12"/>
  <c r="AI34" i="14" s="1"/>
  <c r="N38" i="11"/>
  <c r="K38" i="13" s="1"/>
  <c r="M38" i="13" s="1"/>
  <c r="F37" i="11"/>
  <c r="U37" i="11" s="1"/>
  <c r="B39" i="9"/>
  <c r="V39" i="9" s="1"/>
  <c r="W39" i="9" s="1"/>
  <c r="E87" i="14"/>
  <c r="F40" i="12"/>
  <c r="AG39" i="14" s="1"/>
  <c r="E38" i="14"/>
  <c r="F39" i="12"/>
  <c r="AG38" i="14" s="1"/>
  <c r="E34" i="14"/>
  <c r="B42" i="9"/>
  <c r="D42" i="9" s="1"/>
  <c r="E30" i="13"/>
  <c r="F29" i="11"/>
  <c r="AF29" i="13" s="1"/>
  <c r="AG77" i="11"/>
  <c r="AH77" i="11" s="1"/>
  <c r="AG55" i="11"/>
  <c r="AH55" i="11" s="1"/>
  <c r="AG47" i="11"/>
  <c r="AH47" i="11" s="1"/>
  <c r="F78" i="11"/>
  <c r="Y30" i="34"/>
  <c r="Z30" i="34" s="1"/>
  <c r="F51" i="70"/>
  <c r="D59" i="70"/>
  <c r="G59" i="70" s="1"/>
  <c r="Z30" i="60"/>
  <c r="AE30" i="60" s="1"/>
  <c r="O30" i="60"/>
  <c r="P30" i="60" s="1"/>
  <c r="Q30" i="60" s="1"/>
  <c r="V30" i="60" s="1"/>
  <c r="W30" i="60" s="1"/>
  <c r="G51" i="58"/>
  <c r="H51" i="58"/>
  <c r="AE29" i="60"/>
  <c r="AB29" i="60"/>
  <c r="AE22" i="34"/>
  <c r="Z26" i="34"/>
  <c r="Q26" i="34"/>
  <c r="D59" i="58"/>
  <c r="G59" i="58" s="1"/>
  <c r="O22" i="34"/>
  <c r="P22" i="34" s="1"/>
  <c r="Q22" i="34" s="1"/>
  <c r="Y22" i="34" s="1"/>
  <c r="Z22" i="34" s="1"/>
  <c r="V23" i="34"/>
  <c r="I49" i="6"/>
  <c r="J25" i="32"/>
  <c r="V40" i="10"/>
  <c r="H47" i="6"/>
  <c r="I47" i="6"/>
  <c r="D36" i="5"/>
  <c r="E28" i="5" s="1"/>
  <c r="D31" i="32"/>
  <c r="H31" i="32" s="1"/>
  <c r="L31" i="32" s="1"/>
  <c r="D32" i="32"/>
  <c r="H32" i="32" s="1"/>
  <c r="L32" i="32" s="1"/>
  <c r="Z27" i="60"/>
  <c r="AE27" i="60" s="1"/>
  <c r="O27" i="60"/>
  <c r="P27" i="60" s="1"/>
  <c r="Q27" i="60" s="1"/>
  <c r="V27" i="60" s="1"/>
  <c r="W27" i="60" s="1"/>
  <c r="R16" i="68"/>
  <c r="N40" i="32"/>
  <c r="O40" i="32" s="1"/>
  <c r="Q40" i="32" s="1"/>
  <c r="N43" i="32"/>
  <c r="O43" i="32" s="1"/>
  <c r="Q43" i="32" s="1"/>
  <c r="G53" i="58"/>
  <c r="Z21" i="60"/>
  <c r="J23" i="69"/>
  <c r="J28" i="69" s="1"/>
  <c r="J30" i="69" s="1"/>
  <c r="T32" i="34"/>
  <c r="X32" i="34" s="1"/>
  <c r="Q35" i="34"/>
  <c r="V39" i="10"/>
  <c r="D38" i="32"/>
  <c r="H38" i="32" s="1"/>
  <c r="L38" i="32" s="1"/>
  <c r="D42" i="32"/>
  <c r="H42" i="32" s="1"/>
  <c r="L42" i="32" s="1"/>
  <c r="D34" i="32"/>
  <c r="H34" i="32" s="1"/>
  <c r="L34" i="32" s="1"/>
  <c r="F45" i="58"/>
  <c r="G46" i="58" s="1"/>
  <c r="G46" i="70"/>
  <c r="AB30" i="60"/>
  <c r="AM27" i="60"/>
  <c r="O22" i="60"/>
  <c r="Z22" i="60"/>
  <c r="AB22" i="60" s="1"/>
  <c r="V31" i="34"/>
  <c r="N26" i="32"/>
  <c r="O26" i="32" s="1"/>
  <c r="Q26" i="32" s="1"/>
  <c r="N32" i="32"/>
  <c r="O32" i="32" s="1"/>
  <c r="Q32" i="32" s="1"/>
  <c r="I31" i="6"/>
  <c r="I53" i="6" s="1"/>
  <c r="H31" i="6"/>
  <c r="H53" i="6" s="1"/>
  <c r="H57" i="6" s="1"/>
  <c r="K49" i="6"/>
  <c r="AC23" i="34"/>
  <c r="G53" i="6"/>
  <c r="E26" i="4" s="1"/>
  <c r="AG85" i="11"/>
  <c r="AH85" i="11" s="1"/>
  <c r="N34" i="32"/>
  <c r="O34" i="32" s="1"/>
  <c r="Q34" i="32" s="1"/>
  <c r="P34" i="32" s="1"/>
  <c r="R36" i="32"/>
  <c r="D41" i="32"/>
  <c r="H41" i="32" s="1"/>
  <c r="L41" i="32" s="1"/>
  <c r="N41" i="32" s="1"/>
  <c r="O41" i="32" s="1"/>
  <c r="Q41" i="32" s="1"/>
  <c r="F53" i="70"/>
  <c r="E59" i="70"/>
  <c r="F59" i="70" s="1"/>
  <c r="P22" i="60"/>
  <c r="Q22" i="60" s="1"/>
  <c r="V22" i="60" s="1"/>
  <c r="W22" i="60" s="1"/>
  <c r="O25" i="34"/>
  <c r="P25" i="34" s="1"/>
  <c r="V22" i="34"/>
  <c r="O21" i="34"/>
  <c r="P21" i="34" s="1"/>
  <c r="Q21" i="34" s="1"/>
  <c r="Y21" i="34" s="1"/>
  <c r="Z21" i="34" s="1"/>
  <c r="AC21" i="34"/>
  <c r="R17" i="68"/>
  <c r="R15" i="68"/>
  <c r="N125" i="11"/>
  <c r="K125" i="13" s="1"/>
  <c r="B125" i="9"/>
  <c r="N121" i="11"/>
  <c r="K121" i="13" s="1"/>
  <c r="B121" i="9"/>
  <c r="O121" i="9" s="1"/>
  <c r="P121" i="9" s="1"/>
  <c r="N117" i="11"/>
  <c r="K117" i="13" s="1"/>
  <c r="B117" i="9"/>
  <c r="V117" i="9" s="1"/>
  <c r="N113" i="11"/>
  <c r="K113" i="13" s="1"/>
  <c r="B113" i="9"/>
  <c r="N109" i="11"/>
  <c r="K109" i="13" s="1"/>
  <c r="B109" i="9"/>
  <c r="N105" i="11"/>
  <c r="K105" i="13" s="1"/>
  <c r="B105" i="9"/>
  <c r="O105" i="9" s="1"/>
  <c r="P105" i="9" s="1"/>
  <c r="Q105" i="9" s="1"/>
  <c r="R105" i="9" s="1"/>
  <c r="N101" i="11"/>
  <c r="K101" i="13" s="1"/>
  <c r="B101" i="9"/>
  <c r="N97" i="11"/>
  <c r="K97" i="13" s="1"/>
  <c r="B97" i="9"/>
  <c r="N89" i="11"/>
  <c r="K89" i="13" s="1"/>
  <c r="B89" i="9"/>
  <c r="N85" i="11"/>
  <c r="K85" i="13" s="1"/>
  <c r="M85" i="13" s="1"/>
  <c r="B85" i="9"/>
  <c r="N81" i="11"/>
  <c r="K81" i="13" s="1"/>
  <c r="B81" i="9"/>
  <c r="O81" i="9" s="1"/>
  <c r="P81" i="9" s="1"/>
  <c r="Q81" i="9" s="1"/>
  <c r="R81" i="9" s="1"/>
  <c r="F77" i="11"/>
  <c r="C77" i="9"/>
  <c r="D77" i="9"/>
  <c r="AG75" i="11"/>
  <c r="AH75" i="11" s="1"/>
  <c r="B75" i="9"/>
  <c r="N69" i="11"/>
  <c r="K69" i="13" s="1"/>
  <c r="B69" i="9"/>
  <c r="C67" i="9"/>
  <c r="D67" i="9"/>
  <c r="N63" i="11"/>
  <c r="K63" i="13" s="1"/>
  <c r="B63" i="9"/>
  <c r="F61" i="11"/>
  <c r="C61" i="9"/>
  <c r="D61" i="9"/>
  <c r="N33" i="32"/>
  <c r="O33" i="32" s="1"/>
  <c r="Q33" i="32" s="1"/>
  <c r="B64" i="70"/>
  <c r="AD88" i="12"/>
  <c r="AE88" i="12" s="1"/>
  <c r="N124" i="11"/>
  <c r="K124" i="13" s="1"/>
  <c r="B124" i="9"/>
  <c r="O124" i="9" s="1"/>
  <c r="P124" i="9" s="1"/>
  <c r="Q124" i="9" s="1"/>
  <c r="R124" i="9" s="1"/>
  <c r="N120" i="11"/>
  <c r="K120" i="13" s="1"/>
  <c r="B120" i="9"/>
  <c r="N116" i="11"/>
  <c r="K116" i="13" s="1"/>
  <c r="B116" i="9"/>
  <c r="N112" i="11"/>
  <c r="K112" i="13" s="1"/>
  <c r="B112" i="9"/>
  <c r="N108" i="11"/>
  <c r="K108" i="13" s="1"/>
  <c r="B108" i="9"/>
  <c r="N104" i="11"/>
  <c r="K104" i="13" s="1"/>
  <c r="B104" i="9"/>
  <c r="V104" i="9" s="1"/>
  <c r="N100" i="11"/>
  <c r="K100" i="13" s="1"/>
  <c r="B100" i="9"/>
  <c r="N96" i="11"/>
  <c r="K96" i="13" s="1"/>
  <c r="B96" i="9"/>
  <c r="O96" i="9" s="1"/>
  <c r="P96" i="9" s="1"/>
  <c r="Q96" i="9" s="1"/>
  <c r="R96" i="9" s="1"/>
  <c r="N92" i="11"/>
  <c r="K92" i="13" s="1"/>
  <c r="B92" i="9"/>
  <c r="O92" i="9" s="1"/>
  <c r="P92" i="9" s="1"/>
  <c r="Q92" i="9" s="1"/>
  <c r="R92" i="9" s="1"/>
  <c r="N88" i="11"/>
  <c r="K88" i="13" s="1"/>
  <c r="B88" i="9"/>
  <c r="O88" i="9" s="1"/>
  <c r="P88" i="9" s="1"/>
  <c r="Q88" i="9" s="1"/>
  <c r="R88" i="9" s="1"/>
  <c r="N84" i="11"/>
  <c r="K84" i="13" s="1"/>
  <c r="F128" i="11"/>
  <c r="C78" i="9"/>
  <c r="D78" i="9"/>
  <c r="F74" i="11"/>
  <c r="N72" i="11"/>
  <c r="K72" i="13" s="1"/>
  <c r="B72" i="9"/>
  <c r="F71" i="11"/>
  <c r="N66" i="11"/>
  <c r="K66" i="13" s="1"/>
  <c r="B66" i="9"/>
  <c r="N59" i="11"/>
  <c r="K59" i="13" s="1"/>
  <c r="B59" i="9"/>
  <c r="AG37" i="11"/>
  <c r="AH37" i="11" s="1"/>
  <c r="N127" i="11"/>
  <c r="K127" i="13" s="1"/>
  <c r="B127" i="9"/>
  <c r="O127" i="9" s="1"/>
  <c r="P127" i="9" s="1"/>
  <c r="Q127" i="9" s="1"/>
  <c r="R127" i="9" s="1"/>
  <c r="N123" i="11"/>
  <c r="K123" i="13" s="1"/>
  <c r="B123" i="9"/>
  <c r="N119" i="11"/>
  <c r="K119" i="13" s="1"/>
  <c r="B119" i="9"/>
  <c r="O119" i="9" s="1"/>
  <c r="P119" i="9" s="1"/>
  <c r="Q119" i="9" s="1"/>
  <c r="R119" i="9" s="1"/>
  <c r="N115" i="11"/>
  <c r="K115" i="13" s="1"/>
  <c r="B115" i="9"/>
  <c r="V115" i="9" s="1"/>
  <c r="N111" i="11"/>
  <c r="K111" i="13" s="1"/>
  <c r="B111" i="9"/>
  <c r="V111" i="9" s="1"/>
  <c r="N107" i="11"/>
  <c r="K107" i="13" s="1"/>
  <c r="B107" i="9"/>
  <c r="N103" i="11"/>
  <c r="K103" i="13" s="1"/>
  <c r="B103" i="9"/>
  <c r="O103" i="9" s="1"/>
  <c r="P103" i="9" s="1"/>
  <c r="Q103" i="9" s="1"/>
  <c r="R103" i="9" s="1"/>
  <c r="N99" i="11"/>
  <c r="K99" i="13" s="1"/>
  <c r="B99" i="9"/>
  <c r="O99" i="9" s="1"/>
  <c r="P99" i="9" s="1"/>
  <c r="N95" i="11"/>
  <c r="K95" i="13" s="1"/>
  <c r="N91" i="11"/>
  <c r="K91" i="13" s="1"/>
  <c r="B91" i="9"/>
  <c r="O91" i="9" s="1"/>
  <c r="P91" i="9" s="1"/>
  <c r="Q91" i="9" s="1"/>
  <c r="R91" i="9" s="1"/>
  <c r="N87" i="11"/>
  <c r="K87" i="13" s="1"/>
  <c r="B87" i="9"/>
  <c r="O87" i="9" s="1"/>
  <c r="P87" i="9" s="1"/>
  <c r="Q87" i="9" s="1"/>
  <c r="R87" i="9" s="1"/>
  <c r="O83" i="9"/>
  <c r="P83" i="9" s="1"/>
  <c r="Q83" i="9" s="1"/>
  <c r="R83" i="9" s="1"/>
  <c r="N128" i="11"/>
  <c r="K128" i="13" s="1"/>
  <c r="B128" i="9"/>
  <c r="N76" i="11"/>
  <c r="K76" i="13" s="1"/>
  <c r="B76" i="9"/>
  <c r="C74" i="9"/>
  <c r="D74" i="9"/>
  <c r="AG72" i="11"/>
  <c r="AH72" i="11" s="1"/>
  <c r="N71" i="11"/>
  <c r="K71" i="13" s="1"/>
  <c r="B71" i="9"/>
  <c r="F70" i="11"/>
  <c r="N68" i="11"/>
  <c r="K68" i="13" s="1"/>
  <c r="B68" i="9"/>
  <c r="N65" i="11"/>
  <c r="K65" i="13" s="1"/>
  <c r="B65" i="9"/>
  <c r="C62" i="9"/>
  <c r="D62" i="9"/>
  <c r="N60" i="11"/>
  <c r="K60" i="13" s="1"/>
  <c r="B60" i="9"/>
  <c r="N58" i="11"/>
  <c r="F58" i="11"/>
  <c r="AH58" i="13" s="1"/>
  <c r="AF54" i="11"/>
  <c r="AG33" i="11"/>
  <c r="AH33" i="11" s="1"/>
  <c r="AG31" i="11"/>
  <c r="AH31" i="11" s="1"/>
  <c r="N126" i="11"/>
  <c r="K126" i="13" s="1"/>
  <c r="B126" i="9"/>
  <c r="N122" i="11"/>
  <c r="K122" i="13" s="1"/>
  <c r="B122" i="9"/>
  <c r="N118" i="11"/>
  <c r="K118" i="13" s="1"/>
  <c r="B118" i="9"/>
  <c r="V118" i="9" s="1"/>
  <c r="N114" i="11"/>
  <c r="K114" i="13" s="1"/>
  <c r="B114" i="9"/>
  <c r="N110" i="11"/>
  <c r="K110" i="13" s="1"/>
  <c r="B110" i="9"/>
  <c r="N106" i="11"/>
  <c r="K106" i="13" s="1"/>
  <c r="B106" i="9"/>
  <c r="N102" i="11"/>
  <c r="K102" i="13" s="1"/>
  <c r="B102" i="9"/>
  <c r="N98" i="11"/>
  <c r="K98" i="13" s="1"/>
  <c r="B98" i="9"/>
  <c r="N90" i="11"/>
  <c r="K90" i="13" s="1"/>
  <c r="B90" i="9"/>
  <c r="N86" i="11"/>
  <c r="K86" i="13" s="1"/>
  <c r="B86" i="9"/>
  <c r="N82" i="11"/>
  <c r="K82" i="13" s="1"/>
  <c r="B82" i="9"/>
  <c r="N129" i="11"/>
  <c r="K129" i="13" s="1"/>
  <c r="B129" i="9"/>
  <c r="AF77" i="11"/>
  <c r="N77" i="11"/>
  <c r="K77" i="13" s="1"/>
  <c r="N73" i="11"/>
  <c r="K73" i="13" s="1"/>
  <c r="B73" i="9"/>
  <c r="N70" i="11"/>
  <c r="K70" i="13" s="1"/>
  <c r="B70" i="9"/>
  <c r="N67" i="11"/>
  <c r="K67" i="13" s="1"/>
  <c r="N64" i="11"/>
  <c r="K64" i="13" s="1"/>
  <c r="B64" i="9"/>
  <c r="N61" i="11"/>
  <c r="K61" i="13" s="1"/>
  <c r="C58" i="9"/>
  <c r="D58" i="9"/>
  <c r="F47" i="11"/>
  <c r="F125" i="9"/>
  <c r="B125" i="13"/>
  <c r="C125" i="13" s="1"/>
  <c r="B121" i="13"/>
  <c r="C121" i="13" s="1"/>
  <c r="F121" i="9"/>
  <c r="B117" i="13"/>
  <c r="C117" i="13" s="1"/>
  <c r="F117" i="9"/>
  <c r="F113" i="9"/>
  <c r="B113" i="13"/>
  <c r="C113" i="13" s="1"/>
  <c r="B109" i="13"/>
  <c r="C109" i="13" s="1"/>
  <c r="F109" i="9"/>
  <c r="F105" i="9"/>
  <c r="B105" i="13"/>
  <c r="C105" i="13" s="1"/>
  <c r="B101" i="13"/>
  <c r="C101" i="13" s="1"/>
  <c r="F101" i="9"/>
  <c r="B97" i="13"/>
  <c r="C97" i="13" s="1"/>
  <c r="F97" i="9"/>
  <c r="F89" i="9"/>
  <c r="B89" i="13"/>
  <c r="C89" i="13" s="1"/>
  <c r="F85" i="9"/>
  <c r="F81" i="9"/>
  <c r="B81" i="13"/>
  <c r="C81" i="13" s="1"/>
  <c r="B128" i="13"/>
  <c r="C128" i="13" s="1"/>
  <c r="F128" i="9"/>
  <c r="B76" i="13"/>
  <c r="C76" i="13" s="1"/>
  <c r="F76" i="9"/>
  <c r="B71" i="13"/>
  <c r="C71" i="13" s="1"/>
  <c r="F71" i="9"/>
  <c r="F68" i="9"/>
  <c r="B68" i="13"/>
  <c r="C68" i="13" s="1"/>
  <c r="F65" i="9"/>
  <c r="B65" i="13"/>
  <c r="C65" i="13" s="1"/>
  <c r="F60" i="9"/>
  <c r="B60" i="13"/>
  <c r="C60" i="13" s="1"/>
  <c r="B126" i="13"/>
  <c r="C126" i="13" s="1"/>
  <c r="F126" i="9"/>
  <c r="F114" i="9"/>
  <c r="B114" i="13"/>
  <c r="C114" i="13" s="1"/>
  <c r="B106" i="13"/>
  <c r="C106" i="13" s="1"/>
  <c r="F106" i="9"/>
  <c r="F102" i="9"/>
  <c r="B102" i="13"/>
  <c r="C102" i="13" s="1"/>
  <c r="F86" i="9"/>
  <c r="B86" i="13"/>
  <c r="C86" i="13" s="1"/>
  <c r="F74" i="9"/>
  <c r="B74" i="13"/>
  <c r="C74" i="13" s="1"/>
  <c r="B59" i="13"/>
  <c r="C59" i="13" s="1"/>
  <c r="F59" i="9"/>
  <c r="F124" i="9"/>
  <c r="B124" i="13"/>
  <c r="C124" i="13" s="1"/>
  <c r="F120" i="9"/>
  <c r="B120" i="13"/>
  <c r="C120" i="13" s="1"/>
  <c r="B116" i="13"/>
  <c r="C116" i="13" s="1"/>
  <c r="F116" i="9"/>
  <c r="F112" i="9"/>
  <c r="B112" i="13"/>
  <c r="C112" i="13" s="1"/>
  <c r="F108" i="9"/>
  <c r="B108" i="13"/>
  <c r="C108" i="13" s="1"/>
  <c r="F104" i="9"/>
  <c r="B104" i="13"/>
  <c r="C104" i="13" s="1"/>
  <c r="B100" i="13"/>
  <c r="C100" i="13" s="1"/>
  <c r="F100" i="9"/>
  <c r="B96" i="13"/>
  <c r="C96" i="13" s="1"/>
  <c r="F96" i="9"/>
  <c r="F92" i="9"/>
  <c r="B92" i="13"/>
  <c r="C92" i="13" s="1"/>
  <c r="B88" i="13"/>
  <c r="C88" i="13" s="1"/>
  <c r="F88" i="9"/>
  <c r="F129" i="9"/>
  <c r="B129" i="13"/>
  <c r="C129" i="13" s="1"/>
  <c r="F77" i="9"/>
  <c r="B77" i="13"/>
  <c r="C77" i="13" s="1"/>
  <c r="F73" i="9"/>
  <c r="B73" i="13"/>
  <c r="C73" i="13" s="1"/>
  <c r="B70" i="13"/>
  <c r="C70" i="13" s="1"/>
  <c r="F70" i="9"/>
  <c r="B67" i="13"/>
  <c r="C67" i="13" s="1"/>
  <c r="F67" i="9"/>
  <c r="F64" i="9"/>
  <c r="B64" i="13"/>
  <c r="C64" i="13" s="1"/>
  <c r="F61" i="9"/>
  <c r="B61" i="13"/>
  <c r="C61" i="13" s="1"/>
  <c r="B122" i="13"/>
  <c r="C122" i="13" s="1"/>
  <c r="F122" i="9"/>
  <c r="F118" i="9"/>
  <c r="B118" i="13"/>
  <c r="C118" i="13" s="1"/>
  <c r="B110" i="13"/>
  <c r="C110" i="13" s="1"/>
  <c r="F110" i="9"/>
  <c r="F98" i="9"/>
  <c r="B98" i="13"/>
  <c r="C98" i="13" s="1"/>
  <c r="B90" i="13"/>
  <c r="C90" i="13" s="1"/>
  <c r="F90" i="9"/>
  <c r="F82" i="9"/>
  <c r="B82" i="13"/>
  <c r="C82" i="13" s="1"/>
  <c r="F72" i="9"/>
  <c r="B72" i="13"/>
  <c r="C72" i="13" s="1"/>
  <c r="F66" i="9"/>
  <c r="B66" i="13"/>
  <c r="C66" i="13" s="1"/>
  <c r="F62" i="9"/>
  <c r="B62" i="13"/>
  <c r="C62" i="13" s="1"/>
  <c r="F127" i="9"/>
  <c r="B127" i="13"/>
  <c r="C127" i="13" s="1"/>
  <c r="F123" i="9"/>
  <c r="B123" i="13"/>
  <c r="C123" i="13" s="1"/>
  <c r="F119" i="9"/>
  <c r="B119" i="13"/>
  <c r="C119" i="13" s="1"/>
  <c r="F115" i="9"/>
  <c r="B115" i="13"/>
  <c r="C115" i="13" s="1"/>
  <c r="B111" i="13"/>
  <c r="C111" i="13" s="1"/>
  <c r="F111" i="9"/>
  <c r="F107" i="9"/>
  <c r="B107" i="13"/>
  <c r="C107" i="13" s="1"/>
  <c r="F103" i="9"/>
  <c r="B103" i="13"/>
  <c r="C103" i="13" s="1"/>
  <c r="B99" i="13"/>
  <c r="C99" i="13" s="1"/>
  <c r="F99" i="9"/>
  <c r="B95" i="13"/>
  <c r="C95" i="13" s="1"/>
  <c r="F91" i="9"/>
  <c r="B91" i="13"/>
  <c r="C91" i="13" s="1"/>
  <c r="B87" i="13"/>
  <c r="C87" i="13" s="1"/>
  <c r="F87" i="9"/>
  <c r="B78" i="13"/>
  <c r="C78" i="13" s="1"/>
  <c r="F78" i="9"/>
  <c r="F75" i="9"/>
  <c r="B75" i="13"/>
  <c r="C75" i="13" s="1"/>
  <c r="F69" i="9"/>
  <c r="B69" i="13"/>
  <c r="C69" i="13" s="1"/>
  <c r="F63" i="9"/>
  <c r="B63" i="13"/>
  <c r="C63" i="13" s="1"/>
  <c r="H80" i="1"/>
  <c r="F31" i="11"/>
  <c r="W30" i="11" s="1"/>
  <c r="F32" i="11"/>
  <c r="F33" i="11"/>
  <c r="S33" i="11" s="1"/>
  <c r="F35" i="11"/>
  <c r="T35" i="11" s="1"/>
  <c r="F38" i="11"/>
  <c r="AD37" i="12"/>
  <c r="AE37" i="12" s="1"/>
  <c r="V41" i="10"/>
  <c r="D38" i="10"/>
  <c r="X50" i="41"/>
  <c r="X44" i="41"/>
  <c r="M39" i="12"/>
  <c r="L38" i="14" s="1"/>
  <c r="O86" i="10"/>
  <c r="P86" i="10" s="1"/>
  <c r="Q86" i="10" s="1"/>
  <c r="R86" i="10" s="1"/>
  <c r="AD86" i="12"/>
  <c r="AE86" i="12" s="1"/>
  <c r="V85" i="10"/>
  <c r="AD85" i="12"/>
  <c r="AE85" i="12" s="1"/>
  <c r="L83" i="14"/>
  <c r="AD84" i="12"/>
  <c r="AE84" i="12" s="1"/>
  <c r="D89" i="10"/>
  <c r="AD89" i="12"/>
  <c r="AE89" i="12" s="1"/>
  <c r="F75" i="11"/>
  <c r="F52" i="11"/>
  <c r="F44" i="11"/>
  <c r="F42" i="11"/>
  <c r="F50" i="11"/>
  <c r="T50" i="11" s="1"/>
  <c r="F67" i="11"/>
  <c r="F63" i="11"/>
  <c r="F57" i="11"/>
  <c r="W56" i="11" s="1"/>
  <c r="F46" i="11"/>
  <c r="S46" i="11" s="1"/>
  <c r="AG128" i="11"/>
  <c r="AH128" i="11" s="1"/>
  <c r="AG61" i="11"/>
  <c r="AH61" i="11" s="1"/>
  <c r="AG45" i="11"/>
  <c r="AH45" i="11" s="1"/>
  <c r="AG56" i="11"/>
  <c r="AH56" i="11" s="1"/>
  <c r="AG42" i="11"/>
  <c r="AH42" i="11" s="1"/>
  <c r="AG38" i="11"/>
  <c r="AH38" i="11" s="1"/>
  <c r="AG68" i="11"/>
  <c r="AH68" i="11" s="1"/>
  <c r="AG71" i="11"/>
  <c r="AH71" i="11" s="1"/>
  <c r="AG64" i="11"/>
  <c r="AH64" i="11" s="1"/>
  <c r="AG52" i="11"/>
  <c r="AH52" i="11" s="1"/>
  <c r="AF70" i="11"/>
  <c r="AG70" i="11"/>
  <c r="AH70" i="11" s="1"/>
  <c r="F69" i="11"/>
  <c r="F65" i="11"/>
  <c r="AG73" i="11"/>
  <c r="AH73" i="11" s="1"/>
  <c r="AG69" i="11"/>
  <c r="AH69" i="11" s="1"/>
  <c r="F68" i="11"/>
  <c r="AG65" i="11"/>
  <c r="AH65" i="11" s="1"/>
  <c r="F64" i="11"/>
  <c r="AF57" i="11"/>
  <c r="AG57" i="11"/>
  <c r="AH57" i="11" s="1"/>
  <c r="AG35" i="11"/>
  <c r="AH35" i="11" s="1"/>
  <c r="AF35" i="11"/>
  <c r="B40" i="13"/>
  <c r="C40" i="13" s="1"/>
  <c r="AG78" i="11"/>
  <c r="AH78" i="11" s="1"/>
  <c r="F76" i="11"/>
  <c r="N75" i="11"/>
  <c r="K75" i="13" s="1"/>
  <c r="F72" i="11"/>
  <c r="AF67" i="11"/>
  <c r="AG67" i="11"/>
  <c r="AH67" i="11" s="1"/>
  <c r="AF63" i="11"/>
  <c r="AG63" i="11"/>
  <c r="AH63" i="11" s="1"/>
  <c r="AG58" i="11"/>
  <c r="AH58" i="11" s="1"/>
  <c r="AF58" i="11"/>
  <c r="AF53" i="11"/>
  <c r="AG53" i="11"/>
  <c r="AH53" i="11" s="1"/>
  <c r="F129" i="11"/>
  <c r="AF74" i="11"/>
  <c r="F73" i="11"/>
  <c r="AF71" i="11"/>
  <c r="F66" i="11"/>
  <c r="F62" i="11"/>
  <c r="AF34" i="11"/>
  <c r="AG34" i="11"/>
  <c r="AH34" i="11" s="1"/>
  <c r="AG66" i="11"/>
  <c r="AH66" i="11" s="1"/>
  <c r="AG62" i="11"/>
  <c r="AH62" i="11" s="1"/>
  <c r="F56" i="11"/>
  <c r="W55" i="11" s="1"/>
  <c r="F54" i="11"/>
  <c r="S54" i="11" s="1"/>
  <c r="AG49" i="11"/>
  <c r="AH49" i="11" s="1"/>
  <c r="AF48" i="11"/>
  <c r="AG48" i="11"/>
  <c r="AH48" i="11" s="1"/>
  <c r="F48" i="11"/>
  <c r="AF48" i="13" s="1"/>
  <c r="AG41" i="11"/>
  <c r="AH41" i="11" s="1"/>
  <c r="AF40" i="11"/>
  <c r="AG40" i="11"/>
  <c r="AH40" i="11" s="1"/>
  <c r="F40" i="11"/>
  <c r="U40" i="11" s="1"/>
  <c r="N34" i="11"/>
  <c r="K34" i="13" s="1"/>
  <c r="M34" i="13" s="1"/>
  <c r="AG60" i="11"/>
  <c r="AH60" i="11" s="1"/>
  <c r="F59" i="11"/>
  <c r="F55" i="11"/>
  <c r="S55" i="11" s="1"/>
  <c r="AG36" i="11"/>
  <c r="AH36" i="11" s="1"/>
  <c r="N36" i="11"/>
  <c r="K36" i="13" s="1"/>
  <c r="M36" i="13" s="1"/>
  <c r="F34" i="11"/>
  <c r="F60" i="11"/>
  <c r="F51" i="11"/>
  <c r="W50" i="11" s="1"/>
  <c r="F43" i="11"/>
  <c r="F36" i="11"/>
  <c r="F49" i="11"/>
  <c r="T49" i="11" s="1"/>
  <c r="F41" i="11"/>
  <c r="U41" i="11" s="1"/>
  <c r="AG32" i="11"/>
  <c r="AH32" i="11" s="1"/>
  <c r="AG30" i="11"/>
  <c r="AH30" i="11" s="1"/>
  <c r="AF47" i="11"/>
  <c r="AG46" i="11"/>
  <c r="AH46" i="11" s="1"/>
  <c r="AF39" i="11"/>
  <c r="F53" i="11"/>
  <c r="W52" i="11" s="1"/>
  <c r="F45" i="11"/>
  <c r="T45" i="11" s="1"/>
  <c r="X110" i="41"/>
  <c r="H80" i="41"/>
  <c r="G80" i="41"/>
  <c r="D80" i="41"/>
  <c r="E80" i="41" s="1"/>
  <c r="V88" i="10"/>
  <c r="M88" i="12"/>
  <c r="L87" i="14" s="1"/>
  <c r="F80" i="41"/>
  <c r="F37" i="12"/>
  <c r="W34" i="14"/>
  <c r="X34" i="14" s="1"/>
  <c r="M47" i="12"/>
  <c r="L46" i="14" s="1"/>
  <c r="O94" i="10"/>
  <c r="P94" i="10" s="1"/>
  <c r="Q94" i="10" s="1"/>
  <c r="R94" i="10" s="1"/>
  <c r="M37" i="12"/>
  <c r="L36" i="14" s="1"/>
  <c r="X34" i="41"/>
  <c r="Y34" i="41" s="1"/>
  <c r="W87" i="14"/>
  <c r="X87" i="14" s="1"/>
  <c r="V94" i="10"/>
  <c r="AD38" i="12"/>
  <c r="AE38" i="12" s="1"/>
  <c r="AD39" i="12"/>
  <c r="AE39" i="12" s="1"/>
  <c r="C33" i="10"/>
  <c r="AD34" i="12"/>
  <c r="AE34" i="12" s="1"/>
  <c r="E85" i="14"/>
  <c r="AD83" i="12"/>
  <c r="AE83" i="12" s="1"/>
  <c r="V105" i="10"/>
  <c r="AD81" i="12"/>
  <c r="AE81" i="12" s="1"/>
  <c r="O84" i="10"/>
  <c r="P84" i="10" s="1"/>
  <c r="Q84" i="10" s="1"/>
  <c r="R84" i="10" s="1"/>
  <c r="L85" i="14"/>
  <c r="O91" i="10"/>
  <c r="P91" i="10" s="1"/>
  <c r="Q91" i="10" s="1"/>
  <c r="R91" i="10" s="1"/>
  <c r="AC67" i="12"/>
  <c r="AD67" i="12"/>
  <c r="AE67" i="12" s="1"/>
  <c r="AD36" i="12"/>
  <c r="AE36" i="12" s="1"/>
  <c r="F34" i="12"/>
  <c r="F69" i="12"/>
  <c r="F43" i="12"/>
  <c r="M67" i="12"/>
  <c r="L66" i="14" s="1"/>
  <c r="N66" i="14" s="1"/>
  <c r="D67" i="10"/>
  <c r="D83" i="10"/>
  <c r="O92" i="10"/>
  <c r="P92" i="10" s="1"/>
  <c r="Q92" i="10" s="1"/>
  <c r="R92" i="10" s="1"/>
  <c r="AD61" i="12"/>
  <c r="AE61" i="12" s="1"/>
  <c r="W35" i="14"/>
  <c r="X35" i="14" s="1"/>
  <c r="AD41" i="12"/>
  <c r="AE41" i="12" s="1"/>
  <c r="AD64" i="12"/>
  <c r="AE64" i="12" s="1"/>
  <c r="V82" i="10"/>
  <c r="C82" i="10"/>
  <c r="S45" i="14"/>
  <c r="W45" i="14" s="1"/>
  <c r="X45" i="14" s="1"/>
  <c r="E45" i="14"/>
  <c r="S44" i="14"/>
  <c r="W44" i="14" s="1"/>
  <c r="X44" i="14" s="1"/>
  <c r="E44" i="14"/>
  <c r="S43" i="14"/>
  <c r="W43" i="14" s="1"/>
  <c r="X43" i="14" s="1"/>
  <c r="E43" i="14"/>
  <c r="T36" i="14"/>
  <c r="W36" i="14" s="1"/>
  <c r="X36" i="14" s="1"/>
  <c r="E36" i="14"/>
  <c r="O87" i="10"/>
  <c r="P87" i="10" s="1"/>
  <c r="Q87" i="10" s="1"/>
  <c r="R87" i="10" s="1"/>
  <c r="M87" i="12"/>
  <c r="L86" i="14" s="1"/>
  <c r="E35" i="14"/>
  <c r="O100" i="10"/>
  <c r="P100" i="10" s="1"/>
  <c r="Q100" i="10" s="1"/>
  <c r="R100" i="10" s="1"/>
  <c r="F36" i="12"/>
  <c r="M34" i="12"/>
  <c r="V34" i="10"/>
  <c r="O90" i="10"/>
  <c r="P90" i="10" s="1"/>
  <c r="Q90" i="10" s="1"/>
  <c r="R90" i="10" s="1"/>
  <c r="O109" i="10"/>
  <c r="P109" i="10" s="1"/>
  <c r="Q109" i="10" s="1"/>
  <c r="R109" i="10" s="1"/>
  <c r="V109" i="10"/>
  <c r="F38" i="12"/>
  <c r="R38" i="12" s="1"/>
  <c r="W38" i="12" s="1"/>
  <c r="S46" i="14"/>
  <c r="W46" i="14" s="1"/>
  <c r="X46" i="14" s="1"/>
  <c r="E46" i="14"/>
  <c r="X116" i="41"/>
  <c r="G29" i="41"/>
  <c r="F29" i="41"/>
  <c r="O30" i="10"/>
  <c r="P30" i="10" s="1"/>
  <c r="Q30" i="10" s="1"/>
  <c r="R30" i="10" s="1"/>
  <c r="D30" i="10"/>
  <c r="O35" i="10"/>
  <c r="P35" i="10" s="1"/>
  <c r="Q35" i="10" s="1"/>
  <c r="R35" i="10" s="1"/>
  <c r="C61" i="10"/>
  <c r="AD33" i="12"/>
  <c r="AE33" i="12" s="1"/>
  <c r="X127" i="41"/>
  <c r="W38" i="14"/>
  <c r="X38" i="14" s="1"/>
  <c r="S37" i="14"/>
  <c r="W37" i="14" s="1"/>
  <c r="X37" i="14" s="1"/>
  <c r="E37" i="14"/>
  <c r="N37" i="14" s="1"/>
  <c r="D84" i="10"/>
  <c r="D35" i="10"/>
  <c r="X106" i="41"/>
  <c r="O98" i="10"/>
  <c r="P98" i="10" s="1"/>
  <c r="L84" i="14"/>
  <c r="V112" i="10"/>
  <c r="X85" i="41"/>
  <c r="W86" i="14"/>
  <c r="X86" i="14" s="1"/>
  <c r="O108" i="10"/>
  <c r="P108" i="10" s="1"/>
  <c r="Q108" i="10" s="1"/>
  <c r="R108" i="10" s="1"/>
  <c r="M66" i="12"/>
  <c r="L65" i="14" s="1"/>
  <c r="N65" i="14" s="1"/>
  <c r="D66" i="10"/>
  <c r="M42" i="12"/>
  <c r="L41" i="14" s="1"/>
  <c r="O42" i="10"/>
  <c r="P42" i="10" s="1"/>
  <c r="Q42" i="10" s="1"/>
  <c r="R42" i="10" s="1"/>
  <c r="AD35" i="12"/>
  <c r="AE35" i="12" s="1"/>
  <c r="M35" i="12"/>
  <c r="L34" i="14" s="1"/>
  <c r="H29" i="41"/>
  <c r="D29" i="41"/>
  <c r="E29" i="41" s="1"/>
  <c r="AD65" i="12"/>
  <c r="AE65" i="12" s="1"/>
  <c r="X121" i="41"/>
  <c r="V125" i="10"/>
  <c r="D65" i="10"/>
  <c r="W30" i="14"/>
  <c r="X30" i="14" s="1"/>
  <c r="C84" i="10"/>
  <c r="V30" i="10"/>
  <c r="F41" i="12"/>
  <c r="AD32" i="12"/>
  <c r="AE32" i="12" s="1"/>
  <c r="M29" i="12"/>
  <c r="L28" i="14" s="1"/>
  <c r="B29" i="10"/>
  <c r="D29" i="10" s="1"/>
  <c r="F89" i="12"/>
  <c r="E40" i="14"/>
  <c r="X107" i="41"/>
  <c r="M68" i="12"/>
  <c r="L67" i="14" s="1"/>
  <c r="N67" i="14" s="1"/>
  <c r="S79" i="14"/>
  <c r="W79" i="14" s="1"/>
  <c r="X79" i="14" s="1"/>
  <c r="E79" i="14"/>
  <c r="X111" i="41"/>
  <c r="M82" i="12"/>
  <c r="L81" i="14" s="1"/>
  <c r="AD82" i="12"/>
  <c r="AE82" i="12" s="1"/>
  <c r="AD80" i="12"/>
  <c r="AE80" i="12" s="1"/>
  <c r="T31" i="14"/>
  <c r="W31" i="14" s="1"/>
  <c r="X31" i="14" s="1"/>
  <c r="E31" i="14"/>
  <c r="C30" i="10"/>
  <c r="B80" i="10"/>
  <c r="X104" i="41"/>
  <c r="O82" i="10"/>
  <c r="P82" i="10" s="1"/>
  <c r="Q82" i="10" s="1"/>
  <c r="R82" i="10" s="1"/>
  <c r="M80" i="12"/>
  <c r="L79" i="14" s="1"/>
  <c r="AD66" i="12"/>
  <c r="AE66" i="12" s="1"/>
  <c r="AD68" i="12"/>
  <c r="AE68" i="12" s="1"/>
  <c r="AD49" i="12"/>
  <c r="AE49" i="12" s="1"/>
  <c r="C45" i="10"/>
  <c r="M45" i="12"/>
  <c r="L44" i="14" s="1"/>
  <c r="E32" i="14"/>
  <c r="S32" i="14"/>
  <c r="W32" i="14" s="1"/>
  <c r="X32" i="14" s="1"/>
  <c r="W80" i="14"/>
  <c r="X80" i="14" s="1"/>
  <c r="S28" i="14"/>
  <c r="W28" i="14" s="1"/>
  <c r="X28" i="14" s="1"/>
  <c r="E28" i="14"/>
  <c r="W81" i="14"/>
  <c r="X81" i="14" s="1"/>
  <c r="M32" i="12"/>
  <c r="L31" i="14" s="1"/>
  <c r="AD29" i="12"/>
  <c r="AE29" i="12" s="1"/>
  <c r="D82" i="10"/>
  <c r="V84" i="10"/>
  <c r="O115" i="10"/>
  <c r="P115" i="10" s="1"/>
  <c r="Q115" i="10" s="1"/>
  <c r="R115" i="10" s="1"/>
  <c r="V115" i="10"/>
  <c r="F81" i="12"/>
  <c r="AI80" i="14" s="1"/>
  <c r="V69" i="10"/>
  <c r="M69" i="12"/>
  <c r="L68" i="14" s="1"/>
  <c r="N68" i="14" s="1"/>
  <c r="AD69" i="12"/>
  <c r="AE69" i="12" s="1"/>
  <c r="F31" i="12"/>
  <c r="AG30" i="14" s="1"/>
  <c r="M30" i="12"/>
  <c r="L29" i="14" s="1"/>
  <c r="AD30" i="12"/>
  <c r="AE30" i="12" s="1"/>
  <c r="S83" i="14"/>
  <c r="W83" i="14" s="1"/>
  <c r="X83" i="14" s="1"/>
  <c r="E83" i="14"/>
  <c r="V100" i="10"/>
  <c r="V117" i="10"/>
  <c r="AD42" i="12"/>
  <c r="AE42" i="12" s="1"/>
  <c r="O125" i="12"/>
  <c r="O123" i="12"/>
  <c r="O127" i="10"/>
  <c r="P127" i="10" s="1"/>
  <c r="Q127" i="10" s="1"/>
  <c r="R127" i="10" s="1"/>
  <c r="F66" i="12"/>
  <c r="C64" i="10"/>
  <c r="M64" i="12"/>
  <c r="L63" i="14" s="1"/>
  <c r="N63" i="14" s="1"/>
  <c r="F63" i="12"/>
  <c r="AD31" i="12"/>
  <c r="AE31" i="12" s="1"/>
  <c r="M31" i="12"/>
  <c r="L30" i="14" s="1"/>
  <c r="E80" i="14"/>
  <c r="S33" i="14"/>
  <c r="W33" i="14" s="1"/>
  <c r="X33" i="14" s="1"/>
  <c r="E33" i="14"/>
  <c r="W29" i="14"/>
  <c r="X29" i="14" s="1"/>
  <c r="F32" i="12"/>
  <c r="X101" i="41"/>
  <c r="F42" i="12"/>
  <c r="F64" i="12"/>
  <c r="F30" i="12"/>
  <c r="E30" i="14"/>
  <c r="E84" i="14"/>
  <c r="F82" i="12"/>
  <c r="F67" i="12"/>
  <c r="F33" i="12"/>
  <c r="R33" i="12" s="1"/>
  <c r="W33" i="12" s="1"/>
  <c r="F83" i="12"/>
  <c r="E81" i="14"/>
  <c r="X93" i="41"/>
  <c r="AD44" i="12"/>
  <c r="AE44" i="12" s="1"/>
  <c r="C43" i="10"/>
  <c r="O44" i="10"/>
  <c r="P44" i="10" s="1"/>
  <c r="Q44" i="10" s="1"/>
  <c r="R44" i="10" s="1"/>
  <c r="AD43" i="12"/>
  <c r="AE43" i="12" s="1"/>
  <c r="AD46" i="12"/>
  <c r="AE46" i="12" s="1"/>
  <c r="M46" i="12"/>
  <c r="L45" i="14" s="1"/>
  <c r="AD48" i="12"/>
  <c r="AE48" i="12" s="1"/>
  <c r="AD47" i="12"/>
  <c r="AE47" i="12" s="1"/>
  <c r="AD63" i="12"/>
  <c r="AE63" i="12" s="1"/>
  <c r="M43" i="12"/>
  <c r="L42" i="14" s="1"/>
  <c r="M63" i="12"/>
  <c r="L62" i="14" s="1"/>
  <c r="N62" i="14" s="1"/>
  <c r="F45" i="12"/>
  <c r="AD45" i="12"/>
  <c r="AE45" i="12" s="1"/>
  <c r="X54" i="41"/>
  <c r="O112" i="10"/>
  <c r="P112" i="10" s="1"/>
  <c r="X102" i="41"/>
  <c r="W85" i="14"/>
  <c r="X85" i="14" s="1"/>
  <c r="O104" i="10"/>
  <c r="P104" i="10" s="1"/>
  <c r="Q104" i="10" s="1"/>
  <c r="R104" i="10" s="1"/>
  <c r="F80" i="12"/>
  <c r="X112" i="41"/>
  <c r="F87" i="12"/>
  <c r="V104" i="10"/>
  <c r="F29" i="12"/>
  <c r="U31" i="12"/>
  <c r="E88" i="14"/>
  <c r="S88" i="14"/>
  <c r="W88" i="14" s="1"/>
  <c r="X88" i="14" s="1"/>
  <c r="F65" i="12"/>
  <c r="F62" i="12"/>
  <c r="F61" i="12"/>
  <c r="M36" i="12"/>
  <c r="F68" i="12"/>
  <c r="F47" i="12"/>
  <c r="F46" i="12"/>
  <c r="E29" i="14"/>
  <c r="E86" i="14"/>
  <c r="W84" i="14"/>
  <c r="X84" i="14" s="1"/>
  <c r="E82" i="14"/>
  <c r="S82" i="14"/>
  <c r="W82" i="14" s="1"/>
  <c r="X82" i="14" s="1"/>
  <c r="Z90" i="12"/>
  <c r="X99" i="41"/>
  <c r="AD62" i="12"/>
  <c r="AE62" i="12" s="1"/>
  <c r="M62" i="12"/>
  <c r="L50" i="14" s="1"/>
  <c r="N50" i="14" s="1"/>
  <c r="W39" i="14"/>
  <c r="X39" i="14" s="1"/>
  <c r="W40" i="14"/>
  <c r="X40" i="14" s="1"/>
  <c r="F48" i="12"/>
  <c r="AD40" i="12"/>
  <c r="AE40" i="12" s="1"/>
  <c r="M40" i="12"/>
  <c r="S42" i="14"/>
  <c r="W42" i="14" s="1"/>
  <c r="X42" i="14" s="1"/>
  <c r="E42" i="14"/>
  <c r="V41" i="14"/>
  <c r="W41" i="14" s="1"/>
  <c r="X41" i="14" s="1"/>
  <c r="E41" i="14"/>
  <c r="F44" i="12"/>
  <c r="S47" i="14"/>
  <c r="W47" i="14" s="1"/>
  <c r="X47" i="14" s="1"/>
  <c r="E47" i="14"/>
  <c r="V57" i="11"/>
  <c r="K42" i="13"/>
  <c r="O34" i="9"/>
  <c r="B30" i="13"/>
  <c r="C30" i="13" s="1"/>
  <c r="AG87" i="11"/>
  <c r="AH87" i="11" s="1"/>
  <c r="B51" i="9"/>
  <c r="V51" i="9" s="1"/>
  <c r="W51" i="9" s="1"/>
  <c r="X51" i="9" s="1"/>
  <c r="Y51" i="9" s="1"/>
  <c r="AG29" i="11"/>
  <c r="AH29" i="11" s="1"/>
  <c r="K55" i="13"/>
  <c r="F51" i="9"/>
  <c r="F35" i="9"/>
  <c r="G80" i="1"/>
  <c r="B55" i="13"/>
  <c r="C55" i="13" s="1"/>
  <c r="V58" i="11"/>
  <c r="F29" i="9"/>
  <c r="B56" i="9"/>
  <c r="D56" i="9" s="1"/>
  <c r="F42" i="9"/>
  <c r="E54" i="13"/>
  <c r="M54" i="13" s="1"/>
  <c r="C38" i="9"/>
  <c r="B40" i="9"/>
  <c r="Q40" i="9" s="1"/>
  <c r="R40" i="9" s="1"/>
  <c r="AG111" i="11"/>
  <c r="AH111" i="11" s="1"/>
  <c r="V54" i="13"/>
  <c r="W54" i="13" s="1"/>
  <c r="V53" i="13"/>
  <c r="W53" i="13" s="1"/>
  <c r="V41" i="13"/>
  <c r="W41" i="13" s="1"/>
  <c r="V30" i="13"/>
  <c r="W30" i="13" s="1"/>
  <c r="V43" i="13"/>
  <c r="W43" i="13" s="1"/>
  <c r="E56" i="13"/>
  <c r="K45" i="13"/>
  <c r="B57" i="13"/>
  <c r="C57" i="13" s="1"/>
  <c r="B49" i="13"/>
  <c r="C49" i="13" s="1"/>
  <c r="B47" i="13"/>
  <c r="C47" i="13" s="1"/>
  <c r="B43" i="13"/>
  <c r="C43" i="13" s="1"/>
  <c r="F80" i="9"/>
  <c r="F31" i="9"/>
  <c r="E41" i="13"/>
  <c r="AG114" i="11"/>
  <c r="AH114" i="11" s="1"/>
  <c r="E55" i="13"/>
  <c r="B53" i="13"/>
  <c r="C53" i="13" s="1"/>
  <c r="V50" i="13"/>
  <c r="W50" i="13" s="1"/>
  <c r="AG89" i="11"/>
  <c r="AH89" i="11" s="1"/>
  <c r="B50" i="9"/>
  <c r="D50" i="9" s="1"/>
  <c r="E53" i="13"/>
  <c r="B48" i="13"/>
  <c r="C48" i="13" s="1"/>
  <c r="F40" i="9"/>
  <c r="F32" i="9"/>
  <c r="F107" i="11"/>
  <c r="E45" i="13"/>
  <c r="B52" i="13"/>
  <c r="C52" i="13" s="1"/>
  <c r="F44" i="9"/>
  <c r="E43" i="13"/>
  <c r="V45" i="13"/>
  <c r="W45" i="13" s="1"/>
  <c r="B52" i="9"/>
  <c r="V52" i="9" s="1"/>
  <c r="W52" i="9" s="1"/>
  <c r="AG84" i="11"/>
  <c r="AH84" i="11" s="1"/>
  <c r="B56" i="13"/>
  <c r="C56" i="13" s="1"/>
  <c r="T47" i="13"/>
  <c r="V47" i="13" s="1"/>
  <c r="W47" i="13" s="1"/>
  <c r="E47" i="13"/>
  <c r="T46" i="13"/>
  <c r="V46" i="13" s="1"/>
  <c r="W46" i="13" s="1"/>
  <c r="E46" i="13"/>
  <c r="V41" i="11"/>
  <c r="T48" i="13"/>
  <c r="V48" i="13" s="1"/>
  <c r="W48" i="13" s="1"/>
  <c r="E48" i="13"/>
  <c r="X108" i="1"/>
  <c r="X38" i="1"/>
  <c r="E52" i="13"/>
  <c r="T52" i="13"/>
  <c r="V52" i="13" s="1"/>
  <c r="W52" i="13" s="1"/>
  <c r="V51" i="13"/>
  <c r="W51" i="13" s="1"/>
  <c r="T80" i="13"/>
  <c r="V80" i="13" s="1"/>
  <c r="W80" i="13" s="1"/>
  <c r="E80" i="13"/>
  <c r="R44" i="13"/>
  <c r="V44" i="13" s="1"/>
  <c r="W44" i="13" s="1"/>
  <c r="E44" i="13"/>
  <c r="S42" i="13"/>
  <c r="V42" i="13" s="1"/>
  <c r="W42" i="13" s="1"/>
  <c r="E42" i="13"/>
  <c r="F122" i="11"/>
  <c r="F96" i="11"/>
  <c r="F81" i="11"/>
  <c r="B49" i="9"/>
  <c r="C49" i="9" s="1"/>
  <c r="B46" i="13"/>
  <c r="C46" i="13" s="1"/>
  <c r="F54" i="9"/>
  <c r="F114" i="11"/>
  <c r="B53" i="9"/>
  <c r="C53" i="9" s="1"/>
  <c r="B37" i="9"/>
  <c r="C37" i="9" s="1"/>
  <c r="F34" i="9"/>
  <c r="F117" i="11"/>
  <c r="B58" i="13"/>
  <c r="C58" i="13" s="1"/>
  <c r="B50" i="13"/>
  <c r="C50" i="13" s="1"/>
  <c r="F105" i="11"/>
  <c r="F106" i="11"/>
  <c r="F126" i="11"/>
  <c r="F124" i="11"/>
  <c r="F123" i="11"/>
  <c r="F116" i="11"/>
  <c r="W115" i="11" s="1"/>
  <c r="F115" i="11"/>
  <c r="F109" i="11"/>
  <c r="F100" i="11"/>
  <c r="F95" i="11"/>
  <c r="X103" i="1"/>
  <c r="F127" i="11"/>
  <c r="F125" i="11"/>
  <c r="W124" i="11" s="1"/>
  <c r="F121" i="11"/>
  <c r="F118" i="11"/>
  <c r="F113" i="11"/>
  <c r="F110" i="11"/>
  <c r="F104" i="11"/>
  <c r="F99" i="11"/>
  <c r="F98" i="11"/>
  <c r="F97" i="11"/>
  <c r="F120" i="11"/>
  <c r="F119" i="11"/>
  <c r="F112" i="11"/>
  <c r="F111" i="11"/>
  <c r="F108" i="11"/>
  <c r="F103" i="11"/>
  <c r="F102" i="11"/>
  <c r="F101" i="11"/>
  <c r="F91" i="11"/>
  <c r="F88" i="11"/>
  <c r="F84" i="11"/>
  <c r="AG94" i="11"/>
  <c r="AH94" i="11" s="1"/>
  <c r="F92" i="11"/>
  <c r="F89" i="11"/>
  <c r="F90" i="11"/>
  <c r="F87" i="11"/>
  <c r="F86" i="11"/>
  <c r="F85" i="11"/>
  <c r="S83" i="11"/>
  <c r="Y83" i="11" s="1"/>
  <c r="F82" i="11"/>
  <c r="A54" i="1"/>
  <c r="A54" i="13"/>
  <c r="A53" i="9"/>
  <c r="A53" i="13"/>
  <c r="A52" i="1"/>
  <c r="X99" i="1"/>
  <c r="AG98" i="11"/>
  <c r="AH98" i="11" s="1"/>
  <c r="AG83" i="11"/>
  <c r="AH83" i="11" s="1"/>
  <c r="AG81" i="11"/>
  <c r="AH81" i="11" s="1"/>
  <c r="B45" i="13"/>
  <c r="C45" i="13" s="1"/>
  <c r="B41" i="13"/>
  <c r="C41" i="13" s="1"/>
  <c r="F37" i="9"/>
  <c r="F33" i="9"/>
  <c r="B54" i="9"/>
  <c r="O54" i="9" s="1"/>
  <c r="B36" i="9"/>
  <c r="V36" i="9" s="1"/>
  <c r="W36" i="9" s="1"/>
  <c r="X36" i="9" s="1"/>
  <c r="Y36" i="9" s="1"/>
  <c r="B32" i="9"/>
  <c r="V32" i="9" s="1"/>
  <c r="W32" i="9" s="1"/>
  <c r="X32" i="9" s="1"/>
  <c r="Y32" i="9" s="1"/>
  <c r="E50" i="13"/>
  <c r="R40" i="13"/>
  <c r="V40" i="13" s="1"/>
  <c r="W40" i="13" s="1"/>
  <c r="E40" i="13"/>
  <c r="D80" i="1"/>
  <c r="J80" i="1" s="1"/>
  <c r="E80" i="1"/>
  <c r="AF96" i="11"/>
  <c r="AG96" i="11"/>
  <c r="AH96" i="11" s="1"/>
  <c r="B57" i="9"/>
  <c r="K57" i="13"/>
  <c r="C34" i="9"/>
  <c r="AF93" i="11"/>
  <c r="AG93" i="11"/>
  <c r="AH93" i="11" s="1"/>
  <c r="AF91" i="11"/>
  <c r="AG91" i="11"/>
  <c r="AH91" i="11" s="1"/>
  <c r="AF90" i="11"/>
  <c r="AG90" i="11"/>
  <c r="AH90" i="11" s="1"/>
  <c r="V53" i="11"/>
  <c r="K46" i="13"/>
  <c r="B46" i="9"/>
  <c r="D46" i="9" s="1"/>
  <c r="D55" i="9"/>
  <c r="AG110" i="11"/>
  <c r="AH110" i="11" s="1"/>
  <c r="AF110" i="11"/>
  <c r="AF103" i="11"/>
  <c r="AG103" i="11"/>
  <c r="AH103" i="11" s="1"/>
  <c r="O95" i="9"/>
  <c r="P95" i="9" s="1"/>
  <c r="Q95" i="9" s="1"/>
  <c r="R95" i="9" s="1"/>
  <c r="AG102" i="11"/>
  <c r="AH102" i="11" s="1"/>
  <c r="AF82" i="11"/>
  <c r="AG82" i="11"/>
  <c r="AH82" i="11" s="1"/>
  <c r="V116" i="9"/>
  <c r="AF84" i="11"/>
  <c r="B48" i="9"/>
  <c r="V48" i="9" s="1"/>
  <c r="W48" i="9" s="1"/>
  <c r="X48" i="9" s="1"/>
  <c r="Y48" i="9" s="1"/>
  <c r="C29" i="1"/>
  <c r="B29" i="9"/>
  <c r="N29" i="11"/>
  <c r="K29" i="13" s="1"/>
  <c r="AG107" i="11"/>
  <c r="AH107" i="11" s="1"/>
  <c r="AG105" i="11"/>
  <c r="AH105" i="11" s="1"/>
  <c r="AF105" i="11"/>
  <c r="B30" i="9"/>
  <c r="V30" i="9" s="1"/>
  <c r="W30" i="9" s="1"/>
  <c r="AG86" i="11"/>
  <c r="AH86" i="11" s="1"/>
  <c r="AG118" i="11"/>
  <c r="AH118" i="11" s="1"/>
  <c r="AG127" i="11"/>
  <c r="AH127" i="11" s="1"/>
  <c r="R57" i="13"/>
  <c r="V57" i="13" s="1"/>
  <c r="W57" i="13" s="1"/>
  <c r="E57" i="13"/>
  <c r="V50" i="11"/>
  <c r="V54" i="11"/>
  <c r="X46" i="1"/>
  <c r="V44" i="11"/>
  <c r="B31" i="9"/>
  <c r="Q31" i="9" s="1"/>
  <c r="R31" i="9" s="1"/>
  <c r="X107" i="1"/>
  <c r="AF125" i="11"/>
  <c r="AG125" i="11"/>
  <c r="AH125" i="11" s="1"/>
  <c r="AF104" i="11"/>
  <c r="AG104" i="11"/>
  <c r="AH104" i="11" s="1"/>
  <c r="B44" i="9"/>
  <c r="Q44" i="9" s="1"/>
  <c r="R44" i="9" s="1"/>
  <c r="K44" i="13"/>
  <c r="AF124" i="11"/>
  <c r="AG124" i="11"/>
  <c r="AH124" i="11" s="1"/>
  <c r="AG122" i="11"/>
  <c r="AH122" i="11" s="1"/>
  <c r="V52" i="11"/>
  <c r="N80" i="11"/>
  <c r="K80" i="13" s="1"/>
  <c r="B80" i="9"/>
  <c r="AG80" i="11"/>
  <c r="AH80" i="11" s="1"/>
  <c r="AG88" i="11"/>
  <c r="AH88" i="11" s="1"/>
  <c r="B41" i="9"/>
  <c r="V56" i="13"/>
  <c r="W56" i="13" s="1"/>
  <c r="AG92" i="11"/>
  <c r="AH92" i="11" s="1"/>
  <c r="R49" i="13"/>
  <c r="V49" i="13" s="1"/>
  <c r="W49" i="13" s="1"/>
  <c r="E49" i="13"/>
  <c r="AG121" i="11"/>
  <c r="AH121" i="11" s="1"/>
  <c r="AF114" i="11"/>
  <c r="AG99" i="11"/>
  <c r="AH99" i="11" s="1"/>
  <c r="AG115" i="11"/>
  <c r="AH115" i="11" s="1"/>
  <c r="AF117" i="11"/>
  <c r="AG117" i="11"/>
  <c r="AH117" i="11" s="1"/>
  <c r="AG116" i="11"/>
  <c r="AH116" i="11" s="1"/>
  <c r="AF116" i="11"/>
  <c r="AF113" i="11"/>
  <c r="AG113" i="11"/>
  <c r="AH113" i="11" s="1"/>
  <c r="AF109" i="11"/>
  <c r="AG109" i="11"/>
  <c r="AH109" i="11" s="1"/>
  <c r="AF106" i="11"/>
  <c r="AG106" i="11"/>
  <c r="AH106" i="11" s="1"/>
  <c r="AG100" i="11"/>
  <c r="AH100" i="11" s="1"/>
  <c r="D38" i="9"/>
  <c r="V38" i="9"/>
  <c r="W38" i="9" s="1"/>
  <c r="O38" i="9"/>
  <c r="AG126" i="11"/>
  <c r="AH126" i="11" s="1"/>
  <c r="AG119" i="11"/>
  <c r="AH119" i="11" s="1"/>
  <c r="AG108" i="11"/>
  <c r="AH108" i="11" s="1"/>
  <c r="AF95" i="11"/>
  <c r="AG95" i="11"/>
  <c r="AH95" i="11" s="1"/>
  <c r="V58" i="13"/>
  <c r="W58" i="13" s="1"/>
  <c r="AG123" i="11"/>
  <c r="AH123" i="11" s="1"/>
  <c r="AG120" i="11"/>
  <c r="AH120" i="11" s="1"/>
  <c r="AF112" i="11"/>
  <c r="AG112" i="11"/>
  <c r="AH112" i="11" s="1"/>
  <c r="AG97" i="11"/>
  <c r="AH97" i="11" s="1"/>
  <c r="F80" i="11"/>
  <c r="AG101" i="11"/>
  <c r="AH101" i="11" s="1"/>
  <c r="E58" i="13"/>
  <c r="V55" i="13"/>
  <c r="W55" i="13" s="1"/>
  <c r="E51" i="13"/>
  <c r="M51" i="13" s="1"/>
  <c r="V29" i="13"/>
  <c r="W29" i="13" s="1"/>
  <c r="Q55" i="9"/>
  <c r="R55" i="9" s="1"/>
  <c r="V55" i="9"/>
  <c r="W55" i="9" s="1"/>
  <c r="X55" i="9" s="1"/>
  <c r="Y55" i="9" s="1"/>
  <c r="O55" i="9"/>
  <c r="D34" i="9"/>
  <c r="Q34" i="9"/>
  <c r="R34" i="9" s="1"/>
  <c r="U49" i="9"/>
  <c r="V42" i="11"/>
  <c r="P33" i="32"/>
  <c r="I33" i="32"/>
  <c r="J26" i="32"/>
  <c r="J42" i="32"/>
  <c r="J32" i="32"/>
  <c r="J40" i="32"/>
  <c r="J34" i="32"/>
  <c r="J43" i="32"/>
  <c r="J29" i="32"/>
  <c r="J24" i="32"/>
  <c r="J33" i="32"/>
  <c r="J31" i="32"/>
  <c r="J27" i="32"/>
  <c r="J36" i="32"/>
  <c r="J39" i="32"/>
  <c r="J38" i="32"/>
  <c r="J35" i="32"/>
  <c r="J28" i="32"/>
  <c r="P29" i="32"/>
  <c r="I36" i="32"/>
  <c r="P36" i="32"/>
  <c r="R43" i="32"/>
  <c r="M31" i="32"/>
  <c r="N31" i="32" s="1"/>
  <c r="O31" i="32" s="1"/>
  <c r="Q31" i="32" s="1"/>
  <c r="M39" i="32"/>
  <c r="N39" i="32" s="1"/>
  <c r="O39" i="32" s="1"/>
  <c r="Q39" i="32" s="1"/>
  <c r="R27" i="32"/>
  <c r="R25" i="32"/>
  <c r="M27" i="32"/>
  <c r="N27" i="32" s="1"/>
  <c r="O27" i="32" s="1"/>
  <c r="Q27" i="32" s="1"/>
  <c r="M24" i="32"/>
  <c r="N24" i="32" s="1"/>
  <c r="O24" i="32" s="1"/>
  <c r="Q24" i="32" s="1"/>
  <c r="M25" i="32"/>
  <c r="N25" i="32" s="1"/>
  <c r="O25" i="32" s="1"/>
  <c r="Q25" i="32" s="1"/>
  <c r="M35" i="32"/>
  <c r="N35" i="32" s="1"/>
  <c r="O35" i="32" s="1"/>
  <c r="Q35" i="32" s="1"/>
  <c r="M42" i="32"/>
  <c r="N42" i="32" s="1"/>
  <c r="O42" i="32" s="1"/>
  <c r="Q42" i="32" s="1"/>
  <c r="M38" i="32"/>
  <c r="N38" i="32" s="1"/>
  <c r="O38" i="32" s="1"/>
  <c r="Q38" i="32" s="1"/>
  <c r="M28" i="32"/>
  <c r="N28" i="32" s="1"/>
  <c r="O28" i="32" s="1"/>
  <c r="Q28" i="32" s="1"/>
  <c r="D55" i="32"/>
  <c r="X32" i="13" l="1"/>
  <c r="N82" i="1"/>
  <c r="N43" i="14"/>
  <c r="O43" i="14" s="1"/>
  <c r="P43" i="14" s="1"/>
  <c r="S32" i="11"/>
  <c r="I47" i="41"/>
  <c r="P47" i="41" s="1"/>
  <c r="W120" i="11"/>
  <c r="I87" i="41"/>
  <c r="T44" i="12"/>
  <c r="U43" i="11"/>
  <c r="G46" i="41"/>
  <c r="Q47" i="41"/>
  <c r="R47" i="41" s="1"/>
  <c r="D87" i="41"/>
  <c r="E87" i="41" s="1"/>
  <c r="N82" i="14"/>
  <c r="O82" i="14" s="1"/>
  <c r="P82" i="14" s="1"/>
  <c r="V35" i="10"/>
  <c r="N32" i="14"/>
  <c r="O32" i="14" s="1"/>
  <c r="P32" i="14" s="1"/>
  <c r="G32" i="1"/>
  <c r="H32" i="1"/>
  <c r="F32" i="1"/>
  <c r="E32" i="1"/>
  <c r="D32" i="1"/>
  <c r="I32" i="1"/>
  <c r="J32" i="1"/>
  <c r="P32" i="1"/>
  <c r="N32" i="1"/>
  <c r="H46" i="41"/>
  <c r="F46" i="41"/>
  <c r="H34" i="1"/>
  <c r="E34" i="1"/>
  <c r="D34" i="1"/>
  <c r="I34" i="1" s="1"/>
  <c r="G34" i="1"/>
  <c r="F34" i="1"/>
  <c r="F31" i="1"/>
  <c r="D31" i="1"/>
  <c r="E31" i="1"/>
  <c r="J31" i="1"/>
  <c r="I31" i="1"/>
  <c r="G31" i="1"/>
  <c r="H31" i="1"/>
  <c r="M31" i="1" s="1"/>
  <c r="K31" i="1" s="1"/>
  <c r="L31" i="1" s="1"/>
  <c r="J47" i="41"/>
  <c r="M47" i="41" s="1"/>
  <c r="K47" i="41" s="1"/>
  <c r="L47" i="41" s="1"/>
  <c r="D47" i="41"/>
  <c r="E47" i="41" s="1"/>
  <c r="N47" i="41" s="1"/>
  <c r="H47" i="41"/>
  <c r="G47" i="41"/>
  <c r="W100" i="11"/>
  <c r="P82" i="1"/>
  <c r="N46" i="41"/>
  <c r="I46" i="41"/>
  <c r="P46" i="41" s="1"/>
  <c r="D43" i="10"/>
  <c r="O43" i="10"/>
  <c r="P43" i="10" s="1"/>
  <c r="Q43" i="10" s="1"/>
  <c r="R43" i="10" s="1"/>
  <c r="J46" i="41"/>
  <c r="M46" i="41" s="1"/>
  <c r="S47" i="41"/>
  <c r="V47" i="41"/>
  <c r="W47" i="41" s="1"/>
  <c r="F48" i="1"/>
  <c r="G48" i="1"/>
  <c r="E48" i="1"/>
  <c r="D48" i="1"/>
  <c r="J48" i="1" s="1"/>
  <c r="H48" i="1"/>
  <c r="M48" i="1" s="1"/>
  <c r="K48" i="1" s="1"/>
  <c r="I48" i="1"/>
  <c r="P48" i="1" s="1"/>
  <c r="N48" i="1"/>
  <c r="H47" i="1"/>
  <c r="F47" i="1"/>
  <c r="D47" i="1"/>
  <c r="E47" i="1"/>
  <c r="G47" i="1"/>
  <c r="V99" i="9"/>
  <c r="T83" i="12"/>
  <c r="C47" i="10"/>
  <c r="O36" i="10"/>
  <c r="P36" i="10" s="1"/>
  <c r="Q36" i="10" s="1"/>
  <c r="R36" i="10" s="1"/>
  <c r="C36" i="10"/>
  <c r="V36" i="10"/>
  <c r="J82" i="1"/>
  <c r="M82" i="1" s="1"/>
  <c r="Q82" i="1" s="1"/>
  <c r="D43" i="9"/>
  <c r="D83" i="41"/>
  <c r="E83" i="41" s="1"/>
  <c r="F83" i="41"/>
  <c r="G83" i="41"/>
  <c r="H83" i="41"/>
  <c r="D43" i="41"/>
  <c r="E43" i="41" s="1"/>
  <c r="F43" i="41"/>
  <c r="G43" i="41"/>
  <c r="N43" i="41" s="1"/>
  <c r="H43" i="41"/>
  <c r="I43" i="41"/>
  <c r="P43" i="41" s="1"/>
  <c r="R82" i="1"/>
  <c r="O82" i="1" s="1"/>
  <c r="D30" i="41"/>
  <c r="E30" i="41" s="1"/>
  <c r="F30" i="41"/>
  <c r="G30" i="41"/>
  <c r="H30" i="41"/>
  <c r="I30" i="41"/>
  <c r="J30" i="41"/>
  <c r="M30" i="41" s="1"/>
  <c r="K30" i="41" s="1"/>
  <c r="L30" i="41" s="1"/>
  <c r="P30" i="41"/>
  <c r="R30" i="41"/>
  <c r="E43" i="1"/>
  <c r="F43" i="1"/>
  <c r="H43" i="1"/>
  <c r="G43" i="1"/>
  <c r="N43" i="1" s="1"/>
  <c r="D43" i="1"/>
  <c r="I43" i="1" s="1"/>
  <c r="P43" i="1" s="1"/>
  <c r="C56" i="10"/>
  <c r="W97" i="11"/>
  <c r="D95" i="9"/>
  <c r="V95" i="9"/>
  <c r="W95" i="9" s="1"/>
  <c r="V43" i="9"/>
  <c r="W43" i="9" s="1"/>
  <c r="X43" i="9" s="1"/>
  <c r="Y43" i="9" s="1"/>
  <c r="Q43" i="9"/>
  <c r="R43" i="9" s="1"/>
  <c r="P87" i="41"/>
  <c r="M87" i="41"/>
  <c r="N87" i="41"/>
  <c r="C37" i="10"/>
  <c r="O84" i="9"/>
  <c r="P84" i="9" s="1"/>
  <c r="Q84" i="9" s="1"/>
  <c r="R84" i="9" s="1"/>
  <c r="C55" i="10"/>
  <c r="D57" i="10"/>
  <c r="O37" i="10"/>
  <c r="P37" i="10" s="1"/>
  <c r="Q37" i="10" s="1"/>
  <c r="R37" i="10" s="1"/>
  <c r="V37" i="10"/>
  <c r="I84" i="1"/>
  <c r="P84" i="1" s="1"/>
  <c r="D37" i="41"/>
  <c r="E37" i="41" s="1"/>
  <c r="F37" i="41"/>
  <c r="G37" i="41"/>
  <c r="H37" i="41"/>
  <c r="I37" i="41"/>
  <c r="D85" i="1"/>
  <c r="I85" i="1" s="1"/>
  <c r="R85" i="1" s="1"/>
  <c r="E85" i="1"/>
  <c r="F85" i="1"/>
  <c r="G85" i="1"/>
  <c r="H85" i="1"/>
  <c r="N85" i="1"/>
  <c r="P85" i="1"/>
  <c r="F36" i="41"/>
  <c r="H36" i="41"/>
  <c r="D36" i="41"/>
  <c r="E36" i="41" s="1"/>
  <c r="G36" i="41"/>
  <c r="J36" i="41"/>
  <c r="M36" i="41" s="1"/>
  <c r="K36" i="41" s="1"/>
  <c r="L36" i="41" s="1"/>
  <c r="AA36" i="41" s="1"/>
  <c r="S30" i="11"/>
  <c r="Y30" i="11" s="1"/>
  <c r="M84" i="1"/>
  <c r="N84" i="1"/>
  <c r="F87" i="1"/>
  <c r="H87" i="1"/>
  <c r="E87" i="1"/>
  <c r="G87" i="1"/>
  <c r="D87" i="1"/>
  <c r="I87" i="1" s="1"/>
  <c r="R87" i="1"/>
  <c r="J87" i="1"/>
  <c r="M87" i="1" s="1"/>
  <c r="K87" i="1" s="1"/>
  <c r="L87" i="1" s="1"/>
  <c r="T62" i="11"/>
  <c r="D30" i="1"/>
  <c r="I30" i="1" s="1"/>
  <c r="E30" i="1"/>
  <c r="F30" i="1"/>
  <c r="G30" i="1"/>
  <c r="H30" i="1"/>
  <c r="X34" i="13"/>
  <c r="N34" i="13"/>
  <c r="O37" i="13"/>
  <c r="Y37" i="13" s="1"/>
  <c r="Z37" i="13" s="1"/>
  <c r="AA37" i="13" s="1"/>
  <c r="AB37" i="13" s="1"/>
  <c r="AC37" i="13" s="1"/>
  <c r="O31" i="13"/>
  <c r="Y31" i="13" s="1"/>
  <c r="Z31" i="13" s="1"/>
  <c r="AA31" i="13" s="1"/>
  <c r="AB31" i="13" s="1"/>
  <c r="AC31" i="13" s="1"/>
  <c r="X38" i="13"/>
  <c r="N38" i="13"/>
  <c r="O39" i="13"/>
  <c r="Y39" i="13" s="1"/>
  <c r="Z39" i="13" s="1"/>
  <c r="AA39" i="13" s="1"/>
  <c r="AB39" i="13" s="1"/>
  <c r="AC39" i="13" s="1"/>
  <c r="O33" i="13"/>
  <c r="Y33" i="13" s="1"/>
  <c r="Z33" i="13" s="1"/>
  <c r="AA33" i="13" s="1"/>
  <c r="AB33" i="13" s="1"/>
  <c r="AC33" i="13" s="1"/>
  <c r="X36" i="13"/>
  <c r="N36" i="13"/>
  <c r="O35" i="13"/>
  <c r="Y35" i="13" s="1"/>
  <c r="Z35" i="13" s="1"/>
  <c r="AA35" i="13" s="1"/>
  <c r="AB35" i="13" s="1"/>
  <c r="AC35" i="13" s="1"/>
  <c r="AH39" i="13"/>
  <c r="O32" i="13"/>
  <c r="Y32" i="13" s="1"/>
  <c r="Z32" i="13" s="1"/>
  <c r="AA32" i="13" s="1"/>
  <c r="AB32" i="13" s="1"/>
  <c r="AC32" i="13" s="1"/>
  <c r="U69" i="11"/>
  <c r="L53" i="14"/>
  <c r="N53" i="14" s="1"/>
  <c r="Y53" i="14" s="1"/>
  <c r="D51" i="10"/>
  <c r="D53" i="10"/>
  <c r="R65" i="11"/>
  <c r="D58" i="10"/>
  <c r="W94" i="11"/>
  <c r="AF39" i="13"/>
  <c r="AH37" i="13"/>
  <c r="W90" i="11"/>
  <c r="W89" i="11"/>
  <c r="W88" i="11"/>
  <c r="W85" i="11"/>
  <c r="D84" i="9"/>
  <c r="U38" i="11"/>
  <c r="T87" i="12"/>
  <c r="T72" i="11"/>
  <c r="W98" i="11"/>
  <c r="W91" i="11"/>
  <c r="S60" i="11"/>
  <c r="W86" i="11"/>
  <c r="T43" i="12"/>
  <c r="S34" i="11"/>
  <c r="Y34" i="11" s="1"/>
  <c r="S73" i="11"/>
  <c r="R34" i="12"/>
  <c r="W34" i="12" s="1"/>
  <c r="T89" i="12"/>
  <c r="R32" i="12"/>
  <c r="W32" i="12" s="1"/>
  <c r="S82" i="12"/>
  <c r="S30" i="12"/>
  <c r="R36" i="12"/>
  <c r="W36" i="12" s="1"/>
  <c r="T42" i="12"/>
  <c r="W107" i="11"/>
  <c r="W126" i="11"/>
  <c r="W103" i="11"/>
  <c r="W117" i="11"/>
  <c r="W128" i="11"/>
  <c r="W122" i="11"/>
  <c r="W125" i="11"/>
  <c r="W116" i="11"/>
  <c r="W87" i="11"/>
  <c r="S36" i="11"/>
  <c r="Y36" i="11" s="1"/>
  <c r="R76" i="11"/>
  <c r="S40" i="12"/>
  <c r="R40" i="12"/>
  <c r="W40" i="12" s="1"/>
  <c r="O40" i="12" s="1"/>
  <c r="R35" i="12"/>
  <c r="W35" i="12" s="1"/>
  <c r="T82" i="12"/>
  <c r="S88" i="12"/>
  <c r="T37" i="12"/>
  <c r="T40" i="12"/>
  <c r="T88" i="12"/>
  <c r="S37" i="12"/>
  <c r="T34" i="12"/>
  <c r="R30" i="12"/>
  <c r="W30" i="12" s="1"/>
  <c r="R37" i="12"/>
  <c r="W37" i="12" s="1"/>
  <c r="S34" i="12"/>
  <c r="T30" i="12"/>
  <c r="R89" i="12"/>
  <c r="W89" i="12" s="1"/>
  <c r="S89" i="12"/>
  <c r="T38" i="12"/>
  <c r="R81" i="12"/>
  <c r="W81" i="12" s="1"/>
  <c r="T41" i="12"/>
  <c r="S38" i="12"/>
  <c r="S81" i="12"/>
  <c r="T81" i="12"/>
  <c r="S41" i="12"/>
  <c r="T33" i="12"/>
  <c r="R41" i="12"/>
  <c r="W41" i="12" s="1"/>
  <c r="O41" i="12" s="1"/>
  <c r="R87" i="12"/>
  <c r="W87" i="12" s="1"/>
  <c r="S33" i="12"/>
  <c r="S87" i="12"/>
  <c r="T32" i="12"/>
  <c r="T39" i="12"/>
  <c r="U32" i="12"/>
  <c r="R31" i="12"/>
  <c r="W31" i="12" s="1"/>
  <c r="U42" i="12"/>
  <c r="S32" i="12"/>
  <c r="S39" i="12"/>
  <c r="S42" i="12"/>
  <c r="R39" i="12"/>
  <c r="W39" i="12" s="1"/>
  <c r="T31" i="12"/>
  <c r="T45" i="12"/>
  <c r="R45" i="12"/>
  <c r="W45" i="12" s="1"/>
  <c r="S45" i="12"/>
  <c r="R42" i="12"/>
  <c r="W42" i="12" s="1"/>
  <c r="O42" i="12" s="1"/>
  <c r="T36" i="12"/>
  <c r="S43" i="12"/>
  <c r="S31" i="12"/>
  <c r="S36" i="12"/>
  <c r="R43" i="12"/>
  <c r="W43" i="12" s="1"/>
  <c r="R83" i="12"/>
  <c r="W83" i="12" s="1"/>
  <c r="S83" i="12"/>
  <c r="S44" i="12"/>
  <c r="T35" i="12"/>
  <c r="R44" i="12"/>
  <c r="W44" i="12" s="1"/>
  <c r="O44" i="12" s="1"/>
  <c r="T46" i="12"/>
  <c r="R46" i="12"/>
  <c r="W46" i="12" s="1"/>
  <c r="S46" i="12"/>
  <c r="R82" i="12"/>
  <c r="W82" i="12" s="1"/>
  <c r="S35" i="12"/>
  <c r="R88" i="12"/>
  <c r="W88" i="12" s="1"/>
  <c r="AG46" i="14"/>
  <c r="T47" i="12"/>
  <c r="S47" i="12"/>
  <c r="R47" i="12"/>
  <c r="AI67" i="14"/>
  <c r="T68" i="12"/>
  <c r="S68" i="12"/>
  <c r="R68" i="12"/>
  <c r="S64" i="12"/>
  <c r="R64" i="12"/>
  <c r="T64" i="12"/>
  <c r="S61" i="12"/>
  <c r="T61" i="12"/>
  <c r="R61" i="12"/>
  <c r="T62" i="12"/>
  <c r="R62" i="12"/>
  <c r="S62" i="12"/>
  <c r="AG68" i="14"/>
  <c r="T69" i="12"/>
  <c r="S69" i="12"/>
  <c r="R69" i="12"/>
  <c r="T48" i="12"/>
  <c r="S48" i="12"/>
  <c r="R48" i="12"/>
  <c r="W48" i="12" s="1"/>
  <c r="AI64" i="14"/>
  <c r="T65" i="12"/>
  <c r="S65" i="12"/>
  <c r="R65" i="12"/>
  <c r="AG62" i="14"/>
  <c r="R63" i="12"/>
  <c r="S63" i="12"/>
  <c r="T63" i="12"/>
  <c r="AI65" i="14"/>
  <c r="T66" i="12"/>
  <c r="S66" i="12"/>
  <c r="R66" i="12"/>
  <c r="AG66" i="14"/>
  <c r="T67" i="12"/>
  <c r="S67" i="12"/>
  <c r="R67" i="12"/>
  <c r="R59" i="11"/>
  <c r="O63" i="10"/>
  <c r="P63" i="10" s="1"/>
  <c r="Q63" i="10" s="1"/>
  <c r="R63" i="10" s="1"/>
  <c r="D63" i="10"/>
  <c r="C63" i="10"/>
  <c r="W121" i="11"/>
  <c r="W114" i="11"/>
  <c r="W127" i="11"/>
  <c r="W101" i="11"/>
  <c r="W102" i="11"/>
  <c r="M118" i="13"/>
  <c r="N118" i="13" s="1"/>
  <c r="M114" i="13"/>
  <c r="X114" i="13" s="1"/>
  <c r="W105" i="11"/>
  <c r="M111" i="13"/>
  <c r="N111" i="13" s="1"/>
  <c r="W110" i="11"/>
  <c r="W104" i="11"/>
  <c r="M126" i="13"/>
  <c r="N126" i="13" s="1"/>
  <c r="U74" i="11"/>
  <c r="S66" i="11"/>
  <c r="W74" i="11"/>
  <c r="W29" i="11"/>
  <c r="AH119" i="13"/>
  <c r="W118" i="11"/>
  <c r="AF120" i="13"/>
  <c r="W119" i="11"/>
  <c r="AH114" i="13"/>
  <c r="W113" i="11"/>
  <c r="AH82" i="13"/>
  <c r="W81" i="11"/>
  <c r="AH113" i="13"/>
  <c r="W112" i="11"/>
  <c r="AF110" i="13"/>
  <c r="W109" i="11"/>
  <c r="AH85" i="13"/>
  <c r="W84" i="11"/>
  <c r="AH81" i="13"/>
  <c r="W80" i="11"/>
  <c r="AH96" i="13"/>
  <c r="W95" i="11"/>
  <c r="AF107" i="13"/>
  <c r="W106" i="11"/>
  <c r="AF100" i="13"/>
  <c r="W99" i="11"/>
  <c r="AF84" i="13"/>
  <c r="W83" i="11"/>
  <c r="AF109" i="13"/>
  <c r="W108" i="11"/>
  <c r="T124" i="11"/>
  <c r="W123" i="11"/>
  <c r="V86" i="11"/>
  <c r="AB86" i="11" s="1"/>
  <c r="AF97" i="13"/>
  <c r="W96" i="11"/>
  <c r="AF112" i="13"/>
  <c r="W111" i="11"/>
  <c r="W36" i="11"/>
  <c r="S37" i="11"/>
  <c r="Y37" i="11" s="1"/>
  <c r="T37" i="11"/>
  <c r="U64" i="11"/>
  <c r="U68" i="11"/>
  <c r="W76" i="11"/>
  <c r="T63" i="11"/>
  <c r="T67" i="11"/>
  <c r="R52" i="11"/>
  <c r="R47" i="11"/>
  <c r="W69" i="11"/>
  <c r="U61" i="11"/>
  <c r="R78" i="11"/>
  <c r="T71" i="11"/>
  <c r="T39" i="11"/>
  <c r="W38" i="11"/>
  <c r="S39" i="11"/>
  <c r="Y39" i="11" s="1"/>
  <c r="U33" i="11"/>
  <c r="R33" i="11"/>
  <c r="W32" i="11"/>
  <c r="T33" i="11"/>
  <c r="W67" i="11"/>
  <c r="R32" i="11"/>
  <c r="U32" i="11"/>
  <c r="T32" i="11"/>
  <c r="W37" i="11"/>
  <c r="T40" i="11"/>
  <c r="S38" i="11"/>
  <c r="Y38" i="11" s="1"/>
  <c r="S40" i="11"/>
  <c r="Y40" i="11" s="1"/>
  <c r="T38" i="11"/>
  <c r="W39" i="11"/>
  <c r="R38" i="11"/>
  <c r="U36" i="11"/>
  <c r="T43" i="11"/>
  <c r="W41" i="11"/>
  <c r="W35" i="11"/>
  <c r="R68" i="11"/>
  <c r="W42" i="11"/>
  <c r="R36" i="11"/>
  <c r="T68" i="11"/>
  <c r="U42" i="11"/>
  <c r="T36" i="11"/>
  <c r="W31" i="11"/>
  <c r="S43" i="11"/>
  <c r="Y43" i="11" s="1"/>
  <c r="T42" i="11"/>
  <c r="S42" i="11"/>
  <c r="Y42" i="11" s="1"/>
  <c r="P42" i="11" s="1"/>
  <c r="Q42" i="11" s="1"/>
  <c r="W44" i="11"/>
  <c r="U35" i="11"/>
  <c r="S45" i="11"/>
  <c r="Y45" i="11" s="1"/>
  <c r="P45" i="11" s="1"/>
  <c r="Q45" i="11" s="1"/>
  <c r="W51" i="11"/>
  <c r="T31" i="11"/>
  <c r="W34" i="11"/>
  <c r="W65" i="11"/>
  <c r="V55" i="11"/>
  <c r="U31" i="11"/>
  <c r="U45" i="11"/>
  <c r="T55" i="11"/>
  <c r="S31" i="11"/>
  <c r="Y31" i="11" s="1"/>
  <c r="R39" i="11"/>
  <c r="V45" i="11"/>
  <c r="S35" i="11"/>
  <c r="Y35" i="11" s="1"/>
  <c r="T66" i="11"/>
  <c r="U66" i="11"/>
  <c r="W40" i="11"/>
  <c r="T44" i="11"/>
  <c r="Y32" i="11"/>
  <c r="R66" i="11"/>
  <c r="U34" i="11"/>
  <c r="W43" i="11"/>
  <c r="R34" i="11"/>
  <c r="R30" i="11"/>
  <c r="T41" i="11"/>
  <c r="S44" i="11"/>
  <c r="Y44" i="11" s="1"/>
  <c r="P44" i="11" s="1"/>
  <c r="Q44" i="11" s="1"/>
  <c r="W33" i="11"/>
  <c r="U30" i="11"/>
  <c r="S41" i="11"/>
  <c r="Y41" i="11" s="1"/>
  <c r="P41" i="11" s="1"/>
  <c r="Q41" i="11" s="1"/>
  <c r="S69" i="11"/>
  <c r="T73" i="11"/>
  <c r="T34" i="11"/>
  <c r="T30" i="11"/>
  <c r="R69" i="11"/>
  <c r="U44" i="11"/>
  <c r="T57" i="11"/>
  <c r="U78" i="11"/>
  <c r="S52" i="11"/>
  <c r="Y52" i="11" s="1"/>
  <c r="P52" i="11" s="1"/>
  <c r="Q52" i="11" s="1"/>
  <c r="S51" i="11"/>
  <c r="Y51" i="11" s="1"/>
  <c r="P51" i="11" s="1"/>
  <c r="Q51" i="11" s="1"/>
  <c r="T70" i="11"/>
  <c r="S78" i="11"/>
  <c r="Y78" i="11" s="1"/>
  <c r="P78" i="11" s="1"/>
  <c r="Q78" i="11" s="1"/>
  <c r="S49" i="11"/>
  <c r="Y49" i="11" s="1"/>
  <c r="P49" i="11" s="1"/>
  <c r="Q49" i="11" s="1"/>
  <c r="T52" i="11"/>
  <c r="R51" i="11"/>
  <c r="R70" i="11"/>
  <c r="U57" i="11"/>
  <c r="W77" i="11"/>
  <c r="U49" i="11"/>
  <c r="U52" i="11"/>
  <c r="T51" i="11"/>
  <c r="S70" i="11"/>
  <c r="T78" i="11"/>
  <c r="W48" i="11"/>
  <c r="S68" i="11"/>
  <c r="U51" i="11"/>
  <c r="U70" i="11"/>
  <c r="S57" i="11"/>
  <c r="Y57" i="11" s="1"/>
  <c r="P57" i="11" s="1"/>
  <c r="Q57" i="11" s="1"/>
  <c r="V49" i="11"/>
  <c r="T53" i="11"/>
  <c r="S59" i="11"/>
  <c r="R73" i="11"/>
  <c r="S50" i="11"/>
  <c r="Y50" i="11" s="1"/>
  <c r="P50" i="11" s="1"/>
  <c r="Q50" i="11" s="1"/>
  <c r="U53" i="11"/>
  <c r="R71" i="11"/>
  <c r="W54" i="11"/>
  <c r="S61" i="11"/>
  <c r="Y61" i="11" s="1"/>
  <c r="P61" i="11" s="1"/>
  <c r="H61" i="9" s="1"/>
  <c r="I61" i="9" s="1"/>
  <c r="U73" i="11"/>
  <c r="W49" i="11"/>
  <c r="T59" i="11"/>
  <c r="U71" i="11"/>
  <c r="T61" i="11"/>
  <c r="U50" i="11"/>
  <c r="T69" i="11"/>
  <c r="S53" i="11"/>
  <c r="Y53" i="11" s="1"/>
  <c r="P53" i="11" s="1"/>
  <c r="U59" i="11"/>
  <c r="W70" i="11"/>
  <c r="U55" i="11"/>
  <c r="W60" i="11"/>
  <c r="W72" i="11"/>
  <c r="W68" i="11"/>
  <c r="W58" i="11"/>
  <c r="S71" i="11"/>
  <c r="R55" i="11"/>
  <c r="R61" i="11"/>
  <c r="W59" i="11"/>
  <c r="R72" i="11"/>
  <c r="V46" i="11"/>
  <c r="W73" i="11"/>
  <c r="W47" i="11"/>
  <c r="S76" i="11"/>
  <c r="S72" i="11"/>
  <c r="W45" i="11"/>
  <c r="S62" i="11"/>
  <c r="Y62" i="11" s="1"/>
  <c r="P62" i="11" s="1"/>
  <c r="H62" i="9" s="1"/>
  <c r="I62" i="9" s="1"/>
  <c r="J62" i="9" s="1"/>
  <c r="L62" i="9" s="1"/>
  <c r="M62" i="9" s="1"/>
  <c r="R74" i="11"/>
  <c r="T48" i="11"/>
  <c r="R64" i="11"/>
  <c r="T76" i="11"/>
  <c r="R60" i="11"/>
  <c r="U72" i="11"/>
  <c r="T46" i="11"/>
  <c r="W61" i="11"/>
  <c r="S74" i="11"/>
  <c r="Y74" i="11" s="1"/>
  <c r="P74" i="11" s="1"/>
  <c r="Q74" i="11" s="1"/>
  <c r="R48" i="11"/>
  <c r="W63" i="11"/>
  <c r="U76" i="11"/>
  <c r="T60" i="11"/>
  <c r="W71" i="11"/>
  <c r="U46" i="11"/>
  <c r="R62" i="11"/>
  <c r="T74" i="11"/>
  <c r="U48" i="11"/>
  <c r="S64" i="11"/>
  <c r="W75" i="11"/>
  <c r="U60" i="11"/>
  <c r="U62" i="11"/>
  <c r="S48" i="11"/>
  <c r="Y48" i="11" s="1"/>
  <c r="T64" i="11"/>
  <c r="R63" i="11"/>
  <c r="R75" i="11"/>
  <c r="T56" i="11"/>
  <c r="W64" i="11"/>
  <c r="S77" i="11"/>
  <c r="T58" i="11"/>
  <c r="U67" i="11"/>
  <c r="W46" i="11"/>
  <c r="S63" i="11"/>
  <c r="S75" i="11"/>
  <c r="U77" i="11"/>
  <c r="U58" i="11"/>
  <c r="T54" i="11"/>
  <c r="S47" i="11"/>
  <c r="Y47" i="11" s="1"/>
  <c r="W62" i="11"/>
  <c r="T75" i="11"/>
  <c r="S56" i="11"/>
  <c r="T65" i="11"/>
  <c r="T77" i="11"/>
  <c r="R67" i="11"/>
  <c r="U54" i="11"/>
  <c r="T47" i="11"/>
  <c r="U63" i="11"/>
  <c r="U56" i="11"/>
  <c r="S65" i="11"/>
  <c r="Y65" i="11" s="1"/>
  <c r="P65" i="11" s="1"/>
  <c r="Q65" i="11" s="1"/>
  <c r="R77" i="11"/>
  <c r="S58" i="11"/>
  <c r="W66" i="11"/>
  <c r="W53" i="11"/>
  <c r="U47" i="11"/>
  <c r="U75" i="11"/>
  <c r="V56" i="11"/>
  <c r="U65" i="11"/>
  <c r="W57" i="11"/>
  <c r="S67" i="11"/>
  <c r="D46" i="10"/>
  <c r="M100" i="13"/>
  <c r="X100" i="13" s="1"/>
  <c r="AF37" i="14"/>
  <c r="O37" i="14"/>
  <c r="AH29" i="13"/>
  <c r="M106" i="13"/>
  <c r="X106" i="13" s="1"/>
  <c r="V46" i="10"/>
  <c r="W46" i="10" s="1"/>
  <c r="X46" i="10" s="1"/>
  <c r="Y46" i="10" s="1"/>
  <c r="O47" i="10"/>
  <c r="P47" i="10" s="1"/>
  <c r="Q47" i="10" s="1"/>
  <c r="R47" i="10" s="1"/>
  <c r="X42" i="41"/>
  <c r="P92" i="12"/>
  <c r="H92" i="10"/>
  <c r="I92" i="10" s="1"/>
  <c r="J92" i="10" s="1"/>
  <c r="L92" i="10" s="1"/>
  <c r="M92" i="10" s="1"/>
  <c r="V47" i="10"/>
  <c r="H93" i="10"/>
  <c r="I93" i="10" s="1"/>
  <c r="J93" i="10" s="1"/>
  <c r="L93" i="10" s="1"/>
  <c r="M93" i="10" s="1"/>
  <c r="P93" i="12"/>
  <c r="H94" i="10"/>
  <c r="I94" i="10" s="1"/>
  <c r="J94" i="10" s="1"/>
  <c r="L94" i="10" s="1"/>
  <c r="M94" i="10" s="1"/>
  <c r="P94" i="12"/>
  <c r="O64" i="14"/>
  <c r="P74" i="12"/>
  <c r="H74" i="10"/>
  <c r="I74" i="10" s="1"/>
  <c r="J74" i="10" s="1"/>
  <c r="L74" i="10" s="1"/>
  <c r="M74" i="10" s="1"/>
  <c r="H76" i="10"/>
  <c r="I76" i="10" s="1"/>
  <c r="J76" i="10" s="1"/>
  <c r="L76" i="10" s="1"/>
  <c r="M76" i="10" s="1"/>
  <c r="P78" i="12"/>
  <c r="H78" i="10"/>
  <c r="I78" i="10" s="1"/>
  <c r="J78" i="10" s="1"/>
  <c r="L78" i="10" s="1"/>
  <c r="M78" i="10" s="1"/>
  <c r="P72" i="12"/>
  <c r="H72" i="10"/>
  <c r="I72" i="10" s="1"/>
  <c r="J72" i="10" s="1"/>
  <c r="L72" i="10" s="1"/>
  <c r="M72" i="10" s="1"/>
  <c r="P73" i="12"/>
  <c r="H73" i="10"/>
  <c r="I73" i="10" s="1"/>
  <c r="J73" i="10" s="1"/>
  <c r="L73" i="10" s="1"/>
  <c r="M73" i="10" s="1"/>
  <c r="P75" i="12"/>
  <c r="H75" i="10"/>
  <c r="I75" i="10" s="1"/>
  <c r="J75" i="10" s="1"/>
  <c r="L75" i="10" s="1"/>
  <c r="M75" i="10" s="1"/>
  <c r="O77" i="12"/>
  <c r="C50" i="10"/>
  <c r="D50" i="10"/>
  <c r="C52" i="10"/>
  <c r="D52" i="10"/>
  <c r="C54" i="10"/>
  <c r="D54" i="10"/>
  <c r="O61" i="12"/>
  <c r="H50" i="10" s="1"/>
  <c r="I50" i="10" s="1"/>
  <c r="Y67" i="14"/>
  <c r="O67" i="14"/>
  <c r="AC67" i="14" s="1"/>
  <c r="AO67" i="14" s="1"/>
  <c r="O68" i="14"/>
  <c r="Y68" i="14"/>
  <c r="O65" i="14"/>
  <c r="AC65" i="14" s="1"/>
  <c r="AO65" i="14" s="1"/>
  <c r="Y65" i="14"/>
  <c r="Y63" i="14"/>
  <c r="O63" i="14"/>
  <c r="AC63" i="14" s="1"/>
  <c r="AO63" i="14" s="1"/>
  <c r="Y66" i="14"/>
  <c r="O66" i="14"/>
  <c r="AC66" i="14" s="1"/>
  <c r="AO66" i="14" s="1"/>
  <c r="O62" i="14"/>
  <c r="AC62" i="14" s="1"/>
  <c r="AO62" i="14" s="1"/>
  <c r="Y62" i="14"/>
  <c r="N47" i="14"/>
  <c r="O47" i="14" s="1"/>
  <c r="P47" i="14" s="1"/>
  <c r="C46" i="10"/>
  <c r="L55" i="14"/>
  <c r="N55" i="14" s="1"/>
  <c r="Y50" i="14"/>
  <c r="O50" i="14"/>
  <c r="L56" i="14"/>
  <c r="N56" i="14" s="1"/>
  <c r="L57" i="14"/>
  <c r="N57" i="14" s="1"/>
  <c r="L54" i="14"/>
  <c r="N54" i="14" s="1"/>
  <c r="L52" i="14"/>
  <c r="N52" i="14" s="1"/>
  <c r="Y49" i="14"/>
  <c r="O49" i="14"/>
  <c r="L51" i="14"/>
  <c r="N51" i="14" s="1"/>
  <c r="N88" i="14"/>
  <c r="AF88" i="14" s="1"/>
  <c r="N34" i="14"/>
  <c r="O34" i="14" s="1"/>
  <c r="P34" i="14" s="1"/>
  <c r="V81" i="10"/>
  <c r="O81" i="10"/>
  <c r="P81" i="10" s="1"/>
  <c r="Q81" i="10" s="1"/>
  <c r="R81" i="10" s="1"/>
  <c r="I80" i="41"/>
  <c r="P80" i="41" s="1"/>
  <c r="AI87" i="14"/>
  <c r="M96" i="13"/>
  <c r="N96" i="13" s="1"/>
  <c r="AN60" i="14"/>
  <c r="J80" i="41"/>
  <c r="M80" i="41" s="1"/>
  <c r="K80" i="41" s="1"/>
  <c r="U80" i="12" s="1"/>
  <c r="Z80" i="12" s="1"/>
  <c r="X33" i="41"/>
  <c r="N80" i="41"/>
  <c r="D81" i="10"/>
  <c r="M29" i="13"/>
  <c r="AE29" i="13" s="1"/>
  <c r="AG29" i="13" s="1"/>
  <c r="N40" i="14"/>
  <c r="Y40" i="14" s="1"/>
  <c r="O45" i="9"/>
  <c r="AF37" i="13"/>
  <c r="C45" i="9"/>
  <c r="O43" i="9"/>
  <c r="V45" i="9"/>
  <c r="W45" i="9" s="1"/>
  <c r="X45" i="9" s="1"/>
  <c r="Y45" i="9" s="1"/>
  <c r="AF31" i="13"/>
  <c r="M84" i="13"/>
  <c r="N84" i="13" s="1"/>
  <c r="N80" i="14"/>
  <c r="O80" i="14" s="1"/>
  <c r="P80" i="14" s="1"/>
  <c r="Q45" i="9"/>
  <c r="R45" i="9" s="1"/>
  <c r="AF64" i="14"/>
  <c r="M62" i="13"/>
  <c r="N62" i="13" s="1"/>
  <c r="X86" i="1"/>
  <c r="M124" i="13"/>
  <c r="X124" i="13" s="1"/>
  <c r="T89" i="11"/>
  <c r="M125" i="13"/>
  <c r="X125" i="13" s="1"/>
  <c r="M97" i="13"/>
  <c r="X97" i="13" s="1"/>
  <c r="M101" i="13"/>
  <c r="N101" i="13" s="1"/>
  <c r="T127" i="11"/>
  <c r="M115" i="13"/>
  <c r="X115" i="13" s="1"/>
  <c r="M108" i="13"/>
  <c r="N108" i="13" s="1"/>
  <c r="R118" i="11"/>
  <c r="T125" i="11"/>
  <c r="M109" i="13"/>
  <c r="N109" i="13" s="1"/>
  <c r="M87" i="13"/>
  <c r="N87" i="13" s="1"/>
  <c r="N29" i="41"/>
  <c r="N85" i="13"/>
  <c r="X85" i="13"/>
  <c r="Q47" i="9"/>
  <c r="R47" i="9" s="1"/>
  <c r="D47" i="9"/>
  <c r="O47" i="9"/>
  <c r="C47" i="9"/>
  <c r="C40" i="10"/>
  <c r="M78" i="13"/>
  <c r="X78" i="13" s="1"/>
  <c r="O40" i="10"/>
  <c r="P40" i="10" s="1"/>
  <c r="Q40" i="10" s="1"/>
  <c r="R40" i="10" s="1"/>
  <c r="D40" i="10"/>
  <c r="D33" i="9"/>
  <c r="C42" i="9"/>
  <c r="V42" i="9"/>
  <c r="W42" i="9" s="1"/>
  <c r="X42" i="9" s="1"/>
  <c r="Y42" i="9" s="1"/>
  <c r="O42" i="9"/>
  <c r="Q42" i="9"/>
  <c r="R42" i="9" s="1"/>
  <c r="C41" i="10"/>
  <c r="Y71" i="11"/>
  <c r="P71" i="11" s="1"/>
  <c r="H71" i="9" s="1"/>
  <c r="I71" i="9" s="1"/>
  <c r="D41" i="10"/>
  <c r="M122" i="13"/>
  <c r="AE122" i="13" s="1"/>
  <c r="M123" i="13"/>
  <c r="AE123" i="13" s="1"/>
  <c r="S91" i="11"/>
  <c r="Y91" i="11" s="1"/>
  <c r="R116" i="11"/>
  <c r="M116" i="13"/>
  <c r="N116" i="13" s="1"/>
  <c r="M117" i="13"/>
  <c r="N117" i="13" s="1"/>
  <c r="M121" i="13"/>
  <c r="X121" i="13" s="1"/>
  <c r="M91" i="13"/>
  <c r="N91" i="13" s="1"/>
  <c r="M82" i="13"/>
  <c r="AE82" i="13" s="1"/>
  <c r="M129" i="13"/>
  <c r="N129" i="13" s="1"/>
  <c r="M95" i="13"/>
  <c r="N95" i="13" s="1"/>
  <c r="S117" i="11"/>
  <c r="Y117" i="11" s="1"/>
  <c r="P117" i="11" s="1"/>
  <c r="H117" i="9" s="1"/>
  <c r="I117" i="9" s="1"/>
  <c r="M99" i="13"/>
  <c r="N99" i="13" s="1"/>
  <c r="M98" i="13"/>
  <c r="X98" i="13" s="1"/>
  <c r="M88" i="13"/>
  <c r="N88" i="13" s="1"/>
  <c r="T123" i="11"/>
  <c r="M107" i="13"/>
  <c r="X107" i="13" s="1"/>
  <c r="M92" i="13"/>
  <c r="AE92" i="13" s="1"/>
  <c r="M102" i="13"/>
  <c r="X102" i="13" s="1"/>
  <c r="U99" i="11"/>
  <c r="M110" i="13"/>
  <c r="N110" i="13" s="1"/>
  <c r="M69" i="13"/>
  <c r="N69" i="13" s="1"/>
  <c r="Y77" i="11"/>
  <c r="P77" i="11" s="1"/>
  <c r="H77" i="9" s="1"/>
  <c r="I77" i="9" s="1"/>
  <c r="J77" i="9" s="1"/>
  <c r="L77" i="9" s="1"/>
  <c r="M77" i="9" s="1"/>
  <c r="M74" i="13"/>
  <c r="X74" i="13" s="1"/>
  <c r="Y58" i="11"/>
  <c r="P58" i="11" s="1"/>
  <c r="H58" i="9" s="1"/>
  <c r="I58" i="9" s="1"/>
  <c r="J58" i="9" s="1"/>
  <c r="L58" i="9" s="1"/>
  <c r="M58" i="9" s="1"/>
  <c r="Q33" i="9"/>
  <c r="R33" i="9" s="1"/>
  <c r="C33" i="9"/>
  <c r="O33" i="9"/>
  <c r="D86" i="10"/>
  <c r="N80" i="1"/>
  <c r="M80" i="1"/>
  <c r="K80" i="1" s="1"/>
  <c r="L80" i="1" s="1"/>
  <c r="C35" i="9"/>
  <c r="U128" i="11"/>
  <c r="M77" i="13"/>
  <c r="X77" i="13" s="1"/>
  <c r="K58" i="13"/>
  <c r="M58" i="13" s="1"/>
  <c r="N58" i="13" s="1"/>
  <c r="M66" i="13"/>
  <c r="X66" i="13" s="1"/>
  <c r="M61" i="13"/>
  <c r="X61" i="13" s="1"/>
  <c r="I80" i="1"/>
  <c r="P80" i="1" s="1"/>
  <c r="O35" i="9"/>
  <c r="X53" i="1"/>
  <c r="Y70" i="11"/>
  <c r="P70" i="11" s="1"/>
  <c r="H70" i="9" s="1"/>
  <c r="I70" i="9" s="1"/>
  <c r="Q35" i="9"/>
  <c r="R35" i="9" s="1"/>
  <c r="V35" i="9"/>
  <c r="W35" i="9" s="1"/>
  <c r="X35" i="9" s="1"/>
  <c r="Y35" i="9" s="1"/>
  <c r="M67" i="13"/>
  <c r="N67" i="13" s="1"/>
  <c r="Y33" i="11"/>
  <c r="M68" i="13"/>
  <c r="N68" i="13" s="1"/>
  <c r="X35" i="1"/>
  <c r="M63" i="13"/>
  <c r="N63" i="13" s="1"/>
  <c r="M76" i="13"/>
  <c r="N76" i="13" s="1"/>
  <c r="M73" i="13"/>
  <c r="N73" i="13" s="1"/>
  <c r="M30" i="13"/>
  <c r="J29" i="41"/>
  <c r="M29" i="41" s="1"/>
  <c r="I29" i="41"/>
  <c r="AI39" i="14"/>
  <c r="O38" i="10"/>
  <c r="P38" i="10" s="1"/>
  <c r="Q38" i="10" s="1"/>
  <c r="R38" i="10" s="1"/>
  <c r="D39" i="10"/>
  <c r="C39" i="10"/>
  <c r="N44" i="14"/>
  <c r="AI38" i="14"/>
  <c r="AG34" i="14"/>
  <c r="O39" i="10"/>
  <c r="P39" i="10" s="1"/>
  <c r="Q39" i="10" s="1"/>
  <c r="R39" i="10" s="1"/>
  <c r="O39" i="9"/>
  <c r="Q39" i="9"/>
  <c r="R39" i="9" s="1"/>
  <c r="D39" i="9"/>
  <c r="C39" i="9"/>
  <c r="M90" i="13"/>
  <c r="X90" i="13" s="1"/>
  <c r="M86" i="13"/>
  <c r="AE86" i="13" s="1"/>
  <c r="V81" i="9"/>
  <c r="W81" i="9" s="1"/>
  <c r="X81" i="9" s="1"/>
  <c r="Y81" i="9" s="1"/>
  <c r="X57" i="1"/>
  <c r="AH47" i="13"/>
  <c r="M59" i="13"/>
  <c r="X59" i="13" s="1"/>
  <c r="X56" i="1"/>
  <c r="X44" i="1"/>
  <c r="X48" i="1"/>
  <c r="X55" i="1"/>
  <c r="M70" i="13"/>
  <c r="N70" i="13" s="1"/>
  <c r="M71" i="13"/>
  <c r="N71" i="13" s="1"/>
  <c r="X51" i="1"/>
  <c r="G29" i="5"/>
  <c r="J29" i="5" s="1"/>
  <c r="L29" i="5"/>
  <c r="L27" i="5"/>
  <c r="E30" i="5"/>
  <c r="I41" i="32"/>
  <c r="P41" i="32"/>
  <c r="AG43" i="14"/>
  <c r="AI43" i="14"/>
  <c r="C73" i="9"/>
  <c r="D73" i="9"/>
  <c r="C86" i="9"/>
  <c r="D86" i="9"/>
  <c r="V86" i="9"/>
  <c r="C110" i="9"/>
  <c r="D110" i="9"/>
  <c r="C126" i="9"/>
  <c r="D126" i="9"/>
  <c r="C66" i="9"/>
  <c r="D66" i="9"/>
  <c r="C69" i="9"/>
  <c r="D69" i="9"/>
  <c r="AE21" i="60"/>
  <c r="AB21" i="60"/>
  <c r="P43" i="32"/>
  <c r="I43" i="32"/>
  <c r="AH44" i="13"/>
  <c r="X52" i="1"/>
  <c r="X58" i="1"/>
  <c r="AI83" i="14"/>
  <c r="AG83" i="14"/>
  <c r="AG85" i="14"/>
  <c r="AI85" i="14"/>
  <c r="AG86" i="14"/>
  <c r="AI86" i="14"/>
  <c r="AI40" i="14"/>
  <c r="AG40" i="14"/>
  <c r="AG37" i="14"/>
  <c r="AI37" i="14"/>
  <c r="AG33" i="14"/>
  <c r="AI33" i="14"/>
  <c r="N46" i="14"/>
  <c r="M75" i="13"/>
  <c r="X75" i="13" s="1"/>
  <c r="M72" i="13"/>
  <c r="N72" i="13" s="1"/>
  <c r="M64" i="13"/>
  <c r="X64" i="13" s="1"/>
  <c r="M65" i="13"/>
  <c r="X65" i="13" s="1"/>
  <c r="C68" i="9"/>
  <c r="D68" i="9"/>
  <c r="C76" i="9"/>
  <c r="D76" i="9"/>
  <c r="V83" i="9"/>
  <c r="W83" i="9" s="1"/>
  <c r="R83" i="11" s="1"/>
  <c r="D91" i="9"/>
  <c r="C91" i="9"/>
  <c r="V91" i="9"/>
  <c r="W91" i="9" s="1"/>
  <c r="X91" i="9" s="1"/>
  <c r="Y91" i="9" s="1"/>
  <c r="D99" i="9"/>
  <c r="C99" i="9"/>
  <c r="D107" i="9"/>
  <c r="C107" i="9"/>
  <c r="C115" i="9"/>
  <c r="D115" i="9"/>
  <c r="C123" i="9"/>
  <c r="D123" i="9"/>
  <c r="V84" i="9"/>
  <c r="C92" i="9"/>
  <c r="D92" i="9"/>
  <c r="V92" i="9"/>
  <c r="W92" i="9" s="1"/>
  <c r="X92" i="9" s="1"/>
  <c r="Y92" i="9" s="1"/>
  <c r="D100" i="9"/>
  <c r="C100" i="9"/>
  <c r="C108" i="9"/>
  <c r="D108" i="9"/>
  <c r="C116" i="9"/>
  <c r="D116" i="9"/>
  <c r="C124" i="9"/>
  <c r="D124" i="9"/>
  <c r="O86" i="9"/>
  <c r="P86" i="9" s="1"/>
  <c r="Q86" i="9" s="1"/>
  <c r="R86" i="9" s="1"/>
  <c r="C85" i="9"/>
  <c r="D85" i="9"/>
  <c r="V85" i="9"/>
  <c r="V93" i="9"/>
  <c r="C101" i="9"/>
  <c r="D101" i="9"/>
  <c r="C109" i="9"/>
  <c r="D109" i="9"/>
  <c r="C117" i="9"/>
  <c r="D117" i="9"/>
  <c r="C125" i="9"/>
  <c r="D125" i="9"/>
  <c r="AH21" i="34"/>
  <c r="AE21" i="34"/>
  <c r="K30" i="6"/>
  <c r="E24" i="4"/>
  <c r="E32" i="4" s="1"/>
  <c r="K28" i="6"/>
  <c r="K45" i="6"/>
  <c r="K36" i="6"/>
  <c r="K37" i="6"/>
  <c r="K47" i="6"/>
  <c r="K34" i="6"/>
  <c r="K35" i="6"/>
  <c r="K33" i="6"/>
  <c r="K26" i="6"/>
  <c r="K32" i="6"/>
  <c r="K25" i="6"/>
  <c r="K31" i="6"/>
  <c r="K43" i="6"/>
  <c r="K42" i="6"/>
  <c r="K27" i="6"/>
  <c r="K41" i="6"/>
  <c r="K38" i="6"/>
  <c r="K29" i="6"/>
  <c r="K40" i="6"/>
  <c r="K44" i="6"/>
  <c r="K39" i="6"/>
  <c r="O85" i="9"/>
  <c r="P85" i="9" s="1"/>
  <c r="Q85" i="9" s="1"/>
  <c r="R85" i="9" s="1"/>
  <c r="O93" i="9"/>
  <c r="P93" i="9" s="1"/>
  <c r="Q93" i="9" s="1"/>
  <c r="R93" i="9" s="1"/>
  <c r="I40" i="32"/>
  <c r="P40" i="32"/>
  <c r="AE22" i="60"/>
  <c r="G51" i="70"/>
  <c r="H51" i="70"/>
  <c r="AG84" i="14"/>
  <c r="AI84" i="14"/>
  <c r="C129" i="9"/>
  <c r="D129" i="9"/>
  <c r="C102" i="9"/>
  <c r="D102" i="9"/>
  <c r="C118" i="9"/>
  <c r="D118" i="9"/>
  <c r="C71" i="9"/>
  <c r="D71" i="9"/>
  <c r="T128" i="11"/>
  <c r="C63" i="9"/>
  <c r="D63" i="9"/>
  <c r="Z25" i="34"/>
  <c r="Q25" i="34"/>
  <c r="I26" i="32"/>
  <c r="P26" i="32"/>
  <c r="X50" i="1"/>
  <c r="X42" i="1"/>
  <c r="S95" i="11"/>
  <c r="Y95" i="11" s="1"/>
  <c r="P95" i="11" s="1"/>
  <c r="X45" i="1"/>
  <c r="X49" i="1"/>
  <c r="AG41" i="14"/>
  <c r="AI41" i="14"/>
  <c r="AI88" i="14"/>
  <c r="AG88" i="14"/>
  <c r="AG36" i="14"/>
  <c r="AI36" i="14"/>
  <c r="R128" i="11"/>
  <c r="M128" i="13"/>
  <c r="X128" i="13" s="1"/>
  <c r="C70" i="9"/>
  <c r="D70" i="9"/>
  <c r="C82" i="9"/>
  <c r="D82" i="9"/>
  <c r="V82" i="9"/>
  <c r="C90" i="9"/>
  <c r="D90" i="9"/>
  <c r="V90" i="9"/>
  <c r="C98" i="9"/>
  <c r="D98" i="9"/>
  <c r="C106" i="9"/>
  <c r="D106" i="9"/>
  <c r="C114" i="9"/>
  <c r="D114" i="9"/>
  <c r="C122" i="9"/>
  <c r="D122" i="9"/>
  <c r="C59" i="9"/>
  <c r="D59" i="9"/>
  <c r="C75" i="9"/>
  <c r="D75" i="9"/>
  <c r="H58" i="6"/>
  <c r="AG42" i="14"/>
  <c r="AI42" i="14"/>
  <c r="I34" i="32"/>
  <c r="X54" i="1"/>
  <c r="X36" i="1"/>
  <c r="X41" i="1"/>
  <c r="AG35" i="14"/>
  <c r="AI35" i="14"/>
  <c r="N87" i="14"/>
  <c r="O87" i="14" s="1"/>
  <c r="P87" i="14" s="1"/>
  <c r="S128" i="11"/>
  <c r="Y128" i="11" s="1"/>
  <c r="P128" i="11" s="1"/>
  <c r="H128" i="9" s="1"/>
  <c r="I128" i="9" s="1"/>
  <c r="M103" i="13"/>
  <c r="X103" i="13" s="1"/>
  <c r="M119" i="13"/>
  <c r="X119" i="13" s="1"/>
  <c r="M127" i="13"/>
  <c r="AE127" i="13" s="1"/>
  <c r="M104" i="13"/>
  <c r="X104" i="13" s="1"/>
  <c r="M112" i="13"/>
  <c r="N112" i="13" s="1"/>
  <c r="M120" i="13"/>
  <c r="X120" i="13" s="1"/>
  <c r="M60" i="13"/>
  <c r="X60" i="13" s="1"/>
  <c r="M81" i="13"/>
  <c r="X81" i="13" s="1"/>
  <c r="M89" i="13"/>
  <c r="AE89" i="13" s="1"/>
  <c r="M105" i="13"/>
  <c r="N105" i="13" s="1"/>
  <c r="M113" i="13"/>
  <c r="X113" i="13" s="1"/>
  <c r="C64" i="9"/>
  <c r="D64" i="9"/>
  <c r="C60" i="9"/>
  <c r="D60" i="9"/>
  <c r="C65" i="9"/>
  <c r="D65" i="9"/>
  <c r="C128" i="9"/>
  <c r="D128" i="9"/>
  <c r="D87" i="9"/>
  <c r="C87" i="9"/>
  <c r="V87" i="9"/>
  <c r="W87" i="9" s="1"/>
  <c r="X87" i="9" s="1"/>
  <c r="Y87" i="9" s="1"/>
  <c r="D103" i="9"/>
  <c r="C103" i="9"/>
  <c r="D111" i="9"/>
  <c r="C111" i="9"/>
  <c r="C119" i="9"/>
  <c r="D119" i="9"/>
  <c r="C127" i="9"/>
  <c r="D127" i="9"/>
  <c r="C72" i="9"/>
  <c r="D72" i="9"/>
  <c r="C88" i="9"/>
  <c r="D88" i="9"/>
  <c r="V88" i="9"/>
  <c r="W88" i="9" s="1"/>
  <c r="X88" i="9" s="1"/>
  <c r="Y88" i="9" s="1"/>
  <c r="D96" i="9"/>
  <c r="C96" i="9"/>
  <c r="C104" i="9"/>
  <c r="D104" i="9"/>
  <c r="D112" i="9"/>
  <c r="C112" i="9"/>
  <c r="C120" i="9"/>
  <c r="D120" i="9"/>
  <c r="O82" i="9"/>
  <c r="P82" i="9" s="1"/>
  <c r="Q82" i="9" s="1"/>
  <c r="R82" i="9" s="1"/>
  <c r="O90" i="9"/>
  <c r="P90" i="9" s="1"/>
  <c r="Q90" i="9" s="1"/>
  <c r="R90" i="9" s="1"/>
  <c r="C81" i="9"/>
  <c r="D81" i="9"/>
  <c r="D89" i="9"/>
  <c r="C89" i="9"/>
  <c r="V89" i="9"/>
  <c r="C97" i="9"/>
  <c r="D97" i="9"/>
  <c r="C105" i="9"/>
  <c r="D105" i="9"/>
  <c r="C113" i="9"/>
  <c r="D113" i="9"/>
  <c r="C121" i="9"/>
  <c r="D121" i="9"/>
  <c r="G53" i="70"/>
  <c r="H53" i="70"/>
  <c r="AE23" i="34"/>
  <c r="AH23" i="34"/>
  <c r="I32" i="32"/>
  <c r="P32" i="32"/>
  <c r="O89" i="9"/>
  <c r="P89" i="9" s="1"/>
  <c r="Q89" i="9" s="1"/>
  <c r="R89" i="9" s="1"/>
  <c r="AB27" i="60"/>
  <c r="AE94" i="13"/>
  <c r="X118" i="13"/>
  <c r="AE85" i="13"/>
  <c r="X32" i="41"/>
  <c r="X58" i="41"/>
  <c r="D42" i="10"/>
  <c r="C38" i="10"/>
  <c r="V38" i="10"/>
  <c r="O67" i="10"/>
  <c r="P67" i="10" s="1"/>
  <c r="Q67" i="10" s="1"/>
  <c r="R67" i="10" s="1"/>
  <c r="V67" i="10"/>
  <c r="C86" i="10"/>
  <c r="V86" i="10"/>
  <c r="W86" i="10" s="1"/>
  <c r="Q86" i="12" s="1"/>
  <c r="O41" i="10"/>
  <c r="P41" i="10" s="1"/>
  <c r="Q41" i="10" s="1"/>
  <c r="R41" i="10" s="1"/>
  <c r="C29" i="10"/>
  <c r="P123" i="12"/>
  <c r="H123" i="10"/>
  <c r="I123" i="10" s="1"/>
  <c r="P125" i="12"/>
  <c r="H125" i="10"/>
  <c r="I125" i="10" s="1"/>
  <c r="AB91" i="11"/>
  <c r="N85" i="14"/>
  <c r="M44" i="13"/>
  <c r="AE44" i="13" s="1"/>
  <c r="M40" i="13"/>
  <c r="AE40" i="13" s="1"/>
  <c r="X108" i="41"/>
  <c r="X91" i="41"/>
  <c r="Y43" i="14"/>
  <c r="AF43" i="14"/>
  <c r="N83" i="14"/>
  <c r="M52" i="13"/>
  <c r="AE52" i="13" s="1"/>
  <c r="AF42" i="13"/>
  <c r="Y56" i="11"/>
  <c r="P56" i="11" s="1"/>
  <c r="Q56" i="11" s="1"/>
  <c r="Y46" i="11"/>
  <c r="P46" i="11" s="1"/>
  <c r="Q46" i="11" s="1"/>
  <c r="S107" i="11"/>
  <c r="Y107" i="11" s="1"/>
  <c r="P107" i="11" s="1"/>
  <c r="H107" i="9" s="1"/>
  <c r="I107" i="9" s="1"/>
  <c r="Y63" i="11"/>
  <c r="P63" i="11" s="1"/>
  <c r="AF52" i="13"/>
  <c r="AF50" i="13"/>
  <c r="O85" i="10"/>
  <c r="P85" i="10" s="1"/>
  <c r="Q85" i="10" s="1"/>
  <c r="R85" i="10" s="1"/>
  <c r="C85" i="10"/>
  <c r="N38" i="14"/>
  <c r="O38" i="14" s="1"/>
  <c r="P38" i="14" s="1"/>
  <c r="X84" i="41"/>
  <c r="O91" i="12"/>
  <c r="W94" i="10"/>
  <c r="Q94" i="12" s="1"/>
  <c r="D85" i="10"/>
  <c r="X80" i="41"/>
  <c r="X52" i="41"/>
  <c r="X82" i="41"/>
  <c r="W84" i="10"/>
  <c r="Q84" i="12" s="1"/>
  <c r="V101" i="10"/>
  <c r="C89" i="10"/>
  <c r="X122" i="41"/>
  <c r="O89" i="10"/>
  <c r="P89" i="10" s="1"/>
  <c r="Q89" i="10" s="1"/>
  <c r="R89" i="10" s="1"/>
  <c r="Z84" i="12"/>
  <c r="AI30" i="14"/>
  <c r="O105" i="10"/>
  <c r="P105" i="10" s="1"/>
  <c r="W105" i="10" s="1"/>
  <c r="Q105" i="12" s="1"/>
  <c r="O118" i="10"/>
  <c r="P118" i="10" s="1"/>
  <c r="Q118" i="10" s="1"/>
  <c r="R118" i="10" s="1"/>
  <c r="W100" i="10"/>
  <c r="Q100" i="12" s="1"/>
  <c r="V89" i="10"/>
  <c r="X105" i="41"/>
  <c r="D33" i="10"/>
  <c r="O85" i="12"/>
  <c r="P85" i="12" s="1"/>
  <c r="Z86" i="12"/>
  <c r="D61" i="10"/>
  <c r="V99" i="10"/>
  <c r="O33" i="10"/>
  <c r="P33" i="10" s="1"/>
  <c r="Q33" i="10" s="1"/>
  <c r="R33" i="10" s="1"/>
  <c r="X109" i="41"/>
  <c r="X118" i="41"/>
  <c r="X119" i="41"/>
  <c r="X126" i="41"/>
  <c r="W90" i="10"/>
  <c r="Q90" i="12" s="1"/>
  <c r="O99" i="10"/>
  <c r="P99" i="10" s="1"/>
  <c r="Q99" i="10" s="1"/>
  <c r="R99" i="10" s="1"/>
  <c r="O101" i="10"/>
  <c r="P101" i="10" s="1"/>
  <c r="Q101" i="10" s="1"/>
  <c r="R101" i="10" s="1"/>
  <c r="X114" i="41"/>
  <c r="Y67" i="11"/>
  <c r="P67" i="11" s="1"/>
  <c r="T129" i="11"/>
  <c r="U129" i="11"/>
  <c r="R129" i="11"/>
  <c r="S129" i="11"/>
  <c r="Y129" i="11" s="1"/>
  <c r="P129" i="11" s="1"/>
  <c r="Y75" i="11"/>
  <c r="P75" i="11" s="1"/>
  <c r="Y54" i="11"/>
  <c r="P54" i="11" s="1"/>
  <c r="Q54" i="11" s="1"/>
  <c r="Y72" i="11"/>
  <c r="P72" i="11" s="1"/>
  <c r="Y64" i="11"/>
  <c r="P64" i="11" s="1"/>
  <c r="Y69" i="11"/>
  <c r="P69" i="11" s="1"/>
  <c r="AF41" i="13"/>
  <c r="Y68" i="11"/>
  <c r="P68" i="11" s="1"/>
  <c r="Y66" i="11"/>
  <c r="P66" i="11" s="1"/>
  <c r="V40" i="9"/>
  <c r="W40" i="9" s="1"/>
  <c r="R40" i="11" s="1"/>
  <c r="Y55" i="11"/>
  <c r="P55" i="11" s="1"/>
  <c r="Q55" i="11" s="1"/>
  <c r="D51" i="9"/>
  <c r="AH56" i="13"/>
  <c r="AE33" i="13"/>
  <c r="X52" i="9"/>
  <c r="Y52" i="9" s="1"/>
  <c r="Y59" i="11"/>
  <c r="P59" i="11" s="1"/>
  <c r="Y60" i="11"/>
  <c r="P60" i="11" s="1"/>
  <c r="Y73" i="11"/>
  <c r="P73" i="11" s="1"/>
  <c r="Y76" i="11"/>
  <c r="P76" i="11" s="1"/>
  <c r="O61" i="10"/>
  <c r="P61" i="10" s="1"/>
  <c r="Q61" i="10" s="1"/>
  <c r="R61" i="10" s="1"/>
  <c r="V33" i="10"/>
  <c r="C88" i="10"/>
  <c r="V83" i="10"/>
  <c r="N36" i="14"/>
  <c r="O36" i="14" s="1"/>
  <c r="P36" i="14" s="1"/>
  <c r="X86" i="41"/>
  <c r="V66" i="10"/>
  <c r="O88" i="10"/>
  <c r="P88" i="10" s="1"/>
  <c r="W88" i="10" s="1"/>
  <c r="Q88" i="12" s="1"/>
  <c r="D88" i="10"/>
  <c r="N45" i="14"/>
  <c r="AI68" i="14"/>
  <c r="C67" i="10"/>
  <c r="W91" i="10"/>
  <c r="Q91" i="12" s="1"/>
  <c r="V44" i="10"/>
  <c r="W44" i="10" s="1"/>
  <c r="X44" i="10" s="1"/>
  <c r="Y44" i="10" s="1"/>
  <c r="X29" i="41"/>
  <c r="N28" i="14"/>
  <c r="C83" i="10"/>
  <c r="O83" i="10"/>
  <c r="P83" i="10" s="1"/>
  <c r="Q83" i="10" s="1"/>
  <c r="R83" i="10" s="1"/>
  <c r="Z49" i="12"/>
  <c r="D64" i="10"/>
  <c r="C87" i="10"/>
  <c r="V108" i="10"/>
  <c r="W108" i="10" s="1"/>
  <c r="Q108" i="12" s="1"/>
  <c r="W35" i="10"/>
  <c r="X35" i="10" s="1"/>
  <c r="Y35" i="10" s="1"/>
  <c r="X125" i="41"/>
  <c r="C42" i="10"/>
  <c r="V42" i="10"/>
  <c r="W42" i="10" s="1"/>
  <c r="X42" i="10" s="1"/>
  <c r="Y42" i="10" s="1"/>
  <c r="O125" i="10"/>
  <c r="P125" i="10" s="1"/>
  <c r="W125" i="10" s="1"/>
  <c r="Q125" i="12" s="1"/>
  <c r="X120" i="41"/>
  <c r="D87" i="10"/>
  <c r="C34" i="10"/>
  <c r="D34" i="10"/>
  <c r="O29" i="10"/>
  <c r="P29" i="10" s="1"/>
  <c r="Q29" i="10" s="1"/>
  <c r="R29" i="10" s="1"/>
  <c r="V87" i="10"/>
  <c r="W87" i="10" s="1"/>
  <c r="X87" i="10" s="1"/>
  <c r="Y87" i="10" s="1"/>
  <c r="W30" i="10"/>
  <c r="X30" i="10" s="1"/>
  <c r="Y30" i="10" s="1"/>
  <c r="O34" i="10"/>
  <c r="P34" i="10" s="1"/>
  <c r="Q34" i="10" s="1"/>
  <c r="R34" i="10" s="1"/>
  <c r="X117" i="41"/>
  <c r="X92" i="41"/>
  <c r="V29" i="10"/>
  <c r="W92" i="10"/>
  <c r="Q92" i="12" s="1"/>
  <c r="C65" i="10"/>
  <c r="O101" i="12"/>
  <c r="V65" i="10"/>
  <c r="AI66" i="14"/>
  <c r="D44" i="10"/>
  <c r="V61" i="10"/>
  <c r="N42" i="14"/>
  <c r="O42" i="14" s="1"/>
  <c r="P42" i="14" s="1"/>
  <c r="C44" i="10"/>
  <c r="O65" i="10"/>
  <c r="P65" i="10" s="1"/>
  <c r="Q65" i="10" s="1"/>
  <c r="R65" i="10" s="1"/>
  <c r="O108" i="12"/>
  <c r="W109" i="10"/>
  <c r="Q109" i="12" s="1"/>
  <c r="X103" i="41"/>
  <c r="AG60" i="14"/>
  <c r="N86" i="14"/>
  <c r="W82" i="10"/>
  <c r="Q82" i="12" s="1"/>
  <c r="L33" i="14"/>
  <c r="N33" i="14" s="1"/>
  <c r="O66" i="10"/>
  <c r="P66" i="10" s="1"/>
  <c r="Q66" i="10" s="1"/>
  <c r="R66" i="10" s="1"/>
  <c r="C66" i="10"/>
  <c r="X124" i="41"/>
  <c r="N29" i="14"/>
  <c r="N81" i="14"/>
  <c r="O81" i="14" s="1"/>
  <c r="P81" i="14" s="1"/>
  <c r="V121" i="10"/>
  <c r="O99" i="12"/>
  <c r="N84" i="14"/>
  <c r="O84" i="14" s="1"/>
  <c r="P84" i="14" s="1"/>
  <c r="X95" i="41"/>
  <c r="X97" i="41"/>
  <c r="V95" i="10"/>
  <c r="O95" i="10"/>
  <c r="P95" i="10" s="1"/>
  <c r="Q95" i="10" s="1"/>
  <c r="R95" i="10" s="1"/>
  <c r="N41" i="14"/>
  <c r="O41" i="14" s="1"/>
  <c r="P41" i="14" s="1"/>
  <c r="AG65" i="14"/>
  <c r="AG63" i="14"/>
  <c r="O116" i="12"/>
  <c r="V124" i="10"/>
  <c r="O124" i="10"/>
  <c r="P124" i="10" s="1"/>
  <c r="Q124" i="10" s="1"/>
  <c r="R124" i="10" s="1"/>
  <c r="V98" i="10"/>
  <c r="W98" i="10" s="1"/>
  <c r="Q98" i="12" s="1"/>
  <c r="X115" i="41"/>
  <c r="AI62" i="14"/>
  <c r="N31" i="14"/>
  <c r="V32" i="10"/>
  <c r="O32" i="10"/>
  <c r="P32" i="10" s="1"/>
  <c r="C32" i="10"/>
  <c r="D32" i="10"/>
  <c r="O102" i="10"/>
  <c r="P102" i="10" s="1"/>
  <c r="Q102" i="10" s="1"/>
  <c r="R102" i="10" s="1"/>
  <c r="V102" i="10"/>
  <c r="X113" i="41"/>
  <c r="AG59" i="14"/>
  <c r="X53" i="41"/>
  <c r="X57" i="41"/>
  <c r="V123" i="10"/>
  <c r="O123" i="10"/>
  <c r="P123" i="10" s="1"/>
  <c r="Q123" i="10" s="1"/>
  <c r="R123" i="10" s="1"/>
  <c r="AF32" i="14"/>
  <c r="Y32" i="14"/>
  <c r="O60" i="10"/>
  <c r="P60" i="10" s="1"/>
  <c r="Q60" i="10" s="1"/>
  <c r="R60" i="10" s="1"/>
  <c r="D60" i="10"/>
  <c r="Y37" i="14"/>
  <c r="AI59" i="14"/>
  <c r="V127" i="10"/>
  <c r="W127" i="10" s="1"/>
  <c r="Q127" i="12" s="1"/>
  <c r="C60" i="10"/>
  <c r="X45" i="41"/>
  <c r="AI63" i="14"/>
  <c r="N30" i="14"/>
  <c r="O124" i="12"/>
  <c r="O126" i="10"/>
  <c r="P126" i="10" s="1"/>
  <c r="Q126" i="10" s="1"/>
  <c r="R126" i="10" s="1"/>
  <c r="V126" i="10"/>
  <c r="V106" i="10"/>
  <c r="O106" i="10"/>
  <c r="P106" i="10" s="1"/>
  <c r="Q106" i="10" s="1"/>
  <c r="R106" i="10" s="1"/>
  <c r="C80" i="10"/>
  <c r="D80" i="10"/>
  <c r="V80" i="10"/>
  <c r="O80" i="10"/>
  <c r="P80" i="10" s="1"/>
  <c r="Q80" i="10" s="1"/>
  <c r="R80" i="10" s="1"/>
  <c r="O121" i="10"/>
  <c r="P121" i="10" s="1"/>
  <c r="Q121" i="10" s="1"/>
  <c r="R121" i="10" s="1"/>
  <c r="V118" i="10"/>
  <c r="AI46" i="14"/>
  <c r="X49" i="41"/>
  <c r="O106" i="12"/>
  <c r="D68" i="10"/>
  <c r="C68" i="10"/>
  <c r="V68" i="10"/>
  <c r="O68" i="10"/>
  <c r="P68" i="10" s="1"/>
  <c r="Q68" i="10" s="1"/>
  <c r="R68" i="10" s="1"/>
  <c r="W104" i="10"/>
  <c r="Q104" i="12" s="1"/>
  <c r="O110" i="12"/>
  <c r="AG80" i="14"/>
  <c r="V60" i="10"/>
  <c r="X96" i="41"/>
  <c r="O109" i="12"/>
  <c r="O111" i="10"/>
  <c r="P111" i="10" s="1"/>
  <c r="Q111" i="10" s="1"/>
  <c r="R111" i="10" s="1"/>
  <c r="V111" i="10"/>
  <c r="D45" i="10"/>
  <c r="O45" i="10"/>
  <c r="P45" i="10" s="1"/>
  <c r="Q45" i="10" s="1"/>
  <c r="R45" i="10" s="1"/>
  <c r="V45" i="10"/>
  <c r="O119" i="10"/>
  <c r="P119" i="10" s="1"/>
  <c r="Q119" i="10" s="1"/>
  <c r="R119" i="10" s="1"/>
  <c r="V119" i="10"/>
  <c r="N79" i="14"/>
  <c r="O79" i="14" s="1"/>
  <c r="X56" i="41"/>
  <c r="X98" i="41"/>
  <c r="O96" i="12"/>
  <c r="AG29" i="14"/>
  <c r="AI29" i="14"/>
  <c r="O111" i="12"/>
  <c r="O64" i="10"/>
  <c r="P64" i="10" s="1"/>
  <c r="Q64" i="10" s="1"/>
  <c r="R64" i="10" s="1"/>
  <c r="V64" i="10"/>
  <c r="O116" i="10"/>
  <c r="P116" i="10" s="1"/>
  <c r="Q116" i="10" s="1"/>
  <c r="R116" i="10" s="1"/>
  <c r="V116" i="10"/>
  <c r="X94" i="41"/>
  <c r="W115" i="10"/>
  <c r="Q115" i="12" s="1"/>
  <c r="AG82" i="14"/>
  <c r="AI82" i="14"/>
  <c r="O100" i="12"/>
  <c r="V93" i="10"/>
  <c r="O93" i="10"/>
  <c r="P93" i="10" s="1"/>
  <c r="Q93" i="10" s="1"/>
  <c r="R93" i="10" s="1"/>
  <c r="V31" i="10"/>
  <c r="O31" i="10"/>
  <c r="P31" i="10" s="1"/>
  <c r="Q31" i="10" s="1"/>
  <c r="R31" i="10" s="1"/>
  <c r="C31" i="10"/>
  <c r="D31" i="10"/>
  <c r="O110" i="10"/>
  <c r="P110" i="10" s="1"/>
  <c r="Q110" i="10" s="1"/>
  <c r="R110" i="10" s="1"/>
  <c r="V110" i="10"/>
  <c r="O118" i="12"/>
  <c r="O119" i="12"/>
  <c r="O97" i="12"/>
  <c r="O113" i="12"/>
  <c r="O96" i="10"/>
  <c r="P96" i="10" s="1"/>
  <c r="Q96" i="10" s="1"/>
  <c r="R96" i="10" s="1"/>
  <c r="V96" i="10"/>
  <c r="O105" i="12"/>
  <c r="O117" i="10"/>
  <c r="P117" i="10" s="1"/>
  <c r="Q117" i="10" s="1"/>
  <c r="R117" i="10" s="1"/>
  <c r="O120" i="12"/>
  <c r="O97" i="10"/>
  <c r="P97" i="10" s="1"/>
  <c r="Q97" i="10" s="1"/>
  <c r="R97" i="10" s="1"/>
  <c r="V97" i="10"/>
  <c r="X123" i="41"/>
  <c r="O114" i="10"/>
  <c r="P114" i="10" s="1"/>
  <c r="Q114" i="10" s="1"/>
  <c r="R114" i="10" s="1"/>
  <c r="V114" i="10"/>
  <c r="O120" i="10"/>
  <c r="P120" i="10" s="1"/>
  <c r="Q120" i="10" s="1"/>
  <c r="R120" i="10" s="1"/>
  <c r="V120" i="10"/>
  <c r="AG32" i="14"/>
  <c r="AI32" i="14"/>
  <c r="AG81" i="14"/>
  <c r="AI81" i="14"/>
  <c r="O90" i="12"/>
  <c r="H90" i="10" s="1"/>
  <c r="I90" i="10" s="1"/>
  <c r="AG31" i="14"/>
  <c r="AI31" i="14"/>
  <c r="O112" i="12"/>
  <c r="V113" i="10"/>
  <c r="O113" i="10"/>
  <c r="P113" i="10" s="1"/>
  <c r="Q113" i="10" s="1"/>
  <c r="R113" i="10" s="1"/>
  <c r="O121" i="12"/>
  <c r="C69" i="10"/>
  <c r="O69" i="10"/>
  <c r="P69" i="10" s="1"/>
  <c r="Q69" i="10" s="1"/>
  <c r="R69" i="10" s="1"/>
  <c r="D69" i="10"/>
  <c r="O127" i="12"/>
  <c r="AG67" i="14"/>
  <c r="AG64" i="14"/>
  <c r="X51" i="41"/>
  <c r="AI44" i="14"/>
  <c r="AG44" i="14"/>
  <c r="C48" i="10"/>
  <c r="V48" i="10"/>
  <c r="O48" i="10"/>
  <c r="P48" i="10" s="1"/>
  <c r="Q48" i="10" s="1"/>
  <c r="R48" i="10" s="1"/>
  <c r="D48" i="10"/>
  <c r="X100" i="41"/>
  <c r="Y82" i="14"/>
  <c r="AI61" i="14"/>
  <c r="AG61" i="14"/>
  <c r="O117" i="12"/>
  <c r="V122" i="10"/>
  <c r="O122" i="10"/>
  <c r="P122" i="10" s="1"/>
  <c r="Q122" i="10" s="1"/>
  <c r="R122" i="10" s="1"/>
  <c r="V107" i="10"/>
  <c r="O107" i="10"/>
  <c r="P107" i="10" s="1"/>
  <c r="Q107" i="10" s="1"/>
  <c r="R107" i="10" s="1"/>
  <c r="O104" i="12"/>
  <c r="Q98" i="10"/>
  <c r="R98" i="10" s="1"/>
  <c r="X90" i="41"/>
  <c r="AI45" i="14"/>
  <c r="AG45" i="14"/>
  <c r="L35" i="14"/>
  <c r="N35" i="14" s="1"/>
  <c r="AA31" i="41"/>
  <c r="O126" i="12"/>
  <c r="V103" i="10"/>
  <c r="O103" i="10"/>
  <c r="P103" i="10" s="1"/>
  <c r="Q103" i="10" s="1"/>
  <c r="R103" i="10" s="1"/>
  <c r="Q112" i="10"/>
  <c r="R112" i="10" s="1"/>
  <c r="W112" i="10"/>
  <c r="Q112" i="12" s="1"/>
  <c r="AG28" i="14"/>
  <c r="R29" i="12"/>
  <c r="W29" i="12" s="1"/>
  <c r="AI28" i="14"/>
  <c r="T29" i="12"/>
  <c r="S29" i="12"/>
  <c r="X31" i="41"/>
  <c r="O102" i="12"/>
  <c r="AI60" i="14"/>
  <c r="O115" i="12"/>
  <c r="O122" i="12"/>
  <c r="AI79" i="14"/>
  <c r="S80" i="12"/>
  <c r="R80" i="12"/>
  <c r="W80" i="12" s="1"/>
  <c r="AG79" i="14"/>
  <c r="T80" i="12"/>
  <c r="O103" i="12"/>
  <c r="O114" i="12"/>
  <c r="X55" i="41"/>
  <c r="AG47" i="14"/>
  <c r="AI47" i="14"/>
  <c r="L39" i="14"/>
  <c r="AF60" i="14"/>
  <c r="O62" i="10"/>
  <c r="P62" i="10" s="1"/>
  <c r="Q62" i="10" s="1"/>
  <c r="R62" i="10" s="1"/>
  <c r="D62" i="10"/>
  <c r="V62" i="10"/>
  <c r="C62" i="10"/>
  <c r="M42" i="13"/>
  <c r="N42" i="13" s="1"/>
  <c r="X91" i="1"/>
  <c r="C56" i="9"/>
  <c r="O50" i="9"/>
  <c r="V102" i="9"/>
  <c r="C50" i="9"/>
  <c r="M49" i="13"/>
  <c r="X49" i="13" s="1"/>
  <c r="Q56" i="9"/>
  <c r="R56" i="9" s="1"/>
  <c r="V107" i="9"/>
  <c r="O51" i="9"/>
  <c r="Q51" i="9"/>
  <c r="R51" i="9" s="1"/>
  <c r="O107" i="9"/>
  <c r="P107" i="9" s="1"/>
  <c r="Q107" i="9" s="1"/>
  <c r="R107" i="9" s="1"/>
  <c r="C51" i="9"/>
  <c r="M53" i="13"/>
  <c r="X53" i="13" s="1"/>
  <c r="Q52" i="9"/>
  <c r="R52" i="9" s="1"/>
  <c r="D40" i="9"/>
  <c r="O56" i="9"/>
  <c r="V127" i="9"/>
  <c r="W127" i="9" s="1"/>
  <c r="X127" i="9" s="1"/>
  <c r="Y127" i="9" s="1"/>
  <c r="O102" i="9"/>
  <c r="P102" i="9" s="1"/>
  <c r="Q102" i="9" s="1"/>
  <c r="R102" i="9" s="1"/>
  <c r="AE34" i="13"/>
  <c r="M55" i="13"/>
  <c r="N55" i="13" s="1"/>
  <c r="AK55" i="13" s="1"/>
  <c r="AL55" i="13" s="1"/>
  <c r="O52" i="9"/>
  <c r="O40" i="9"/>
  <c r="V56" i="9"/>
  <c r="W56" i="9" s="1"/>
  <c r="X56" i="9" s="1"/>
  <c r="Y56" i="9" s="1"/>
  <c r="V108" i="9"/>
  <c r="C52" i="9"/>
  <c r="V106" i="9"/>
  <c r="T112" i="11"/>
  <c r="C46" i="9"/>
  <c r="T99" i="11"/>
  <c r="O117" i="9"/>
  <c r="P117" i="9" s="1"/>
  <c r="W117" i="9" s="1"/>
  <c r="X117" i="9" s="1"/>
  <c r="Y117" i="9" s="1"/>
  <c r="S99" i="11"/>
  <c r="Y99" i="11" s="1"/>
  <c r="P99" i="11" s="1"/>
  <c r="AH109" i="13"/>
  <c r="AF124" i="13"/>
  <c r="AF57" i="13"/>
  <c r="AH112" i="13"/>
  <c r="O106" i="9"/>
  <c r="P106" i="9" s="1"/>
  <c r="Q106" i="9" s="1"/>
  <c r="R106" i="9" s="1"/>
  <c r="U124" i="11"/>
  <c r="AH99" i="13"/>
  <c r="V124" i="9"/>
  <c r="W124" i="9" s="1"/>
  <c r="X124" i="9" s="1"/>
  <c r="Y124" i="9" s="1"/>
  <c r="AF81" i="13"/>
  <c r="X90" i="1"/>
  <c r="R124" i="11"/>
  <c r="AF99" i="13"/>
  <c r="X83" i="1"/>
  <c r="R125" i="11"/>
  <c r="U85" i="11"/>
  <c r="T83" i="11"/>
  <c r="AH57" i="13"/>
  <c r="AE38" i="13"/>
  <c r="AH53" i="13"/>
  <c r="U114" i="11"/>
  <c r="AH50" i="13"/>
  <c r="C40" i="9"/>
  <c r="T91" i="11"/>
  <c r="S115" i="11"/>
  <c r="Y115" i="11" s="1"/>
  <c r="P115" i="11" s="1"/>
  <c r="H115" i="9" s="1"/>
  <c r="I115" i="9" s="1"/>
  <c r="J115" i="9" s="1"/>
  <c r="X39" i="9"/>
  <c r="Y39" i="9" s="1"/>
  <c r="V96" i="9"/>
  <c r="W96" i="9" s="1"/>
  <c r="T85" i="11"/>
  <c r="M50" i="13"/>
  <c r="X50" i="13" s="1"/>
  <c r="M56" i="13"/>
  <c r="O30" i="9"/>
  <c r="AH52" i="13"/>
  <c r="O108" i="9"/>
  <c r="P108" i="9" s="1"/>
  <c r="Q108" i="9" s="1"/>
  <c r="R108" i="9" s="1"/>
  <c r="S85" i="11"/>
  <c r="Y85" i="11" s="1"/>
  <c r="M45" i="13"/>
  <c r="AE45" i="13" s="1"/>
  <c r="X93" i="1"/>
  <c r="O46" i="9"/>
  <c r="AH31" i="13"/>
  <c r="V37" i="9"/>
  <c r="W37" i="9" s="1"/>
  <c r="R37" i="11" s="1"/>
  <c r="C30" i="9"/>
  <c r="U91" i="11"/>
  <c r="AF119" i="13"/>
  <c r="M46" i="13"/>
  <c r="N46" i="13" s="1"/>
  <c r="AK46" i="13" s="1"/>
  <c r="AL46" i="13" s="1"/>
  <c r="AH83" i="13"/>
  <c r="X102" i="1"/>
  <c r="M47" i="13"/>
  <c r="N47" i="13" s="1"/>
  <c r="M43" i="13"/>
  <c r="X43" i="13" s="1"/>
  <c r="T95" i="11"/>
  <c r="AF47" i="13"/>
  <c r="O37" i="9"/>
  <c r="U125" i="11"/>
  <c r="C44" i="9"/>
  <c r="O114" i="9"/>
  <c r="P114" i="9" s="1"/>
  <c r="Q114" i="9" s="1"/>
  <c r="R114" i="9" s="1"/>
  <c r="U89" i="11"/>
  <c r="AH97" i="13"/>
  <c r="AE31" i="13"/>
  <c r="M48" i="13"/>
  <c r="N48" i="13" s="1"/>
  <c r="S89" i="11"/>
  <c r="Y89" i="11" s="1"/>
  <c r="P89" i="11" s="1"/>
  <c r="D52" i="9"/>
  <c r="Q50" i="9"/>
  <c r="R50" i="9" s="1"/>
  <c r="V114" i="9"/>
  <c r="AF89" i="13"/>
  <c r="AH95" i="13"/>
  <c r="AF95" i="13"/>
  <c r="S127" i="11"/>
  <c r="Y127" i="11" s="1"/>
  <c r="P127" i="11" s="1"/>
  <c r="H127" i="9" s="1"/>
  <c r="I127" i="9" s="1"/>
  <c r="AH89" i="13"/>
  <c r="V50" i="9"/>
  <c r="W50" i="9" s="1"/>
  <c r="R50" i="11" s="1"/>
  <c r="X95" i="1"/>
  <c r="Q37" i="9"/>
  <c r="R37" i="9" s="1"/>
  <c r="U127" i="11"/>
  <c r="AH123" i="13"/>
  <c r="O104" i="9"/>
  <c r="P104" i="9" s="1"/>
  <c r="Q104" i="9" s="1"/>
  <c r="R104" i="9" s="1"/>
  <c r="M57" i="13"/>
  <c r="S84" i="11"/>
  <c r="Y84" i="11" s="1"/>
  <c r="X104" i="1"/>
  <c r="D36" i="9"/>
  <c r="AH127" i="13"/>
  <c r="D37" i="9"/>
  <c r="X88" i="1"/>
  <c r="U84" i="11"/>
  <c r="X106" i="1"/>
  <c r="V121" i="9"/>
  <c r="W121" i="9" s="1"/>
  <c r="X121" i="9" s="1"/>
  <c r="Y121" i="9" s="1"/>
  <c r="AH42" i="13"/>
  <c r="AE114" i="13"/>
  <c r="AI114" i="13" s="1"/>
  <c r="R127" i="11"/>
  <c r="AF127" i="13"/>
  <c r="AE36" i="13"/>
  <c r="S82" i="11"/>
  <c r="Y82" i="11" s="1"/>
  <c r="T84" i="11"/>
  <c r="X98" i="1"/>
  <c r="X109" i="1"/>
  <c r="V53" i="9"/>
  <c r="W53" i="9" s="1"/>
  <c r="R53" i="11" s="1"/>
  <c r="Q53" i="9"/>
  <c r="R53" i="9" s="1"/>
  <c r="O49" i="9"/>
  <c r="Q49" i="9"/>
  <c r="R49" i="9" s="1"/>
  <c r="AF58" i="13"/>
  <c r="C54" i="9"/>
  <c r="D49" i="9"/>
  <c r="AH110" i="13"/>
  <c r="U83" i="11"/>
  <c r="T82" i="11"/>
  <c r="U82" i="11"/>
  <c r="AH84" i="13"/>
  <c r="X100" i="1"/>
  <c r="V49" i="9"/>
  <c r="W49" i="9" s="1"/>
  <c r="X49" i="9" s="1"/>
  <c r="Y49" i="9" s="1"/>
  <c r="M80" i="13"/>
  <c r="X80" i="13" s="1"/>
  <c r="O53" i="9"/>
  <c r="AF36" i="13"/>
  <c r="AF82" i="13"/>
  <c r="D53" i="9"/>
  <c r="AH36" i="13"/>
  <c r="T97" i="11"/>
  <c r="Q30" i="9"/>
  <c r="R30" i="9" s="1"/>
  <c r="D30" i="9"/>
  <c r="D54" i="9"/>
  <c r="AF54" i="13"/>
  <c r="AH43" i="13"/>
  <c r="S125" i="11"/>
  <c r="Y125" i="11" s="1"/>
  <c r="P125" i="11" s="1"/>
  <c r="D44" i="9"/>
  <c r="O115" i="9"/>
  <c r="P115" i="9" s="1"/>
  <c r="Q115" i="9" s="1"/>
  <c r="R115" i="9" s="1"/>
  <c r="AE32" i="13"/>
  <c r="X82" i="1"/>
  <c r="AF83" i="13"/>
  <c r="AF85" i="13"/>
  <c r="X84" i="1"/>
  <c r="Q48" i="9"/>
  <c r="R48" i="9" s="1"/>
  <c r="V54" i="9"/>
  <c r="W54" i="9" s="1"/>
  <c r="X54" i="9" s="1"/>
  <c r="Y54" i="9" s="1"/>
  <c r="V46" i="9"/>
  <c r="W46" i="9" s="1"/>
  <c r="R46" i="11" s="1"/>
  <c r="O44" i="9"/>
  <c r="C32" i="9"/>
  <c r="AF35" i="13"/>
  <c r="Q46" i="9"/>
  <c r="R46" i="9" s="1"/>
  <c r="AH35" i="13"/>
  <c r="V44" i="9"/>
  <c r="W44" i="9" s="1"/>
  <c r="R44" i="11" s="1"/>
  <c r="Q54" i="9"/>
  <c r="R54" i="9" s="1"/>
  <c r="A55" i="13"/>
  <c r="A55" i="9"/>
  <c r="A55" i="1"/>
  <c r="AE106" i="13"/>
  <c r="V122" i="9"/>
  <c r="D48" i="9"/>
  <c r="O110" i="9"/>
  <c r="P110" i="9" s="1"/>
  <c r="Q110" i="9" s="1"/>
  <c r="R110" i="9" s="1"/>
  <c r="C31" i="9"/>
  <c r="AH48" i="13"/>
  <c r="O122" i="9"/>
  <c r="P122" i="9" s="1"/>
  <c r="Q122" i="9" s="1"/>
  <c r="R122" i="9" s="1"/>
  <c r="Q36" i="9"/>
  <c r="R36" i="9" s="1"/>
  <c r="C36" i="9"/>
  <c r="U95" i="11"/>
  <c r="X92" i="1"/>
  <c r="Q58" i="9"/>
  <c r="R58" i="9" s="1"/>
  <c r="V58" i="9"/>
  <c r="W58" i="9" s="1"/>
  <c r="R58" i="11" s="1"/>
  <c r="O58" i="9"/>
  <c r="O32" i="9"/>
  <c r="D32" i="9"/>
  <c r="AF116" i="13"/>
  <c r="U94" i="11"/>
  <c r="O48" i="9"/>
  <c r="AF113" i="13"/>
  <c r="U113" i="11"/>
  <c r="T100" i="11"/>
  <c r="V110" i="9"/>
  <c r="V125" i="9"/>
  <c r="O36" i="9"/>
  <c r="X94" i="1"/>
  <c r="Q57" i="9"/>
  <c r="R57" i="9" s="1"/>
  <c r="O57" i="9"/>
  <c r="C57" i="9"/>
  <c r="V57" i="9"/>
  <c r="W57" i="9" s="1"/>
  <c r="R57" i="11" s="1"/>
  <c r="D57" i="9"/>
  <c r="AF94" i="13"/>
  <c r="S109" i="11"/>
  <c r="Y109" i="11" s="1"/>
  <c r="P109" i="11" s="1"/>
  <c r="H109" i="9" s="1"/>
  <c r="I109" i="9" s="1"/>
  <c r="O31" i="9"/>
  <c r="U109" i="11"/>
  <c r="O125" i="9"/>
  <c r="P125" i="9" s="1"/>
  <c r="Q125" i="9" s="1"/>
  <c r="R125" i="9" s="1"/>
  <c r="S94" i="11"/>
  <c r="Y94" i="11" s="1"/>
  <c r="Q32" i="9"/>
  <c r="R32" i="9" s="1"/>
  <c r="E29" i="1"/>
  <c r="H29" i="1"/>
  <c r="O98" i="9"/>
  <c r="P98" i="9" s="1"/>
  <c r="Q98" i="9" s="1"/>
  <c r="R98" i="9" s="1"/>
  <c r="AH54" i="13"/>
  <c r="AF46" i="13"/>
  <c r="T107" i="11"/>
  <c r="D31" i="9"/>
  <c r="S123" i="11"/>
  <c r="Y123" i="11" s="1"/>
  <c r="P123" i="11" s="1"/>
  <c r="H123" i="9" s="1"/>
  <c r="I123" i="9" s="1"/>
  <c r="D29" i="1"/>
  <c r="J29" i="1" s="1"/>
  <c r="U107" i="11"/>
  <c r="V98" i="9"/>
  <c r="AF45" i="13"/>
  <c r="AH46" i="13"/>
  <c r="AH41" i="13"/>
  <c r="AH107" i="13"/>
  <c r="AH94" i="13"/>
  <c r="C48" i="9"/>
  <c r="T109" i="11"/>
  <c r="V31" i="9"/>
  <c r="W31" i="9" s="1"/>
  <c r="R31" i="11" s="1"/>
  <c r="AF92" i="13"/>
  <c r="V103" i="9"/>
  <c r="W103" i="9" s="1"/>
  <c r="AF123" i="13"/>
  <c r="R123" i="11"/>
  <c r="F29" i="1"/>
  <c r="U88" i="11"/>
  <c r="T92" i="11"/>
  <c r="S29" i="11"/>
  <c r="Y29" i="11" s="1"/>
  <c r="T113" i="11"/>
  <c r="AH92" i="13"/>
  <c r="T94" i="11"/>
  <c r="U112" i="11"/>
  <c r="S113" i="11"/>
  <c r="Y113" i="11" s="1"/>
  <c r="P113" i="11" s="1"/>
  <c r="H113" i="9" s="1"/>
  <c r="I113" i="9" s="1"/>
  <c r="R113" i="11"/>
  <c r="V105" i="9"/>
  <c r="W105" i="9" s="1"/>
  <c r="O116" i="9"/>
  <c r="P116" i="9" s="1"/>
  <c r="Q116" i="9" s="1"/>
  <c r="R116" i="9" s="1"/>
  <c r="U123" i="11"/>
  <c r="G29" i="1"/>
  <c r="O118" i="9"/>
  <c r="P118" i="9" s="1"/>
  <c r="U92" i="11"/>
  <c r="X105" i="1"/>
  <c r="C29" i="9"/>
  <c r="V29" i="9"/>
  <c r="W29" i="9" s="1"/>
  <c r="Q29" i="9"/>
  <c r="R29" i="9" s="1"/>
  <c r="D29" i="9"/>
  <c r="O29" i="9"/>
  <c r="O94" i="9"/>
  <c r="P94" i="9" s="1"/>
  <c r="Q94" i="9" s="1"/>
  <c r="R94" i="9" s="1"/>
  <c r="V94" i="9"/>
  <c r="X97" i="1"/>
  <c r="U29" i="11"/>
  <c r="O109" i="9"/>
  <c r="P109" i="9" s="1"/>
  <c r="Q109" i="9" s="1"/>
  <c r="R109" i="9" s="1"/>
  <c r="V109" i="9"/>
  <c r="T29" i="11"/>
  <c r="AF49" i="13"/>
  <c r="AF115" i="13"/>
  <c r="S90" i="11"/>
  <c r="Y90" i="11" s="1"/>
  <c r="P90" i="11" s="1"/>
  <c r="AH90" i="13"/>
  <c r="T90" i="11"/>
  <c r="U90" i="11"/>
  <c r="AF90" i="13"/>
  <c r="AH124" i="13"/>
  <c r="S124" i="11"/>
  <c r="Y124" i="11" s="1"/>
  <c r="P124" i="11" s="1"/>
  <c r="H124" i="9" s="1"/>
  <c r="I124" i="9" s="1"/>
  <c r="T81" i="11"/>
  <c r="U81" i="11"/>
  <c r="S81" i="11"/>
  <c r="Y81" i="11" s="1"/>
  <c r="S92" i="11"/>
  <c r="Y92" i="11" s="1"/>
  <c r="T115" i="11"/>
  <c r="AH115" i="13"/>
  <c r="T88" i="11"/>
  <c r="AF91" i="13"/>
  <c r="AH91" i="13"/>
  <c r="AH125" i="13"/>
  <c r="AF125" i="13"/>
  <c r="S98" i="11"/>
  <c r="Y98" i="11" s="1"/>
  <c r="P98" i="11" s="1"/>
  <c r="H98" i="9" s="1"/>
  <c r="I98" i="9" s="1"/>
  <c r="AH98" i="13"/>
  <c r="U98" i="11"/>
  <c r="AF98" i="13"/>
  <c r="T98" i="11"/>
  <c r="AH126" i="13"/>
  <c r="AF126" i="13"/>
  <c r="U115" i="11"/>
  <c r="AH45" i="13"/>
  <c r="AF55" i="13"/>
  <c r="AF53" i="13"/>
  <c r="R120" i="11"/>
  <c r="R115" i="11"/>
  <c r="AF88" i="13"/>
  <c r="AH88" i="13"/>
  <c r="X101" i="1"/>
  <c r="K41" i="13"/>
  <c r="M41" i="13" s="1"/>
  <c r="V119" i="9"/>
  <c r="W119" i="9" s="1"/>
  <c r="X119" i="9" s="1"/>
  <c r="Y119" i="9" s="1"/>
  <c r="S120" i="11"/>
  <c r="Y120" i="11" s="1"/>
  <c r="P120" i="11" s="1"/>
  <c r="H120" i="9" s="1"/>
  <c r="I120" i="9" s="1"/>
  <c r="J120" i="9" s="1"/>
  <c r="AF108" i="13"/>
  <c r="AH108" i="13"/>
  <c r="AH33" i="13"/>
  <c r="AF33" i="13"/>
  <c r="X89" i="1"/>
  <c r="S122" i="11"/>
  <c r="Y122" i="11" s="1"/>
  <c r="P122" i="11" s="1"/>
  <c r="H122" i="9" s="1"/>
  <c r="I122" i="9" s="1"/>
  <c r="J122" i="9" s="1"/>
  <c r="AF122" i="13"/>
  <c r="T122" i="11"/>
  <c r="AH122" i="13"/>
  <c r="U122" i="11"/>
  <c r="R122" i="11"/>
  <c r="AH38" i="13"/>
  <c r="AF38" i="13"/>
  <c r="S110" i="11"/>
  <c r="Y110" i="11" s="1"/>
  <c r="P110" i="11" s="1"/>
  <c r="H110" i="9" s="1"/>
  <c r="I110" i="9" s="1"/>
  <c r="T110" i="11"/>
  <c r="U110" i="11"/>
  <c r="Q80" i="9"/>
  <c r="R80" i="9" s="1"/>
  <c r="O80" i="9"/>
  <c r="C80" i="9"/>
  <c r="V80" i="9"/>
  <c r="W80" i="9" s="1"/>
  <c r="D80" i="9"/>
  <c r="V113" i="9"/>
  <c r="O113" i="9"/>
  <c r="P113" i="9" s="1"/>
  <c r="Q113" i="9" s="1"/>
  <c r="R113" i="9" s="1"/>
  <c r="AH120" i="13"/>
  <c r="T103" i="11"/>
  <c r="AF103" i="13"/>
  <c r="AH103" i="13"/>
  <c r="U103" i="11"/>
  <c r="AH49" i="13"/>
  <c r="S103" i="11"/>
  <c r="Y103" i="11" s="1"/>
  <c r="P103" i="11" s="1"/>
  <c r="H103" i="9" s="1"/>
  <c r="I103" i="9" s="1"/>
  <c r="O111" i="9"/>
  <c r="P111" i="9" s="1"/>
  <c r="Q111" i="9" s="1"/>
  <c r="R111" i="9" s="1"/>
  <c r="S105" i="11"/>
  <c r="Y105" i="11" s="1"/>
  <c r="P105" i="11" s="1"/>
  <c r="H105" i="9" s="1"/>
  <c r="I105" i="9" s="1"/>
  <c r="T105" i="11"/>
  <c r="AF105" i="13"/>
  <c r="AH105" i="13"/>
  <c r="X30" i="9"/>
  <c r="Y30" i="9" s="1"/>
  <c r="AF56" i="13"/>
  <c r="U105" i="11"/>
  <c r="D41" i="9"/>
  <c r="C41" i="9"/>
  <c r="V41" i="9"/>
  <c r="W41" i="9" s="1"/>
  <c r="R41" i="11" s="1"/>
  <c r="Q41" i="9"/>
  <c r="R41" i="9" s="1"/>
  <c r="O41" i="9"/>
  <c r="X96" i="1"/>
  <c r="S88" i="11"/>
  <c r="Y88" i="11" s="1"/>
  <c r="P88" i="11" s="1"/>
  <c r="AH40" i="13"/>
  <c r="AF40" i="13"/>
  <c r="AE51" i="13"/>
  <c r="N51" i="13"/>
  <c r="X51" i="13"/>
  <c r="U118" i="11"/>
  <c r="S118" i="11"/>
  <c r="Y118" i="11" s="1"/>
  <c r="P118" i="11" s="1"/>
  <c r="H118" i="9" s="1"/>
  <c r="I118" i="9" s="1"/>
  <c r="J118" i="9" s="1"/>
  <c r="L118" i="9" s="1"/>
  <c r="M118" i="9" s="1"/>
  <c r="AE118" i="13"/>
  <c r="R117" i="11"/>
  <c r="AF117" i="13"/>
  <c r="AH117" i="13"/>
  <c r="AF32" i="13"/>
  <c r="AH32" i="13"/>
  <c r="S96" i="11"/>
  <c r="Y96" i="11" s="1"/>
  <c r="P96" i="11" s="1"/>
  <c r="H96" i="9" s="1"/>
  <c r="I96" i="9" s="1"/>
  <c r="AF96" i="13"/>
  <c r="U96" i="11"/>
  <c r="T96" i="11"/>
  <c r="S97" i="11"/>
  <c r="Y97" i="11" s="1"/>
  <c r="P97" i="11" s="1"/>
  <c r="H97" i="9" s="1"/>
  <c r="I97" i="9" s="1"/>
  <c r="U97" i="11"/>
  <c r="S112" i="11"/>
  <c r="Y112" i="11" s="1"/>
  <c r="P112" i="11" s="1"/>
  <c r="H112" i="9" s="1"/>
  <c r="I112" i="9" s="1"/>
  <c r="R126" i="11"/>
  <c r="T126" i="11"/>
  <c r="S126" i="11"/>
  <c r="Y126" i="11" s="1"/>
  <c r="P126" i="11" s="1"/>
  <c r="H126" i="9" s="1"/>
  <c r="I126" i="9" s="1"/>
  <c r="U126" i="11"/>
  <c r="S87" i="11"/>
  <c r="Y87" i="11" s="1"/>
  <c r="U87" i="11"/>
  <c r="T87" i="11"/>
  <c r="AF87" i="13"/>
  <c r="AH87" i="13"/>
  <c r="O123" i="9"/>
  <c r="P123" i="9" s="1"/>
  <c r="Q123" i="9" s="1"/>
  <c r="R123" i="9" s="1"/>
  <c r="V123" i="9"/>
  <c r="V112" i="9"/>
  <c r="O112" i="9"/>
  <c r="P112" i="9" s="1"/>
  <c r="Q112" i="9" s="1"/>
  <c r="R112" i="9" s="1"/>
  <c r="AH51" i="13"/>
  <c r="AF118" i="13"/>
  <c r="T117" i="11"/>
  <c r="S114" i="11"/>
  <c r="Y114" i="11" s="1"/>
  <c r="P114" i="11" s="1"/>
  <c r="H114" i="9" s="1"/>
  <c r="I114" i="9" s="1"/>
  <c r="AH118" i="13"/>
  <c r="AF114" i="13"/>
  <c r="T114" i="11"/>
  <c r="U86" i="11"/>
  <c r="S86" i="11"/>
  <c r="Y86" i="11" s="1"/>
  <c r="AF86" i="13"/>
  <c r="T86" i="11"/>
  <c r="AH86" i="13"/>
  <c r="U100" i="11"/>
  <c r="S100" i="11"/>
  <c r="Y100" i="11" s="1"/>
  <c r="P100" i="11" s="1"/>
  <c r="H100" i="9" s="1"/>
  <c r="I100" i="9" s="1"/>
  <c r="AH100" i="13"/>
  <c r="V101" i="9"/>
  <c r="O101" i="9"/>
  <c r="P101" i="9" s="1"/>
  <c r="Q101" i="9" s="1"/>
  <c r="R101" i="9" s="1"/>
  <c r="O97" i="9"/>
  <c r="P97" i="9" s="1"/>
  <c r="Q97" i="9" s="1"/>
  <c r="R97" i="9" s="1"/>
  <c r="V97" i="9"/>
  <c r="Q121" i="9"/>
  <c r="R121" i="9" s="1"/>
  <c r="T121" i="11"/>
  <c r="R121" i="11"/>
  <c r="AH121" i="13"/>
  <c r="AF121" i="13"/>
  <c r="S121" i="11"/>
  <c r="Y121" i="11" s="1"/>
  <c r="P121" i="11" s="1"/>
  <c r="H121" i="9" s="1"/>
  <c r="I121" i="9" s="1"/>
  <c r="U121" i="11"/>
  <c r="X38" i="9"/>
  <c r="Y38" i="9" s="1"/>
  <c r="V100" i="9"/>
  <c r="O100" i="9"/>
  <c r="P100" i="9" s="1"/>
  <c r="Q100" i="9" s="1"/>
  <c r="R100" i="9" s="1"/>
  <c r="T120" i="11"/>
  <c r="AF93" i="13"/>
  <c r="T93" i="11"/>
  <c r="U93" i="11"/>
  <c r="S93" i="11"/>
  <c r="Y93" i="11" s="1"/>
  <c r="AH93" i="13"/>
  <c r="T108" i="11"/>
  <c r="U108" i="11"/>
  <c r="S108" i="11"/>
  <c r="Y108" i="11" s="1"/>
  <c r="P108" i="11" s="1"/>
  <c r="H108" i="9" s="1"/>
  <c r="I108" i="9" s="1"/>
  <c r="R114" i="11"/>
  <c r="AF51" i="13"/>
  <c r="AF43" i="13"/>
  <c r="T118" i="11"/>
  <c r="U117" i="11"/>
  <c r="R112" i="11"/>
  <c r="AH102" i="13"/>
  <c r="U102" i="11"/>
  <c r="AF102" i="13"/>
  <c r="T102" i="11"/>
  <c r="S102" i="11"/>
  <c r="Y102" i="11" s="1"/>
  <c r="P102" i="11" s="1"/>
  <c r="H102" i="9" s="1"/>
  <c r="I102" i="9" s="1"/>
  <c r="S116" i="11"/>
  <c r="Y116" i="11" s="1"/>
  <c r="P116" i="11" s="1"/>
  <c r="H116" i="9" s="1"/>
  <c r="I116" i="9" s="1"/>
  <c r="AH116" i="13"/>
  <c r="T116" i="11"/>
  <c r="U116" i="11"/>
  <c r="AF34" i="13"/>
  <c r="AH34" i="13"/>
  <c r="AH80" i="13"/>
  <c r="AF80" i="13"/>
  <c r="T80" i="11"/>
  <c r="S80" i="11"/>
  <c r="Y80" i="11" s="1"/>
  <c r="U80" i="11"/>
  <c r="W99" i="9"/>
  <c r="Q99" i="9"/>
  <c r="R99" i="9" s="1"/>
  <c r="O120" i="9"/>
  <c r="P120" i="9" s="1"/>
  <c r="Q120" i="9" s="1"/>
  <c r="R120" i="9" s="1"/>
  <c r="V120" i="9"/>
  <c r="T119" i="11"/>
  <c r="S119" i="11"/>
  <c r="Y119" i="11" s="1"/>
  <c r="P119" i="11" s="1"/>
  <c r="H119" i="9" s="1"/>
  <c r="I119" i="9" s="1"/>
  <c r="J119" i="9" s="1"/>
  <c r="L119" i="9" s="1"/>
  <c r="M119" i="9" s="1"/>
  <c r="U119" i="11"/>
  <c r="R119" i="11"/>
  <c r="O126" i="9"/>
  <c r="P126" i="9" s="1"/>
  <c r="Q126" i="9" s="1"/>
  <c r="R126" i="9" s="1"/>
  <c r="V126" i="9"/>
  <c r="U120" i="11"/>
  <c r="T106" i="11"/>
  <c r="S106" i="11"/>
  <c r="Y106" i="11" s="1"/>
  <c r="P106" i="11" s="1"/>
  <c r="H106" i="9" s="1"/>
  <c r="I106" i="9" s="1"/>
  <c r="AF106" i="13"/>
  <c r="U106" i="11"/>
  <c r="AH106" i="13"/>
  <c r="AH55" i="13"/>
  <c r="AF44" i="13"/>
  <c r="AH111" i="13"/>
  <c r="S111" i="11"/>
  <c r="Y111" i="11" s="1"/>
  <c r="P111" i="11" s="1"/>
  <c r="H111" i="9" s="1"/>
  <c r="I111" i="9" s="1"/>
  <c r="U111" i="11"/>
  <c r="T111" i="11"/>
  <c r="AF111" i="13"/>
  <c r="AE54" i="13"/>
  <c r="N54" i="13"/>
  <c r="X54" i="13"/>
  <c r="T101" i="11"/>
  <c r="S101" i="11"/>
  <c r="Y101" i="11" s="1"/>
  <c r="P101" i="11" s="1"/>
  <c r="H101" i="9" s="1"/>
  <c r="I101" i="9" s="1"/>
  <c r="U101" i="11"/>
  <c r="AH101" i="13"/>
  <c r="AF101" i="13"/>
  <c r="AF104" i="13"/>
  <c r="T104" i="11"/>
  <c r="AH104" i="13"/>
  <c r="S104" i="11"/>
  <c r="Y104" i="11" s="1"/>
  <c r="P104" i="11" s="1"/>
  <c r="H104" i="9" s="1"/>
  <c r="I104" i="9" s="1"/>
  <c r="U104" i="11"/>
  <c r="P38" i="32"/>
  <c r="I38" i="32"/>
  <c r="I24" i="32"/>
  <c r="P24" i="32"/>
  <c r="K24" i="32" s="1"/>
  <c r="I42" i="32"/>
  <c r="P42" i="32"/>
  <c r="I27" i="32"/>
  <c r="P27" i="32"/>
  <c r="P31" i="32"/>
  <c r="I31" i="32"/>
  <c r="I39" i="32"/>
  <c r="P39" i="32"/>
  <c r="J55" i="32"/>
  <c r="K29" i="32" s="1"/>
  <c r="G56" i="32"/>
  <c r="P35" i="32"/>
  <c r="K35" i="32" s="1"/>
  <c r="I35" i="32"/>
  <c r="K36" i="32"/>
  <c r="P28" i="32"/>
  <c r="I28" i="32"/>
  <c r="P25" i="32"/>
  <c r="I25" i="32"/>
  <c r="R29" i="32"/>
  <c r="N30" i="41" l="1"/>
  <c r="AF82" i="14"/>
  <c r="M32" i="1"/>
  <c r="K32" i="1" s="1"/>
  <c r="L32" i="1" s="1"/>
  <c r="N31" i="1"/>
  <c r="P31" i="1"/>
  <c r="J83" i="41"/>
  <c r="M83" i="41" s="1"/>
  <c r="K83" i="41" s="1"/>
  <c r="W43" i="10"/>
  <c r="Q43" i="12" s="1"/>
  <c r="N34" i="1"/>
  <c r="Q31" i="1"/>
  <c r="I83" i="41"/>
  <c r="O83" i="41" s="1"/>
  <c r="T83" i="41" s="1"/>
  <c r="J34" i="1"/>
  <c r="M34" i="1" s="1"/>
  <c r="Q32" i="1"/>
  <c r="R32" i="1" s="1"/>
  <c r="P34" i="1"/>
  <c r="O32" i="1"/>
  <c r="T32" i="1" s="1"/>
  <c r="X31" i="1"/>
  <c r="X34" i="1"/>
  <c r="S32" i="1"/>
  <c r="V32" i="1"/>
  <c r="W32" i="1" s="1"/>
  <c r="U32" i="1"/>
  <c r="R31" i="1"/>
  <c r="O31" i="1"/>
  <c r="O34" i="1"/>
  <c r="T34" i="1" s="1"/>
  <c r="U34" i="1" s="1"/>
  <c r="O47" i="41"/>
  <c r="T47" i="41" s="1"/>
  <c r="U47" i="41" s="1"/>
  <c r="X111" i="13"/>
  <c r="X47" i="1"/>
  <c r="W36" i="10"/>
  <c r="X36" i="10" s="1"/>
  <c r="Y36" i="10" s="1"/>
  <c r="N47" i="1"/>
  <c r="Q48" i="1"/>
  <c r="R48" i="1" s="1"/>
  <c r="O48" i="1" s="1"/>
  <c r="K46" i="41"/>
  <c r="L46" i="41" s="1"/>
  <c r="Q46" i="41"/>
  <c r="R46" i="41" s="1"/>
  <c r="O46" i="41" s="1"/>
  <c r="O53" i="14"/>
  <c r="AC53" i="14" s="1"/>
  <c r="AO53" i="14" s="1"/>
  <c r="J47" i="1"/>
  <c r="M47" i="1" s="1"/>
  <c r="K47" i="1" s="1"/>
  <c r="I47" i="1"/>
  <c r="L48" i="1"/>
  <c r="V48" i="11"/>
  <c r="AB48" i="11" s="1"/>
  <c r="P48" i="11" s="1"/>
  <c r="X126" i="13"/>
  <c r="X83" i="41"/>
  <c r="X43" i="1"/>
  <c r="N114" i="13"/>
  <c r="X36" i="41"/>
  <c r="W84" i="9"/>
  <c r="X84" i="9" s="1"/>
  <c r="Y84" i="9" s="1"/>
  <c r="R43" i="11"/>
  <c r="N83" i="41"/>
  <c r="S83" i="41" s="1"/>
  <c r="X43" i="41"/>
  <c r="J43" i="41"/>
  <c r="M43" i="41" s="1"/>
  <c r="K43" i="41" s="1"/>
  <c r="U43" i="12" s="1"/>
  <c r="Z43" i="12" s="1"/>
  <c r="O43" i="12" s="1"/>
  <c r="H43" i="10" s="1"/>
  <c r="I43" i="10" s="1"/>
  <c r="J43" i="10" s="1"/>
  <c r="L43" i="10" s="1"/>
  <c r="M43" i="10" s="1"/>
  <c r="Q30" i="41"/>
  <c r="O30" i="41"/>
  <c r="T82" i="1"/>
  <c r="V82" i="1" s="1"/>
  <c r="W82" i="1" s="1"/>
  <c r="S82" i="1"/>
  <c r="K82" i="1"/>
  <c r="L82" i="1" s="1"/>
  <c r="U82" i="1"/>
  <c r="J43" i="1"/>
  <c r="M43" i="1" s="1"/>
  <c r="K43" i="1" s="1"/>
  <c r="W63" i="10"/>
  <c r="Q63" i="12" s="1"/>
  <c r="P39" i="13"/>
  <c r="P33" i="13"/>
  <c r="P32" i="13"/>
  <c r="P31" i="13"/>
  <c r="P37" i="13"/>
  <c r="P35" i="13"/>
  <c r="AE109" i="13"/>
  <c r="AG109" i="13" s="1"/>
  <c r="J85" i="1"/>
  <c r="M85" i="1" s="1"/>
  <c r="K85" i="1" s="1"/>
  <c r="L85" i="1" s="1"/>
  <c r="N87" i="1"/>
  <c r="P87" i="1"/>
  <c r="V80" i="11"/>
  <c r="W37" i="10"/>
  <c r="Q37" i="12" s="1"/>
  <c r="X37" i="41"/>
  <c r="K87" i="41"/>
  <c r="L87" i="41" s="1"/>
  <c r="Q87" i="41"/>
  <c r="R87" i="41" s="1"/>
  <c r="O87" i="41" s="1"/>
  <c r="T87" i="41" s="1"/>
  <c r="X85" i="1"/>
  <c r="R84" i="1"/>
  <c r="P30" i="1"/>
  <c r="J30" i="1"/>
  <c r="M30" i="1" s="1"/>
  <c r="K30" i="1" s="1"/>
  <c r="L30" i="1" s="1"/>
  <c r="O84" i="1"/>
  <c r="T84" i="1" s="1"/>
  <c r="V84" i="1" s="1"/>
  <c r="W84" i="1" s="1"/>
  <c r="R37" i="41"/>
  <c r="P37" i="41"/>
  <c r="N37" i="41"/>
  <c r="I36" i="41"/>
  <c r="O36" i="41" s="1"/>
  <c r="T36" i="41" s="1"/>
  <c r="U87" i="41"/>
  <c r="V87" i="41"/>
  <c r="W87" i="41" s="1"/>
  <c r="J37" i="41"/>
  <c r="M37" i="41" s="1"/>
  <c r="O37" i="41" s="1"/>
  <c r="T37" i="41" s="1"/>
  <c r="N36" i="41"/>
  <c r="Q85" i="1"/>
  <c r="U36" i="12"/>
  <c r="Z36" i="12" s="1"/>
  <c r="O36" i="12" s="1"/>
  <c r="O85" i="1"/>
  <c r="T85" i="1" s="1"/>
  <c r="V85" i="1" s="1"/>
  <c r="W85" i="1" s="1"/>
  <c r="U84" i="1"/>
  <c r="K84" i="1"/>
  <c r="L84" i="1" s="1"/>
  <c r="Q84" i="1"/>
  <c r="Y29" i="1"/>
  <c r="O87" i="1"/>
  <c r="Q87" i="1"/>
  <c r="U87" i="1"/>
  <c r="N30" i="1"/>
  <c r="AJ64" i="14"/>
  <c r="V87" i="11"/>
  <c r="AB87" i="11" s="1"/>
  <c r="P87" i="11" s="1"/>
  <c r="X87" i="1"/>
  <c r="O36" i="13"/>
  <c r="Y36" i="13" s="1"/>
  <c r="Z36" i="13" s="1"/>
  <c r="AA36" i="13" s="1"/>
  <c r="AB36" i="13" s="1"/>
  <c r="AC36" i="13" s="1"/>
  <c r="O38" i="13"/>
  <c r="Y38" i="13" s="1"/>
  <c r="Z38" i="13" s="1"/>
  <c r="AA38" i="13" s="1"/>
  <c r="AB38" i="13" s="1"/>
  <c r="AC38" i="13" s="1"/>
  <c r="O34" i="13"/>
  <c r="Y34" i="13" s="1"/>
  <c r="Z34" i="13" s="1"/>
  <c r="AA34" i="13" s="1"/>
  <c r="AB34" i="13" s="1"/>
  <c r="AC34" i="13" s="1"/>
  <c r="R45" i="11"/>
  <c r="R35" i="11"/>
  <c r="R42" i="11"/>
  <c r="AJ37" i="14"/>
  <c r="AH37" i="14"/>
  <c r="W47" i="10"/>
  <c r="X47" i="10" s="1"/>
  <c r="Y47" i="10" s="1"/>
  <c r="Q87" i="12"/>
  <c r="Q46" i="12"/>
  <c r="Q35" i="12"/>
  <c r="Q30" i="12"/>
  <c r="Q42" i="12"/>
  <c r="Q44" i="12"/>
  <c r="AE99" i="13"/>
  <c r="AG99" i="13" s="1"/>
  <c r="AA34" i="41"/>
  <c r="U34" i="12"/>
  <c r="AA33" i="41"/>
  <c r="U33" i="12"/>
  <c r="Z33" i="12" s="1"/>
  <c r="O33" i="12" s="1"/>
  <c r="P33" i="12" s="1"/>
  <c r="AG31" i="13"/>
  <c r="Y47" i="14"/>
  <c r="X116" i="13"/>
  <c r="AI85" i="13"/>
  <c r="N106" i="13"/>
  <c r="O106" i="13" s="1"/>
  <c r="Y106" i="13" s="1"/>
  <c r="Z106" i="13" s="1"/>
  <c r="AA106" i="13" s="1"/>
  <c r="AB106" i="13" s="1"/>
  <c r="AC106" i="13" s="1"/>
  <c r="AI82" i="13"/>
  <c r="X37" i="1"/>
  <c r="N100" i="13"/>
  <c r="O100" i="13" s="1"/>
  <c r="Y100" i="13" s="1"/>
  <c r="Z100" i="13" s="1"/>
  <c r="AA100" i="13" s="1"/>
  <c r="AB100" i="13" s="1"/>
  <c r="AC100" i="13" s="1"/>
  <c r="V92" i="11"/>
  <c r="AB92" i="11" s="1"/>
  <c r="P92" i="11" s="1"/>
  <c r="Q92" i="11" s="1"/>
  <c r="V38" i="11"/>
  <c r="AB37" i="11"/>
  <c r="P37" i="11" s="1"/>
  <c r="Q37" i="11" s="1"/>
  <c r="V37" i="11"/>
  <c r="V31" i="11"/>
  <c r="AB31" i="11" s="1"/>
  <c r="P31" i="11" s="1"/>
  <c r="Q31" i="11" s="1"/>
  <c r="AB36" i="11"/>
  <c r="P36" i="11" s="1"/>
  <c r="Q36" i="11" s="1"/>
  <c r="V36" i="11"/>
  <c r="Q53" i="11"/>
  <c r="H53" i="9"/>
  <c r="I53" i="9" s="1"/>
  <c r="J53" i="9" s="1"/>
  <c r="L53" i="9" s="1"/>
  <c r="M53" i="9" s="1"/>
  <c r="R56" i="11"/>
  <c r="R49" i="11"/>
  <c r="R54" i="11"/>
  <c r="X29" i="13"/>
  <c r="N119" i="13"/>
  <c r="O119" i="13" s="1"/>
  <c r="Y119" i="13" s="1"/>
  <c r="Z119" i="13" s="1"/>
  <c r="AA119" i="13" s="1"/>
  <c r="AB119" i="13" s="1"/>
  <c r="AC119" i="13" s="1"/>
  <c r="N121" i="13"/>
  <c r="P121" i="13" s="1"/>
  <c r="N97" i="13"/>
  <c r="O97" i="13" s="1"/>
  <c r="Y97" i="13" s="1"/>
  <c r="Z97" i="13" s="1"/>
  <c r="AA97" i="13" s="1"/>
  <c r="AB97" i="13" s="1"/>
  <c r="AC97" i="13" s="1"/>
  <c r="N125" i="13"/>
  <c r="O125" i="13" s="1"/>
  <c r="Y125" i="13" s="1"/>
  <c r="Z125" i="13" s="1"/>
  <c r="AA125" i="13" s="1"/>
  <c r="AB125" i="13" s="1"/>
  <c r="AC125" i="13" s="1"/>
  <c r="N124" i="13"/>
  <c r="O124" i="13" s="1"/>
  <c r="Y124" i="13" s="1"/>
  <c r="Z124" i="13" s="1"/>
  <c r="AA124" i="13" s="1"/>
  <c r="AB124" i="13" s="1"/>
  <c r="AC124" i="13" s="1"/>
  <c r="X122" i="13"/>
  <c r="N122" i="13"/>
  <c r="O122" i="13" s="1"/>
  <c r="Y122" i="13" s="1"/>
  <c r="Z122" i="13" s="1"/>
  <c r="AA122" i="13" s="1"/>
  <c r="AB122" i="13" s="1"/>
  <c r="AC122" i="13" s="1"/>
  <c r="AE101" i="13"/>
  <c r="AG101" i="13" s="1"/>
  <c r="O88" i="14"/>
  <c r="P88" i="14" s="1"/>
  <c r="Z88" i="14" s="1"/>
  <c r="AA88" i="14" s="1"/>
  <c r="AB88" i="14" s="1"/>
  <c r="AC88" i="14" s="1"/>
  <c r="Y88" i="14"/>
  <c r="X101" i="13"/>
  <c r="X96" i="13"/>
  <c r="N29" i="13"/>
  <c r="O49" i="12"/>
  <c r="H49" i="10" s="1"/>
  <c r="I49" i="10" s="1"/>
  <c r="J49" i="10" s="1"/>
  <c r="L49" i="10" s="1"/>
  <c r="M49" i="10" s="1"/>
  <c r="P37" i="14"/>
  <c r="Z37" i="14" s="1"/>
  <c r="AA37" i="14" s="1"/>
  <c r="AB37" i="14" s="1"/>
  <c r="AC37" i="14" s="1"/>
  <c r="AO37" i="14" s="1"/>
  <c r="X95" i="13"/>
  <c r="X48" i="41"/>
  <c r="P64" i="14"/>
  <c r="Z64" i="14" s="1"/>
  <c r="AA64" i="14" s="1"/>
  <c r="AB64" i="14" s="1"/>
  <c r="AC64" i="14"/>
  <c r="AO64" i="14" s="1"/>
  <c r="AN68" i="14"/>
  <c r="AC68" i="14"/>
  <c r="AO68" i="14" s="1"/>
  <c r="AE96" i="13"/>
  <c r="AI96" i="13" s="1"/>
  <c r="AD64" i="14"/>
  <c r="Q64" i="14"/>
  <c r="AF47" i="14"/>
  <c r="AJ47" i="14" s="1"/>
  <c r="O31" i="12"/>
  <c r="O32" i="12"/>
  <c r="O82" i="12"/>
  <c r="H61" i="10"/>
  <c r="I61" i="10" s="1"/>
  <c r="J61" i="10" s="1"/>
  <c r="L61" i="10" s="1"/>
  <c r="M61" i="10" s="1"/>
  <c r="P77" i="12"/>
  <c r="H77" i="10"/>
  <c r="I77" i="10" s="1"/>
  <c r="J77" i="10" s="1"/>
  <c r="L77" i="10" s="1"/>
  <c r="M77" i="10" s="1"/>
  <c r="O66" i="12"/>
  <c r="O64" i="12"/>
  <c r="P61" i="12"/>
  <c r="O69" i="12"/>
  <c r="O65" i="12"/>
  <c r="O68" i="12"/>
  <c r="O63" i="12"/>
  <c r="H63" i="10" s="1"/>
  <c r="I63" i="10" s="1"/>
  <c r="J63" i="10" s="1"/>
  <c r="L63" i="10" s="1"/>
  <c r="M63" i="10" s="1"/>
  <c r="J50" i="10"/>
  <c r="L50" i="10" s="1"/>
  <c r="M50" i="10" s="1"/>
  <c r="AD62" i="14"/>
  <c r="P62" i="14"/>
  <c r="Z62" i="14" s="1"/>
  <c r="AA62" i="14" s="1"/>
  <c r="AB62" i="14" s="1"/>
  <c r="Q62" i="14"/>
  <c r="P66" i="14"/>
  <c r="Z66" i="14" s="1"/>
  <c r="AA66" i="14" s="1"/>
  <c r="AB66" i="14" s="1"/>
  <c r="Q66" i="14"/>
  <c r="AD66" i="14"/>
  <c r="AD63" i="14"/>
  <c r="P63" i="14"/>
  <c r="Z63" i="14" s="1"/>
  <c r="AA63" i="14" s="1"/>
  <c r="AB63" i="14" s="1"/>
  <c r="Q63" i="14"/>
  <c r="O67" i="12"/>
  <c r="H56" i="10" s="1"/>
  <c r="I56" i="10" s="1"/>
  <c r="J56" i="10" s="1"/>
  <c r="L56" i="10" s="1"/>
  <c r="M56" i="10" s="1"/>
  <c r="P65" i="14"/>
  <c r="Z65" i="14" s="1"/>
  <c r="AA65" i="14" s="1"/>
  <c r="AB65" i="14" s="1"/>
  <c r="Q65" i="14"/>
  <c r="AD65" i="14"/>
  <c r="AD68" i="14"/>
  <c r="P68" i="14"/>
  <c r="Z68" i="14" s="1"/>
  <c r="AA68" i="14" s="1"/>
  <c r="AB68" i="14" s="1"/>
  <c r="Q68" i="14"/>
  <c r="P67" i="14"/>
  <c r="Z67" i="14" s="1"/>
  <c r="AA67" i="14" s="1"/>
  <c r="AB67" i="14" s="1"/>
  <c r="AD67" i="14"/>
  <c r="Q67" i="14"/>
  <c r="O62" i="12"/>
  <c r="H51" i="10" s="1"/>
  <c r="I51" i="10" s="1"/>
  <c r="J51" i="10" s="1"/>
  <c r="L51" i="10" s="1"/>
  <c r="M51" i="10" s="1"/>
  <c r="X47" i="41"/>
  <c r="Y34" i="14"/>
  <c r="AF34" i="14"/>
  <c r="AJ34" i="14" s="1"/>
  <c r="U45" i="12"/>
  <c r="P53" i="14"/>
  <c r="Z53" i="14" s="1"/>
  <c r="AA53" i="14" s="1"/>
  <c r="AB53" i="14" s="1"/>
  <c r="AD53" i="14"/>
  <c r="Y51" i="14"/>
  <c r="O51" i="14"/>
  <c r="AC51" i="14" s="1"/>
  <c r="AO51" i="14" s="1"/>
  <c r="P49" i="14"/>
  <c r="Z49" i="14" s="1"/>
  <c r="AA49" i="14" s="1"/>
  <c r="AB49" i="14" s="1"/>
  <c r="AC49" i="14" s="1"/>
  <c r="AO49" i="14" s="1"/>
  <c r="Y52" i="14"/>
  <c r="O52" i="14"/>
  <c r="AC52" i="14" s="1"/>
  <c r="AO52" i="14" s="1"/>
  <c r="Y54" i="14"/>
  <c r="O54" i="14"/>
  <c r="AC54" i="14" s="1"/>
  <c r="AO54" i="14" s="1"/>
  <c r="O57" i="14"/>
  <c r="AC57" i="14" s="1"/>
  <c r="AO57" i="14" s="1"/>
  <c r="Y57" i="14"/>
  <c r="O56" i="14"/>
  <c r="AC56" i="14" s="1"/>
  <c r="AO56" i="14" s="1"/>
  <c r="Y56" i="14"/>
  <c r="P50" i="14"/>
  <c r="Z50" i="14" s="1"/>
  <c r="AA50" i="14" s="1"/>
  <c r="AB50" i="14" s="1"/>
  <c r="AC50" i="14" s="1"/>
  <c r="AO50" i="14" s="1"/>
  <c r="Y55" i="14"/>
  <c r="O55" i="14"/>
  <c r="AC55" i="14" s="1"/>
  <c r="AO55" i="14" s="1"/>
  <c r="X46" i="41"/>
  <c r="X87" i="41"/>
  <c r="X89" i="41"/>
  <c r="W81" i="10"/>
  <c r="R80" i="41"/>
  <c r="O80" i="41"/>
  <c r="S80" i="41" s="1"/>
  <c r="O80" i="12"/>
  <c r="P80" i="12" s="1"/>
  <c r="AN65" i="14"/>
  <c r="AN66" i="14"/>
  <c r="AN61" i="14"/>
  <c r="AN64" i="14"/>
  <c r="Q80" i="41"/>
  <c r="L80" i="41"/>
  <c r="AA80" i="41" s="1"/>
  <c r="O86" i="12"/>
  <c r="P86" i="12" s="1"/>
  <c r="P42" i="12"/>
  <c r="Q62" i="11"/>
  <c r="O84" i="12"/>
  <c r="P84" i="12" s="1"/>
  <c r="AF40" i="14"/>
  <c r="AJ40" i="14" s="1"/>
  <c r="O40" i="14"/>
  <c r="P40" i="14" s="1"/>
  <c r="X81" i="41"/>
  <c r="AE84" i="13"/>
  <c r="AG84" i="13" s="1"/>
  <c r="X41" i="41"/>
  <c r="X38" i="41"/>
  <c r="AF80" i="14"/>
  <c r="AJ80" i="14" s="1"/>
  <c r="Y80" i="14"/>
  <c r="X84" i="13"/>
  <c r="J128" i="9"/>
  <c r="L128" i="9" s="1"/>
  <c r="M128" i="9" s="1"/>
  <c r="J121" i="9"/>
  <c r="L121" i="9" s="1"/>
  <c r="M121" i="9" s="1"/>
  <c r="AH64" i="14"/>
  <c r="R87" i="11"/>
  <c r="R91" i="11"/>
  <c r="AF28" i="14"/>
  <c r="AH28" i="14" s="1"/>
  <c r="O28" i="14"/>
  <c r="P28" i="14" s="1"/>
  <c r="AH88" i="14"/>
  <c r="AJ88" i="14"/>
  <c r="AF86" i="14"/>
  <c r="AJ86" i="14" s="1"/>
  <c r="O86" i="14"/>
  <c r="P86" i="14" s="1"/>
  <c r="N82" i="13"/>
  <c r="O82" i="13" s="1"/>
  <c r="Y82" i="13" s="1"/>
  <c r="Z82" i="13" s="1"/>
  <c r="AA82" i="13" s="1"/>
  <c r="AB82" i="13" s="1"/>
  <c r="AC82" i="13" s="1"/>
  <c r="Y30" i="14"/>
  <c r="O30" i="14"/>
  <c r="P30" i="14" s="1"/>
  <c r="AF35" i="14"/>
  <c r="AH35" i="14" s="1"/>
  <c r="O35" i="14"/>
  <c r="P35" i="14" s="1"/>
  <c r="AF31" i="14"/>
  <c r="AH31" i="14" s="1"/>
  <c r="O31" i="14"/>
  <c r="P31" i="14" s="1"/>
  <c r="AF29" i="14"/>
  <c r="AH29" i="14" s="1"/>
  <c r="O29" i="14"/>
  <c r="P29" i="14" s="1"/>
  <c r="AF85" i="14"/>
  <c r="AH85" i="14" s="1"/>
  <c r="O85" i="14"/>
  <c r="AF33" i="14"/>
  <c r="AH33" i="14" s="1"/>
  <c r="O33" i="14"/>
  <c r="P33" i="14" s="1"/>
  <c r="X62" i="13"/>
  <c r="AF83" i="14"/>
  <c r="AJ83" i="14" s="1"/>
  <c r="O83" i="14"/>
  <c r="X32" i="1"/>
  <c r="AB38" i="11"/>
  <c r="P38" i="11" s="1"/>
  <c r="Q38" i="11" s="1"/>
  <c r="AF67" i="14"/>
  <c r="AJ67" i="14" s="1"/>
  <c r="AF45" i="14"/>
  <c r="AJ45" i="14" s="1"/>
  <c r="O45" i="14"/>
  <c r="P45" i="14" s="1"/>
  <c r="Y46" i="14"/>
  <c r="O46" i="14"/>
  <c r="P46" i="14" s="1"/>
  <c r="Y44" i="14"/>
  <c r="O44" i="14"/>
  <c r="P44" i="14" s="1"/>
  <c r="N102" i="13"/>
  <c r="O102" i="13" s="1"/>
  <c r="Y102" i="13" s="1"/>
  <c r="Z102" i="13" s="1"/>
  <c r="AA102" i="13" s="1"/>
  <c r="AB102" i="13" s="1"/>
  <c r="AC102" i="13" s="1"/>
  <c r="N120" i="13"/>
  <c r="AK120" i="13" s="1"/>
  <c r="AL120" i="13" s="1"/>
  <c r="AM120" i="13" s="1"/>
  <c r="X112" i="13"/>
  <c r="N104" i="13"/>
  <c r="O104" i="13" s="1"/>
  <c r="Y104" i="13" s="1"/>
  <c r="Z104" i="13" s="1"/>
  <c r="AA104" i="13" s="1"/>
  <c r="AB104" i="13" s="1"/>
  <c r="AC104" i="13" s="1"/>
  <c r="X108" i="13"/>
  <c r="P91" i="11"/>
  <c r="Q91" i="11" s="1"/>
  <c r="N107" i="13"/>
  <c r="O107" i="13" s="1"/>
  <c r="Y107" i="13" s="1"/>
  <c r="Z107" i="13" s="1"/>
  <c r="AA107" i="13" s="1"/>
  <c r="AB107" i="13" s="1"/>
  <c r="AC107" i="13" s="1"/>
  <c r="AE91" i="13"/>
  <c r="AI91" i="13" s="1"/>
  <c r="X91" i="13"/>
  <c r="AE121" i="13"/>
  <c r="AG121" i="13" s="1"/>
  <c r="X109" i="13"/>
  <c r="AE87" i="13"/>
  <c r="AG87" i="13" s="1"/>
  <c r="X92" i="13"/>
  <c r="X87" i="13"/>
  <c r="N115" i="13"/>
  <c r="O115" i="13" s="1"/>
  <c r="Y115" i="13" s="1"/>
  <c r="Z115" i="13" s="1"/>
  <c r="AA115" i="13" s="1"/>
  <c r="AB115" i="13" s="1"/>
  <c r="AC115" i="13" s="1"/>
  <c r="N98" i="13"/>
  <c r="AE105" i="13"/>
  <c r="AI105" i="13" s="1"/>
  <c r="X105" i="13"/>
  <c r="AE117" i="13"/>
  <c r="AI117" i="13" s="1"/>
  <c r="X117" i="13"/>
  <c r="N92" i="13"/>
  <c r="AK92" i="13" s="1"/>
  <c r="AL92" i="13" s="1"/>
  <c r="AM92" i="13" s="1"/>
  <c r="X123" i="13"/>
  <c r="N123" i="13"/>
  <c r="AK123" i="13" s="1"/>
  <c r="AL123" i="13" s="1"/>
  <c r="AE107" i="13"/>
  <c r="AG107" i="13" s="1"/>
  <c r="X82" i="13"/>
  <c r="N86" i="13"/>
  <c r="X86" i="13"/>
  <c r="AE88" i="13"/>
  <c r="AI88" i="13" s="1"/>
  <c r="X88" i="13"/>
  <c r="N78" i="13"/>
  <c r="AB78" i="13" s="1"/>
  <c r="W40" i="10"/>
  <c r="O85" i="13"/>
  <c r="Y85" i="13" s="1"/>
  <c r="Z85" i="13" s="1"/>
  <c r="AA85" i="13" s="1"/>
  <c r="AB85" i="13" s="1"/>
  <c r="AC85" i="13" s="1"/>
  <c r="O84" i="13"/>
  <c r="Y84" i="13" s="1"/>
  <c r="Z84" i="13" s="1"/>
  <c r="AA84" i="13" s="1"/>
  <c r="AB84" i="13" s="1"/>
  <c r="AC84" i="13" s="1"/>
  <c r="Q77" i="11"/>
  <c r="Q71" i="11"/>
  <c r="N77" i="13"/>
  <c r="O77" i="13" s="1"/>
  <c r="Y77" i="13" s="1"/>
  <c r="Z77" i="13" s="1"/>
  <c r="AA77" i="13" s="1"/>
  <c r="Q117" i="11"/>
  <c r="X30" i="41"/>
  <c r="O80" i="1"/>
  <c r="T80" i="1" s="1"/>
  <c r="V80" i="1" s="1"/>
  <c r="W80" i="1" s="1"/>
  <c r="N74" i="13"/>
  <c r="AB74" i="13" s="1"/>
  <c r="H74" i="9"/>
  <c r="I74" i="9" s="1"/>
  <c r="J74" i="9" s="1"/>
  <c r="L74" i="9" s="1"/>
  <c r="M74" i="9" s="1"/>
  <c r="P91" i="12"/>
  <c r="H91" i="10"/>
  <c r="I91" i="10" s="1"/>
  <c r="J90" i="10"/>
  <c r="L90" i="10" s="1"/>
  <c r="M90" i="10" s="1"/>
  <c r="AB83" i="11"/>
  <c r="P83" i="11" s="1"/>
  <c r="H83" i="9" s="1"/>
  <c r="I83" i="9" s="1"/>
  <c r="AI44" i="13"/>
  <c r="J117" i="9"/>
  <c r="L117" i="9" s="1"/>
  <c r="M117" i="9" s="1"/>
  <c r="X69" i="13"/>
  <c r="X88" i="10"/>
  <c r="Y88" i="10" s="1"/>
  <c r="AE83" i="13"/>
  <c r="AG83" i="13" s="1"/>
  <c r="Q70" i="11"/>
  <c r="N128" i="13"/>
  <c r="O128" i="13" s="1"/>
  <c r="Y128" i="13" s="1"/>
  <c r="Z128" i="13" s="1"/>
  <c r="AA128" i="13" s="1"/>
  <c r="AB128" i="13" s="1"/>
  <c r="AC128" i="13" s="1"/>
  <c r="N103" i="13"/>
  <c r="O103" i="13" s="1"/>
  <c r="Y103" i="13" s="1"/>
  <c r="Z103" i="13" s="1"/>
  <c r="AA103" i="13" s="1"/>
  <c r="AB103" i="13" s="1"/>
  <c r="AC103" i="13" s="1"/>
  <c r="X110" i="13"/>
  <c r="X129" i="13"/>
  <c r="X99" i="13"/>
  <c r="AE95" i="13"/>
  <c r="AI95" i="13" s="1"/>
  <c r="Q58" i="11"/>
  <c r="AF44" i="14"/>
  <c r="AJ44" i="14" s="1"/>
  <c r="X73" i="13"/>
  <c r="X63" i="13"/>
  <c r="X70" i="13"/>
  <c r="X33" i="1"/>
  <c r="AG82" i="13"/>
  <c r="AG85" i="13"/>
  <c r="N66" i="13"/>
  <c r="AC66" i="13" s="1"/>
  <c r="AL37" i="14"/>
  <c r="AM37" i="14" s="1"/>
  <c r="AN37" i="14" s="1"/>
  <c r="AL34" i="14"/>
  <c r="AM34" i="14" s="1"/>
  <c r="AN34" i="14" s="1"/>
  <c r="Z34" i="14"/>
  <c r="AA34" i="14" s="1"/>
  <c r="AB34" i="14" s="1"/>
  <c r="AC34" i="14" s="1"/>
  <c r="AO34" i="14" s="1"/>
  <c r="Q80" i="1"/>
  <c r="U80" i="1"/>
  <c r="R80" i="1"/>
  <c r="N61" i="13"/>
  <c r="AB61" i="13" s="1"/>
  <c r="H78" i="9"/>
  <c r="I78" i="9" s="1"/>
  <c r="J78" i="9" s="1"/>
  <c r="L78" i="9" s="1"/>
  <c r="M78" i="9" s="1"/>
  <c r="Q61" i="11"/>
  <c r="X40" i="1"/>
  <c r="X68" i="13"/>
  <c r="AB80" i="11"/>
  <c r="P80" i="11" s="1"/>
  <c r="H80" i="9" s="1"/>
  <c r="I80" i="9" s="1"/>
  <c r="X30" i="13"/>
  <c r="N30" i="13"/>
  <c r="O30" i="13" s="1"/>
  <c r="Y30" i="13" s="1"/>
  <c r="Z30" i="13" s="1"/>
  <c r="AA30" i="13" s="1"/>
  <c r="AB30" i="13" s="1"/>
  <c r="AO30" i="13" s="1"/>
  <c r="AI29" i="13"/>
  <c r="X67" i="13"/>
  <c r="X71" i="13"/>
  <c r="J70" i="9"/>
  <c r="L70" i="9" s="1"/>
  <c r="M70" i="9" s="1"/>
  <c r="X76" i="13"/>
  <c r="K29" i="41"/>
  <c r="Q29" i="41"/>
  <c r="P29" i="41"/>
  <c r="P93" i="11"/>
  <c r="Q93" i="11" s="1"/>
  <c r="P94" i="11"/>
  <c r="Q94" i="11" s="1"/>
  <c r="W38" i="10"/>
  <c r="Q38" i="12" s="1"/>
  <c r="W39" i="10"/>
  <c r="Q39" i="12" s="1"/>
  <c r="Q95" i="11"/>
  <c r="H95" i="9"/>
  <c r="I95" i="9" s="1"/>
  <c r="W93" i="9"/>
  <c r="X93" i="9" s="1"/>
  <c r="Y93" i="9" s="1"/>
  <c r="AI40" i="13"/>
  <c r="N59" i="13"/>
  <c r="O59" i="13" s="1"/>
  <c r="Y59" i="13" s="1"/>
  <c r="Z59" i="13" s="1"/>
  <c r="AA59" i="13" s="1"/>
  <c r="AE93" i="13"/>
  <c r="AI93" i="13" s="1"/>
  <c r="N75" i="13"/>
  <c r="AC75" i="13" s="1"/>
  <c r="U38" i="12"/>
  <c r="N90" i="13"/>
  <c r="AK90" i="13" s="1"/>
  <c r="AL90" i="13" s="1"/>
  <c r="AM90" i="13" s="1"/>
  <c r="AE90" i="13"/>
  <c r="AG90" i="13" s="1"/>
  <c r="X89" i="13"/>
  <c r="P86" i="11"/>
  <c r="H86" i="9" s="1"/>
  <c r="I86" i="9" s="1"/>
  <c r="X30" i="1"/>
  <c r="AF87" i="14"/>
  <c r="AH87" i="14" s="1"/>
  <c r="Y87" i="14"/>
  <c r="AF38" i="14"/>
  <c r="AJ38" i="14" s="1"/>
  <c r="Y38" i="14"/>
  <c r="R92" i="11"/>
  <c r="N89" i="13"/>
  <c r="AK89" i="13" s="1"/>
  <c r="AL89" i="13" s="1"/>
  <c r="AM89" i="13" s="1"/>
  <c r="R88" i="11"/>
  <c r="R81" i="11"/>
  <c r="X40" i="13"/>
  <c r="X39" i="1"/>
  <c r="AE39" i="13"/>
  <c r="AI39" i="13" s="1"/>
  <c r="W67" i="10"/>
  <c r="AF46" i="14"/>
  <c r="AH46" i="14" s="1"/>
  <c r="N65" i="13"/>
  <c r="AB65" i="13" s="1"/>
  <c r="N113" i="13"/>
  <c r="P113" i="13" s="1"/>
  <c r="N81" i="13"/>
  <c r="X127" i="13"/>
  <c r="H65" i="9"/>
  <c r="I65" i="9" s="1"/>
  <c r="J65" i="9" s="1"/>
  <c r="L65" i="9" s="1"/>
  <c r="M65" i="9" s="1"/>
  <c r="X72" i="13"/>
  <c r="N127" i="13"/>
  <c r="O127" i="13" s="1"/>
  <c r="Y127" i="13" s="1"/>
  <c r="Z127" i="13" s="1"/>
  <c r="AA127" i="13" s="1"/>
  <c r="AB127" i="13" s="1"/>
  <c r="AC127" i="13" s="1"/>
  <c r="N60" i="13"/>
  <c r="AB60" i="13" s="1"/>
  <c r="G31" i="5"/>
  <c r="J31" i="5" s="1"/>
  <c r="L31" i="5"/>
  <c r="E32" i="5"/>
  <c r="J126" i="9"/>
  <c r="L126" i="9" s="1"/>
  <c r="M126" i="9" s="1"/>
  <c r="X44" i="13"/>
  <c r="AI89" i="13"/>
  <c r="AG89" i="13"/>
  <c r="N64" i="13"/>
  <c r="P64" i="13" s="1"/>
  <c r="K53" i="6"/>
  <c r="K28" i="32"/>
  <c r="K33" i="32"/>
  <c r="L120" i="9"/>
  <c r="M120" i="9" s="1"/>
  <c r="X83" i="9"/>
  <c r="Y83" i="9" s="1"/>
  <c r="N44" i="13"/>
  <c r="AK44" i="13" s="1"/>
  <c r="AL44" i="13" s="1"/>
  <c r="AM44" i="13" s="1"/>
  <c r="J127" i="9"/>
  <c r="L127" i="9" s="1"/>
  <c r="M127" i="9" s="1"/>
  <c r="X39" i="41"/>
  <c r="W89" i="9"/>
  <c r="J33" i="6"/>
  <c r="J44" i="6"/>
  <c r="J43" i="6"/>
  <c r="J25" i="6"/>
  <c r="J47" i="6"/>
  <c r="J42" i="6"/>
  <c r="J45" i="6"/>
  <c r="J35" i="6"/>
  <c r="J49" i="6"/>
  <c r="J26" i="6"/>
  <c r="J36" i="6"/>
  <c r="J28" i="6"/>
  <c r="J30" i="6"/>
  <c r="J41" i="6"/>
  <c r="E25" i="4"/>
  <c r="E33" i="4" s="1"/>
  <c r="J29" i="6"/>
  <c r="J40" i="6"/>
  <c r="J37" i="6"/>
  <c r="J39" i="6"/>
  <c r="J27" i="6"/>
  <c r="J38" i="6"/>
  <c r="J32" i="6"/>
  <c r="J31" i="6"/>
  <c r="J34" i="6"/>
  <c r="W82" i="9"/>
  <c r="W86" i="9"/>
  <c r="K42" i="32"/>
  <c r="L122" i="9"/>
  <c r="M122" i="9" s="1"/>
  <c r="L115" i="9"/>
  <c r="M115" i="9" s="1"/>
  <c r="Q88" i="10"/>
  <c r="R88" i="10" s="1"/>
  <c r="Q128" i="11"/>
  <c r="U39" i="12"/>
  <c r="W90" i="9"/>
  <c r="W85" i="9"/>
  <c r="AG40" i="13"/>
  <c r="N40" i="13"/>
  <c r="AK40" i="13" s="1"/>
  <c r="AL40" i="13" s="1"/>
  <c r="AG86" i="13"/>
  <c r="AI86" i="13"/>
  <c r="O117" i="13"/>
  <c r="Y117" i="13" s="1"/>
  <c r="Z117" i="13" s="1"/>
  <c r="AA117" i="13" s="1"/>
  <c r="AB117" i="13"/>
  <c r="AC117" i="13" s="1"/>
  <c r="P117" i="13"/>
  <c r="O95" i="13"/>
  <c r="Y95" i="13" s="1"/>
  <c r="Z95" i="13" s="1"/>
  <c r="AA95" i="13" s="1"/>
  <c r="AB95" i="13" s="1"/>
  <c r="AC95" i="13" s="1"/>
  <c r="AK95" i="13"/>
  <c r="AL95" i="13" s="1"/>
  <c r="AM95" i="13" s="1"/>
  <c r="O88" i="13"/>
  <c r="Y88" i="13" s="1"/>
  <c r="Z88" i="13" s="1"/>
  <c r="AA88" i="13" s="1"/>
  <c r="AB88" i="13" s="1"/>
  <c r="AC88" i="13" s="1"/>
  <c r="AK88" i="13"/>
  <c r="AL88" i="13" s="1"/>
  <c r="AM88" i="13" s="1"/>
  <c r="O118" i="13"/>
  <c r="Y118" i="13" s="1"/>
  <c r="Z118" i="13" s="1"/>
  <c r="AA118" i="13" s="1"/>
  <c r="AB118" i="13" s="1"/>
  <c r="AC118" i="13" s="1"/>
  <c r="P118" i="13"/>
  <c r="AK117" i="13"/>
  <c r="AL117" i="13" s="1"/>
  <c r="AM117" i="13" s="1"/>
  <c r="AI92" i="13"/>
  <c r="AG92" i="13"/>
  <c r="AI94" i="13"/>
  <c r="O112" i="13"/>
  <c r="Y112" i="13" s="1"/>
  <c r="Z112" i="13" s="1"/>
  <c r="AA112" i="13" s="1"/>
  <c r="AB112" i="13" s="1"/>
  <c r="AC112" i="13" s="1"/>
  <c r="P112" i="13"/>
  <c r="O129" i="13"/>
  <c r="Y129" i="13" s="1"/>
  <c r="Z129" i="13" s="1"/>
  <c r="AA129" i="13" s="1"/>
  <c r="AB129" i="13" s="1"/>
  <c r="AC129" i="13" s="1"/>
  <c r="P129" i="13"/>
  <c r="AK83" i="13"/>
  <c r="AL83" i="13" s="1"/>
  <c r="AM83" i="13" s="1"/>
  <c r="O110" i="13"/>
  <c r="Y110" i="13" s="1"/>
  <c r="Z110" i="13" s="1"/>
  <c r="AA110" i="13" s="1"/>
  <c r="AB110" i="13" s="1"/>
  <c r="AC110" i="13" s="1"/>
  <c r="P110" i="13"/>
  <c r="O101" i="13"/>
  <c r="Y101" i="13" s="1"/>
  <c r="Z101" i="13" s="1"/>
  <c r="AA101" i="13" s="1"/>
  <c r="AB101" i="13" s="1"/>
  <c r="AC101" i="13" s="1"/>
  <c r="O111" i="13"/>
  <c r="Y111" i="13" s="1"/>
  <c r="Z111" i="13" s="1"/>
  <c r="AA111" i="13" s="1"/>
  <c r="AB111" i="13" s="1"/>
  <c r="AC111" i="13" s="1"/>
  <c r="P111" i="13"/>
  <c r="AK85" i="13"/>
  <c r="AL85" i="13" s="1"/>
  <c r="AM85" i="13" s="1"/>
  <c r="O126" i="13"/>
  <c r="Y126" i="13" s="1"/>
  <c r="Z126" i="13" s="1"/>
  <c r="AA126" i="13" s="1"/>
  <c r="AB126" i="13" s="1"/>
  <c r="AC126" i="13" s="1"/>
  <c r="P126" i="13"/>
  <c r="AK94" i="13"/>
  <c r="AL94" i="13" s="1"/>
  <c r="AM94" i="13" s="1"/>
  <c r="O62" i="13"/>
  <c r="Y62" i="13" s="1"/>
  <c r="Z62" i="13" s="1"/>
  <c r="AA62" i="13" s="1"/>
  <c r="AB62" i="13"/>
  <c r="P62" i="13"/>
  <c r="AC62" i="13"/>
  <c r="O116" i="13"/>
  <c r="Y116" i="13" s="1"/>
  <c r="Z116" i="13" s="1"/>
  <c r="AA116" i="13" s="1"/>
  <c r="P116" i="13"/>
  <c r="AB116" i="13"/>
  <c r="AC116" i="13" s="1"/>
  <c r="AG94" i="13"/>
  <c r="Y85" i="14"/>
  <c r="O105" i="13"/>
  <c r="Y105" i="13" s="1"/>
  <c r="Z105" i="13" s="1"/>
  <c r="AA105" i="13" s="1"/>
  <c r="AB105" i="13" s="1"/>
  <c r="AC105" i="13" s="1"/>
  <c r="P105" i="13"/>
  <c r="O91" i="13"/>
  <c r="Y91" i="13" s="1"/>
  <c r="Z91" i="13" s="1"/>
  <c r="AA91" i="13" s="1"/>
  <c r="AB91" i="13" s="1"/>
  <c r="AC91" i="13" s="1"/>
  <c r="AK91" i="13"/>
  <c r="AL91" i="13" s="1"/>
  <c r="AM91" i="13" s="1"/>
  <c r="O114" i="13"/>
  <c r="Y114" i="13" s="1"/>
  <c r="Z114" i="13" s="1"/>
  <c r="AA114" i="13" s="1"/>
  <c r="AB114" i="13" s="1"/>
  <c r="AC114" i="13" s="1"/>
  <c r="P114" i="13"/>
  <c r="AK84" i="13"/>
  <c r="AL84" i="13" s="1"/>
  <c r="AM84" i="13" s="1"/>
  <c r="AB68" i="13"/>
  <c r="O68" i="13"/>
  <c r="Y68" i="13" s="1"/>
  <c r="Z68" i="13" s="1"/>
  <c r="AA68" i="13" s="1"/>
  <c r="P68" i="13"/>
  <c r="AC68" i="13"/>
  <c r="O63" i="13"/>
  <c r="Y63" i="13" s="1"/>
  <c r="Z63" i="13" s="1"/>
  <c r="AA63" i="13" s="1"/>
  <c r="P63" i="13"/>
  <c r="AC63" i="13"/>
  <c r="AB63" i="13"/>
  <c r="O96" i="13"/>
  <c r="Y96" i="13" s="1"/>
  <c r="Z96" i="13" s="1"/>
  <c r="AA96" i="13" s="1"/>
  <c r="AB96" i="13" s="1"/>
  <c r="AC96" i="13" s="1"/>
  <c r="AK96" i="13"/>
  <c r="AL96" i="13" s="1"/>
  <c r="AM96" i="13" s="1"/>
  <c r="O87" i="13"/>
  <c r="Y87" i="13" s="1"/>
  <c r="Z87" i="13" s="1"/>
  <c r="AA87" i="13" s="1"/>
  <c r="AB87" i="13" s="1"/>
  <c r="AC87" i="13" s="1"/>
  <c r="AK87" i="13"/>
  <c r="AL87" i="13" s="1"/>
  <c r="AM87" i="13" s="1"/>
  <c r="O73" i="13"/>
  <c r="Y73" i="13" s="1"/>
  <c r="Z73" i="13" s="1"/>
  <c r="AA73" i="13" s="1"/>
  <c r="AC73" i="13"/>
  <c r="P73" i="13"/>
  <c r="AB73" i="13"/>
  <c r="AB72" i="13"/>
  <c r="O72" i="13"/>
  <c r="Y72" i="13" s="1"/>
  <c r="Z72" i="13" s="1"/>
  <c r="AA72" i="13" s="1"/>
  <c r="AC72" i="13"/>
  <c r="P72" i="13"/>
  <c r="AC67" i="13"/>
  <c r="O67" i="13"/>
  <c r="Y67" i="13" s="1"/>
  <c r="Z67" i="13" s="1"/>
  <c r="AA67" i="13" s="1"/>
  <c r="P67" i="13"/>
  <c r="AB67" i="13"/>
  <c r="O99" i="13"/>
  <c r="Y99" i="13" s="1"/>
  <c r="Z99" i="13" s="1"/>
  <c r="AA99" i="13" s="1"/>
  <c r="AB99" i="13" s="1"/>
  <c r="AC99" i="13" s="1"/>
  <c r="O109" i="13"/>
  <c r="Y109" i="13" s="1"/>
  <c r="Z109" i="13" s="1"/>
  <c r="AA109" i="13" s="1"/>
  <c r="AB109" i="13" s="1"/>
  <c r="AC109" i="13" s="1"/>
  <c r="P109" i="13"/>
  <c r="AK93" i="13"/>
  <c r="AL93" i="13" s="1"/>
  <c r="AM93" i="13" s="1"/>
  <c r="O71" i="13"/>
  <c r="Y71" i="13" s="1"/>
  <c r="Z71" i="13" s="1"/>
  <c r="AA71" i="13" s="1"/>
  <c r="AC71" i="13"/>
  <c r="AB71" i="13"/>
  <c r="P71" i="13"/>
  <c r="P70" i="13"/>
  <c r="AB70" i="13"/>
  <c r="O70" i="13"/>
  <c r="Y70" i="13" s="1"/>
  <c r="Z70" i="13" s="1"/>
  <c r="AA70" i="13" s="1"/>
  <c r="AC70" i="13"/>
  <c r="O108" i="13"/>
  <c r="Y108" i="13" s="1"/>
  <c r="Z108" i="13" s="1"/>
  <c r="AA108" i="13" s="1"/>
  <c r="AB108" i="13" s="1"/>
  <c r="AC108" i="13" s="1"/>
  <c r="P108" i="13"/>
  <c r="O69" i="13"/>
  <c r="Y69" i="13" s="1"/>
  <c r="Z69" i="13" s="1"/>
  <c r="AA69" i="13" s="1"/>
  <c r="AC69" i="13"/>
  <c r="AB69" i="13"/>
  <c r="P69" i="13"/>
  <c r="AB76" i="13"/>
  <c r="O76" i="13"/>
  <c r="Y76" i="13" s="1"/>
  <c r="Z76" i="13" s="1"/>
  <c r="AA76" i="13" s="1"/>
  <c r="AC76" i="13"/>
  <c r="P76" i="13"/>
  <c r="W89" i="10"/>
  <c r="Q89" i="12" s="1"/>
  <c r="X94" i="10"/>
  <c r="Y94" i="10" s="1"/>
  <c r="W85" i="10"/>
  <c r="Q85" i="12" s="1"/>
  <c r="X84" i="10"/>
  <c r="Y84" i="10" s="1"/>
  <c r="W118" i="10"/>
  <c r="W41" i="10"/>
  <c r="P104" i="12"/>
  <c r="H104" i="10"/>
  <c r="I104" i="10" s="1"/>
  <c r="P112" i="12"/>
  <c r="H112" i="10"/>
  <c r="I112" i="10" s="1"/>
  <c r="P97" i="12"/>
  <c r="H97" i="10"/>
  <c r="I97" i="10" s="1"/>
  <c r="P122" i="12"/>
  <c r="H122" i="10"/>
  <c r="I122" i="10" s="1"/>
  <c r="P102" i="12"/>
  <c r="H102" i="10"/>
  <c r="I102" i="10" s="1"/>
  <c r="P117" i="12"/>
  <c r="H117" i="10"/>
  <c r="I117" i="10" s="1"/>
  <c r="P121" i="12"/>
  <c r="H121" i="10"/>
  <c r="I121" i="10" s="1"/>
  <c r="P100" i="12"/>
  <c r="H100" i="10"/>
  <c r="I100" i="10" s="1"/>
  <c r="X91" i="10"/>
  <c r="Y91" i="10" s="1"/>
  <c r="P108" i="12"/>
  <c r="H108" i="10"/>
  <c r="I108" i="10" s="1"/>
  <c r="H95" i="10"/>
  <c r="I95" i="10" s="1"/>
  <c r="P96" i="12"/>
  <c r="H96" i="10"/>
  <c r="I96" i="10" s="1"/>
  <c r="P116" i="12"/>
  <c r="H116" i="10"/>
  <c r="I116" i="10" s="1"/>
  <c r="P114" i="12"/>
  <c r="H114" i="10"/>
  <c r="I114" i="10" s="1"/>
  <c r="P115" i="12"/>
  <c r="H115" i="10"/>
  <c r="I115" i="10" s="1"/>
  <c r="P119" i="12"/>
  <c r="H119" i="10"/>
  <c r="I119" i="10" s="1"/>
  <c r="P111" i="12"/>
  <c r="H111" i="10"/>
  <c r="I111" i="10" s="1"/>
  <c r="P99" i="12"/>
  <c r="H99" i="10"/>
  <c r="I99" i="10" s="1"/>
  <c r="P101" i="12"/>
  <c r="H101" i="10"/>
  <c r="I101" i="10" s="1"/>
  <c r="J123" i="10"/>
  <c r="L123" i="10" s="1"/>
  <c r="M123" i="10" s="1"/>
  <c r="P105" i="12"/>
  <c r="H105" i="10"/>
  <c r="I105" i="10" s="1"/>
  <c r="P109" i="12"/>
  <c r="H109" i="10"/>
  <c r="I109" i="10" s="1"/>
  <c r="P124" i="12"/>
  <c r="H124" i="10"/>
  <c r="I124" i="10" s="1"/>
  <c r="P103" i="12"/>
  <c r="H103" i="10"/>
  <c r="I103" i="10" s="1"/>
  <c r="P126" i="12"/>
  <c r="H126" i="10"/>
  <c r="I126" i="10" s="1"/>
  <c r="P127" i="12"/>
  <c r="H127" i="10"/>
  <c r="I127" i="10" s="1"/>
  <c r="P90" i="12"/>
  <c r="P120" i="12"/>
  <c r="H120" i="10"/>
  <c r="I120" i="10" s="1"/>
  <c r="P113" i="12"/>
  <c r="H113" i="10"/>
  <c r="I113" i="10" s="1"/>
  <c r="P118" i="12"/>
  <c r="H118" i="10"/>
  <c r="I118" i="10" s="1"/>
  <c r="P110" i="12"/>
  <c r="H110" i="10"/>
  <c r="I110" i="10" s="1"/>
  <c r="P106" i="12"/>
  <c r="H106" i="10"/>
  <c r="I106" i="10" s="1"/>
  <c r="J125" i="10"/>
  <c r="L125" i="10" s="1"/>
  <c r="M125" i="10" s="1"/>
  <c r="W33" i="10"/>
  <c r="Q75" i="11"/>
  <c r="H75" i="9"/>
  <c r="I75" i="9" s="1"/>
  <c r="J75" i="9" s="1"/>
  <c r="L75" i="9" s="1"/>
  <c r="M75" i="9" s="1"/>
  <c r="Q76" i="11"/>
  <c r="H76" i="9"/>
  <c r="I76" i="9" s="1"/>
  <c r="J76" i="9" s="1"/>
  <c r="L76" i="9" s="1"/>
  <c r="M76" i="9" s="1"/>
  <c r="Q69" i="11"/>
  <c r="H69" i="9"/>
  <c r="I69" i="9" s="1"/>
  <c r="Q64" i="11"/>
  <c r="H64" i="9"/>
  <c r="I64" i="9" s="1"/>
  <c r="J64" i="9" s="1"/>
  <c r="L64" i="9" s="1"/>
  <c r="M64" i="9" s="1"/>
  <c r="J61" i="9"/>
  <c r="L61" i="9" s="1"/>
  <c r="M61" i="9" s="1"/>
  <c r="J71" i="9"/>
  <c r="L71" i="9" s="1"/>
  <c r="M71" i="9" s="1"/>
  <c r="Q66" i="11"/>
  <c r="H66" i="9"/>
  <c r="I66" i="9" s="1"/>
  <c r="J66" i="9" s="1"/>
  <c r="L66" i="9" s="1"/>
  <c r="M66" i="9" s="1"/>
  <c r="Q68" i="11"/>
  <c r="H68" i="9"/>
  <c r="I68" i="9" s="1"/>
  <c r="J68" i="9" s="1"/>
  <c r="L68" i="9" s="1"/>
  <c r="M68" i="9" s="1"/>
  <c r="X40" i="9"/>
  <c r="Y40" i="9" s="1"/>
  <c r="Q60" i="11"/>
  <c r="H60" i="9"/>
  <c r="I60" i="9" s="1"/>
  <c r="J60" i="9" s="1"/>
  <c r="L60" i="9" s="1"/>
  <c r="M60" i="9" s="1"/>
  <c r="Q72" i="11"/>
  <c r="H72" i="9"/>
  <c r="I72" i="9" s="1"/>
  <c r="J72" i="9" s="1"/>
  <c r="L72" i="9" s="1"/>
  <c r="M72" i="9" s="1"/>
  <c r="Q73" i="11"/>
  <c r="H73" i="9"/>
  <c r="I73" i="9" s="1"/>
  <c r="Q67" i="11"/>
  <c r="H67" i="9"/>
  <c r="I67" i="9" s="1"/>
  <c r="Q63" i="11"/>
  <c r="H63" i="9"/>
  <c r="I63" i="9" s="1"/>
  <c r="Q59" i="11"/>
  <c r="H59" i="9"/>
  <c r="I59" i="9" s="1"/>
  <c r="AL65" i="14"/>
  <c r="AM65" i="14" s="1"/>
  <c r="Y83" i="14"/>
  <c r="X52" i="13"/>
  <c r="X57" i="13"/>
  <c r="N57" i="13"/>
  <c r="AC57" i="13" s="1"/>
  <c r="AI52" i="13"/>
  <c r="N52" i="13"/>
  <c r="AK52" i="13" s="1"/>
  <c r="AL52" i="13" s="1"/>
  <c r="AE56" i="13"/>
  <c r="AI56" i="13" s="1"/>
  <c r="N56" i="13"/>
  <c r="O56" i="13" s="1"/>
  <c r="Y56" i="13" s="1"/>
  <c r="Z56" i="13" s="1"/>
  <c r="AA56" i="13" s="1"/>
  <c r="AL84" i="14"/>
  <c r="AM84" i="14" s="1"/>
  <c r="AN84" i="14" s="1"/>
  <c r="AF84" i="14"/>
  <c r="AF42" i="14"/>
  <c r="AJ43" i="14"/>
  <c r="AH43" i="14"/>
  <c r="Z43" i="14"/>
  <c r="AA43" i="14" s="1"/>
  <c r="AB43" i="14" s="1"/>
  <c r="AC43" i="14" s="1"/>
  <c r="AO43" i="14" s="1"/>
  <c r="AL43" i="14"/>
  <c r="AM43" i="14" s="1"/>
  <c r="AN43" i="14" s="1"/>
  <c r="AF41" i="14"/>
  <c r="Y36" i="14"/>
  <c r="AF36" i="14"/>
  <c r="AF59" i="14"/>
  <c r="AJ59" i="14" s="1"/>
  <c r="AF65" i="14"/>
  <c r="AH65" i="14" s="1"/>
  <c r="Q107" i="11"/>
  <c r="J116" i="9"/>
  <c r="L116" i="9" s="1"/>
  <c r="M116" i="9" s="1"/>
  <c r="J124" i="9"/>
  <c r="L124" i="9" s="1"/>
  <c r="M124" i="9" s="1"/>
  <c r="Q129" i="11"/>
  <c r="H129" i="9"/>
  <c r="I129" i="9" s="1"/>
  <c r="J129" i="9" s="1"/>
  <c r="L129" i="9" s="1"/>
  <c r="M129" i="9" s="1"/>
  <c r="J123" i="9"/>
  <c r="L123" i="9" s="1"/>
  <c r="M123" i="9" s="1"/>
  <c r="J114" i="9"/>
  <c r="L114" i="9" s="1"/>
  <c r="M114" i="9" s="1"/>
  <c r="Q125" i="11"/>
  <c r="H125" i="9"/>
  <c r="I125" i="9" s="1"/>
  <c r="J125" i="9" s="1"/>
  <c r="L125" i="9" s="1"/>
  <c r="M125" i="9" s="1"/>
  <c r="J110" i="9"/>
  <c r="L110" i="9" s="1"/>
  <c r="M110" i="9" s="1"/>
  <c r="J113" i="9"/>
  <c r="L113" i="9" s="1"/>
  <c r="M113" i="9" s="1"/>
  <c r="J101" i="9"/>
  <c r="L101" i="9" s="1"/>
  <c r="M101" i="9" s="1"/>
  <c r="J97" i="9"/>
  <c r="L97" i="9" s="1"/>
  <c r="M97" i="9" s="1"/>
  <c r="J109" i="9"/>
  <c r="L109" i="9" s="1"/>
  <c r="M109" i="9" s="1"/>
  <c r="J108" i="9"/>
  <c r="L108" i="9" s="1"/>
  <c r="M108" i="9" s="1"/>
  <c r="J104" i="9"/>
  <c r="L104" i="9" s="1"/>
  <c r="M104" i="9" s="1"/>
  <c r="J106" i="9"/>
  <c r="L106" i="9" s="1"/>
  <c r="M106" i="9" s="1"/>
  <c r="J100" i="9"/>
  <c r="L100" i="9" s="1"/>
  <c r="M100" i="9" s="1"/>
  <c r="J112" i="9"/>
  <c r="L112" i="9" s="1"/>
  <c r="M112" i="9" s="1"/>
  <c r="J102" i="9"/>
  <c r="L102" i="9" s="1"/>
  <c r="M102" i="9" s="1"/>
  <c r="J103" i="9"/>
  <c r="L103" i="9" s="1"/>
  <c r="M103" i="9" s="1"/>
  <c r="J98" i="9"/>
  <c r="L98" i="9" s="1"/>
  <c r="M98" i="9" s="1"/>
  <c r="Q90" i="11"/>
  <c r="H90" i="9"/>
  <c r="I90" i="9" s="1"/>
  <c r="Q99" i="11"/>
  <c r="H99" i="9"/>
  <c r="I99" i="9" s="1"/>
  <c r="J107" i="9"/>
  <c r="L107" i="9" s="1"/>
  <c r="M107" i="9" s="1"/>
  <c r="J105" i="9"/>
  <c r="L105" i="9" s="1"/>
  <c r="M105" i="9" s="1"/>
  <c r="J111" i="9"/>
  <c r="L111" i="9" s="1"/>
  <c r="M111" i="9" s="1"/>
  <c r="J96" i="9"/>
  <c r="L96" i="9" s="1"/>
  <c r="M96" i="9" s="1"/>
  <c r="Q88" i="11"/>
  <c r="H88" i="9"/>
  <c r="I88" i="9" s="1"/>
  <c r="Q89" i="11"/>
  <c r="H89" i="9"/>
  <c r="I89" i="9" s="1"/>
  <c r="H52" i="9"/>
  <c r="I52" i="9" s="1"/>
  <c r="J52" i="9" s="1"/>
  <c r="L52" i="9" s="1"/>
  <c r="M52" i="9" s="1"/>
  <c r="O42" i="13"/>
  <c r="Y42" i="13" s="1"/>
  <c r="Z42" i="13" s="1"/>
  <c r="AA42" i="13" s="1"/>
  <c r="AB42" i="13" s="1"/>
  <c r="AC42" i="13" s="1"/>
  <c r="AK42" i="13"/>
  <c r="AL42" i="13" s="1"/>
  <c r="AM42" i="13" s="1"/>
  <c r="AC55" i="13"/>
  <c r="AG52" i="13"/>
  <c r="N49" i="13"/>
  <c r="W83" i="10"/>
  <c r="Q83" i="12" s="1"/>
  <c r="Y86" i="14"/>
  <c r="X100" i="10"/>
  <c r="Y100" i="10" s="1"/>
  <c r="Y29" i="14"/>
  <c r="W34" i="10"/>
  <c r="Q34" i="12" s="1"/>
  <c r="W66" i="10"/>
  <c r="Q66" i="12" s="1"/>
  <c r="Y84" i="14"/>
  <c r="Q105" i="10"/>
  <c r="R105" i="10" s="1"/>
  <c r="Q125" i="10"/>
  <c r="R125" i="10" s="1"/>
  <c r="AF66" i="14"/>
  <c r="AH66" i="14" s="1"/>
  <c r="W61" i="10"/>
  <c r="Q61" i="12" s="1"/>
  <c r="X108" i="10"/>
  <c r="Y108" i="10" s="1"/>
  <c r="X90" i="10"/>
  <c r="Y90" i="10" s="1"/>
  <c r="X127" i="10"/>
  <c r="Y127" i="10" s="1"/>
  <c r="X82" i="10"/>
  <c r="Y82" i="10" s="1"/>
  <c r="X109" i="10"/>
  <c r="Y109" i="10" s="1"/>
  <c r="W65" i="10"/>
  <c r="W101" i="10"/>
  <c r="Q101" i="12" s="1"/>
  <c r="AL66" i="14"/>
  <c r="AM66" i="14" s="1"/>
  <c r="X115" i="10"/>
  <c r="Y115" i="10" s="1"/>
  <c r="X104" i="10"/>
  <c r="Y104" i="10" s="1"/>
  <c r="X86" i="10"/>
  <c r="Y86" i="10" s="1"/>
  <c r="O107" i="12"/>
  <c r="W99" i="10"/>
  <c r="Q99" i="12" s="1"/>
  <c r="O98" i="12"/>
  <c r="H54" i="9"/>
  <c r="I54" i="9" s="1"/>
  <c r="J54" i="9" s="1"/>
  <c r="AE42" i="13"/>
  <c r="AG42" i="13" s="1"/>
  <c r="R95" i="11"/>
  <c r="X96" i="9"/>
  <c r="Y96" i="9" s="1"/>
  <c r="R80" i="11"/>
  <c r="O55" i="13"/>
  <c r="Y55" i="13" s="1"/>
  <c r="Z55" i="13" s="1"/>
  <c r="AA55" i="13" s="1"/>
  <c r="H55" i="9"/>
  <c r="I55" i="9" s="1"/>
  <c r="J55" i="9" s="1"/>
  <c r="L55" i="9" s="1"/>
  <c r="M55" i="9" s="1"/>
  <c r="X57" i="9"/>
  <c r="Y57" i="9" s="1"/>
  <c r="X58" i="9"/>
  <c r="Y58" i="9" s="1"/>
  <c r="X44" i="9"/>
  <c r="Y44" i="9" s="1"/>
  <c r="X37" i="9"/>
  <c r="Y37" i="9" s="1"/>
  <c r="X46" i="9"/>
  <c r="Y46" i="9" s="1"/>
  <c r="H51" i="9"/>
  <c r="I51" i="9" s="1"/>
  <c r="J51" i="9" s="1"/>
  <c r="X53" i="9"/>
  <c r="Y53" i="9" s="1"/>
  <c r="Y28" i="14"/>
  <c r="Y42" i="14"/>
  <c r="AF63" i="14"/>
  <c r="AJ63" i="14" s="1"/>
  <c r="Y33" i="14"/>
  <c r="X125" i="10"/>
  <c r="Y125" i="10" s="1"/>
  <c r="Y45" i="14"/>
  <c r="W29" i="10"/>
  <c r="X29" i="10" s="1"/>
  <c r="Y29" i="10" s="1"/>
  <c r="AF30" i="14"/>
  <c r="AH30" i="14" s="1"/>
  <c r="AF81" i="14"/>
  <c r="AJ81" i="14" s="1"/>
  <c r="Y81" i="14"/>
  <c r="Y41" i="14"/>
  <c r="AH32" i="14"/>
  <c r="X92" i="10"/>
  <c r="Y92" i="10" s="1"/>
  <c r="X42" i="13"/>
  <c r="AE53" i="13"/>
  <c r="AG53" i="13" s="1"/>
  <c r="N53" i="13"/>
  <c r="P53" i="13" s="1"/>
  <c r="AE49" i="13"/>
  <c r="AI49" i="13" s="1"/>
  <c r="W120" i="10"/>
  <c r="Q120" i="12" s="1"/>
  <c r="W111" i="10"/>
  <c r="Q111" i="12" s="1"/>
  <c r="W102" i="10"/>
  <c r="Q102" i="12" s="1"/>
  <c r="X43" i="10"/>
  <c r="Y43" i="10" s="1"/>
  <c r="AL64" i="14"/>
  <c r="AM64" i="14" s="1"/>
  <c r="AJ32" i="14"/>
  <c r="X88" i="41"/>
  <c r="W60" i="10"/>
  <c r="Q60" i="12" s="1"/>
  <c r="Y31" i="14"/>
  <c r="W95" i="10"/>
  <c r="Q95" i="12" s="1"/>
  <c r="W124" i="10"/>
  <c r="Q124" i="12" s="1"/>
  <c r="W48" i="10"/>
  <c r="W121" i="10"/>
  <c r="Q121" i="12" s="1"/>
  <c r="W123" i="10"/>
  <c r="Q123" i="12" s="1"/>
  <c r="W32" i="10"/>
  <c r="Q32" i="12" s="1"/>
  <c r="Q32" i="10"/>
  <c r="R32" i="10" s="1"/>
  <c r="Y79" i="14"/>
  <c r="AF79" i="14"/>
  <c r="AJ79" i="14" s="1"/>
  <c r="W119" i="10"/>
  <c r="Q119" i="12" s="1"/>
  <c r="AF62" i="14"/>
  <c r="AH62" i="14" s="1"/>
  <c r="W116" i="10"/>
  <c r="Q116" i="12" s="1"/>
  <c r="W126" i="10"/>
  <c r="Q126" i="12" s="1"/>
  <c r="AF68" i="14"/>
  <c r="W45" i="10"/>
  <c r="Q45" i="12" s="1"/>
  <c r="W68" i="10"/>
  <c r="Q68" i="12" s="1"/>
  <c r="W80" i="10"/>
  <c r="W106" i="10"/>
  <c r="Q106" i="12" s="1"/>
  <c r="AL32" i="14"/>
  <c r="AM32" i="14" s="1"/>
  <c r="AN32" i="14" s="1"/>
  <c r="W69" i="10"/>
  <c r="Q69" i="12" s="1"/>
  <c r="W31" i="10"/>
  <c r="Q31" i="12" s="1"/>
  <c r="W93" i="10"/>
  <c r="Q93" i="12" s="1"/>
  <c r="W103" i="10"/>
  <c r="Q103" i="12" s="1"/>
  <c r="W107" i="10"/>
  <c r="Q107" i="12" s="1"/>
  <c r="W122" i="10"/>
  <c r="Q122" i="12" s="1"/>
  <c r="W114" i="10"/>
  <c r="Q114" i="12" s="1"/>
  <c r="W96" i="10"/>
  <c r="Q96" i="12" s="1"/>
  <c r="W110" i="10"/>
  <c r="Q110" i="12" s="1"/>
  <c r="W113" i="10"/>
  <c r="Q113" i="12" s="1"/>
  <c r="W97" i="10"/>
  <c r="Q97" i="12" s="1"/>
  <c r="H85" i="10"/>
  <c r="I85" i="10" s="1"/>
  <c r="J85" i="10" s="1"/>
  <c r="L85" i="10" s="1"/>
  <c r="M85" i="10" s="1"/>
  <c r="W64" i="10"/>
  <c r="Q64" i="12" s="1"/>
  <c r="W117" i="10"/>
  <c r="Q117" i="12" s="1"/>
  <c r="AL80" i="14"/>
  <c r="AM80" i="14" s="1"/>
  <c r="AN80" i="14" s="1"/>
  <c r="Z80" i="14"/>
  <c r="AA80" i="14" s="1"/>
  <c r="AB80" i="14" s="1"/>
  <c r="AC80" i="14" s="1"/>
  <c r="AO80" i="14" s="1"/>
  <c r="AL81" i="14"/>
  <c r="AM81" i="14" s="1"/>
  <c r="AN81" i="14" s="1"/>
  <c r="Q43" i="14"/>
  <c r="H44" i="10"/>
  <c r="I44" i="10" s="1"/>
  <c r="P44" i="12"/>
  <c r="Y35" i="14"/>
  <c r="X105" i="10"/>
  <c r="Y105" i="10" s="1"/>
  <c r="X98" i="10"/>
  <c r="Y98" i="10" s="1"/>
  <c r="AJ82" i="14"/>
  <c r="AH82" i="14"/>
  <c r="X112" i="10"/>
  <c r="Y112" i="10" s="1"/>
  <c r="AL82" i="14"/>
  <c r="AM82" i="14" s="1"/>
  <c r="AN82" i="14" s="1"/>
  <c r="Z82" i="14"/>
  <c r="AA82" i="14" s="1"/>
  <c r="AB82" i="14" s="1"/>
  <c r="AC82" i="14" s="1"/>
  <c r="AO82" i="14" s="1"/>
  <c r="AF61" i="14"/>
  <c r="W62" i="10"/>
  <c r="Q62" i="12" s="1"/>
  <c r="N39" i="14"/>
  <c r="O39" i="14" s="1"/>
  <c r="P39" i="14" s="1"/>
  <c r="AL60" i="14"/>
  <c r="AM60" i="14" s="1"/>
  <c r="AL47" i="14"/>
  <c r="AM47" i="14" s="1"/>
  <c r="AN47" i="14" s="1"/>
  <c r="Z47" i="14"/>
  <c r="AA47" i="14" s="1"/>
  <c r="AB47" i="14" s="1"/>
  <c r="AC47" i="14" s="1"/>
  <c r="AO47" i="14" s="1"/>
  <c r="AH60" i="14"/>
  <c r="AJ60" i="14"/>
  <c r="N45" i="13"/>
  <c r="AE111" i="13"/>
  <c r="AI111" i="13" s="1"/>
  <c r="X45" i="13"/>
  <c r="H57" i="9"/>
  <c r="I57" i="9" s="1"/>
  <c r="J57" i="9" s="1"/>
  <c r="L57" i="9" s="1"/>
  <c r="M57" i="9" s="1"/>
  <c r="P55" i="13"/>
  <c r="X55" i="13"/>
  <c r="R111" i="11"/>
  <c r="AB55" i="13"/>
  <c r="AI32" i="13"/>
  <c r="Q117" i="9"/>
  <c r="R117" i="9" s="1"/>
  <c r="AE113" i="13"/>
  <c r="AG113" i="13" s="1"/>
  <c r="AM55" i="13"/>
  <c r="AE55" i="13"/>
  <c r="AI55" i="13" s="1"/>
  <c r="AE98" i="13"/>
  <c r="AG98" i="13" s="1"/>
  <c r="AE102" i="13"/>
  <c r="AG102" i="13" s="1"/>
  <c r="AE120" i="13"/>
  <c r="AI120" i="13" s="1"/>
  <c r="AK47" i="13"/>
  <c r="AL47" i="13" s="1"/>
  <c r="AM47" i="13" s="1"/>
  <c r="W107" i="9"/>
  <c r="X107" i="9" s="1"/>
  <c r="Y107" i="9" s="1"/>
  <c r="W114" i="9"/>
  <c r="X114" i="9" s="1"/>
  <c r="Y114" i="9" s="1"/>
  <c r="AI36" i="13"/>
  <c r="AE48" i="13"/>
  <c r="AG48" i="13" s="1"/>
  <c r="R96" i="11"/>
  <c r="W106" i="9"/>
  <c r="X106" i="9" s="1"/>
  <c r="Y106" i="9" s="1"/>
  <c r="AI109" i="13"/>
  <c r="AK35" i="13"/>
  <c r="AL35" i="13" s="1"/>
  <c r="AM35" i="13" s="1"/>
  <c r="O47" i="13"/>
  <c r="Y47" i="13" s="1"/>
  <c r="Z47" i="13" s="1"/>
  <c r="AA47" i="13" s="1"/>
  <c r="AB47" i="13" s="1"/>
  <c r="AC47" i="13" s="1"/>
  <c r="Q115" i="11"/>
  <c r="W102" i="9"/>
  <c r="X102" i="9" s="1"/>
  <c r="Y102" i="9" s="1"/>
  <c r="AE104" i="13"/>
  <c r="AG104" i="13" s="1"/>
  <c r="AE100" i="13"/>
  <c r="AG100" i="13" s="1"/>
  <c r="I29" i="1"/>
  <c r="P29" i="1" s="1"/>
  <c r="W108" i="9"/>
  <c r="X108" i="9" s="1"/>
  <c r="Y108" i="9" s="1"/>
  <c r="AE103" i="13"/>
  <c r="AI103" i="13" s="1"/>
  <c r="AE116" i="13"/>
  <c r="AI116" i="13" s="1"/>
  <c r="AE57" i="13"/>
  <c r="AE43" i="13"/>
  <c r="AG43" i="13" s="1"/>
  <c r="Q127" i="11"/>
  <c r="AI34" i="13"/>
  <c r="AG34" i="13"/>
  <c r="AG32" i="13"/>
  <c r="X56" i="13"/>
  <c r="AG36" i="13"/>
  <c r="N43" i="13"/>
  <c r="AK43" i="13" s="1"/>
  <c r="AL43" i="13" s="1"/>
  <c r="AK116" i="13"/>
  <c r="AL116" i="13" s="1"/>
  <c r="AM116" i="13" s="1"/>
  <c r="AE124" i="13"/>
  <c r="AG124" i="13" s="1"/>
  <c r="AE50" i="13"/>
  <c r="AG50" i="13" s="1"/>
  <c r="H50" i="9"/>
  <c r="I50" i="9" s="1"/>
  <c r="J50" i="9" s="1"/>
  <c r="L50" i="9" s="1"/>
  <c r="M50" i="9" s="1"/>
  <c r="AE35" i="13"/>
  <c r="AG35" i="13" s="1"/>
  <c r="N80" i="13"/>
  <c r="AK80" i="13" s="1"/>
  <c r="AL80" i="13" s="1"/>
  <c r="AM80" i="13" s="1"/>
  <c r="N50" i="13"/>
  <c r="W104" i="9"/>
  <c r="X104" i="9" s="1"/>
  <c r="Y104" i="9" s="1"/>
  <c r="X50" i="9"/>
  <c r="Y50" i="9" s="1"/>
  <c r="AE80" i="13"/>
  <c r="AI80" i="13" s="1"/>
  <c r="AE47" i="13"/>
  <c r="AI47" i="13" s="1"/>
  <c r="X47" i="13"/>
  <c r="X29" i="1"/>
  <c r="AE46" i="13"/>
  <c r="AI46" i="13" s="1"/>
  <c r="X46" i="13"/>
  <c r="AK48" i="13"/>
  <c r="AL48" i="13" s="1"/>
  <c r="AM48" i="13" s="1"/>
  <c r="O48" i="13"/>
  <c r="Y48" i="13" s="1"/>
  <c r="Z48" i="13" s="1"/>
  <c r="AA48" i="13" s="1"/>
  <c r="AB48" i="13" s="1"/>
  <c r="AC48" i="13" s="1"/>
  <c r="AE115" i="13"/>
  <c r="AG115" i="13" s="1"/>
  <c r="X48" i="13"/>
  <c r="AK114" i="13"/>
  <c r="AL114" i="13" s="1"/>
  <c r="W125" i="9"/>
  <c r="X125" i="9" s="1"/>
  <c r="Y125" i="9" s="1"/>
  <c r="W115" i="9"/>
  <c r="X115" i="9" s="1"/>
  <c r="Y115" i="9" s="1"/>
  <c r="W110" i="9"/>
  <c r="X110" i="9" s="1"/>
  <c r="Y110" i="9" s="1"/>
  <c r="N29" i="1"/>
  <c r="W122" i="9"/>
  <c r="X122" i="9" s="1"/>
  <c r="Y122" i="9" s="1"/>
  <c r="AI31" i="13"/>
  <c r="Q106" i="11"/>
  <c r="Q119" i="11"/>
  <c r="Q101" i="11"/>
  <c r="Q116" i="11"/>
  <c r="Q108" i="11"/>
  <c r="Q114" i="11"/>
  <c r="Q122" i="11"/>
  <c r="Q124" i="11"/>
  <c r="Q111" i="11"/>
  <c r="Q100" i="11"/>
  <c r="Q97" i="11"/>
  <c r="Q110" i="11"/>
  <c r="Q120" i="11"/>
  <c r="Q123" i="11"/>
  <c r="Q109" i="11"/>
  <c r="Q98" i="11"/>
  <c r="Q113" i="11"/>
  <c r="Q104" i="11"/>
  <c r="Q121" i="11"/>
  <c r="Q102" i="11"/>
  <c r="Q126" i="11"/>
  <c r="Q112" i="11"/>
  <c r="Q96" i="11"/>
  <c r="Q118" i="11"/>
  <c r="Q105" i="11"/>
  <c r="Q103" i="11"/>
  <c r="A56" i="13"/>
  <c r="A56" i="9"/>
  <c r="A56" i="1"/>
  <c r="X31" i="9"/>
  <c r="Y31" i="9" s="1"/>
  <c r="AM46" i="13"/>
  <c r="AE58" i="13"/>
  <c r="W101" i="9"/>
  <c r="X101" i="9" s="1"/>
  <c r="Y101" i="9" s="1"/>
  <c r="AK106" i="13"/>
  <c r="AL106" i="13" s="1"/>
  <c r="AM106" i="13" s="1"/>
  <c r="AI122" i="13"/>
  <c r="AG122" i="13"/>
  <c r="AG118" i="13"/>
  <c r="H56" i="9"/>
  <c r="I56" i="9" s="1"/>
  <c r="J56" i="9" s="1"/>
  <c r="L56" i="9" s="1"/>
  <c r="M56" i="9" s="1"/>
  <c r="X58" i="13"/>
  <c r="AG117" i="13"/>
  <c r="W109" i="9"/>
  <c r="AI45" i="13"/>
  <c r="O46" i="13"/>
  <c r="Y46" i="13" s="1"/>
  <c r="Z46" i="13" s="1"/>
  <c r="AA46" i="13" s="1"/>
  <c r="AB46" i="13" s="1"/>
  <c r="AC46" i="13" s="1"/>
  <c r="AE125" i="13"/>
  <c r="AG125" i="13" s="1"/>
  <c r="W94" i="9"/>
  <c r="X103" i="9"/>
  <c r="Y103" i="9" s="1"/>
  <c r="R103" i="11"/>
  <c r="AI54" i="13"/>
  <c r="W116" i="9"/>
  <c r="X116" i="9" s="1"/>
  <c r="Y116" i="9" s="1"/>
  <c r="Z16" i="1"/>
  <c r="Q118" i="9"/>
  <c r="R118" i="9" s="1"/>
  <c r="W118" i="9"/>
  <c r="X118" i="9" s="1"/>
  <c r="Y118" i="9" s="1"/>
  <c r="AG44" i="13"/>
  <c r="X95" i="9"/>
  <c r="Y95" i="9" s="1"/>
  <c r="AI118" i="13"/>
  <c r="M29" i="1"/>
  <c r="X81" i="1"/>
  <c r="X29" i="9"/>
  <c r="Y29" i="9" s="1"/>
  <c r="R29" i="11"/>
  <c r="H46" i="9"/>
  <c r="I46" i="9" s="1"/>
  <c r="J46" i="9" s="1"/>
  <c r="L46" i="9" s="1"/>
  <c r="M46" i="9" s="1"/>
  <c r="W98" i="9"/>
  <c r="AG51" i="13"/>
  <c r="W111" i="9"/>
  <c r="X111" i="9" s="1"/>
  <c r="Y111" i="9" s="1"/>
  <c r="W126" i="9"/>
  <c r="R110" i="11" s="1"/>
  <c r="AE110" i="13"/>
  <c r="H41" i="9"/>
  <c r="I41" i="9" s="1"/>
  <c r="J41" i="9" s="1"/>
  <c r="L41" i="9" s="1"/>
  <c r="M41" i="9" s="1"/>
  <c r="X80" i="9"/>
  <c r="Y80" i="9" s="1"/>
  <c r="X41" i="13"/>
  <c r="N41" i="13"/>
  <c r="AE41" i="13"/>
  <c r="W120" i="9"/>
  <c r="X120" i="9" s="1"/>
  <c r="Y120" i="9" s="1"/>
  <c r="W113" i="9"/>
  <c r="X113" i="9" s="1"/>
  <c r="Y113" i="9" s="1"/>
  <c r="AG54" i="13"/>
  <c r="H49" i="9"/>
  <c r="I49" i="9" s="1"/>
  <c r="J49" i="9" s="1"/>
  <c r="L49" i="9" s="1"/>
  <c r="M49" i="9" s="1"/>
  <c r="W100" i="9"/>
  <c r="X100" i="9" s="1"/>
  <c r="Y100" i="9" s="1"/>
  <c r="AG114" i="13"/>
  <c r="AI51" i="13"/>
  <c r="W123" i="9"/>
  <c r="X123" i="9" s="1"/>
  <c r="Y123" i="9" s="1"/>
  <c r="X41" i="9"/>
  <c r="Y41" i="9" s="1"/>
  <c r="AK99" i="13"/>
  <c r="AL99" i="13" s="1"/>
  <c r="AM99" i="13" s="1"/>
  <c r="AG38" i="13"/>
  <c r="AI38" i="13"/>
  <c r="AE126" i="13"/>
  <c r="AK105" i="13"/>
  <c r="AL105" i="13" s="1"/>
  <c r="AM105" i="13" s="1"/>
  <c r="AM58" i="13"/>
  <c r="P58" i="13"/>
  <c r="AK58" i="13"/>
  <c r="AL58" i="13" s="1"/>
  <c r="AC58" i="13"/>
  <c r="O58" i="13"/>
  <c r="Y58" i="13" s="1"/>
  <c r="Z58" i="13" s="1"/>
  <c r="AA58" i="13" s="1"/>
  <c r="AB58" i="13"/>
  <c r="AI33" i="13"/>
  <c r="AG33" i="13"/>
  <c r="AE108" i="13"/>
  <c r="AK51" i="13"/>
  <c r="AL51" i="13" s="1"/>
  <c r="AM51" i="13" s="1"/>
  <c r="O51" i="13"/>
  <c r="Y51" i="13" s="1"/>
  <c r="Z51" i="13" s="1"/>
  <c r="AA51" i="13" s="1"/>
  <c r="AB51" i="13" s="1"/>
  <c r="AC51" i="13" s="1"/>
  <c r="AG106" i="13"/>
  <c r="AK101" i="13"/>
  <c r="AL101" i="13" s="1"/>
  <c r="AM101" i="13" s="1"/>
  <c r="AI106" i="13"/>
  <c r="X99" i="9"/>
  <c r="Y99" i="9" s="1"/>
  <c r="R99" i="11"/>
  <c r="W97" i="9"/>
  <c r="W112" i="9"/>
  <c r="X112" i="9" s="1"/>
  <c r="Y112" i="9" s="1"/>
  <c r="AG127" i="13"/>
  <c r="AI127" i="13"/>
  <c r="AK118" i="13"/>
  <c r="AL118" i="13" s="1"/>
  <c r="AM118" i="13" s="1"/>
  <c r="AI123" i="13"/>
  <c r="AG123" i="13"/>
  <c r="AE119" i="13"/>
  <c r="AG45" i="13"/>
  <c r="X105" i="9"/>
  <c r="Y105" i="9" s="1"/>
  <c r="R105" i="11"/>
  <c r="AE112" i="13"/>
  <c r="AE97" i="13"/>
  <c r="H44" i="9"/>
  <c r="I44" i="9" s="1"/>
  <c r="AC54" i="13"/>
  <c r="P54" i="13"/>
  <c r="AK54" i="13"/>
  <c r="AL54" i="13" s="1"/>
  <c r="AM54" i="13"/>
  <c r="AB54" i="13"/>
  <c r="O54" i="13"/>
  <c r="Y54" i="13" s="1"/>
  <c r="Z54" i="13" s="1"/>
  <c r="AA54" i="13" s="1"/>
  <c r="H42" i="9"/>
  <c r="I42" i="9" s="1"/>
  <c r="J42" i="9" s="1"/>
  <c r="L42" i="9" s="1"/>
  <c r="M42" i="9" s="1"/>
  <c r="H45" i="9"/>
  <c r="I45" i="9" s="1"/>
  <c r="J45" i="9" s="1"/>
  <c r="L45" i="9" s="1"/>
  <c r="M45" i="9" s="1"/>
  <c r="K31" i="32"/>
  <c r="K25" i="32"/>
  <c r="K39" i="32"/>
  <c r="K27" i="32"/>
  <c r="K34" i="32"/>
  <c r="K26" i="32"/>
  <c r="K40" i="32"/>
  <c r="K43" i="32"/>
  <c r="K32" i="32"/>
  <c r="K41" i="32"/>
  <c r="K38" i="32"/>
  <c r="K34" i="1" l="1"/>
  <c r="L34" i="1" s="1"/>
  <c r="Q34" i="1"/>
  <c r="R34" i="1" s="1"/>
  <c r="AD88" i="14"/>
  <c r="AO88" i="14"/>
  <c r="L83" i="41"/>
  <c r="AA83" i="41" s="1"/>
  <c r="U83" i="12"/>
  <c r="Z83" i="12" s="1"/>
  <c r="O83" i="12" s="1"/>
  <c r="P83" i="12" s="1"/>
  <c r="Q83" i="41"/>
  <c r="R83" i="41"/>
  <c r="P83" i="41"/>
  <c r="Q53" i="14"/>
  <c r="Q36" i="12"/>
  <c r="V34" i="1"/>
  <c r="W34" i="1" s="1"/>
  <c r="S34" i="1"/>
  <c r="T31" i="1"/>
  <c r="S31" i="1"/>
  <c r="R84" i="11"/>
  <c r="AD80" i="14"/>
  <c r="AD34" i="14"/>
  <c r="AD37" i="14"/>
  <c r="AD43" i="14"/>
  <c r="AD47" i="14"/>
  <c r="AD82" i="14"/>
  <c r="AD50" i="14"/>
  <c r="O121" i="13"/>
  <c r="Y121" i="13" s="1"/>
  <c r="Z121" i="13" s="1"/>
  <c r="AA121" i="13" s="1"/>
  <c r="AB121" i="13" s="1"/>
  <c r="AC121" i="13" s="1"/>
  <c r="Q48" i="11"/>
  <c r="H48" i="9"/>
  <c r="I48" i="9" s="1"/>
  <c r="J48" i="9" s="1"/>
  <c r="L48" i="9" s="1"/>
  <c r="M48" i="9" s="1"/>
  <c r="T48" i="1"/>
  <c r="S48" i="1"/>
  <c r="L43" i="41"/>
  <c r="AA43" i="41" s="1"/>
  <c r="T46" i="41"/>
  <c r="S46" i="41"/>
  <c r="P47" i="1"/>
  <c r="Q47" i="1"/>
  <c r="R47" i="1" s="1"/>
  <c r="O47" i="1" s="1"/>
  <c r="L47" i="1"/>
  <c r="V47" i="11"/>
  <c r="AB47" i="11" s="1"/>
  <c r="P47" i="11" s="1"/>
  <c r="S87" i="41"/>
  <c r="V82" i="11"/>
  <c r="AB82" i="11" s="1"/>
  <c r="P82" i="11" s="1"/>
  <c r="X63" i="10"/>
  <c r="Y63" i="10" s="1"/>
  <c r="Q50" i="14"/>
  <c r="P51" i="13"/>
  <c r="P48" i="13"/>
  <c r="P47" i="13"/>
  <c r="U83" i="41"/>
  <c r="V83" i="41"/>
  <c r="W83" i="41" s="1"/>
  <c r="Q43" i="41"/>
  <c r="R43" i="41" s="1"/>
  <c r="O43" i="41" s="1"/>
  <c r="T43" i="41" s="1"/>
  <c r="U43" i="41" s="1"/>
  <c r="S30" i="41"/>
  <c r="T30" i="41"/>
  <c r="Q43" i="1"/>
  <c r="R43" i="1" s="1"/>
  <c r="O43" i="1" s="1"/>
  <c r="T43" i="1" s="1"/>
  <c r="U43" i="1" s="1"/>
  <c r="L43" i="1"/>
  <c r="V43" i="11"/>
  <c r="AB43" i="11" s="1"/>
  <c r="P43" i="11" s="1"/>
  <c r="Q30" i="1"/>
  <c r="R30" i="1" s="1"/>
  <c r="V85" i="11"/>
  <c r="AB85" i="11" s="1"/>
  <c r="P85" i="11" s="1"/>
  <c r="H85" i="9" s="1"/>
  <c r="I85" i="9" s="1"/>
  <c r="J85" i="9" s="1"/>
  <c r="L85" i="9" s="1"/>
  <c r="M85" i="9" s="1"/>
  <c r="O30" i="1"/>
  <c r="T30" i="1" s="1"/>
  <c r="U30" i="1" s="1"/>
  <c r="P38" i="13"/>
  <c r="P36" i="13"/>
  <c r="P34" i="13"/>
  <c r="V37" i="41"/>
  <c r="W37" i="41" s="1"/>
  <c r="U37" i="41"/>
  <c r="S37" i="41"/>
  <c r="U85" i="1"/>
  <c r="X37" i="10"/>
  <c r="Y37" i="10" s="1"/>
  <c r="S36" i="41"/>
  <c r="S84" i="1"/>
  <c r="V36" i="41"/>
  <c r="W36" i="41" s="1"/>
  <c r="U36" i="41"/>
  <c r="P36" i="41"/>
  <c r="Q36" i="41"/>
  <c r="R36" i="41"/>
  <c r="K37" i="41"/>
  <c r="Q37" i="41"/>
  <c r="S85" i="1"/>
  <c r="V84" i="11"/>
  <c r="AB84" i="11" s="1"/>
  <c r="P84" i="11" s="1"/>
  <c r="T87" i="1"/>
  <c r="V87" i="1" s="1"/>
  <c r="W87" i="1" s="1"/>
  <c r="S87" i="1"/>
  <c r="Q87" i="11"/>
  <c r="H87" i="9"/>
  <c r="I87" i="9" s="1"/>
  <c r="J87" i="9" s="1"/>
  <c r="L87" i="9" s="1"/>
  <c r="M87" i="9" s="1"/>
  <c r="Q47" i="12"/>
  <c r="O29" i="13"/>
  <c r="Y29" i="13" s="1"/>
  <c r="Z29" i="13" s="1"/>
  <c r="AA29" i="13" s="1"/>
  <c r="AB29" i="13" s="1"/>
  <c r="AO32" i="13"/>
  <c r="AC30" i="13"/>
  <c r="AO35" i="13"/>
  <c r="AI99" i="13"/>
  <c r="X81" i="10"/>
  <c r="Y81" i="10" s="1"/>
  <c r="Q81" i="12"/>
  <c r="X118" i="10"/>
  <c r="Y118" i="10" s="1"/>
  <c r="Q118" i="12"/>
  <c r="X40" i="10"/>
  <c r="Y40" i="10" s="1"/>
  <c r="Q40" i="12"/>
  <c r="X41" i="10"/>
  <c r="Y41" i="10" s="1"/>
  <c r="Q41" i="12"/>
  <c r="X33" i="10"/>
  <c r="Y33" i="10" s="1"/>
  <c r="Q33" i="12"/>
  <c r="AK127" i="13"/>
  <c r="AL127" i="13" s="1"/>
  <c r="AM127" i="13" s="1"/>
  <c r="P122" i="13"/>
  <c r="P125" i="13"/>
  <c r="P106" i="13"/>
  <c r="AL88" i="14"/>
  <c r="AM88" i="14" s="1"/>
  <c r="AN88" i="14" s="1"/>
  <c r="AA88" i="41"/>
  <c r="U88" i="12"/>
  <c r="AA30" i="41"/>
  <c r="U30" i="12"/>
  <c r="Z30" i="12" s="1"/>
  <c r="O30" i="12" s="1"/>
  <c r="H30" i="10" s="1"/>
  <c r="I30" i="10" s="1"/>
  <c r="J30" i="10" s="1"/>
  <c r="L30" i="10" s="1"/>
  <c r="M30" i="10" s="1"/>
  <c r="AA46" i="41"/>
  <c r="U46" i="12"/>
  <c r="Z46" i="12" s="1"/>
  <c r="O46" i="12" s="1"/>
  <c r="P46" i="12" s="1"/>
  <c r="AA40" i="41"/>
  <c r="U40" i="12"/>
  <c r="AA41" i="41"/>
  <c r="U41" i="12"/>
  <c r="AA89" i="41"/>
  <c r="U89" i="12"/>
  <c r="X67" i="10"/>
  <c r="Y67" i="10" s="1"/>
  <c r="Q67" i="12"/>
  <c r="AA48" i="41"/>
  <c r="U48" i="12"/>
  <c r="X65" i="10"/>
  <c r="Y65" i="10" s="1"/>
  <c r="Q65" i="12"/>
  <c r="AA47" i="41"/>
  <c r="U47" i="12"/>
  <c r="X48" i="10"/>
  <c r="Y48" i="10" s="1"/>
  <c r="Q48" i="12"/>
  <c r="P49" i="12"/>
  <c r="H62" i="10"/>
  <c r="I62" i="10" s="1"/>
  <c r="J62" i="10" s="1"/>
  <c r="L62" i="10" s="1"/>
  <c r="M62" i="10" s="1"/>
  <c r="P62" i="12"/>
  <c r="H60" i="10"/>
  <c r="I60" i="10" s="1"/>
  <c r="J60" i="10" s="1"/>
  <c r="L60" i="10" s="1"/>
  <c r="M60" i="10" s="1"/>
  <c r="H37" i="9"/>
  <c r="I37" i="9" s="1"/>
  <c r="J37" i="9" s="1"/>
  <c r="L37" i="9" s="1"/>
  <c r="M37" i="9" s="1"/>
  <c r="P107" i="13"/>
  <c r="AI101" i="13"/>
  <c r="P119" i="13"/>
  <c r="AK107" i="13"/>
  <c r="AL107" i="13" s="1"/>
  <c r="AM107" i="13" s="1"/>
  <c r="AK124" i="13"/>
  <c r="AL124" i="13" s="1"/>
  <c r="AM124" i="13" s="1"/>
  <c r="P124" i="13"/>
  <c r="V81" i="11"/>
  <c r="AB81" i="11" s="1"/>
  <c r="P81" i="11" s="1"/>
  <c r="V32" i="11"/>
  <c r="V34" i="11"/>
  <c r="AB34" i="11" s="1"/>
  <c r="P34" i="11" s="1"/>
  <c r="Q34" i="11" s="1"/>
  <c r="AB35" i="11"/>
  <c r="P35" i="11" s="1"/>
  <c r="Q35" i="11" s="1"/>
  <c r="V35" i="11"/>
  <c r="AB33" i="11"/>
  <c r="P33" i="11" s="1"/>
  <c r="Q33" i="11" s="1"/>
  <c r="V33" i="11"/>
  <c r="AB40" i="11"/>
  <c r="P40" i="11" s="1"/>
  <c r="Q40" i="11" s="1"/>
  <c r="V40" i="11"/>
  <c r="P128" i="13"/>
  <c r="P120" i="13"/>
  <c r="P104" i="13"/>
  <c r="O120" i="13"/>
  <c r="Y120" i="13" s="1"/>
  <c r="Z120" i="13" s="1"/>
  <c r="AA120" i="13" s="1"/>
  <c r="AB120" i="13" s="1"/>
  <c r="AC120" i="13" s="1"/>
  <c r="AK102" i="13"/>
  <c r="AL102" i="13" s="1"/>
  <c r="AM102" i="13" s="1"/>
  <c r="H92" i="9"/>
  <c r="I92" i="9" s="1"/>
  <c r="J92" i="9" s="1"/>
  <c r="L92" i="9" s="1"/>
  <c r="M92" i="9" s="1"/>
  <c r="P96" i="13"/>
  <c r="P42" i="13"/>
  <c r="P95" i="13"/>
  <c r="P46" i="13"/>
  <c r="AK29" i="13"/>
  <c r="AL29" i="13" s="1"/>
  <c r="AM29" i="13" s="1"/>
  <c r="P99" i="13"/>
  <c r="P100" i="13"/>
  <c r="P101" i="13"/>
  <c r="P97" i="13"/>
  <c r="P84" i="13"/>
  <c r="P102" i="13"/>
  <c r="AG105" i="13"/>
  <c r="AG96" i="13"/>
  <c r="X60" i="10"/>
  <c r="Y60" i="10" s="1"/>
  <c r="X66" i="10"/>
  <c r="Y66" i="10" s="1"/>
  <c r="AD49" i="14"/>
  <c r="Q49" i="14"/>
  <c r="AH47" i="14"/>
  <c r="P67" i="12"/>
  <c r="H67" i="10"/>
  <c r="I67" i="10" s="1"/>
  <c r="J67" i="10" s="1"/>
  <c r="L67" i="10" s="1"/>
  <c r="M67" i="10" s="1"/>
  <c r="H69" i="10"/>
  <c r="I69" i="10" s="1"/>
  <c r="J69" i="10" s="1"/>
  <c r="L69" i="10" s="1"/>
  <c r="M69" i="10" s="1"/>
  <c r="P69" i="12"/>
  <c r="Z47" i="12"/>
  <c r="O47" i="12" s="1"/>
  <c r="P43" i="12"/>
  <c r="H82" i="10"/>
  <c r="I82" i="10" s="1"/>
  <c r="J82" i="10" s="1"/>
  <c r="L82" i="10" s="1"/>
  <c r="M82" i="10" s="1"/>
  <c r="P82" i="12"/>
  <c r="H31" i="10"/>
  <c r="I31" i="10" s="1"/>
  <c r="J31" i="10" s="1"/>
  <c r="L31" i="10" s="1"/>
  <c r="M31" i="10" s="1"/>
  <c r="P31" i="12"/>
  <c r="Z34" i="12"/>
  <c r="O34" i="12" s="1"/>
  <c r="P34" i="12" s="1"/>
  <c r="AG91" i="13"/>
  <c r="AH34" i="14"/>
  <c r="H36" i="10"/>
  <c r="I36" i="10" s="1"/>
  <c r="J36" i="10" s="1"/>
  <c r="L36" i="10" s="1"/>
  <c r="M36" i="10" s="1"/>
  <c r="P36" i="12"/>
  <c r="P32" i="12"/>
  <c r="H32" i="10"/>
  <c r="I32" i="10" s="1"/>
  <c r="J32" i="10" s="1"/>
  <c r="L32" i="10" s="1"/>
  <c r="M32" i="10" s="1"/>
  <c r="H54" i="10"/>
  <c r="I54" i="10" s="1"/>
  <c r="J54" i="10" s="1"/>
  <c r="L54" i="10" s="1"/>
  <c r="M54" i="10" s="1"/>
  <c r="H65" i="10"/>
  <c r="I65" i="10" s="1"/>
  <c r="J65" i="10" s="1"/>
  <c r="L65" i="10" s="1"/>
  <c r="M65" i="10" s="1"/>
  <c r="P65" i="12"/>
  <c r="P64" i="12"/>
  <c r="H53" i="10"/>
  <c r="I53" i="10" s="1"/>
  <c r="J53" i="10" s="1"/>
  <c r="L53" i="10" s="1"/>
  <c r="M53" i="10" s="1"/>
  <c r="H64" i="10"/>
  <c r="I64" i="10" s="1"/>
  <c r="J64" i="10" s="1"/>
  <c r="L64" i="10" s="1"/>
  <c r="M64" i="10" s="1"/>
  <c r="P66" i="12"/>
  <c r="H55" i="10"/>
  <c r="I55" i="10" s="1"/>
  <c r="J55" i="10" s="1"/>
  <c r="L55" i="10" s="1"/>
  <c r="M55" i="10" s="1"/>
  <c r="H66" i="10"/>
  <c r="I66" i="10" s="1"/>
  <c r="J66" i="10" s="1"/>
  <c r="L66" i="10" s="1"/>
  <c r="M66" i="10" s="1"/>
  <c r="P63" i="12"/>
  <c r="H52" i="10"/>
  <c r="I52" i="10" s="1"/>
  <c r="J52" i="10" s="1"/>
  <c r="L52" i="10" s="1"/>
  <c r="M52" i="10" s="1"/>
  <c r="H58" i="10"/>
  <c r="I58" i="10" s="1"/>
  <c r="J58" i="10" s="1"/>
  <c r="L58" i="10" s="1"/>
  <c r="M58" i="10" s="1"/>
  <c r="P68" i="12"/>
  <c r="H68" i="10"/>
  <c r="I68" i="10" s="1"/>
  <c r="J68" i="10" s="1"/>
  <c r="L68" i="10" s="1"/>
  <c r="M68" i="10" s="1"/>
  <c r="H57" i="10"/>
  <c r="I57" i="10" s="1"/>
  <c r="J57" i="10" s="1"/>
  <c r="L57" i="10" s="1"/>
  <c r="M57" i="10" s="1"/>
  <c r="Z48" i="12"/>
  <c r="AA45" i="41"/>
  <c r="AD55" i="14"/>
  <c r="P55" i="14"/>
  <c r="Z55" i="14" s="1"/>
  <c r="AA55" i="14" s="1"/>
  <c r="AB55" i="14" s="1"/>
  <c r="Q55" i="14"/>
  <c r="P56" i="14"/>
  <c r="Z56" i="14" s="1"/>
  <c r="AA56" i="14" s="1"/>
  <c r="AB56" i="14" s="1"/>
  <c r="Q56" i="14"/>
  <c r="AD56" i="14"/>
  <c r="P57" i="14"/>
  <c r="Z57" i="14" s="1"/>
  <c r="AA57" i="14" s="1"/>
  <c r="AB57" i="14" s="1"/>
  <c r="Q57" i="14"/>
  <c r="AD57" i="14"/>
  <c r="AD54" i="14"/>
  <c r="Q54" i="14"/>
  <c r="P54" i="14"/>
  <c r="Z54" i="14" s="1"/>
  <c r="AA54" i="14" s="1"/>
  <c r="AB54" i="14" s="1"/>
  <c r="AD52" i="14"/>
  <c r="P52" i="14"/>
  <c r="Z52" i="14" s="1"/>
  <c r="AA52" i="14" s="1"/>
  <c r="AB52" i="14" s="1"/>
  <c r="Q52" i="14"/>
  <c r="AD51" i="14"/>
  <c r="P51" i="14"/>
  <c r="Z51" i="14" s="1"/>
  <c r="AA51" i="14" s="1"/>
  <c r="AB51" i="14" s="1"/>
  <c r="Q51" i="14"/>
  <c r="T80" i="41"/>
  <c r="U80" i="41" s="1"/>
  <c r="U87" i="12"/>
  <c r="H80" i="10"/>
  <c r="I80" i="10" s="1"/>
  <c r="J80" i="10" s="1"/>
  <c r="L80" i="10" s="1"/>
  <c r="M80" i="10" s="1"/>
  <c r="H84" i="10"/>
  <c r="I84" i="10" s="1"/>
  <c r="J84" i="10" s="1"/>
  <c r="L84" i="10" s="1"/>
  <c r="M84" i="10" s="1"/>
  <c r="AL83" i="14"/>
  <c r="AM83" i="14" s="1"/>
  <c r="AN83" i="14" s="1"/>
  <c r="P83" i="14"/>
  <c r="Z83" i="14" s="1"/>
  <c r="AA83" i="14" s="1"/>
  <c r="AB83" i="14" s="1"/>
  <c r="AC83" i="14" s="1"/>
  <c r="AO83" i="14" s="1"/>
  <c r="AL85" i="14"/>
  <c r="AM85" i="14" s="1"/>
  <c r="AN85" i="14" s="1"/>
  <c r="P85" i="14"/>
  <c r="Z85" i="14" s="1"/>
  <c r="AA85" i="14" s="1"/>
  <c r="AB85" i="14" s="1"/>
  <c r="AC85" i="14" s="1"/>
  <c r="AO85" i="14" s="1"/>
  <c r="H86" i="10"/>
  <c r="I86" i="10" s="1"/>
  <c r="J86" i="10" s="1"/>
  <c r="L86" i="10" s="1"/>
  <c r="M86" i="10" s="1"/>
  <c r="AN67" i="14"/>
  <c r="AN63" i="14"/>
  <c r="Z46" i="14"/>
  <c r="AA46" i="14" s="1"/>
  <c r="AB46" i="14" s="1"/>
  <c r="AC46" i="14" s="1"/>
  <c r="AO46" i="14" s="1"/>
  <c r="H42" i="10"/>
  <c r="I42" i="10" s="1"/>
  <c r="J42" i="10" s="1"/>
  <c r="L42" i="10" s="1"/>
  <c r="M42" i="10" s="1"/>
  <c r="AI84" i="13"/>
  <c r="AN62" i="14"/>
  <c r="Z40" i="14"/>
  <c r="AA40" i="14" s="1"/>
  <c r="AB40" i="14" s="1"/>
  <c r="AC40" i="14" s="1"/>
  <c r="AO40" i="14" s="1"/>
  <c r="Z44" i="14"/>
  <c r="AA44" i="14" s="1"/>
  <c r="AB44" i="14" s="1"/>
  <c r="AC44" i="14" s="1"/>
  <c r="AO44" i="14" s="1"/>
  <c r="AN59" i="14"/>
  <c r="R29" i="41"/>
  <c r="O29" i="41" s="1"/>
  <c r="T29" i="41" s="1"/>
  <c r="AJ85" i="14"/>
  <c r="AL40" i="14"/>
  <c r="AM40" i="14" s="1"/>
  <c r="AN40" i="14" s="1"/>
  <c r="H33" i="10"/>
  <c r="I33" i="10" s="1"/>
  <c r="J33" i="10" s="1"/>
  <c r="L33" i="10" s="1"/>
  <c r="M33" i="10" s="1"/>
  <c r="AH40" i="14"/>
  <c r="U81" i="12"/>
  <c r="AJ28" i="14"/>
  <c r="AH80" i="14"/>
  <c r="AH86" i="14"/>
  <c r="AH83" i="14"/>
  <c r="AH67" i="14"/>
  <c r="AH45" i="14"/>
  <c r="H91" i="9"/>
  <c r="I91" i="9" s="1"/>
  <c r="J91" i="9" s="1"/>
  <c r="L91" i="9" s="1"/>
  <c r="M91" i="9" s="1"/>
  <c r="P41" i="12"/>
  <c r="H36" i="9"/>
  <c r="I36" i="9" s="1"/>
  <c r="J36" i="9" s="1"/>
  <c r="L36" i="9" s="1"/>
  <c r="M36" i="9" s="1"/>
  <c r="Q88" i="14"/>
  <c r="AJ35" i="14"/>
  <c r="AK82" i="13"/>
  <c r="AL82" i="13" s="1"/>
  <c r="AM82" i="13" s="1"/>
  <c r="P82" i="13"/>
  <c r="P77" i="13"/>
  <c r="AJ31" i="14"/>
  <c r="AJ33" i="14"/>
  <c r="AL62" i="14"/>
  <c r="AM62" i="14" s="1"/>
  <c r="AJ29" i="14"/>
  <c r="AB32" i="11"/>
  <c r="P32" i="11" s="1"/>
  <c r="Q32" i="11" s="1"/>
  <c r="AL44" i="14"/>
  <c r="AM44" i="14" s="1"/>
  <c r="AN44" i="14" s="1"/>
  <c r="AL59" i="14"/>
  <c r="AM59" i="14" s="1"/>
  <c r="P78" i="13"/>
  <c r="H38" i="9"/>
  <c r="I38" i="9" s="1"/>
  <c r="J38" i="9" s="1"/>
  <c r="L38" i="9" s="1"/>
  <c r="M38" i="9" s="1"/>
  <c r="O78" i="13"/>
  <c r="Y78" i="13" s="1"/>
  <c r="Z78" i="13" s="1"/>
  <c r="AA78" i="13" s="1"/>
  <c r="AC78" i="13"/>
  <c r="P103" i="13"/>
  <c r="AK86" i="13"/>
  <c r="AL86" i="13" s="1"/>
  <c r="AM86" i="13" s="1"/>
  <c r="O86" i="13"/>
  <c r="Y86" i="13" s="1"/>
  <c r="Z86" i="13" s="1"/>
  <c r="AA86" i="13" s="1"/>
  <c r="AB86" i="13" s="1"/>
  <c r="AC86" i="13" s="1"/>
  <c r="P115" i="13"/>
  <c r="AK98" i="13"/>
  <c r="AL98" i="13" s="1"/>
  <c r="AM98" i="13" s="1"/>
  <c r="O113" i="13"/>
  <c r="Y113" i="13" s="1"/>
  <c r="Z113" i="13" s="1"/>
  <c r="AA113" i="13" s="1"/>
  <c r="AB113" i="13" s="1"/>
  <c r="AC113" i="13" s="1"/>
  <c r="O98" i="13"/>
  <c r="Y98" i="13" s="1"/>
  <c r="Z98" i="13" s="1"/>
  <c r="AA98" i="13" s="1"/>
  <c r="AB98" i="13" s="1"/>
  <c r="AC98" i="13" s="1"/>
  <c r="AI87" i="13"/>
  <c r="AI121" i="13"/>
  <c r="O92" i="13"/>
  <c r="Y92" i="13" s="1"/>
  <c r="Z92" i="13" s="1"/>
  <c r="AA92" i="13" s="1"/>
  <c r="AB92" i="13" s="1"/>
  <c r="AC92" i="13" s="1"/>
  <c r="AK113" i="13"/>
  <c r="AL113" i="13" s="1"/>
  <c r="AM113" i="13" s="1"/>
  <c r="AI107" i="13"/>
  <c r="AG95" i="13"/>
  <c r="P123" i="13"/>
  <c r="O123" i="13"/>
  <c r="Y123" i="13" s="1"/>
  <c r="Z123" i="13" s="1"/>
  <c r="AA123" i="13" s="1"/>
  <c r="AB123" i="13" s="1"/>
  <c r="AC123" i="13" s="1"/>
  <c r="AG88" i="13"/>
  <c r="P85" i="13"/>
  <c r="X85" i="10"/>
  <c r="Y85" i="10" s="1"/>
  <c r="AI83" i="13"/>
  <c r="AC74" i="13"/>
  <c r="H31" i="9"/>
  <c r="I31" i="9" s="1"/>
  <c r="J31" i="9" s="1"/>
  <c r="L31" i="9" s="1"/>
  <c r="M31" i="9" s="1"/>
  <c r="AB77" i="13"/>
  <c r="O74" i="13"/>
  <c r="Y74" i="13" s="1"/>
  <c r="Z74" i="13" s="1"/>
  <c r="AA74" i="13" s="1"/>
  <c r="AC77" i="13"/>
  <c r="P74" i="13"/>
  <c r="S80" i="1"/>
  <c r="AH44" i="14"/>
  <c r="J91" i="10"/>
  <c r="L91" i="10" s="1"/>
  <c r="M91" i="10" s="1"/>
  <c r="J83" i="9"/>
  <c r="L83" i="9" s="1"/>
  <c r="M83" i="9" s="1"/>
  <c r="Q83" i="11"/>
  <c r="X39" i="10"/>
  <c r="Y39" i="10" s="1"/>
  <c r="X38" i="10"/>
  <c r="Y38" i="10" s="1"/>
  <c r="P127" i="13"/>
  <c r="P66" i="13"/>
  <c r="O66" i="13"/>
  <c r="Y66" i="13" s="1"/>
  <c r="Z66" i="13" s="1"/>
  <c r="AA66" i="13" s="1"/>
  <c r="AB66" i="13"/>
  <c r="AI90" i="13"/>
  <c r="O90" i="13"/>
  <c r="Y90" i="13" s="1"/>
  <c r="Z90" i="13" s="1"/>
  <c r="AA90" i="13" s="1"/>
  <c r="AB90" i="13" s="1"/>
  <c r="AC90" i="13" s="1"/>
  <c r="Z45" i="14"/>
  <c r="AA45" i="14" s="1"/>
  <c r="AB45" i="14" s="1"/>
  <c r="AC45" i="14" s="1"/>
  <c r="AO45" i="14" s="1"/>
  <c r="AL33" i="14"/>
  <c r="AM33" i="14" s="1"/>
  <c r="AN33" i="14" s="1"/>
  <c r="Z33" i="14"/>
  <c r="AA33" i="14" s="1"/>
  <c r="AB33" i="14" s="1"/>
  <c r="AC33" i="14" s="1"/>
  <c r="AO33" i="14" s="1"/>
  <c r="AL42" i="14"/>
  <c r="AM42" i="14" s="1"/>
  <c r="AN42" i="14" s="1"/>
  <c r="Z42" i="14"/>
  <c r="AA42" i="14" s="1"/>
  <c r="AB42" i="14" s="1"/>
  <c r="AC42" i="14" s="1"/>
  <c r="AO42" i="14" s="1"/>
  <c r="AL41" i="14"/>
  <c r="AM41" i="14" s="1"/>
  <c r="AN41" i="14" s="1"/>
  <c r="Z41" i="14"/>
  <c r="AA41" i="14" s="1"/>
  <c r="AB41" i="14" s="1"/>
  <c r="AC41" i="14" s="1"/>
  <c r="AO41" i="14" s="1"/>
  <c r="Z36" i="14"/>
  <c r="AA36" i="14" s="1"/>
  <c r="AB36" i="14" s="1"/>
  <c r="AC36" i="14" s="1"/>
  <c r="AO36" i="14" s="1"/>
  <c r="O61" i="13"/>
  <c r="Y61" i="13" s="1"/>
  <c r="Z61" i="13" s="1"/>
  <c r="AA61" i="13" s="1"/>
  <c r="AL35" i="14"/>
  <c r="AM35" i="14" s="1"/>
  <c r="AN35" i="14" s="1"/>
  <c r="Z35" i="14"/>
  <c r="AA35" i="14" s="1"/>
  <c r="AB35" i="14" s="1"/>
  <c r="AC35" i="14" s="1"/>
  <c r="AO35" i="14" s="1"/>
  <c r="P61" i="13"/>
  <c r="AL63" i="14"/>
  <c r="AM63" i="14" s="1"/>
  <c r="Z31" i="14"/>
  <c r="AA31" i="14" s="1"/>
  <c r="AB31" i="14" s="1"/>
  <c r="AC31" i="14" s="1"/>
  <c r="AO31" i="14" s="1"/>
  <c r="AC61" i="13"/>
  <c r="AL46" i="14"/>
  <c r="AM46" i="14" s="1"/>
  <c r="AN46" i="14" s="1"/>
  <c r="Q82" i="14"/>
  <c r="Q80" i="11"/>
  <c r="P65" i="13"/>
  <c r="O65" i="13"/>
  <c r="Y65" i="13" s="1"/>
  <c r="Z65" i="13" s="1"/>
  <c r="AA65" i="13" s="1"/>
  <c r="AC65" i="13"/>
  <c r="P75" i="13"/>
  <c r="AB64" i="13"/>
  <c r="AB75" i="13"/>
  <c r="AC64" i="13"/>
  <c r="O75" i="13"/>
  <c r="Y75" i="13" s="1"/>
  <c r="Z75" i="13" s="1"/>
  <c r="AA75" i="13" s="1"/>
  <c r="O64" i="13"/>
  <c r="Y64" i="13" s="1"/>
  <c r="Z64" i="13" s="1"/>
  <c r="AA64" i="13" s="1"/>
  <c r="AJ87" i="14"/>
  <c r="O40" i="13"/>
  <c r="Y40" i="13" s="1"/>
  <c r="Z40" i="13" s="1"/>
  <c r="AA40" i="13" s="1"/>
  <c r="AB40" i="13" s="1"/>
  <c r="AC40" i="13" s="1"/>
  <c r="AL45" i="14"/>
  <c r="AM45" i="14" s="1"/>
  <c r="AN45" i="14" s="1"/>
  <c r="AB59" i="13"/>
  <c r="AC59" i="13"/>
  <c r="P59" i="13"/>
  <c r="Z29" i="14"/>
  <c r="AA29" i="14" s="1"/>
  <c r="AB29" i="14" s="1"/>
  <c r="AC29" i="14" s="1"/>
  <c r="AO29" i="14" s="1"/>
  <c r="L29" i="41"/>
  <c r="AA29" i="41" s="1"/>
  <c r="U29" i="12"/>
  <c r="Z29" i="12" s="1"/>
  <c r="O29" i="12" s="1"/>
  <c r="Q86" i="11"/>
  <c r="H94" i="9"/>
  <c r="I94" i="9" s="1"/>
  <c r="J94" i="9" s="1"/>
  <c r="L94" i="9" s="1"/>
  <c r="M94" i="9" s="1"/>
  <c r="R93" i="11"/>
  <c r="H93" i="9"/>
  <c r="I93" i="9" s="1"/>
  <c r="J93" i="9" s="1"/>
  <c r="L93" i="9" s="1"/>
  <c r="M93" i="9" s="1"/>
  <c r="J95" i="9"/>
  <c r="L95" i="9" s="1"/>
  <c r="M95" i="9" s="1"/>
  <c r="AH38" i="14"/>
  <c r="AG93" i="13"/>
  <c r="X35" i="41"/>
  <c r="X40" i="41"/>
  <c r="AA38" i="41"/>
  <c r="AG39" i="13"/>
  <c r="AK31" i="13"/>
  <c r="AL31" i="13" s="1"/>
  <c r="AM31" i="13" s="1"/>
  <c r="Q34" i="14"/>
  <c r="O89" i="13"/>
  <c r="Y89" i="13" s="1"/>
  <c r="Z89" i="13" s="1"/>
  <c r="AA89" i="13" s="1"/>
  <c r="AB89" i="13" s="1"/>
  <c r="AC89" i="13" s="1"/>
  <c r="P30" i="13"/>
  <c r="Z87" i="14"/>
  <c r="AA87" i="14" s="1"/>
  <c r="AB87" i="14" s="1"/>
  <c r="AC87" i="14" s="1"/>
  <c r="AL87" i="14"/>
  <c r="AM87" i="14" s="1"/>
  <c r="AN87" i="14" s="1"/>
  <c r="Y39" i="14"/>
  <c r="Z38" i="14"/>
  <c r="AA38" i="14" s="1"/>
  <c r="AB38" i="14" s="1"/>
  <c r="AC38" i="14" s="1"/>
  <c r="AO38" i="14" s="1"/>
  <c r="AL38" i="14"/>
  <c r="AM38" i="14" s="1"/>
  <c r="AN38" i="14" s="1"/>
  <c r="P91" i="13"/>
  <c r="O81" i="13"/>
  <c r="Y81" i="13" s="1"/>
  <c r="Z81" i="13" s="1"/>
  <c r="AA81" i="13" s="1"/>
  <c r="AB81" i="13" s="1"/>
  <c r="AC81" i="13" s="1"/>
  <c r="AK39" i="13"/>
  <c r="AL39" i="13" s="1"/>
  <c r="AM39" i="13" s="1"/>
  <c r="AE37" i="13"/>
  <c r="AI37" i="13" s="1"/>
  <c r="AJ46" i="14"/>
  <c r="O60" i="13"/>
  <c r="Y60" i="13" s="1"/>
  <c r="Z60" i="13" s="1"/>
  <c r="AA60" i="13" s="1"/>
  <c r="O44" i="13"/>
  <c r="Y44" i="13" s="1"/>
  <c r="Z44" i="13" s="1"/>
  <c r="AA44" i="13" s="1"/>
  <c r="AB44" i="13" s="1"/>
  <c r="AC44" i="13" s="1"/>
  <c r="AC60" i="13"/>
  <c r="P60" i="13"/>
  <c r="AA39" i="41"/>
  <c r="Z39" i="12"/>
  <c r="R82" i="11"/>
  <c r="X82" i="9"/>
  <c r="Y82" i="9" s="1"/>
  <c r="X89" i="9"/>
  <c r="Y89" i="9" s="1"/>
  <c r="R89" i="11"/>
  <c r="G33" i="5"/>
  <c r="J33" i="5" s="1"/>
  <c r="L33" i="5"/>
  <c r="L39" i="5" s="1"/>
  <c r="X89" i="10"/>
  <c r="Y89" i="10" s="1"/>
  <c r="X85" i="9"/>
  <c r="Y85" i="9" s="1"/>
  <c r="R85" i="11"/>
  <c r="J53" i="6"/>
  <c r="R90" i="11"/>
  <c r="X90" i="9"/>
  <c r="Y90" i="9" s="1"/>
  <c r="X86" i="9"/>
  <c r="Y86" i="9" s="1"/>
  <c r="R86" i="11"/>
  <c r="M52" i="6"/>
  <c r="M54" i="6"/>
  <c r="P88" i="13"/>
  <c r="AM40" i="13"/>
  <c r="AI42" i="13"/>
  <c r="O52" i="13"/>
  <c r="Y52" i="13" s="1"/>
  <c r="Z52" i="13" s="1"/>
  <c r="AA52" i="13" s="1"/>
  <c r="AB52" i="13" s="1"/>
  <c r="AC52" i="13" s="1"/>
  <c r="AM52" i="13"/>
  <c r="AK32" i="13"/>
  <c r="AL32" i="13" s="1"/>
  <c r="AM32" i="13" s="1"/>
  <c r="AJ65" i="14"/>
  <c r="Q45" i="14"/>
  <c r="P87" i="13"/>
  <c r="AK33" i="13"/>
  <c r="AL33" i="13" s="1"/>
  <c r="AM33" i="13" s="1"/>
  <c r="AH59" i="14"/>
  <c r="AK49" i="13"/>
  <c r="AL49" i="13" s="1"/>
  <c r="AM49" i="13" s="1"/>
  <c r="X61" i="10"/>
  <c r="Y61" i="10" s="1"/>
  <c r="J102" i="10"/>
  <c r="L102" i="10" s="1"/>
  <c r="M102" i="10" s="1"/>
  <c r="P107" i="12"/>
  <c r="H107" i="10"/>
  <c r="I107" i="10" s="1"/>
  <c r="J110" i="10"/>
  <c r="L110" i="10" s="1"/>
  <c r="M110" i="10" s="1"/>
  <c r="J113" i="10"/>
  <c r="L113" i="10" s="1"/>
  <c r="M113" i="10" s="1"/>
  <c r="J126" i="10"/>
  <c r="L126" i="10" s="1"/>
  <c r="M126" i="10" s="1"/>
  <c r="J124" i="10"/>
  <c r="L124" i="10" s="1"/>
  <c r="M124" i="10" s="1"/>
  <c r="J99" i="10"/>
  <c r="L99" i="10" s="1"/>
  <c r="M99" i="10" s="1"/>
  <c r="J119" i="10"/>
  <c r="L119" i="10" s="1"/>
  <c r="M119" i="10" s="1"/>
  <c r="J114" i="10"/>
  <c r="L114" i="10" s="1"/>
  <c r="M114" i="10" s="1"/>
  <c r="J96" i="10"/>
  <c r="L96" i="10" s="1"/>
  <c r="M96" i="10" s="1"/>
  <c r="J121" i="10"/>
  <c r="L121" i="10" s="1"/>
  <c r="M121" i="10" s="1"/>
  <c r="J97" i="10"/>
  <c r="L97" i="10" s="1"/>
  <c r="M97" i="10" s="1"/>
  <c r="J100" i="10"/>
  <c r="L100" i="10" s="1"/>
  <c r="M100" i="10" s="1"/>
  <c r="J117" i="10"/>
  <c r="L117" i="10" s="1"/>
  <c r="M117" i="10" s="1"/>
  <c r="J122" i="10"/>
  <c r="L122" i="10" s="1"/>
  <c r="M122" i="10" s="1"/>
  <c r="J112" i="10"/>
  <c r="L112" i="10" s="1"/>
  <c r="M112" i="10" s="1"/>
  <c r="J104" i="10"/>
  <c r="L104" i="10" s="1"/>
  <c r="M104" i="10" s="1"/>
  <c r="P98" i="12"/>
  <c r="H98" i="10"/>
  <c r="I98" i="10" s="1"/>
  <c r="J106" i="10"/>
  <c r="L106" i="10" s="1"/>
  <c r="M106" i="10" s="1"/>
  <c r="J118" i="10"/>
  <c r="L118" i="10" s="1"/>
  <c r="M118" i="10" s="1"/>
  <c r="J120" i="10"/>
  <c r="L120" i="10" s="1"/>
  <c r="M120" i="10" s="1"/>
  <c r="J127" i="10"/>
  <c r="L127" i="10" s="1"/>
  <c r="M127" i="10" s="1"/>
  <c r="J103" i="10"/>
  <c r="L103" i="10" s="1"/>
  <c r="M103" i="10" s="1"/>
  <c r="J109" i="10"/>
  <c r="L109" i="10" s="1"/>
  <c r="M109" i="10" s="1"/>
  <c r="J105" i="10"/>
  <c r="L105" i="10" s="1"/>
  <c r="M105" i="10" s="1"/>
  <c r="J101" i="10"/>
  <c r="L101" i="10" s="1"/>
  <c r="M101" i="10" s="1"/>
  <c r="J111" i="10"/>
  <c r="L111" i="10" s="1"/>
  <c r="M111" i="10" s="1"/>
  <c r="J115" i="10"/>
  <c r="L115" i="10" s="1"/>
  <c r="M115" i="10" s="1"/>
  <c r="J116" i="10"/>
  <c r="L116" i="10" s="1"/>
  <c r="M116" i="10" s="1"/>
  <c r="J95" i="10"/>
  <c r="L95" i="10" s="1"/>
  <c r="M95" i="10" s="1"/>
  <c r="J108" i="10"/>
  <c r="L108" i="10" s="1"/>
  <c r="M108" i="10" s="1"/>
  <c r="J67" i="9"/>
  <c r="L67" i="9" s="1"/>
  <c r="M67" i="9" s="1"/>
  <c r="J63" i="9"/>
  <c r="L63" i="9" s="1"/>
  <c r="M63" i="9" s="1"/>
  <c r="J73" i="9"/>
  <c r="L73" i="9" s="1"/>
  <c r="M73" i="9" s="1"/>
  <c r="J69" i="9"/>
  <c r="L69" i="9" s="1"/>
  <c r="M69" i="9" s="1"/>
  <c r="J59" i="9"/>
  <c r="L59" i="9" s="1"/>
  <c r="M59" i="9" s="1"/>
  <c r="Q47" i="14"/>
  <c r="Q46" i="14"/>
  <c r="Q40" i="14"/>
  <c r="AL29" i="14"/>
  <c r="AM29" i="14" s="1"/>
  <c r="AN29" i="14" s="1"/>
  <c r="Z84" i="14"/>
  <c r="AA84" i="14" s="1"/>
  <c r="AB84" i="14" s="1"/>
  <c r="AC84" i="14" s="1"/>
  <c r="AO84" i="14" s="1"/>
  <c r="AG56" i="13"/>
  <c r="AC53" i="13"/>
  <c r="AG120" i="13"/>
  <c r="O57" i="13"/>
  <c r="Y57" i="13" s="1"/>
  <c r="Z57" i="13" s="1"/>
  <c r="AA57" i="13" s="1"/>
  <c r="AI104" i="13"/>
  <c r="AJ84" i="14"/>
  <c r="AH84" i="14"/>
  <c r="Z86" i="14"/>
  <c r="AA86" i="14" s="1"/>
  <c r="AB86" i="14" s="1"/>
  <c r="AC86" i="14" s="1"/>
  <c r="AO86" i="14" s="1"/>
  <c r="AL86" i="14"/>
  <c r="AM86" i="14" s="1"/>
  <c r="AN86" i="14" s="1"/>
  <c r="AJ41" i="14"/>
  <c r="AH41" i="14"/>
  <c r="AH42" i="14"/>
  <c r="AJ42" i="14"/>
  <c r="AH36" i="14"/>
  <c r="AJ36" i="14"/>
  <c r="AF39" i="14"/>
  <c r="AL36" i="14"/>
  <c r="AM36" i="14" s="1"/>
  <c r="AN36" i="14" s="1"/>
  <c r="AH63" i="14"/>
  <c r="AL67" i="14"/>
  <c r="AM67" i="14" s="1"/>
  <c r="J88" i="9"/>
  <c r="L88" i="9" s="1"/>
  <c r="M88" i="9" s="1"/>
  <c r="J89" i="9"/>
  <c r="L89" i="9" s="1"/>
  <c r="M89" i="9" s="1"/>
  <c r="J86" i="9"/>
  <c r="L86" i="9" s="1"/>
  <c r="M86" i="9" s="1"/>
  <c r="J99" i="9"/>
  <c r="L99" i="9" s="1"/>
  <c r="M99" i="9" s="1"/>
  <c r="J90" i="9"/>
  <c r="L90" i="9" s="1"/>
  <c r="M90" i="9" s="1"/>
  <c r="L51" i="9"/>
  <c r="M51" i="9" s="1"/>
  <c r="AK45" i="13"/>
  <c r="AL45" i="13" s="1"/>
  <c r="AM45" i="13" s="1"/>
  <c r="O45" i="13"/>
  <c r="Y45" i="13" s="1"/>
  <c r="Z45" i="13" s="1"/>
  <c r="AA45" i="13" s="1"/>
  <c r="AB45" i="13" s="1"/>
  <c r="AC45" i="13" s="1"/>
  <c r="O49" i="13"/>
  <c r="Y49" i="13" s="1"/>
  <c r="Z49" i="13" s="1"/>
  <c r="AA49" i="13" s="1"/>
  <c r="AB49" i="13" s="1"/>
  <c r="AC49" i="13" s="1"/>
  <c r="AI53" i="13"/>
  <c r="AK34" i="13"/>
  <c r="AL34" i="13" s="1"/>
  <c r="AM34" i="13" s="1"/>
  <c r="AG49" i="13"/>
  <c r="Q29" i="1"/>
  <c r="R29" i="1" s="1"/>
  <c r="Q29" i="12"/>
  <c r="AJ30" i="14"/>
  <c r="AL31" i="14"/>
  <c r="AM31" i="14" s="1"/>
  <c r="AN31" i="14" s="1"/>
  <c r="X83" i="10"/>
  <c r="Y83" i="10" s="1"/>
  <c r="X34" i="10"/>
  <c r="Y34" i="10" s="1"/>
  <c r="X99" i="10"/>
  <c r="Y99" i="10" s="1"/>
  <c r="AJ62" i="14"/>
  <c r="X111" i="10"/>
  <c r="Y111" i="10" s="1"/>
  <c r="R107" i="11"/>
  <c r="X120" i="10"/>
  <c r="Y120" i="10" s="1"/>
  <c r="X101" i="10"/>
  <c r="Y101" i="10" s="1"/>
  <c r="AJ66" i="14"/>
  <c r="L54" i="9"/>
  <c r="M54" i="9" s="1"/>
  <c r="X94" i="9"/>
  <c r="Y94" i="9" s="1"/>
  <c r="R102" i="11"/>
  <c r="AG55" i="13"/>
  <c r="AB53" i="13"/>
  <c r="AM53" i="13"/>
  <c r="AK38" i="13"/>
  <c r="AL38" i="13" s="1"/>
  <c r="AM38" i="13" s="1"/>
  <c r="AL28" i="14"/>
  <c r="AM28" i="14" s="1"/>
  <c r="AN28" i="14" s="1"/>
  <c r="AH81" i="14"/>
  <c r="X107" i="10"/>
  <c r="Y107" i="10" s="1"/>
  <c r="R106" i="11"/>
  <c r="AI100" i="13"/>
  <c r="AG111" i="13"/>
  <c r="AI113" i="13"/>
  <c r="AM57" i="13"/>
  <c r="AB57" i="13"/>
  <c r="P57" i="13"/>
  <c r="AK57" i="13"/>
  <c r="AL57" i="13" s="1"/>
  <c r="AK53" i="13"/>
  <c r="AL53" i="13" s="1"/>
  <c r="O53" i="13"/>
  <c r="Y53" i="13" s="1"/>
  <c r="Z53" i="13" s="1"/>
  <c r="AA53" i="13" s="1"/>
  <c r="AM123" i="13"/>
  <c r="X102" i="10"/>
  <c r="Y102" i="10" s="1"/>
  <c r="AL30" i="14"/>
  <c r="AM30" i="14" s="1"/>
  <c r="AN30" i="14" s="1"/>
  <c r="Z30" i="14"/>
  <c r="AA30" i="14" s="1"/>
  <c r="AB30" i="14" s="1"/>
  <c r="AC30" i="14" s="1"/>
  <c r="AO30" i="14" s="1"/>
  <c r="X95" i="10"/>
  <c r="Y95" i="10" s="1"/>
  <c r="X124" i="10"/>
  <c r="Y124" i="10" s="1"/>
  <c r="X123" i="10"/>
  <c r="Y123" i="10" s="1"/>
  <c r="X121" i="10"/>
  <c r="Y121" i="10" s="1"/>
  <c r="X32" i="10"/>
  <c r="Y32" i="10" s="1"/>
  <c r="X80" i="10"/>
  <c r="Y80" i="10" s="1"/>
  <c r="Q80" i="12"/>
  <c r="AL68" i="14"/>
  <c r="AM68" i="14" s="1"/>
  <c r="X126" i="10"/>
  <c r="Y126" i="10" s="1"/>
  <c r="AH79" i="14"/>
  <c r="Q32" i="14"/>
  <c r="Z32" i="14"/>
  <c r="AA32" i="14" s="1"/>
  <c r="AB32" i="14" s="1"/>
  <c r="AC32" i="14" s="1"/>
  <c r="AO32" i="14" s="1"/>
  <c r="X45" i="10"/>
  <c r="Y45" i="10" s="1"/>
  <c r="AL79" i="14"/>
  <c r="AM79" i="14" s="1"/>
  <c r="AN79" i="14" s="1"/>
  <c r="P79" i="14"/>
  <c r="Z79" i="14" s="1"/>
  <c r="AA79" i="14" s="1"/>
  <c r="AB79" i="14" s="1"/>
  <c r="AC79" i="14" s="1"/>
  <c r="AO79" i="14" s="1"/>
  <c r="X68" i="10"/>
  <c r="Y68" i="10" s="1"/>
  <c r="X106" i="10"/>
  <c r="Y106" i="10" s="1"/>
  <c r="AH68" i="14"/>
  <c r="AJ68" i="14"/>
  <c r="Q37" i="14"/>
  <c r="X116" i="10"/>
  <c r="Y116" i="10" s="1"/>
  <c r="X119" i="10"/>
  <c r="Y119" i="10" s="1"/>
  <c r="Q80" i="14"/>
  <c r="X97" i="10"/>
  <c r="Y97" i="10" s="1"/>
  <c r="X114" i="10"/>
  <c r="Y114" i="10" s="1"/>
  <c r="X122" i="10"/>
  <c r="Y122" i="10" s="1"/>
  <c r="X31" i="10"/>
  <c r="Y31" i="10" s="1"/>
  <c r="Z81" i="14"/>
  <c r="AA81" i="14" s="1"/>
  <c r="AB81" i="14" s="1"/>
  <c r="AC81" i="14" s="1"/>
  <c r="AO81" i="14" s="1"/>
  <c r="Q81" i="14"/>
  <c r="X96" i="10"/>
  <c r="Y96" i="10" s="1"/>
  <c r="X117" i="10"/>
  <c r="Y117" i="10" s="1"/>
  <c r="X113" i="10"/>
  <c r="Y113" i="10" s="1"/>
  <c r="X110" i="10"/>
  <c r="Y110" i="10" s="1"/>
  <c r="X103" i="10"/>
  <c r="Y103" i="10" s="1"/>
  <c r="X69" i="10"/>
  <c r="Y69" i="10" s="1"/>
  <c r="X64" i="10"/>
  <c r="Y64" i="10" s="1"/>
  <c r="X93" i="10"/>
  <c r="Y93" i="10" s="1"/>
  <c r="Q44" i="14"/>
  <c r="J44" i="10"/>
  <c r="L44" i="10" s="1"/>
  <c r="M44" i="10" s="1"/>
  <c r="X62" i="10"/>
  <c r="Y62" i="10" s="1"/>
  <c r="AL61" i="14"/>
  <c r="AM61" i="14" s="1"/>
  <c r="AJ61" i="14"/>
  <c r="AH61" i="14"/>
  <c r="AI98" i="13"/>
  <c r="AI102" i="13"/>
  <c r="AK111" i="13"/>
  <c r="AL111" i="13" s="1"/>
  <c r="AM111" i="13" s="1"/>
  <c r="O29" i="1"/>
  <c r="T29" i="1" s="1"/>
  <c r="V29" i="1" s="1"/>
  <c r="W29" i="1" s="1"/>
  <c r="AK56" i="13"/>
  <c r="AL56" i="13" s="1"/>
  <c r="AK115" i="13"/>
  <c r="AL115" i="13" s="1"/>
  <c r="AM115" i="13" s="1"/>
  <c r="O80" i="13"/>
  <c r="Y80" i="13" s="1"/>
  <c r="Z80" i="13" s="1"/>
  <c r="AA80" i="13" s="1"/>
  <c r="AB80" i="13" s="1"/>
  <c r="AC80" i="13" s="1"/>
  <c r="AG116" i="13"/>
  <c r="AK109" i="13"/>
  <c r="AL109" i="13" s="1"/>
  <c r="AM109" i="13" s="1"/>
  <c r="AC56" i="13"/>
  <c r="AI43" i="13"/>
  <c r="AI48" i="13"/>
  <c r="AB56" i="13"/>
  <c r="P56" i="13"/>
  <c r="AK50" i="13"/>
  <c r="AL50" i="13" s="1"/>
  <c r="AM56" i="13"/>
  <c r="AK104" i="13"/>
  <c r="AL104" i="13" s="1"/>
  <c r="AM104" i="13" s="1"/>
  <c r="AK122" i="13"/>
  <c r="AL122" i="13" s="1"/>
  <c r="AM122" i="13" s="1"/>
  <c r="AG103" i="13"/>
  <c r="O50" i="13"/>
  <c r="Y50" i="13" s="1"/>
  <c r="Z50" i="13" s="1"/>
  <c r="AA50" i="13" s="1"/>
  <c r="AB50" i="13" s="1"/>
  <c r="AC50" i="13" s="1"/>
  <c r="AK36" i="13"/>
  <c r="AL36" i="13" s="1"/>
  <c r="AM36" i="13" s="1"/>
  <c r="AI35" i="13"/>
  <c r="AM114" i="13"/>
  <c r="R108" i="11"/>
  <c r="AM50" i="13"/>
  <c r="K29" i="1"/>
  <c r="V29" i="11" s="1"/>
  <c r="AB29" i="11" s="1"/>
  <c r="P29" i="11" s="1"/>
  <c r="AI115" i="13"/>
  <c r="AG57" i="13"/>
  <c r="AI57" i="13"/>
  <c r="AG47" i="13"/>
  <c r="AG46" i="13"/>
  <c r="AI124" i="13"/>
  <c r="R104" i="11"/>
  <c r="AI50" i="13"/>
  <c r="O43" i="13"/>
  <c r="Y43" i="13" s="1"/>
  <c r="Z43" i="13" s="1"/>
  <c r="AA43" i="13" s="1"/>
  <c r="AB43" i="13" s="1"/>
  <c r="AC43" i="13" s="1"/>
  <c r="AM43" i="13"/>
  <c r="AG80" i="13"/>
  <c r="AK100" i="13"/>
  <c r="AL100" i="13" s="1"/>
  <c r="AM100" i="13" s="1"/>
  <c r="AK103" i="13"/>
  <c r="AL103" i="13" s="1"/>
  <c r="AM103" i="13" s="1"/>
  <c r="AK121" i="13"/>
  <c r="AL121" i="13" s="1"/>
  <c r="AM121" i="13" s="1"/>
  <c r="R101" i="11"/>
  <c r="AE81" i="13"/>
  <c r="AI81" i="13" s="1"/>
  <c r="A57" i="13"/>
  <c r="A57" i="1"/>
  <c r="A57" i="9"/>
  <c r="AG58" i="13"/>
  <c r="AI58" i="13"/>
  <c r="AI125" i="13"/>
  <c r="R94" i="11"/>
  <c r="X109" i="9"/>
  <c r="Y109" i="9" s="1"/>
  <c r="R109" i="11"/>
  <c r="R100" i="11"/>
  <c r="AK125" i="13"/>
  <c r="AL125" i="13" s="1"/>
  <c r="AM125" i="13" s="1"/>
  <c r="X98" i="9"/>
  <c r="Y98" i="9" s="1"/>
  <c r="R98" i="11"/>
  <c r="X126" i="9"/>
  <c r="Y126" i="9" s="1"/>
  <c r="AK41" i="13"/>
  <c r="AL41" i="13" s="1"/>
  <c r="AM41" i="13" s="1"/>
  <c r="O41" i="13"/>
  <c r="Y41" i="13" s="1"/>
  <c r="Z41" i="13" s="1"/>
  <c r="AA41" i="13" s="1"/>
  <c r="AB41" i="13" s="1"/>
  <c r="AC41" i="13" s="1"/>
  <c r="AK110" i="13"/>
  <c r="AL110" i="13" s="1"/>
  <c r="AM110" i="13" s="1"/>
  <c r="AG110" i="13"/>
  <c r="AI110" i="13"/>
  <c r="AI41" i="13"/>
  <c r="AG41" i="13"/>
  <c r="AK119" i="13"/>
  <c r="AL119" i="13" s="1"/>
  <c r="AM119" i="13" s="1"/>
  <c r="AK97" i="13"/>
  <c r="AL97" i="13" s="1"/>
  <c r="AM97" i="13" s="1"/>
  <c r="AK112" i="13"/>
  <c r="AL112" i="13" s="1"/>
  <c r="AM112" i="13" s="1"/>
  <c r="AI119" i="13"/>
  <c r="AG119" i="13"/>
  <c r="X97" i="9"/>
  <c r="Y97" i="9" s="1"/>
  <c r="R97" i="11"/>
  <c r="AK126" i="13"/>
  <c r="AL126" i="13" s="1"/>
  <c r="AM126" i="13" s="1"/>
  <c r="AG112" i="13"/>
  <c r="AI112" i="13"/>
  <c r="AG108" i="13"/>
  <c r="AI108" i="13"/>
  <c r="AG126" i="13"/>
  <c r="AI126" i="13"/>
  <c r="AI97" i="13"/>
  <c r="AG97" i="13"/>
  <c r="J80" i="9"/>
  <c r="L80" i="9" s="1"/>
  <c r="M80" i="9" s="1"/>
  <c r="AK108" i="13"/>
  <c r="AL108" i="13" s="1"/>
  <c r="AM108" i="13" s="1"/>
  <c r="J44" i="9"/>
  <c r="L44" i="9" s="1"/>
  <c r="M44" i="9" s="1"/>
  <c r="H83" i="10" l="1"/>
  <c r="I83" i="10" s="1"/>
  <c r="J83" i="10" s="1"/>
  <c r="L83" i="10" s="1"/>
  <c r="M83" i="10" s="1"/>
  <c r="AD87" i="14"/>
  <c r="AO87" i="14"/>
  <c r="V31" i="1"/>
  <c r="W31" i="1" s="1"/>
  <c r="U31" i="1"/>
  <c r="AD85" i="14"/>
  <c r="AD30" i="14"/>
  <c r="AD83" i="14"/>
  <c r="AD79" i="14"/>
  <c r="AD38" i="14"/>
  <c r="AD41" i="14"/>
  <c r="AD42" i="14"/>
  <c r="AD31" i="14"/>
  <c r="AD86" i="14"/>
  <c r="AD33" i="14"/>
  <c r="AD32" i="14"/>
  <c r="AD44" i="14"/>
  <c r="AD35" i="14"/>
  <c r="AD45" i="14"/>
  <c r="AD40" i="14"/>
  <c r="AD36" i="14"/>
  <c r="AD46" i="14"/>
  <c r="AD81" i="14"/>
  <c r="AD84" i="14"/>
  <c r="U48" i="1"/>
  <c r="V48" i="1"/>
  <c r="W48" i="1" s="1"/>
  <c r="U46" i="41"/>
  <c r="V46" i="41"/>
  <c r="W46" i="41" s="1"/>
  <c r="Q47" i="11"/>
  <c r="H47" i="9"/>
  <c r="I47" i="9" s="1"/>
  <c r="T47" i="1"/>
  <c r="S47" i="1"/>
  <c r="P52" i="13"/>
  <c r="P50" i="13"/>
  <c r="P49" i="13"/>
  <c r="S43" i="41"/>
  <c r="S43" i="1"/>
  <c r="V43" i="1"/>
  <c r="W43" i="1" s="1"/>
  <c r="S30" i="1"/>
  <c r="V30" i="1"/>
  <c r="W30" i="1" s="1"/>
  <c r="V43" i="41"/>
  <c r="W43" i="41" s="1"/>
  <c r="U30" i="41"/>
  <c r="V30" i="41"/>
  <c r="W30" i="41" s="1"/>
  <c r="Q85" i="11"/>
  <c r="Q43" i="11"/>
  <c r="H43" i="9"/>
  <c r="I43" i="9" s="1"/>
  <c r="J43" i="9" s="1"/>
  <c r="L43" i="9" s="1"/>
  <c r="M43" i="9" s="1"/>
  <c r="P29" i="13"/>
  <c r="L37" i="41"/>
  <c r="AA37" i="41" s="1"/>
  <c r="U37" i="12"/>
  <c r="Z37" i="12" s="1"/>
  <c r="O37" i="12" s="1"/>
  <c r="AD29" i="14"/>
  <c r="H84" i="9"/>
  <c r="I84" i="9" s="1"/>
  <c r="J84" i="9" s="1"/>
  <c r="L84" i="9" s="1"/>
  <c r="M84" i="9" s="1"/>
  <c r="Q84" i="11"/>
  <c r="AC29" i="13"/>
  <c r="AO29" i="13"/>
  <c r="AO39" i="13"/>
  <c r="AO33" i="13"/>
  <c r="AO31" i="13"/>
  <c r="AO34" i="13"/>
  <c r="AO36" i="13"/>
  <c r="AO38" i="13"/>
  <c r="O35" i="12"/>
  <c r="H35" i="10" s="1"/>
  <c r="I35" i="10" s="1"/>
  <c r="J35" i="10" s="1"/>
  <c r="L35" i="10" s="1"/>
  <c r="M35" i="10" s="1"/>
  <c r="U35" i="12"/>
  <c r="P90" i="13"/>
  <c r="H35" i="9"/>
  <c r="I35" i="9" s="1"/>
  <c r="J35" i="9" s="1"/>
  <c r="L35" i="9" s="1"/>
  <c r="M35" i="9" s="1"/>
  <c r="P45" i="13"/>
  <c r="H33" i="9"/>
  <c r="I33" i="9" s="1"/>
  <c r="J33" i="9" s="1"/>
  <c r="L33" i="9" s="1"/>
  <c r="M33" i="9" s="1"/>
  <c r="H40" i="9"/>
  <c r="I40" i="9" s="1"/>
  <c r="J40" i="9" s="1"/>
  <c r="L40" i="9" s="1"/>
  <c r="M40" i="9" s="1"/>
  <c r="P40" i="13"/>
  <c r="P44" i="13"/>
  <c r="V39" i="11"/>
  <c r="AB39" i="11" s="1"/>
  <c r="P39" i="11" s="1"/>
  <c r="Q39" i="11" s="1"/>
  <c r="V30" i="11"/>
  <c r="AB30" i="11" s="1"/>
  <c r="P30" i="11" s="1"/>
  <c r="Q30" i="11" s="1"/>
  <c r="H34" i="9"/>
  <c r="I34" i="9" s="1"/>
  <c r="J34" i="9" s="1"/>
  <c r="L34" i="9" s="1"/>
  <c r="M34" i="9" s="1"/>
  <c r="P43" i="13"/>
  <c r="P86" i="13"/>
  <c r="P89" i="13"/>
  <c r="P98" i="13"/>
  <c r="P92" i="13"/>
  <c r="H34" i="10"/>
  <c r="I34" i="10" s="1"/>
  <c r="J34" i="10" s="1"/>
  <c r="L34" i="10" s="1"/>
  <c r="M34" i="10" s="1"/>
  <c r="H47" i="10"/>
  <c r="I47" i="10" s="1"/>
  <c r="J47" i="10" s="1"/>
  <c r="L47" i="10" s="1"/>
  <c r="M47" i="10" s="1"/>
  <c r="P47" i="12"/>
  <c r="Z45" i="12"/>
  <c r="O45" i="12" s="1"/>
  <c r="Z89" i="12"/>
  <c r="O89" i="12" s="1"/>
  <c r="Z88" i="12"/>
  <c r="O88" i="12" s="1"/>
  <c r="Z38" i="12"/>
  <c r="O38" i="12" s="1"/>
  <c r="P38" i="12" s="1"/>
  <c r="H46" i="10"/>
  <c r="I46" i="10" s="1"/>
  <c r="J46" i="10" s="1"/>
  <c r="L46" i="10" s="1"/>
  <c r="M46" i="10" s="1"/>
  <c r="O39" i="12"/>
  <c r="H39" i="10" s="1"/>
  <c r="I39" i="10" s="1"/>
  <c r="J39" i="10" s="1"/>
  <c r="L39" i="10" s="1"/>
  <c r="M39" i="10" s="1"/>
  <c r="O48" i="12"/>
  <c r="H48" i="10" s="1"/>
  <c r="I48" i="10" s="1"/>
  <c r="J48" i="10" s="1"/>
  <c r="L48" i="10" s="1"/>
  <c r="M48" i="10" s="1"/>
  <c r="V80" i="41"/>
  <c r="W80" i="41" s="1"/>
  <c r="P30" i="12"/>
  <c r="AA87" i="41"/>
  <c r="S29" i="41"/>
  <c r="AA81" i="41"/>
  <c r="O81" i="12"/>
  <c r="H41" i="10"/>
  <c r="I41" i="10" s="1"/>
  <c r="J41" i="10" s="1"/>
  <c r="H32" i="9"/>
  <c r="I32" i="9" s="1"/>
  <c r="J32" i="9" s="1"/>
  <c r="Q36" i="14"/>
  <c r="Q31" i="14"/>
  <c r="Q87" i="14"/>
  <c r="Q83" i="14"/>
  <c r="Q85" i="14"/>
  <c r="Q29" i="14"/>
  <c r="Q82" i="11"/>
  <c r="H82" i="9"/>
  <c r="I82" i="9" s="1"/>
  <c r="J82" i="9" s="1"/>
  <c r="L82" i="9" s="1"/>
  <c r="M82" i="9" s="1"/>
  <c r="H29" i="10"/>
  <c r="I29" i="10" s="1"/>
  <c r="J29" i="10" s="1"/>
  <c r="L29" i="10" s="1"/>
  <c r="M29" i="10" s="1"/>
  <c r="P29" i="12"/>
  <c r="U29" i="41"/>
  <c r="V29" i="41"/>
  <c r="W29" i="41" s="1"/>
  <c r="P81" i="13"/>
  <c r="Q38" i="14"/>
  <c r="Z39" i="14"/>
  <c r="AA39" i="14" s="1"/>
  <c r="AB39" i="14" s="1"/>
  <c r="AC39" i="14" s="1"/>
  <c r="AO39" i="14" s="1"/>
  <c r="Q39" i="14"/>
  <c r="AL39" i="14"/>
  <c r="AM39" i="14" s="1"/>
  <c r="AN39" i="14" s="1"/>
  <c r="AG37" i="13"/>
  <c r="AK37" i="13"/>
  <c r="AL37" i="13" s="1"/>
  <c r="AM37" i="13" s="1"/>
  <c r="P41" i="13"/>
  <c r="Q41" i="14"/>
  <c r="Q42" i="14"/>
  <c r="K58" i="6"/>
  <c r="E21" i="4" s="1"/>
  <c r="L52" i="6"/>
  <c r="L54" i="6"/>
  <c r="Q30" i="14"/>
  <c r="Q86" i="14"/>
  <c r="Q33" i="14"/>
  <c r="J98" i="10"/>
  <c r="L98" i="10" s="1"/>
  <c r="M98" i="10" s="1"/>
  <c r="J107" i="10"/>
  <c r="L107" i="10" s="1"/>
  <c r="M107" i="10" s="1"/>
  <c r="Q84" i="14"/>
  <c r="AH39" i="14"/>
  <c r="AJ39" i="14"/>
  <c r="Q81" i="11"/>
  <c r="H81" i="9"/>
  <c r="I81" i="9" s="1"/>
  <c r="L29" i="1"/>
  <c r="U29" i="1"/>
  <c r="AA35" i="41"/>
  <c r="Z28" i="14"/>
  <c r="AA28" i="14" s="1"/>
  <c r="AB28" i="14" s="1"/>
  <c r="AC28" i="14" s="1"/>
  <c r="Q28" i="14"/>
  <c r="P80" i="13"/>
  <c r="Q35" i="14"/>
  <c r="Q79" i="14"/>
  <c r="P40" i="12"/>
  <c r="H40" i="10"/>
  <c r="I40" i="10" s="1"/>
  <c r="J40" i="10" s="1"/>
  <c r="L40" i="10" s="1"/>
  <c r="M40" i="10" s="1"/>
  <c r="S29" i="1"/>
  <c r="AG81" i="13"/>
  <c r="AK81" i="13"/>
  <c r="AL81" i="13" s="1"/>
  <c r="AM81" i="13" s="1"/>
  <c r="A58" i="13"/>
  <c r="A58" i="1"/>
  <c r="Q29" i="11"/>
  <c r="H29" i="9"/>
  <c r="I29" i="9" s="1"/>
  <c r="J29" i="9" s="1"/>
  <c r="L29" i="9" s="1"/>
  <c r="M29" i="9" s="1"/>
  <c r="AD28" i="14" l="1"/>
  <c r="AO28" i="14"/>
  <c r="AD39" i="14"/>
  <c r="U47" i="1"/>
  <c r="V47" i="1"/>
  <c r="W47" i="1" s="1"/>
  <c r="J47" i="9"/>
  <c r="L47" i="9" s="1"/>
  <c r="M47" i="9" s="1"/>
  <c r="H37" i="10"/>
  <c r="I37" i="10" s="1"/>
  <c r="J37" i="10" s="1"/>
  <c r="L37" i="10" s="1"/>
  <c r="M37" i="10" s="1"/>
  <c r="P37" i="12"/>
  <c r="AO37" i="13"/>
  <c r="P35" i="12"/>
  <c r="H45" i="10"/>
  <c r="I45" i="10" s="1"/>
  <c r="J45" i="10" s="1"/>
  <c r="L45" i="10" s="1"/>
  <c r="M45" i="10" s="1"/>
  <c r="P45" i="12"/>
  <c r="P88" i="12"/>
  <c r="H88" i="10"/>
  <c r="I88" i="10" s="1"/>
  <c r="J88" i="10" s="1"/>
  <c r="L88" i="10" s="1"/>
  <c r="M88" i="10" s="1"/>
  <c r="P89" i="12"/>
  <c r="H89" i="10"/>
  <c r="I89" i="10" s="1"/>
  <c r="J89" i="10" s="1"/>
  <c r="L89" i="10" s="1"/>
  <c r="M89" i="10" s="1"/>
  <c r="Z87" i="12"/>
  <c r="O87" i="12" s="1"/>
  <c r="H87" i="10" s="1"/>
  <c r="I87" i="10" s="1"/>
  <c r="J87" i="10" s="1"/>
  <c r="L87" i="10" s="1"/>
  <c r="M87" i="10" s="1"/>
  <c r="H38" i="10"/>
  <c r="I38" i="10" s="1"/>
  <c r="J38" i="10" s="1"/>
  <c r="L38" i="10" s="1"/>
  <c r="M38" i="10" s="1"/>
  <c r="P39" i="12"/>
  <c r="P48" i="12"/>
  <c r="L32" i="9"/>
  <c r="M32" i="9" s="1"/>
  <c r="L41" i="10"/>
  <c r="M41" i="10" s="1"/>
  <c r="P81" i="12"/>
  <c r="H81" i="10"/>
  <c r="I81" i="10" s="1"/>
  <c r="J81" i="10" s="1"/>
  <c r="L81" i="10" s="1"/>
  <c r="M81" i="10" s="1"/>
  <c r="K57" i="6"/>
  <c r="E20" i="4" s="1"/>
  <c r="H39" i="9"/>
  <c r="I39" i="9" s="1"/>
  <c r="J39" i="9" s="1"/>
  <c r="L39" i="9" s="1"/>
  <c r="M39" i="9" s="1"/>
  <c r="J81" i="9"/>
  <c r="L81" i="9" s="1"/>
  <c r="M81" i="9" s="1"/>
  <c r="H30" i="9"/>
  <c r="I30" i="9" s="1"/>
  <c r="J30" i="9" s="1"/>
  <c r="L30" i="9" s="1"/>
  <c r="M30" i="9" s="1"/>
  <c r="P87" i="12" l="1"/>
  <c r="E49" i="4"/>
  <c r="G49" i="4" s="1"/>
  <c r="E48" i="4"/>
  <c r="G48" i="4" s="1"/>
  <c r="E50" i="4"/>
  <c r="G50" i="4" s="1"/>
  <c r="E47" i="4"/>
  <c r="G47" i="4" s="1"/>
  <c r="E36" i="4"/>
  <c r="E39" i="4"/>
  <c r="G39" i="4" s="1"/>
  <c r="E38" i="4"/>
  <c r="G38" i="4" s="1"/>
  <c r="E37" i="4"/>
  <c r="G37" i="4" s="1"/>
  <c r="E55" i="4" l="1"/>
  <c r="B19" i="49"/>
  <c r="G36" i="4"/>
  <c r="B19" i="46"/>
  <c r="B61" i="49" l="1"/>
  <c r="B56" i="49"/>
  <c r="B48" i="49"/>
  <c r="C48" i="49" s="1"/>
  <c r="D48" i="49" s="1"/>
  <c r="E48" i="49" s="1"/>
  <c r="B48" i="46"/>
  <c r="C48" i="46" s="1"/>
  <c r="D48" i="46" s="1"/>
  <c r="E48" i="46" s="1"/>
  <c r="B56" i="46"/>
  <c r="B61" i="46"/>
  <c r="F48" i="46" l="1"/>
  <c r="D56" i="46"/>
  <c r="F48" i="49"/>
  <c r="D56" i="49"/>
  <c r="G56" i="49" s="1"/>
  <c r="C61" i="49"/>
  <c r="D61" i="49" s="1"/>
  <c r="F61" i="49" s="1"/>
  <c r="C56" i="49"/>
  <c r="F56" i="49" s="1"/>
  <c r="C56" i="46"/>
  <c r="F56" i="46" s="1"/>
  <c r="C61" i="46"/>
  <c r="D61" i="46" s="1"/>
  <c r="F61" i="46" s="1"/>
  <c r="G48" i="49" l="1"/>
  <c r="H48" i="49"/>
  <c r="G56" i="46"/>
  <c r="H48" i="46"/>
  <c r="G48" i="4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End</author>
  </authors>
  <commentList>
    <comment ref="A27" authorId="0" shapeId="0" xr:uid="{A9B3FDC2-5110-4132-8CB3-A6243F2280AF}">
      <text>
        <r>
          <rPr>
            <b/>
            <sz val="8"/>
            <color indexed="81"/>
            <rFont val="Tahoma"/>
            <family val="2"/>
          </rPr>
          <t>ING. ROLANDO ORTIZ RAMOS:</t>
        </r>
        <r>
          <rPr>
            <sz val="8"/>
            <color indexed="81"/>
            <rFont val="Tahoma"/>
            <family val="2"/>
          </rPr>
          <t xml:space="preserve">
SI Ó NO</t>
        </r>
      </text>
    </comment>
    <comment ref="A30" authorId="0" shapeId="0" xr:uid="{CB2755A2-291E-469B-86A3-89CFEA89D744}">
      <text>
        <r>
          <rPr>
            <b/>
            <sz val="10"/>
            <color indexed="81"/>
            <rFont val="Arial"/>
            <family val="2"/>
          </rPr>
          <t>ING. ROLANDO ORTIZ RAMOS:</t>
        </r>
        <r>
          <rPr>
            <sz val="10"/>
            <color indexed="81"/>
            <rFont val="Arial"/>
            <family val="2"/>
          </rPr>
          <t xml:space="preserve">
LAS COLUMNAS EN COLOR AZUL, SON LOS DATOS QUE REQUIERE EL PROGRAMA.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author>
    <author>Saúl</author>
    <author>Ing. Rolando Ortiz R</author>
    <author>Propietario</author>
  </authors>
  <commentList>
    <comment ref="E21" authorId="0" shapeId="0" xr:uid="{99716DDF-B445-42C2-87BA-D5C1B3CFA9EB}">
      <text>
        <r>
          <rPr>
            <b/>
            <sz val="8"/>
            <color indexed="81"/>
            <rFont val="Tahoma"/>
            <family val="2"/>
          </rPr>
          <t>ING. ROLANDO ORTIZ RAMOS:</t>
        </r>
        <r>
          <rPr>
            <sz val="8"/>
            <color indexed="81"/>
            <rFont val="Tahoma"/>
            <family val="2"/>
          </rPr>
          <t xml:space="preserve">
</t>
        </r>
        <r>
          <rPr>
            <sz val="12"/>
            <color indexed="81"/>
            <rFont val="Tahoma"/>
            <family val="2"/>
          </rPr>
          <t>MAXIMO 280 CM. DE ALTURA</t>
        </r>
      </text>
    </comment>
    <comment ref="G24" authorId="1" shapeId="0" xr:uid="{2295FFC8-2610-4168-8C2F-91C292244E3E}">
      <text>
        <r>
          <rPr>
            <b/>
            <sz val="9"/>
            <color indexed="81"/>
            <rFont val="Tahoma"/>
            <family val="2"/>
          </rPr>
          <t>Saúl:</t>
        </r>
        <r>
          <rPr>
            <sz val="9"/>
            <color indexed="81"/>
            <rFont val="Tahoma"/>
            <family val="2"/>
          </rPr>
          <t xml:space="preserve">
f´c del concreto que se valla a utilizar</t>
        </r>
      </text>
    </comment>
    <comment ref="E29" authorId="2" shapeId="0" xr:uid="{D5CDA55E-A234-41B0-AE83-8031E550485D}">
      <text>
        <r>
          <rPr>
            <b/>
            <sz val="8"/>
            <color indexed="81"/>
            <rFont val="Tahoma"/>
            <family val="2"/>
          </rPr>
          <t>Ing. Rolando Ortiz R:</t>
        </r>
        <r>
          <rPr>
            <sz val="8"/>
            <color indexed="81"/>
            <rFont val="Tahoma"/>
            <family val="2"/>
          </rPr>
          <t xml:space="preserve">
Se puede calcular FE a la derecha se encuentra</t>
        </r>
      </text>
    </comment>
    <comment ref="N29" authorId="3" shapeId="0" xr:uid="{F54A0C4B-6FB7-44C6-85EF-F2B40F399192}">
      <text>
        <r>
          <rPr>
            <b/>
            <sz val="8"/>
            <color indexed="81"/>
            <rFont val="Tahoma"/>
            <family val="2"/>
          </rPr>
          <t>Propietario:</t>
        </r>
        <r>
          <rPr>
            <sz val="8"/>
            <color indexed="81"/>
            <rFont val="Tahoma"/>
            <family val="2"/>
          </rPr>
          <t xml:space="preserve">
Cambiar el 1.4 por 1.5  para estructuras grupo A</t>
        </r>
      </text>
    </comment>
    <comment ref="N80" authorId="3" shapeId="0" xr:uid="{1DFF8513-D543-4DAE-8F85-FCCD5B5BC1B7}">
      <text>
        <r>
          <rPr>
            <b/>
            <sz val="8"/>
            <color indexed="81"/>
            <rFont val="Tahoma"/>
            <family val="2"/>
          </rPr>
          <t>Propietario:</t>
        </r>
        <r>
          <rPr>
            <sz val="8"/>
            <color indexed="81"/>
            <rFont val="Tahoma"/>
            <family val="2"/>
          </rPr>
          <t xml:space="preserve">
Cambiar el 1.4 por 1.5  para estructuras grupo 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Propietario</author>
  </authors>
  <commentList>
    <comment ref="E29" authorId="0" shapeId="0" xr:uid="{F5164967-7BE8-41AE-8055-ED87A2C5CB71}">
      <text>
        <r>
          <rPr>
            <b/>
            <sz val="8"/>
            <color indexed="81"/>
            <rFont val="Tahoma"/>
            <family val="2"/>
          </rPr>
          <t>Propietario:</t>
        </r>
        <r>
          <rPr>
            <sz val="8"/>
            <color indexed="81"/>
            <rFont val="Tahoma"/>
            <family val="2"/>
          </rPr>
          <t xml:space="preserve">
Se puede calcular FE a la derecha se encuentra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AD23" authorId="0" shapeId="0" xr:uid="{A91DFB86-0A59-4B53-B440-3CDA8740AD49}">
      <text>
        <r>
          <rPr>
            <b/>
            <sz val="10"/>
            <color indexed="81"/>
            <rFont val="Arial"/>
            <family val="2"/>
          </rPr>
          <t>ING. ROLANDO ORTIZ RAMOS:</t>
        </r>
        <r>
          <rPr>
            <sz val="12"/>
            <color indexed="81"/>
            <rFont val="Arial"/>
            <family val="2"/>
          </rPr>
          <t xml:space="preserve">
5/16 " = 0.49
1/4 " = 0.32
3/16 " = 0.18
5/32 " = 0.12</t>
        </r>
      </text>
    </comment>
    <comment ref="O24" authorId="0" shapeId="0" xr:uid="{D9AA48A0-7D43-42A5-99B6-86BBFE2D05A6}">
      <text>
        <r>
          <rPr>
            <b/>
            <sz val="8"/>
            <color indexed="81"/>
            <rFont val="Tahoma"/>
            <family val="2"/>
          </rPr>
          <t>ING. NROLANDO ORTIZ RAMOS:</t>
        </r>
        <r>
          <rPr>
            <sz val="8"/>
            <color indexed="81"/>
            <rFont val="Tahoma"/>
            <family val="2"/>
          </rPr>
          <t xml:space="preserve">
</t>
        </r>
        <r>
          <rPr>
            <sz val="12"/>
            <color indexed="12"/>
            <rFont val="Arial"/>
            <family val="2"/>
          </rPr>
          <t>MALLA 6x6 - 2/2     = 2.29
MALLA 6x6 - 3/3     = 1.97
MALLA 6x6 - 4/4     = 1.68
MALLA 6x6 - 6/6     = 1.22
MALLA 6x6 - 8/8     = 0 .87
MALLA 6x6 - 10/10     = 0.60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usuario</author>
    <author>Propietario</author>
  </authors>
  <commentList>
    <comment ref="AE23" authorId="0" shapeId="0" xr:uid="{D41B4038-FA60-404F-B61C-C7A07DA06AE7}">
      <text>
        <r>
          <rPr>
            <b/>
            <sz val="10"/>
            <color indexed="81"/>
            <rFont val="Arial"/>
            <family val="2"/>
          </rPr>
          <t>ING. ROLANDO ORTIZ RAMOS:</t>
        </r>
        <r>
          <rPr>
            <sz val="12"/>
            <color indexed="81"/>
            <rFont val="Arial"/>
            <family val="2"/>
          </rPr>
          <t xml:space="preserve">
5/16 " = 0.49
1/4 " = 0.32
3/16 " = 0.18
5/32 " = 0.12</t>
        </r>
      </text>
    </comment>
    <comment ref="P24" authorId="0" shapeId="0" xr:uid="{61C9276A-49CA-4145-8A7B-FA0C130CE5E8}">
      <text>
        <r>
          <rPr>
            <b/>
            <sz val="8"/>
            <color indexed="81"/>
            <rFont val="Tahoma"/>
            <family val="2"/>
          </rPr>
          <t>ING. ROLANDO ORTIZ RAMOS:</t>
        </r>
        <r>
          <rPr>
            <sz val="8"/>
            <color indexed="81"/>
            <rFont val="Tahoma"/>
            <family val="2"/>
          </rPr>
          <t xml:space="preserve">
</t>
        </r>
        <r>
          <rPr>
            <sz val="12"/>
            <color indexed="12"/>
            <rFont val="Arial"/>
            <family val="2"/>
          </rPr>
          <t>MALLA 6x6 - 2/2     = 2.29
MALLA 6x6 - 3/3     = 1.97
MALLA 6x6 - 4/4     = 1.68
MALLA 6x6 - 6/6     = 1.22
MALLA 6x6 - 8/8     = 0 .87
MALLA 6x6 - 10/10     = 0.60</t>
        </r>
      </text>
    </comment>
    <comment ref="O29" authorId="1" shapeId="0" xr:uid="{E0ADA406-B19A-4920-854D-73D995FE9037}">
      <text>
        <r>
          <rPr>
            <b/>
            <sz val="10"/>
            <color indexed="81"/>
            <rFont val="Tahoma"/>
            <family val="2"/>
          </rPr>
          <t>ING. ROLANDO ORTIZ RAMOS:</t>
        </r>
        <r>
          <rPr>
            <sz val="10"/>
            <color indexed="81"/>
            <rFont val="Tahoma"/>
            <family val="2"/>
          </rPr>
          <t xml:space="preserve">
Falta diseño por ser muro de concreto</t>
        </r>
      </text>
    </comment>
    <comment ref="AO29" authorId="1" shapeId="0" xr:uid="{5A307DC5-0097-47D3-A9C2-64C4A2141733}">
      <text>
        <r>
          <rPr>
            <b/>
            <sz val="10"/>
            <color indexed="81"/>
            <rFont val="Tahoma"/>
            <family val="2"/>
          </rPr>
          <t>ING. ROLANDO ORTIZ RAMOS:</t>
        </r>
        <r>
          <rPr>
            <sz val="10"/>
            <color indexed="81"/>
            <rFont val="Tahoma"/>
            <family val="2"/>
          </rPr>
          <t xml:space="preserve">
Falta diseño por ser muro de concreto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Ing. Rolando Ortiz R</author>
  </authors>
  <commentList>
    <comment ref="Q28" authorId="0" shapeId="0" xr:uid="{A838BEAE-1DDF-45D3-95CA-BA45E64BA597}">
      <text>
        <r>
          <rPr>
            <b/>
            <sz val="8"/>
            <color indexed="81"/>
            <rFont val="Tahoma"/>
            <family val="2"/>
          </rPr>
          <t>Ing. Rolando Ortiz R:</t>
        </r>
        <r>
          <rPr>
            <sz val="8"/>
            <color indexed="81"/>
            <rFont val="Tahoma"/>
            <family val="2"/>
          </rPr>
          <t xml:space="preserve">
Porcebtaje mìnimo de acero vertical es 0.0007</t>
        </r>
      </text>
    </comment>
    <comment ref="X28" authorId="0" shapeId="0" xr:uid="{D9DBCC82-BF34-48B1-A2DC-A60F8870FC39}">
      <text>
        <r>
          <rPr>
            <b/>
            <sz val="8"/>
            <color indexed="81"/>
            <rFont val="Tahoma"/>
            <family val="2"/>
          </rPr>
          <t>Ing. Rolando Ortiz R:</t>
        </r>
        <r>
          <rPr>
            <sz val="8"/>
            <color indexed="81"/>
            <rFont val="Tahoma"/>
            <family val="2"/>
          </rPr>
          <t xml:space="preserve">
Porcebtaje mìnimo de acero vertical es 0.002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Ing. Rolando Ortiz R</author>
    <author>usuario</author>
  </authors>
  <commentList>
    <comment ref="C29" authorId="0" shapeId="0" xr:uid="{C3AFB625-1AB8-4475-87C3-8304F7D548E8}">
      <text>
        <r>
          <rPr>
            <b/>
            <sz val="8"/>
            <color indexed="81"/>
            <rFont val="Tahoma"/>
            <family val="2"/>
          </rPr>
          <t>Ing. Rolando Ortiz R:</t>
        </r>
        <r>
          <rPr>
            <sz val="8"/>
            <color indexed="81"/>
            <rFont val="Tahoma"/>
            <family val="2"/>
          </rPr>
          <t xml:space="preserve">
Se puede modificar la nocheta
</t>
        </r>
      </text>
    </comment>
    <comment ref="G29" authorId="1" shapeId="0" xr:uid="{9FDB3F21-BE0A-45FB-8E07-63D67A909DF3}">
      <text>
        <r>
          <rPr>
            <b/>
            <sz val="12"/>
            <color indexed="81"/>
            <rFont val="Arial"/>
            <family val="2"/>
          </rPr>
          <t>ING. ROLANDO ORTIZ RAMOS:</t>
        </r>
        <r>
          <rPr>
            <sz val="8"/>
            <color indexed="81"/>
            <rFont val="Tahoma"/>
            <family val="2"/>
          </rPr>
          <t xml:space="preserve">
</t>
        </r>
        <r>
          <rPr>
            <sz val="12"/>
            <color indexed="81"/>
            <rFont val="Arial"/>
            <family val="2"/>
          </rPr>
          <t>ACERO MINIMO</t>
        </r>
        <r>
          <rPr>
            <sz val="8"/>
            <color indexed="81"/>
            <rFont val="Tahoma"/>
            <family val="2"/>
          </rPr>
          <t xml:space="preserve">
</t>
        </r>
        <r>
          <rPr>
            <sz val="12"/>
            <color indexed="81"/>
            <rFont val="Arial"/>
            <family val="2"/>
          </rPr>
          <t>PARA CASTILLOS DE MUROS COFINADOS, 4 VAR # 3
PARA CASTILLOS DE MUROS REFORZADOS INTERIORMENTE, 2 VAR # 3</t>
        </r>
      </text>
    </comment>
    <comment ref="C30" authorId="0" shapeId="0" xr:uid="{9712A90D-5930-4BEA-9287-17FE5750C329}">
      <text>
        <r>
          <rPr>
            <b/>
            <sz val="8"/>
            <color indexed="81"/>
            <rFont val="Tahoma"/>
            <family val="2"/>
          </rPr>
          <t>Ing. Rolando Ortiz R:</t>
        </r>
        <r>
          <rPr>
            <sz val="8"/>
            <color indexed="81"/>
            <rFont val="Tahoma"/>
            <family val="2"/>
          </rPr>
          <t xml:space="preserve">
Se debe modificar 7 cm para castillos de 14 x 14 a 10 para castillos de 14 x 20 ò 25.</t>
        </r>
      </text>
    </comment>
    <comment ref="D30" authorId="0" shapeId="0" xr:uid="{A5B61D97-02EE-4A64-82DD-EB6CC6FD923E}">
      <text>
        <r>
          <rPr>
            <b/>
            <sz val="8"/>
            <color indexed="81"/>
            <rFont val="Tahoma"/>
            <family val="2"/>
          </rPr>
          <t>Ing. Rolando Ortiz R:</t>
        </r>
        <r>
          <rPr>
            <sz val="8"/>
            <color indexed="81"/>
            <rFont val="Tahoma"/>
            <family val="2"/>
          </rPr>
          <t xml:space="preserve">
Cambiar el espesor cuaqndo el castillo es de 14 x 20</t>
        </r>
      </text>
    </comment>
    <comment ref="G30" authorId="0" shapeId="0" xr:uid="{197C1D2B-1308-4170-A5B3-942415D43666}">
      <text>
        <r>
          <rPr>
            <b/>
            <sz val="8"/>
            <color indexed="81"/>
            <rFont val="Tahoma"/>
            <family val="2"/>
          </rPr>
          <t>Ing. Rolando Ortiz R:</t>
        </r>
        <r>
          <rPr>
            <sz val="8"/>
            <color indexed="81"/>
            <rFont val="Tahoma"/>
            <family val="2"/>
          </rPr>
          <t xml:space="preserve">
Para castillos huecos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Ing. Rolando Ortiz R</author>
  </authors>
  <commentList>
    <comment ref="E22" authorId="0" shapeId="0" xr:uid="{A93156E9-B5E8-4306-9D91-C213618A3ACD}">
      <text>
        <r>
          <rPr>
            <b/>
            <sz val="8"/>
            <color indexed="81"/>
            <rFont val="Tahoma"/>
            <family val="2"/>
          </rPr>
          <t>Ing. Rolando Ortiz R:</t>
        </r>
        <r>
          <rPr>
            <sz val="8"/>
            <color indexed="81"/>
            <rFont val="Tahoma"/>
            <family val="2"/>
          </rPr>
          <t xml:space="preserve">
PARA MUROS MAYORES DE 20 CM UTILIZAR 2 CAPAS Y MENOR DE 20 CM UNA CAPA</t>
        </r>
      </text>
    </comment>
    <comment ref="L22" authorId="0" shapeId="0" xr:uid="{DF2EC37A-899D-431F-9185-FEDD934F2F7C}">
      <text>
        <r>
          <rPr>
            <b/>
            <sz val="8"/>
            <color indexed="81"/>
            <rFont val="Tahoma"/>
            <family val="2"/>
          </rPr>
          <t>Ing. Rolando Ortiz R:</t>
        </r>
        <r>
          <rPr>
            <sz val="8"/>
            <color indexed="81"/>
            <rFont val="Tahoma"/>
            <family val="2"/>
          </rPr>
          <t xml:space="preserve">
SE PUEDE INCREMENTAR EL ESPESOR DEL CASTILLO EN LOS EXTREMOS DEL MURO PARA TENER MAYOR AREA PARA COLOCAR VARILLAS</t>
        </r>
      </text>
    </comment>
    <comment ref="N28" authorId="0" shapeId="0" xr:uid="{EAF4DD32-279D-408C-9D12-9879A9AD0562}">
      <text>
        <r>
          <rPr>
            <b/>
            <sz val="8"/>
            <color indexed="81"/>
            <rFont val="Tahoma"/>
            <family val="2"/>
          </rPr>
          <t>Ing. Rolando Ortiz R:</t>
        </r>
        <r>
          <rPr>
            <sz val="8"/>
            <color indexed="81"/>
            <rFont val="Tahoma"/>
            <family val="2"/>
          </rPr>
          <t xml:space="preserve">
SI NO PASAN POR CORTANTE LOS MUROS SE INCREMENTARÀ OTROS MAS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Ing. Rolando Ortiz R</author>
  </authors>
  <commentList>
    <comment ref="B18" authorId="0" shapeId="0" xr:uid="{9679828C-00A1-41C8-A448-41EC9B2A5E48}">
      <text>
        <r>
          <rPr>
            <b/>
            <sz val="8"/>
            <color indexed="81"/>
            <rFont val="Tahoma"/>
            <family val="2"/>
          </rPr>
          <t>Ing. Rolando Ortiz R:</t>
        </r>
        <r>
          <rPr>
            <sz val="8"/>
            <color indexed="81"/>
            <rFont val="Tahoma"/>
            <family val="2"/>
          </rPr>
          <t xml:space="preserve">
Para cimentaciòn de piedra serà Q = 2</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Ing. Rolando Ortiz R</author>
  </authors>
  <commentList>
    <comment ref="G47" authorId="0" shapeId="0" xr:uid="{39104530-3752-4B69-A614-71D0B2C332B0}">
      <text>
        <r>
          <rPr>
            <b/>
            <sz val="8"/>
            <color indexed="81"/>
            <rFont val="Tahoma"/>
            <family val="2"/>
          </rPr>
          <t>Ing. Rolando Ortiz R:</t>
        </r>
        <r>
          <rPr>
            <sz val="8"/>
            <color indexed="81"/>
            <rFont val="Tahoma"/>
            <family val="2"/>
          </rPr>
          <t xml:space="preserve">
PUEDE SER POR 1.30</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Ing. Rolando Ortiz R</author>
  </authors>
  <commentList>
    <comment ref="B28" authorId="0" shapeId="0" xr:uid="{493CD559-0EDD-43B7-B0C0-121FEBE2BD76}">
      <text>
        <r>
          <rPr>
            <b/>
            <sz val="8"/>
            <color indexed="81"/>
            <rFont val="Tahoma"/>
            <family val="2"/>
          </rPr>
          <t>Ing. Rolando Ortiz R:</t>
        </r>
        <r>
          <rPr>
            <sz val="8"/>
            <color indexed="81"/>
            <rFont val="Tahoma"/>
            <family val="2"/>
          </rPr>
          <t xml:space="preserve">
Es el esfuerzo que manda el suelo menos el peso de la losa multiplicado por el factor de carga</t>
        </r>
      </text>
    </comment>
    <comment ref="B29" authorId="0" shapeId="0" xr:uid="{F6B6565B-6217-4CAB-A5FF-55DBC2CDA4A8}">
      <text>
        <r>
          <rPr>
            <b/>
            <sz val="8"/>
            <color indexed="81"/>
            <rFont val="Tahoma"/>
            <family val="2"/>
          </rPr>
          <t>Ing. Rolando Ortiz R:</t>
        </r>
        <r>
          <rPr>
            <sz val="8"/>
            <color indexed="81"/>
            <rFont val="Tahoma"/>
            <family val="2"/>
          </rPr>
          <t xml:space="preserve">
Puede ser 1.1 si gana el sismo, 1.4 si gana carga gravedad o 1.5 paraº estruras del grupo bA</t>
        </r>
      </text>
    </comment>
    <comment ref="C45" authorId="0" shapeId="0" xr:uid="{FAAB1879-302C-4D80-8BA1-525B0CECE6AD}">
      <text>
        <r>
          <rPr>
            <b/>
            <sz val="8"/>
            <color indexed="81"/>
            <rFont val="Tahoma"/>
            <family val="2"/>
          </rPr>
          <t>Ing. Rolando Ortiz R:</t>
        </r>
        <r>
          <rPr>
            <sz val="8"/>
            <color indexed="81"/>
            <rFont val="Tahoma"/>
            <family val="2"/>
          </rPr>
          <t xml:space="preserve">
Cambiar el recubrimiento para losas de entrepiso seràn 2 y 3 cm</t>
        </r>
      </text>
    </comment>
    <comment ref="C46" authorId="0" shapeId="0" xr:uid="{1554708D-EDE7-4258-9603-DC1C70D5E673}">
      <text>
        <r>
          <rPr>
            <b/>
            <sz val="8"/>
            <color indexed="81"/>
            <rFont val="Tahoma"/>
            <family val="2"/>
          </rPr>
          <t>Ing. Rolando Ortiz R:</t>
        </r>
        <r>
          <rPr>
            <sz val="8"/>
            <color indexed="81"/>
            <rFont val="Tahoma"/>
            <family val="2"/>
          </rPr>
          <t xml:space="preserve">
Cambiar el recubrimiento mas 1 cm mas por el diàmetro de la varilla</t>
        </r>
      </text>
    </comment>
    <comment ref="G50" authorId="0" shapeId="0" xr:uid="{E4377448-A3FB-41F4-9B28-744B49FA578A}">
      <text>
        <r>
          <rPr>
            <b/>
            <sz val="8"/>
            <color indexed="81"/>
            <rFont val="Tahoma"/>
            <family val="2"/>
          </rPr>
          <t>Ing. Rolando Ortiz R:</t>
        </r>
        <r>
          <rPr>
            <sz val="8"/>
            <color indexed="81"/>
            <rFont val="Tahoma"/>
            <family val="2"/>
          </rPr>
          <t xml:space="preserve">
Se puede cambiar a 2 para lugares agresivos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Ing. Rolando Ortiz R</author>
  </authors>
  <commentList>
    <comment ref="B20" authorId="0" shapeId="0" xr:uid="{962981EE-5E9E-4433-AEA2-1CEFD8ABBE9D}">
      <text>
        <r>
          <rPr>
            <b/>
            <sz val="8"/>
            <color indexed="81"/>
            <rFont val="Tahoma"/>
            <family val="2"/>
          </rPr>
          <t>Ing. Rolando Ortiz R:</t>
        </r>
        <r>
          <rPr>
            <sz val="8"/>
            <color indexed="81"/>
            <rFont val="Tahoma"/>
            <family val="2"/>
          </rPr>
          <t xml:space="preserve">
Incrementar la carga un 30% por sismo</t>
        </r>
      </text>
    </comment>
    <comment ref="E51" authorId="0" shapeId="0" xr:uid="{2F0E3C8C-C1F7-4B18-824B-1B1495184A44}">
      <text>
        <r>
          <rPr>
            <b/>
            <sz val="8"/>
            <color indexed="81"/>
            <rFont val="Tahoma"/>
            <family val="2"/>
          </rPr>
          <t>Ing. Rolando Ortiz R:</t>
        </r>
        <r>
          <rPr>
            <sz val="8"/>
            <color indexed="81"/>
            <rFont val="Tahoma"/>
            <family val="2"/>
          </rPr>
          <t xml:space="preserve">
Debería ser 0.0026 además de checarlo con el porcentaje máximo de 0.11 debe estar entre 0.008 y 0.009</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Ing. Rolando Ortiz R</author>
  </authors>
  <commentList>
    <comment ref="B20" authorId="0" shapeId="0" xr:uid="{792926E2-D0FE-4C56-85C6-E600631E1466}">
      <text>
        <r>
          <rPr>
            <b/>
            <sz val="8"/>
            <color indexed="81"/>
            <rFont val="Tahoma"/>
            <family val="2"/>
          </rPr>
          <t>Ing. Rolando Ortiz R:</t>
        </r>
        <r>
          <rPr>
            <sz val="8"/>
            <color indexed="81"/>
            <rFont val="Tahoma"/>
            <family val="2"/>
          </rPr>
          <t xml:space="preserve">
Incrementar la carga un 30% por sismo</t>
        </r>
      </text>
    </comment>
    <comment ref="E51" authorId="0" shapeId="0" xr:uid="{57A15D66-E168-41C8-ACB1-8E9B90170028}">
      <text>
        <r>
          <rPr>
            <b/>
            <sz val="8"/>
            <color indexed="81"/>
            <rFont val="Tahoma"/>
            <family val="2"/>
          </rPr>
          <t>Ing. Rolando Ortiz R:</t>
        </r>
        <r>
          <rPr>
            <sz val="8"/>
            <color indexed="81"/>
            <rFont val="Tahoma"/>
            <family val="2"/>
          </rPr>
          <t xml:space="preserve">
Debería ser 0.0026 además de checarlo con el porcentaje máximo de 0.11 debe estar entre 0.008 y 0.009</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Ing. Rolando Ortiz R</author>
  </authors>
  <commentList>
    <comment ref="L18" authorId="0" shapeId="0" xr:uid="{D495AD56-B22A-4B77-8B52-1A08EEEBAE8D}">
      <text>
        <r>
          <rPr>
            <b/>
            <sz val="8"/>
            <color indexed="81"/>
            <rFont val="Tahoma"/>
            <family val="2"/>
          </rPr>
          <t>Ing. Rolando Ortiz R:</t>
        </r>
        <r>
          <rPr>
            <sz val="8"/>
            <color indexed="81"/>
            <rFont val="Tahoma"/>
            <family val="2"/>
          </rPr>
          <t xml:space="preserve">
Checar el porcentaje con respecto al minimo y màximo</t>
        </r>
      </text>
    </comment>
    <comment ref="Q18" authorId="0" shapeId="0" xr:uid="{DC03CAF6-7C73-467F-AC6C-3103DC57706B}">
      <text>
        <r>
          <rPr>
            <b/>
            <sz val="8"/>
            <color indexed="81"/>
            <rFont val="Tahoma"/>
            <family val="2"/>
          </rPr>
          <t>Ing. Rolando Ortiz R:</t>
        </r>
        <r>
          <rPr>
            <sz val="8"/>
            <color indexed="81"/>
            <rFont val="Tahoma"/>
            <family val="2"/>
          </rPr>
          <t xml:space="preserve">
Debe tener siempre cero de lo contrario faltaría mas acero</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Ing. Rolando Ortiz R</author>
  </authors>
  <commentList>
    <comment ref="T18" authorId="0" shapeId="0" xr:uid="{B9FAB50C-27E5-40F4-A31E-CB01E3A4C756}">
      <text>
        <r>
          <rPr>
            <b/>
            <sz val="8"/>
            <color indexed="81"/>
            <rFont val="Tahoma"/>
            <family val="2"/>
          </rPr>
          <t>Ing. Rolando Ortiz R:</t>
        </r>
        <r>
          <rPr>
            <sz val="8"/>
            <color indexed="81"/>
            <rFont val="Tahoma"/>
            <family val="2"/>
          </rPr>
          <t xml:space="preserve">
Checar en columnas ocultas el porcentaje empleado</t>
        </r>
      </text>
    </comment>
    <comment ref="F19" authorId="0" shapeId="0" xr:uid="{7407240C-2DAD-4BEC-8BB6-3664D4E1AF49}">
      <text>
        <r>
          <rPr>
            <b/>
            <sz val="8"/>
            <color indexed="81"/>
            <rFont val="Tahoma"/>
            <family val="2"/>
          </rPr>
          <t>Ing. Rolando Ortiz R:</t>
        </r>
        <r>
          <rPr>
            <sz val="8"/>
            <color indexed="81"/>
            <rFont val="Tahoma"/>
            <family val="2"/>
          </rPr>
          <t xml:space="preserve">
Multiplicar la carga por metro cuadrada por la separación de las viguetas utilizando M = wl2/8
</t>
        </r>
      </text>
    </comment>
    <comment ref="F24" authorId="0" shapeId="0" xr:uid="{6EE17539-7DBF-45AF-B874-9C022149FD54}">
      <text>
        <r>
          <rPr>
            <b/>
            <sz val="8"/>
            <color indexed="81"/>
            <rFont val="Tahoma"/>
            <family val="2"/>
          </rPr>
          <t>Ing. Rolando Ortiz R:</t>
        </r>
        <r>
          <rPr>
            <sz val="8"/>
            <color indexed="81"/>
            <rFont val="Tahoma"/>
            <family val="2"/>
          </rPr>
          <t xml:space="preserve">
Para calcular el momento tiene que ser M=wl2/12</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End</author>
  </authors>
  <commentList>
    <comment ref="B23" authorId="0" shapeId="0" xr:uid="{FB2164B1-906A-491B-A7EE-E4D7B6B57A66}">
      <text>
        <r>
          <rPr>
            <b/>
            <sz val="8"/>
            <color indexed="81"/>
            <rFont val="Tahoma"/>
            <family val="2"/>
          </rPr>
          <t>ING. ROLANDO ORTIZ RAMOS:</t>
        </r>
        <r>
          <rPr>
            <sz val="8"/>
            <color indexed="81"/>
            <rFont val="Tahoma"/>
            <family val="2"/>
          </rPr>
          <t xml:space="preserve">
ESPESOR MINIMO DE 15 CM Y 5 CM. DE RECUBRIMIENTO</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End</author>
  </authors>
  <commentList>
    <comment ref="B23" authorId="0" shapeId="0" xr:uid="{CE4C50AB-12F3-4BD4-80AA-C79E5A30932F}">
      <text>
        <r>
          <rPr>
            <b/>
            <sz val="8"/>
            <color indexed="81"/>
            <rFont val="Tahoma"/>
            <family val="2"/>
          </rPr>
          <t>ING. ROLANDO ORTIZ RAMOS:</t>
        </r>
        <r>
          <rPr>
            <sz val="8"/>
            <color indexed="81"/>
            <rFont val="Tahoma"/>
            <family val="2"/>
          </rPr>
          <t xml:space="preserve">
ESPESOR MINIMO DE 15 CM Y 5 CM. DE RECUBRIMIENTO</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Ing. Rolando Ortiz R</author>
  </authors>
  <commentList>
    <comment ref="D24" authorId="0" shapeId="0" xr:uid="{E1D98C3F-CBDC-4370-A84A-69BBC204B333}">
      <text>
        <r>
          <rPr>
            <b/>
            <sz val="8"/>
            <color indexed="81"/>
            <rFont val="Tahoma"/>
            <family val="2"/>
          </rPr>
          <t>Ing. Rolando Ortiz R:</t>
        </r>
        <r>
          <rPr>
            <sz val="8"/>
            <color indexed="81"/>
            <rFont val="Tahoma"/>
            <family val="2"/>
          </rPr>
          <t xml:space="preserve">
Distancia al lìmite inferior izquierda de la cimentaciòn</t>
        </r>
      </text>
    </comment>
    <comment ref="E24" authorId="0" shapeId="0" xr:uid="{27D0D492-A544-4343-A7E1-DF5E0E95D653}">
      <text>
        <r>
          <rPr>
            <b/>
            <sz val="8"/>
            <color indexed="81"/>
            <rFont val="Tahoma"/>
            <family val="2"/>
          </rPr>
          <t>Ing. Rolando Ortiz R:</t>
        </r>
        <r>
          <rPr>
            <sz val="8"/>
            <color indexed="81"/>
            <rFont val="Tahoma"/>
            <family val="2"/>
          </rPr>
          <t xml:space="preserve">
Distancia inferior a la esquina in ferior izquierda</t>
        </r>
      </text>
    </comment>
    <comment ref="F51" authorId="0" shapeId="0" xr:uid="{08601AB1-303C-44EE-88BA-F852B124016A}">
      <text>
        <r>
          <rPr>
            <b/>
            <sz val="8"/>
            <color indexed="81"/>
            <rFont val="Tahoma"/>
            <family val="2"/>
          </rPr>
          <t>Ing. Rolando Ortiz R:</t>
        </r>
        <r>
          <rPr>
            <sz val="8"/>
            <color indexed="81"/>
            <rFont val="Tahoma"/>
            <family val="2"/>
          </rPr>
          <t xml:space="preserve">
Longitud en x de la cimentaciòn</t>
        </r>
      </text>
    </comment>
    <comment ref="F53" authorId="0" shapeId="0" xr:uid="{9270A70B-D771-44FC-8B8B-778B12474437}">
      <text>
        <r>
          <rPr>
            <b/>
            <sz val="8"/>
            <color indexed="81"/>
            <rFont val="Tahoma"/>
            <family val="2"/>
          </rPr>
          <t>Ing. Rolando Ortiz R:</t>
        </r>
        <r>
          <rPr>
            <sz val="8"/>
            <color indexed="81"/>
            <rFont val="Tahoma"/>
            <family val="2"/>
          </rPr>
          <t xml:space="preserve">
Longitud en y de la cimentaciòn</t>
        </r>
      </text>
    </comment>
  </commentList>
</comments>
</file>

<file path=xl/sharedStrings.xml><?xml version="1.0" encoding="utf-8"?>
<sst xmlns="http://schemas.openxmlformats.org/spreadsheetml/2006/main" count="2547" uniqueCount="549">
  <si>
    <t xml:space="preserve"> </t>
  </si>
  <si>
    <t xml:space="preserve">f'c = </t>
  </si>
  <si>
    <t>REFUERZO POR FLEXION</t>
  </si>
  <si>
    <t>VALORES PARA INTERPOLAR</t>
  </si>
  <si>
    <t>NUM.</t>
  </si>
  <si>
    <t>LONGITUD</t>
  </si>
  <si>
    <t>ALTURA</t>
  </si>
  <si>
    <t>Vu</t>
  </si>
  <si>
    <t>Mu</t>
  </si>
  <si>
    <t>Z</t>
  </si>
  <si>
    <t>As</t>
  </si>
  <si>
    <t>P</t>
  </si>
  <si>
    <t>H/L</t>
  </si>
  <si>
    <t>Vcr</t>
  </si>
  <si>
    <t>H/L&gt;=1.5</t>
  </si>
  <si>
    <t>H/L&lt;=2</t>
  </si>
  <si>
    <t>VALOR</t>
  </si>
  <si>
    <t>Ph</t>
  </si>
  <si>
    <t>@</t>
  </si>
  <si>
    <t>Pv</t>
  </si>
  <si>
    <t>Vcr1</t>
  </si>
  <si>
    <t>Vcr2</t>
  </si>
  <si>
    <t>INTERP.</t>
  </si>
  <si>
    <t>CM</t>
  </si>
  <si>
    <t>CM.</t>
  </si>
  <si>
    <t>DATOS :</t>
  </si>
  <si>
    <t>CAPACIDAD DE CARGA ADMISIBLE DEL TERRENO =</t>
  </si>
  <si>
    <t>M</t>
  </si>
  <si>
    <t>A) .- CARGAS GRAVITACIONALES</t>
  </si>
  <si>
    <t>C. TOTAL =</t>
  </si>
  <si>
    <t>TON.</t>
  </si>
  <si>
    <t>EXC. x =</t>
  </si>
  <si>
    <t>MTS.</t>
  </si>
  <si>
    <t>EXC. y =</t>
  </si>
  <si>
    <t>B).- CARGAS ACCIDENTALES</t>
  </si>
  <si>
    <t>DATOS:</t>
  </si>
  <si>
    <t>M.VOLTEO =</t>
  </si>
  <si>
    <t>TON-M</t>
  </si>
  <si>
    <t>MOMENTO DE VOLTEO</t>
  </si>
  <si>
    <t>Q  =</t>
  </si>
  <si>
    <t>C =</t>
  </si>
  <si>
    <t>Cs =</t>
  </si>
  <si>
    <t>NIVEL</t>
  </si>
  <si>
    <t>W</t>
  </si>
  <si>
    <t>W*h</t>
  </si>
  <si>
    <t>V</t>
  </si>
  <si>
    <t>H</t>
  </si>
  <si>
    <t>MV</t>
  </si>
  <si>
    <t>J=.8+.2Z</t>
  </si>
  <si>
    <t>Y</t>
  </si>
  <si>
    <t>Mv=Y*V</t>
  </si>
  <si>
    <t/>
  </si>
  <si>
    <t>FACTOR PARA CASTILLOS</t>
  </si>
  <si>
    <t>Hi</t>
  </si>
  <si>
    <t>J</t>
  </si>
  <si>
    <t>h</t>
  </si>
  <si>
    <t>MODULO DE SECCION</t>
  </si>
  <si>
    <t>PARA LA CIMENTACION</t>
  </si>
  <si>
    <t>Lx</t>
  </si>
  <si>
    <t>S x</t>
  </si>
  <si>
    <t>S y</t>
  </si>
  <si>
    <t>BASE</t>
  </si>
  <si>
    <t>X</t>
  </si>
  <si>
    <t>AREA</t>
  </si>
  <si>
    <t>A * X</t>
  </si>
  <si>
    <t>A * Y</t>
  </si>
  <si>
    <t>Itx</t>
  </si>
  <si>
    <t>Ity</t>
  </si>
  <si>
    <t>Ly</t>
  </si>
  <si>
    <t>S´x</t>
  </si>
  <si>
    <t>S´y</t>
  </si>
  <si>
    <t>EJE</t>
  </si>
  <si>
    <t>X=</t>
  </si>
  <si>
    <t>S x =</t>
  </si>
  <si>
    <t>CENTROIDAL</t>
  </si>
  <si>
    <t>Y=</t>
  </si>
  <si>
    <t>S y =</t>
  </si>
  <si>
    <t>PLANTA BAJA</t>
  </si>
  <si>
    <t>fy =</t>
  </si>
  <si>
    <t>MURO</t>
  </si>
  <si>
    <t>d</t>
  </si>
  <si>
    <t>d"</t>
  </si>
  <si>
    <t xml:space="preserve">Pu </t>
  </si>
  <si>
    <t>Mo</t>
  </si>
  <si>
    <t>cm</t>
  </si>
  <si>
    <t>kg</t>
  </si>
  <si>
    <t>kg-cm</t>
  </si>
  <si>
    <t>EJE X</t>
  </si>
  <si>
    <t>EJE Y</t>
  </si>
  <si>
    <t>PLANTA ALTA</t>
  </si>
  <si>
    <t>DISEÑO DE MUROS POR CARGAS VERTICALES</t>
  </si>
  <si>
    <t>[1]</t>
  </si>
  <si>
    <t>[2]</t>
  </si>
  <si>
    <t>[3]</t>
  </si>
  <si>
    <t>[4]</t>
  </si>
  <si>
    <t>[5]</t>
  </si>
  <si>
    <t>[6]</t>
  </si>
  <si>
    <t>[7]</t>
  </si>
  <si>
    <t>[8]</t>
  </si>
  <si>
    <t>[9]</t>
  </si>
  <si>
    <t>[10]</t>
  </si>
  <si>
    <t>[11]</t>
  </si>
  <si>
    <t>[12]</t>
  </si>
  <si>
    <t>[13]</t>
  </si>
  <si>
    <t>[14]</t>
  </si>
  <si>
    <t>[15]</t>
  </si>
  <si>
    <t>[16]</t>
  </si>
  <si>
    <t>[17]</t>
  </si>
  <si>
    <t>CARGA</t>
  </si>
  <si>
    <t>LONG.</t>
  </si>
  <si>
    <t>ESP.</t>
  </si>
  <si>
    <t xml:space="preserve">CARGA </t>
  </si>
  <si>
    <t>TOTAL</t>
  </si>
  <si>
    <t>fm</t>
  </si>
  <si>
    <t>At</t>
  </si>
  <si>
    <t>ACT.</t>
  </si>
  <si>
    <t>PER.</t>
  </si>
  <si>
    <t>MUROS</t>
  </si>
  <si>
    <t>0.3*P</t>
  </si>
  <si>
    <t>FR</t>
  </si>
  <si>
    <t>V*</t>
  </si>
  <si>
    <t>DECISION</t>
  </si>
  <si>
    <t>KG</t>
  </si>
  <si>
    <t>Vr</t>
  </si>
  <si>
    <t>0.3 P</t>
  </si>
  <si>
    <t>m</t>
  </si>
  <si>
    <t>f'c =</t>
  </si>
  <si>
    <t>NUMERO</t>
  </si>
  <si>
    <t>K</t>
  </si>
  <si>
    <t>SECCION</t>
  </si>
  <si>
    <t>CONFINADO</t>
  </si>
  <si>
    <t>E-PISO</t>
  </si>
  <si>
    <t>DISEÑO DE MUROS POR CORTANTE SISMICO</t>
  </si>
  <si>
    <t>MOMENTO</t>
  </si>
  <si>
    <t>DISEÑO DE MUROS A FLEXOCOMPRESIÓN</t>
  </si>
  <si>
    <t>OBTENCIÓN DE ESFUERZOS</t>
  </si>
  <si>
    <t>=</t>
  </si>
  <si>
    <t>f'c=</t>
  </si>
  <si>
    <t>fy=</t>
  </si>
  <si>
    <t>TABLERO</t>
  </si>
  <si>
    <t>Wu</t>
  </si>
  <si>
    <t>VARILLA</t>
  </si>
  <si>
    <t>KG.M</t>
  </si>
  <si>
    <t>q</t>
  </si>
  <si>
    <t>p</t>
  </si>
  <si>
    <t>CORTO</t>
  </si>
  <si>
    <t>m =</t>
  </si>
  <si>
    <t>LARGO</t>
  </si>
  <si>
    <t>CARGA =</t>
  </si>
  <si>
    <t>FACTOR =</t>
  </si>
  <si>
    <t>d=</t>
  </si>
  <si>
    <t>CM.  PARA MOMENTOS (-)</t>
  </si>
  <si>
    <t>CM.  PARA MOMENTOS (+)</t>
  </si>
  <si>
    <t>Peralte total h =</t>
  </si>
  <si>
    <t xml:space="preserve">A C E R O   M I N I M O   P O R   T E M P E R A T U R A </t>
  </si>
  <si>
    <t xml:space="preserve">    fy(h+100)</t>
  </si>
  <si>
    <t>+100 )</t>
  </si>
  <si>
    <t xml:space="preserve">   100 x</t>
  </si>
  <si>
    <t>As = 100 x</t>
  </si>
  <si>
    <t>S =</t>
  </si>
  <si>
    <t>3.5 x</t>
  </si>
  <si>
    <t>f"c=</t>
  </si>
  <si>
    <t>F.C.</t>
  </si>
  <si>
    <t>Fy</t>
  </si>
  <si>
    <t>F'c</t>
  </si>
  <si>
    <t>Mr</t>
  </si>
  <si>
    <t>KG-M</t>
  </si>
  <si>
    <t>KG-CM</t>
  </si>
  <si>
    <t>[18]</t>
  </si>
  <si>
    <t>[19]</t>
  </si>
  <si>
    <t>[20]</t>
  </si>
  <si>
    <t>[21]</t>
  </si>
  <si>
    <t>[22]</t>
  </si>
  <si>
    <t>[23]</t>
  </si>
  <si>
    <t>[24]</t>
  </si>
  <si>
    <t>[25]</t>
  </si>
  <si>
    <t>r</t>
  </si>
  <si>
    <t>V-1</t>
  </si>
  <si>
    <t>V-2</t>
  </si>
  <si>
    <t>V-3</t>
  </si>
  <si>
    <t>V-4</t>
  </si>
  <si>
    <t>V-5</t>
  </si>
  <si>
    <t>V-6</t>
  </si>
  <si>
    <t>DISEÑO DE VIGUETAS PARA LAS LOSAS</t>
  </si>
  <si>
    <t>TABIQUE</t>
  </si>
  <si>
    <t>CONCRETO</t>
  </si>
  <si>
    <t>TABICON</t>
  </si>
  <si>
    <t>HUECOS</t>
  </si>
  <si>
    <t>HUECO</t>
  </si>
  <si>
    <t>ec =</t>
  </si>
  <si>
    <t>Fe</t>
  </si>
  <si>
    <t>MACIZO</t>
  </si>
  <si>
    <t>B</t>
  </si>
  <si>
    <r>
      <t>cm</t>
    </r>
    <r>
      <rPr>
        <b/>
        <vertAlign val="superscript"/>
        <sz val="12"/>
        <rFont val="Arial"/>
        <family val="2"/>
      </rPr>
      <t>2</t>
    </r>
  </si>
  <si>
    <r>
      <t>kg/cm</t>
    </r>
    <r>
      <rPr>
        <b/>
        <vertAlign val="superscript"/>
        <sz val="12"/>
        <rFont val="Arial"/>
        <family val="2"/>
      </rPr>
      <t>2</t>
    </r>
  </si>
  <si>
    <t>660  x</t>
  </si>
  <si>
    <t xml:space="preserve">S max = 3.5 h = </t>
  </si>
  <si>
    <t>f*c=</t>
  </si>
  <si>
    <t>NO CONFINADO</t>
  </si>
  <si>
    <r>
      <t>F</t>
    </r>
    <r>
      <rPr>
        <b/>
        <vertAlign val="subscript"/>
        <sz val="12"/>
        <rFont val="Arial"/>
        <family val="2"/>
      </rPr>
      <t>R</t>
    </r>
  </si>
  <si>
    <r>
      <t>F</t>
    </r>
    <r>
      <rPr>
        <b/>
        <vertAlign val="subscript"/>
        <sz val="12"/>
        <rFont val="Arial"/>
        <family val="2"/>
      </rPr>
      <t>E</t>
    </r>
  </si>
  <si>
    <r>
      <t>k/c</t>
    </r>
    <r>
      <rPr>
        <b/>
        <vertAlign val="superscript"/>
        <sz val="12"/>
        <rFont val="Arial"/>
        <family val="2"/>
      </rPr>
      <t>2</t>
    </r>
  </si>
  <si>
    <r>
      <t>P</t>
    </r>
    <r>
      <rPr>
        <b/>
        <vertAlign val="subscript"/>
        <sz val="12"/>
        <rFont val="Arial"/>
        <family val="2"/>
      </rPr>
      <t>R</t>
    </r>
  </si>
  <si>
    <r>
      <t>M</t>
    </r>
    <r>
      <rPr>
        <b/>
        <vertAlign val="subscript"/>
        <sz val="12"/>
        <rFont val="Arial"/>
        <family val="2"/>
      </rPr>
      <t>R</t>
    </r>
  </si>
  <si>
    <r>
      <t>M</t>
    </r>
    <r>
      <rPr>
        <b/>
        <vertAlign val="superscript"/>
        <sz val="12"/>
        <color indexed="10"/>
        <rFont val="Arial"/>
        <family val="2"/>
      </rPr>
      <t>3</t>
    </r>
  </si>
  <si>
    <t>Hi2/Hi</t>
  </si>
  <si>
    <r>
      <t>TON/M</t>
    </r>
    <r>
      <rPr>
        <vertAlign val="superscript"/>
        <sz val="12"/>
        <rFont val="Arial"/>
        <family val="2"/>
      </rPr>
      <t>2</t>
    </r>
  </si>
  <si>
    <r>
      <t>M</t>
    </r>
    <r>
      <rPr>
        <vertAlign val="superscript"/>
        <sz val="12"/>
        <rFont val="Arial"/>
        <family val="2"/>
      </rPr>
      <t>3</t>
    </r>
  </si>
  <si>
    <r>
      <t>M</t>
    </r>
    <r>
      <rPr>
        <vertAlign val="superscript"/>
        <sz val="12"/>
        <rFont val="Arial"/>
        <family val="2"/>
      </rPr>
      <t>2</t>
    </r>
  </si>
  <si>
    <r>
      <t>TON/M</t>
    </r>
    <r>
      <rPr>
        <b/>
        <vertAlign val="superscript"/>
        <sz val="12"/>
        <rFont val="Arial"/>
        <family val="2"/>
      </rPr>
      <t>2</t>
    </r>
  </si>
  <si>
    <r>
      <t>B</t>
    </r>
    <r>
      <rPr>
        <b/>
        <vertAlign val="superscript"/>
        <sz val="12"/>
        <rFont val="Arial"/>
        <family val="2"/>
      </rPr>
      <t>2</t>
    </r>
  </si>
  <si>
    <r>
      <t>M</t>
    </r>
    <r>
      <rPr>
        <b/>
        <vertAlign val="superscript"/>
        <sz val="12"/>
        <rFont val="Arial"/>
        <family val="2"/>
      </rPr>
      <t>2</t>
    </r>
  </si>
  <si>
    <r>
      <t>KG/M</t>
    </r>
    <r>
      <rPr>
        <b/>
        <vertAlign val="superscript"/>
        <sz val="12"/>
        <rFont val="Arial"/>
        <family val="2"/>
      </rPr>
      <t>2</t>
    </r>
  </si>
  <si>
    <r>
      <t>CM</t>
    </r>
    <r>
      <rPr>
        <b/>
        <vertAlign val="superscript"/>
        <sz val="12"/>
        <rFont val="Arial"/>
        <family val="2"/>
      </rPr>
      <t>2</t>
    </r>
    <r>
      <rPr>
        <b/>
        <sz val="12"/>
        <rFont val="Arial"/>
        <family val="2"/>
      </rPr>
      <t>/CM</t>
    </r>
  </si>
  <si>
    <t xml:space="preserve"> PLANTA BAJA</t>
  </si>
  <si>
    <t>PESO Y CENTRO DE GRAVEDAD DE MUROS DE CARGA</t>
  </si>
  <si>
    <r>
      <t>f</t>
    </r>
    <r>
      <rPr>
        <b/>
        <vertAlign val="superscript"/>
        <sz val="12"/>
        <rFont val="Arial"/>
        <family val="2"/>
      </rPr>
      <t>*</t>
    </r>
    <r>
      <rPr>
        <b/>
        <sz val="12"/>
        <rFont val="Arial"/>
        <family val="2"/>
      </rPr>
      <t xml:space="preserve">c = </t>
    </r>
  </si>
  <si>
    <r>
      <t>f</t>
    </r>
    <r>
      <rPr>
        <b/>
        <vertAlign val="subscript"/>
        <sz val="12"/>
        <rFont val="Arial"/>
        <family val="2"/>
      </rPr>
      <t>y</t>
    </r>
    <r>
      <rPr>
        <b/>
        <sz val="12"/>
        <rFont val="Arial"/>
        <family val="2"/>
      </rPr>
      <t xml:space="preserve"> = </t>
    </r>
  </si>
  <si>
    <t>@ VERTICAL</t>
  </si>
  <si>
    <t>@ HORIZONTAL</t>
  </si>
  <si>
    <t># VAR</t>
  </si>
  <si>
    <t>CAST.</t>
  </si>
  <si>
    <t>CAST</t>
  </si>
  <si>
    <t xml:space="preserve">DECISION </t>
  </si>
  <si>
    <t>MUROS DE CONCRETO DE PLANTA BAJA</t>
  </si>
  <si>
    <t>RED.</t>
  </si>
  <si>
    <t>L.</t>
  </si>
  <si>
    <t>Vu Max.</t>
  </si>
  <si>
    <t>Vu Max</t>
  </si>
  <si>
    <t xml:space="preserve">   ------------------  =</t>
  </si>
  <si>
    <t>V act.</t>
  </si>
  <si>
    <t>V rest.</t>
  </si>
  <si>
    <t>POR</t>
  </si>
  <si>
    <t>CTE.</t>
  </si>
  <si>
    <t>REV.</t>
  </si>
  <si>
    <t>VAR.</t>
  </si>
  <si>
    <r>
      <t>V</t>
    </r>
    <r>
      <rPr>
        <vertAlign val="subscript"/>
        <sz val="12"/>
        <rFont val="Arial"/>
        <family val="2"/>
      </rPr>
      <t>CR</t>
    </r>
  </si>
  <si>
    <t>A</t>
  </si>
  <si>
    <t>Max.</t>
  </si>
  <si>
    <r>
      <t>M</t>
    </r>
    <r>
      <rPr>
        <vertAlign val="subscript"/>
        <sz val="12"/>
        <rFont val="Arial"/>
        <family val="2"/>
      </rPr>
      <t>REST.</t>
    </r>
  </si>
  <si>
    <t>TRABES</t>
  </si>
  <si>
    <t>MODULO DE SECCION                                                 Sx =</t>
  </si>
  <si>
    <t xml:space="preserve">Sy =  </t>
  </si>
  <si>
    <t>COORDENADAS CARGAS TOTALES                         X =</t>
  </si>
  <si>
    <t xml:space="preserve">Y =  </t>
  </si>
  <si>
    <t>COORDENADAS DEL EJE NEUTRO                         Xn =</t>
  </si>
  <si>
    <t xml:space="preserve">Yn =  </t>
  </si>
  <si>
    <t>AREA DE LA CIMENTACION                                          A =</t>
  </si>
  <si>
    <t>ESFUERZO POR CARGAS GRAVITACIONALES 1 =</t>
  </si>
  <si>
    <t>ESFUERZO POR CARGAS GRAVITACIONALES 2 =</t>
  </si>
  <si>
    <t xml:space="preserve"> ESFUERZO DE DISEÑO =</t>
  </si>
  <si>
    <t>ESFUERZO POR FUERZAS HORIZONTALES    1 =</t>
  </si>
  <si>
    <t>ESFUERZO POR FUERZAS HORIZONTALES    2 =</t>
  </si>
  <si>
    <t>L-RED.</t>
  </si>
  <si>
    <t>DISEÑO DE TRABES</t>
  </si>
  <si>
    <t>[26]</t>
  </si>
  <si>
    <t>[27]</t>
  </si>
  <si>
    <t>REV. POR CORTANTE</t>
  </si>
  <si>
    <t>LGO</t>
  </si>
  <si>
    <t>REV. DE CORTANTE</t>
  </si>
  <si>
    <t>EXTREMOS</t>
  </si>
  <si>
    <t>CENTRO</t>
  </si>
  <si>
    <t>L.C.</t>
  </si>
  <si>
    <t>L.L.</t>
  </si>
  <si>
    <t>L. CORTO=</t>
  </si>
  <si>
    <t>L. LARGO=</t>
  </si>
  <si>
    <r>
      <t>CM</t>
    </r>
    <r>
      <rPr>
        <b/>
        <vertAlign val="superscript"/>
        <sz val="12"/>
        <rFont val="Arial"/>
        <family val="2"/>
      </rPr>
      <t>2</t>
    </r>
    <r>
      <rPr>
        <b/>
        <sz val="12"/>
        <rFont val="Arial"/>
        <family val="2"/>
      </rPr>
      <t>/M</t>
    </r>
  </si>
  <si>
    <t xml:space="preserve">          as = ------------------=</t>
  </si>
  <si>
    <t xml:space="preserve">    ---------------------------------- =</t>
  </si>
  <si>
    <t>LOSA</t>
  </si>
  <si>
    <t>LADO</t>
  </si>
  <si>
    <t>TABLA No. 1</t>
  </si>
  <si>
    <t>TABLA No. 19</t>
  </si>
  <si>
    <t>TABLA No. 24</t>
  </si>
  <si>
    <t>b x h</t>
  </si>
  <si>
    <t>CARACTERISTICAS DEL MATERIAL</t>
  </si>
  <si>
    <t>REST.</t>
  </si>
  <si>
    <r>
      <t>Kg/cm</t>
    </r>
    <r>
      <rPr>
        <b/>
        <vertAlign val="superscript"/>
        <sz val="12"/>
        <rFont val="Arial"/>
        <family val="2"/>
      </rPr>
      <t>2</t>
    </r>
  </si>
  <si>
    <t>Mv =J*MV</t>
  </si>
  <si>
    <t xml:space="preserve">S max = 50 = </t>
  </si>
  <si>
    <r>
      <t xml:space="preserve">CALCULO DEL </t>
    </r>
    <r>
      <rPr>
        <b/>
        <sz val="12"/>
        <rFont val="Arial"/>
        <family val="2"/>
      </rPr>
      <t>As</t>
    </r>
    <r>
      <rPr>
        <sz val="12"/>
        <rFont val="Arial"/>
        <family val="2"/>
      </rPr>
      <t xml:space="preserve"> ADICIONAL</t>
    </r>
  </si>
  <si>
    <t>DISEÑO DE ZAPATA CORRIDA CENTRAL</t>
  </si>
  <si>
    <t>F. C. V.=</t>
  </si>
  <si>
    <t>F. C. A.=</t>
  </si>
  <si>
    <t>f*c =</t>
  </si>
  <si>
    <t>W =</t>
  </si>
  <si>
    <t>TON/ML.</t>
  </si>
  <si>
    <t>f'' c =</t>
  </si>
  <si>
    <t>q a =</t>
  </si>
  <si>
    <t>f y =</t>
  </si>
  <si>
    <t>B =</t>
  </si>
  <si>
    <t>RELLENO=</t>
  </si>
  <si>
    <t>ANCHO CT =</t>
  </si>
  <si>
    <t>r =</t>
  </si>
  <si>
    <t>ESPESOR=</t>
  </si>
  <si>
    <t>REVISION POR FLEXION:</t>
  </si>
  <si>
    <t>MOM. U.</t>
  </si>
  <si>
    <t>@ 3/8"</t>
  </si>
  <si>
    <t>@ 1/2"</t>
  </si>
  <si>
    <t>ACERO POR TEMPERATURA:</t>
  </si>
  <si>
    <t>REVISION POR TENSION DIAGONAL:</t>
  </si>
  <si>
    <t>REACCION</t>
  </si>
  <si>
    <t>V CR</t>
  </si>
  <si>
    <t>V máx.</t>
  </si>
  <si>
    <t>Vmáx &gt; Vu</t>
  </si>
  <si>
    <t>PERALTE</t>
  </si>
  <si>
    <t>REVISION POR PENETRACION:</t>
  </si>
  <si>
    <t>v u</t>
  </si>
  <si>
    <r>
      <t>KG/CM</t>
    </r>
    <r>
      <rPr>
        <vertAlign val="superscript"/>
        <sz val="11"/>
        <rFont val="univers cd [wn]"/>
      </rPr>
      <t>2</t>
    </r>
  </si>
  <si>
    <r>
      <t>TON/M</t>
    </r>
    <r>
      <rPr>
        <vertAlign val="superscript"/>
        <sz val="11"/>
        <rFont val="univers cd [wn]"/>
      </rPr>
      <t>2</t>
    </r>
  </si>
  <si>
    <t>PESO VOL. =</t>
  </si>
  <si>
    <r>
      <t>TON/M</t>
    </r>
    <r>
      <rPr>
        <vertAlign val="superscript"/>
        <sz val="11"/>
        <rFont val="univers cd [wn]"/>
      </rPr>
      <t>3</t>
    </r>
  </si>
  <si>
    <r>
      <t>KG/CM</t>
    </r>
    <r>
      <rPr>
        <vertAlign val="superscript"/>
        <sz val="12"/>
        <rFont val="Arial"/>
        <family val="2"/>
      </rPr>
      <t>2</t>
    </r>
    <r>
      <rPr>
        <sz val="12"/>
        <rFont val="Arial"/>
        <family val="2"/>
      </rPr>
      <t>.</t>
    </r>
  </si>
  <si>
    <t>-  cont.</t>
  </si>
  <si>
    <t>-  disc.</t>
  </si>
  <si>
    <t>+   centro</t>
  </si>
  <si>
    <t>-   cont.</t>
  </si>
  <si>
    <t>-   disc.</t>
  </si>
  <si>
    <t xml:space="preserve">    (660 h)2</t>
  </si>
  <si>
    <r>
      <t>KG/CM</t>
    </r>
    <r>
      <rPr>
        <vertAlign val="superscript"/>
        <sz val="11"/>
        <rFont val="Arial"/>
        <family val="2"/>
      </rPr>
      <t>2</t>
    </r>
  </si>
  <si>
    <r>
      <t>TON/M</t>
    </r>
    <r>
      <rPr>
        <vertAlign val="superscript"/>
        <sz val="11"/>
        <rFont val="Arial"/>
        <family val="2"/>
      </rPr>
      <t>2</t>
    </r>
  </si>
  <si>
    <r>
      <t>TON/M</t>
    </r>
    <r>
      <rPr>
        <vertAlign val="superscript"/>
        <sz val="11"/>
        <rFont val="Arial"/>
        <family val="2"/>
      </rPr>
      <t>3</t>
    </r>
  </si>
  <si>
    <t>KG/CM</t>
  </si>
  <si>
    <t>DISEÑO DE LOSA EN VOLADO</t>
  </si>
  <si>
    <t>P =</t>
  </si>
  <si>
    <t>TON</t>
  </si>
  <si>
    <r>
      <t>KG/CM</t>
    </r>
    <r>
      <rPr>
        <vertAlign val="superscript"/>
        <sz val="11"/>
        <rFont val="Times New Roman"/>
        <family val="1"/>
      </rPr>
      <t>2</t>
    </r>
  </si>
  <si>
    <t>T-7</t>
  </si>
  <si>
    <t>SI</t>
  </si>
  <si>
    <t>ESFUERZO POR CARGAS GRAVITACIONALES 3 =</t>
  </si>
  <si>
    <t>ESFUERZO POR CARGAS GRAVITACIONALES 4 =</t>
  </si>
  <si>
    <t>LOSA DE CIMENTACION</t>
  </si>
  <si>
    <t># var 3</t>
  </si>
  <si>
    <t>P.A.</t>
  </si>
  <si>
    <t>ESFUERZO POR FUERZAS HORIZONTALES    3 =</t>
  </si>
  <si>
    <t>ESFUERZO POR FUERZAS HORIZONTALES    4 =</t>
  </si>
  <si>
    <t>MALLA</t>
  </si>
  <si>
    <t>ph  (MIN)</t>
  </si>
  <si>
    <t>ph  (MAX)</t>
  </si>
  <si>
    <r>
      <t>V</t>
    </r>
    <r>
      <rPr>
        <sz val="8"/>
        <rFont val="Arial"/>
        <family val="2"/>
      </rPr>
      <t xml:space="preserve">SR </t>
    </r>
    <r>
      <rPr>
        <sz val="12"/>
        <rFont val="Arial"/>
        <family val="2"/>
      </rPr>
      <t>=</t>
    </r>
  </si>
  <si>
    <t>η</t>
  </si>
  <si>
    <t>RESIST.</t>
  </si>
  <si>
    <t>ESTRIBOS</t>
  </si>
  <si>
    <t>VARILLAS</t>
  </si>
  <si>
    <t>CONFINADOS</t>
  </si>
  <si>
    <r>
      <t>F</t>
    </r>
    <r>
      <rPr>
        <sz val="10"/>
        <rFont val="Arial"/>
        <family val="2"/>
      </rPr>
      <t xml:space="preserve">E   </t>
    </r>
    <r>
      <rPr>
        <sz val="12"/>
        <rFont val="Arial"/>
        <family val="2"/>
      </rPr>
      <t>PARA MUROS</t>
    </r>
  </si>
  <si>
    <t>confinada</t>
  </si>
  <si>
    <t>tabique</t>
  </si>
  <si>
    <t>ref. inter.</t>
  </si>
  <si>
    <t>ni-reforzada</t>
  </si>
  <si>
    <t>ni-confinada</t>
  </si>
  <si>
    <t>REF. INT.</t>
  </si>
  <si>
    <t>NUM. DE</t>
  </si>
  <si>
    <t>CASTILLOS</t>
  </si>
  <si>
    <t>@       CM</t>
  </si>
  <si>
    <t>REF. VERTICAL</t>
  </si>
  <si>
    <t>REF. HORIZONTAL</t>
  </si>
  <si>
    <t>BIEN O</t>
  </si>
  <si>
    <t>MAL</t>
  </si>
  <si>
    <t>ANILLO</t>
  </si>
  <si>
    <t>t</t>
  </si>
  <si>
    <t>ESTRIBOS DE ALAMBRON</t>
  </si>
  <si>
    <t>FY</t>
  </si>
  <si>
    <t>BIEN</t>
  </si>
  <si>
    <t>VAR. LONGITUDIANLES</t>
  </si>
  <si>
    <r>
      <t>As min = 0.2 f´c t</t>
    </r>
    <r>
      <rPr>
        <vertAlign val="superscript"/>
        <sz val="12"/>
        <rFont val="Arial"/>
        <family val="2"/>
      </rPr>
      <t>2</t>
    </r>
    <r>
      <rPr>
        <sz val="12"/>
        <rFont val="Arial"/>
        <family val="2"/>
      </rPr>
      <t xml:space="preserve"> / fy</t>
    </r>
  </si>
  <si>
    <t>As  min = 1000 @ / Fy * h</t>
  </si>
  <si>
    <t>MINIMO</t>
  </si>
  <si>
    <t>ACERO DE REFUERZO PARA CASTILLOS Y CADENAS, PARA MUROS CONFINADOS</t>
  </si>
  <si>
    <t>PARA MUROS CON REFUERZO INTERIOR</t>
  </si>
  <si>
    <t>ACERO DE REFUERZO PARA CADENAS</t>
  </si>
  <si>
    <t>@ 3 M</t>
  </si>
  <si>
    <t xml:space="preserve">PORCENTAJE DE </t>
  </si>
  <si>
    <t>ACERO EN TODO</t>
  </si>
  <si>
    <t>EL MURO</t>
  </si>
  <si>
    <t>REFORZAMIENTO DE MUROS CONFINADOS</t>
  </si>
  <si>
    <t>REFORZAMIENTO DE MUROS REFORZADOS EN SU INTERIOR</t>
  </si>
  <si>
    <t>Ph min</t>
  </si>
  <si>
    <t>Ph max.</t>
  </si>
  <si>
    <t>MACIZAS</t>
  </si>
  <si>
    <t>HUECAS</t>
  </si>
  <si>
    <t>@ MAX</t>
  </si>
  <si>
    <t>REF.</t>
  </si>
  <si>
    <t>n</t>
  </si>
  <si>
    <t>RESISTENCIA DEL MURO CON MALLA</t>
  </si>
  <si>
    <t>RESISTENCIA DEL MURO CON VARILLAS EN LAS JUNTAS</t>
  </si>
  <si>
    <t>ANCHO T =</t>
  </si>
  <si>
    <t>REVISION POR FLECHA</t>
  </si>
  <si>
    <t>DEFLEXION REAL =</t>
  </si>
  <si>
    <t>DEFLEXION PERM =</t>
  </si>
  <si>
    <t>CARGA W</t>
  </si>
  <si>
    <t>FLECHA</t>
  </si>
  <si>
    <t>CARGA P</t>
  </si>
  <si>
    <t>p min</t>
  </si>
  <si>
    <t>p max</t>
  </si>
  <si>
    <t>RECAMARA 1</t>
  </si>
  <si>
    <t>COCINETA</t>
  </si>
  <si>
    <t>ESTANCIA</t>
  </si>
  <si>
    <t>x  1.5</t>
  </si>
  <si>
    <t>COEFICIENTES DEL REGLAMENTO DEL D.D.F.-04</t>
  </si>
  <si>
    <t>C-T</t>
  </si>
  <si>
    <t>SE DEBE DE CHECAR LA FLECHA</t>
  </si>
  <si>
    <t>DISEÑO DE ZAPATA CORRIDA DE LINDERO</t>
  </si>
  <si>
    <t>MORTERO TIPO:</t>
  </si>
  <si>
    <t>PROPIETARIO   : ING. ROLANDO ORTIZ RAMOS</t>
  </si>
  <si>
    <t>ADOBE</t>
  </si>
  <si>
    <t>LIGERO</t>
  </si>
  <si>
    <t>f´c</t>
  </si>
  <si>
    <t xml:space="preserve">REFUERZO </t>
  </si>
  <si>
    <t>INTERIOR</t>
  </si>
  <si>
    <t>PIEZAS</t>
  </si>
  <si>
    <t>CONFINADAS</t>
  </si>
  <si>
    <t>NI REFORZADA</t>
  </si>
  <si>
    <t>NI CONFINADA</t>
  </si>
  <si>
    <t>huecos</t>
  </si>
  <si>
    <t>Tabique</t>
  </si>
  <si>
    <t>Tabicon</t>
  </si>
  <si>
    <t>Ligero</t>
  </si>
  <si>
    <t>Adobe</t>
  </si>
  <si>
    <t>Concreto.</t>
  </si>
  <si>
    <t>PESO CON NIVEL 3</t>
  </si>
  <si>
    <t>NIVEL 3</t>
  </si>
  <si>
    <t>Case</t>
  </si>
  <si>
    <t>Dir</t>
  </si>
  <si>
    <t>EccRatio</t>
  </si>
  <si>
    <t>EccOverrides</t>
  </si>
  <si>
    <t>TopStory</t>
  </si>
  <si>
    <t>BotStory</t>
  </si>
  <si>
    <t>C</t>
  </si>
  <si>
    <t>WeightUsed</t>
  </si>
  <si>
    <t>BaseShear</t>
  </si>
  <si>
    <t>1er Nivel</t>
  </si>
  <si>
    <t>SISMOY</t>
  </si>
  <si>
    <t>No</t>
  </si>
  <si>
    <t>2o Nivel</t>
  </si>
  <si>
    <t>SISMOX</t>
  </si>
  <si>
    <t>3ER Nivel</t>
  </si>
  <si>
    <t>PESO SIN NIVEL 3</t>
  </si>
  <si>
    <t>NIVEL 2</t>
  </si>
  <si>
    <t>TOTAL =</t>
  </si>
  <si>
    <t>PESO SIN NIVEL 2</t>
  </si>
  <si>
    <t>NIVEL 1</t>
  </si>
  <si>
    <t>Peso total del edificio =</t>
  </si>
  <si>
    <t>STORY3</t>
  </si>
  <si>
    <t>W3</t>
  </si>
  <si>
    <t>W2</t>
  </si>
  <si>
    <t>W1</t>
  </si>
  <si>
    <t>X =</t>
  </si>
  <si>
    <t>Y =</t>
  </si>
  <si>
    <t>ARMEX</t>
  </si>
  <si>
    <t xml:space="preserve">ESTRIBOS </t>
  </si>
  <si>
    <t>PRIMER NIVEL</t>
  </si>
  <si>
    <t>F/DISEÑO</t>
  </si>
  <si>
    <t>MUROS DE CONCRETO DE PLANTA PRIMER NIVEL</t>
  </si>
  <si>
    <t>OBRA                   : CASA HABITACION CASA SAÑUDO</t>
  </si>
  <si>
    <t>I</t>
  </si>
  <si>
    <t>LONG. (cm)</t>
  </si>
  <si>
    <t>CANTERA</t>
  </si>
  <si>
    <t>NO CONFI</t>
  </si>
  <si>
    <t>LOCALIZACION : 1ª PRIVADA 13 DE SEPTIEMBRE, COL. VICENTE SUAREZ</t>
  </si>
  <si>
    <t>6X6 - 2/2</t>
  </si>
  <si>
    <t>6X6 - 3/3</t>
  </si>
  <si>
    <t>6X6 - 4/4</t>
  </si>
  <si>
    <t>6X6 - 6/6</t>
  </si>
  <si>
    <t>6X6 - 8/8</t>
  </si>
  <si>
    <t>6X6 - 10/10</t>
  </si>
  <si>
    <t>CALIBRE</t>
  </si>
  <si>
    <t>Sub ObtenerMaximosMurosDetallado()
    Dim wsOrigen As Worksheet, wsDestino As Worksheet
    Dim ultimaFila As Long, filaDestino As Long
    Dim dict As Object
    Dim historia As String, pierID As String
    Dim Pvalor As Double, V2valor As Double, M3valor As Double
    Dim LoadCaseP As String, LoadCaseV2 As String, LoadCaseM3 As String
    Dim i As Long
    Dim archivo As String
    Dim wbETABS As Workbook
    ' Seleccionar y abrir archivo de ETABS
    archivo = Application.GetOpenFilename(FileFilter:="Excel Files (*.xls; *.xlsx), *.xls; *.xlsx", Title:="Seleccione el archivo de ETABS")
    If archivo = "False" Then Exit Sub
    Set wbETABS = Workbooks.Open(archivo)
    ' Buscar hoja "Pier Forces"
    On Error Resume Next
    Set wsOrigen = wbETABS.Sheets("Pier Forces")
    On Error GoTo 0
    If wsOrigen Is Nothing Then
        MsgBox "No se encontró la hoja 'Pier Forces'.", vbCritical
        wbETABS.Close False
        Exit Sub
    End If
    ' Configurar hoja destino en este libro
    On Error Resume Next
    Set wsDestino = ThisWorkbook.Sheets("ELEMENTOS MECÁNICOS")
    On Error GoTo 0
    If wsDestino Is Nothing Then
        Set wsDestino = ThisWorkbook.Sheets.Add(After:=ThisWorkbook.Sheets(ThisWorkbook.Sheets.Count))
        wsDestino.Name = "ELEMENTOS MECÁNICOS"
    End If
    ' Inicializar diccionario anidado: Story -&gt; Pier -&gt; Valores
    Set dict = CreateObject("Scripting.Dictionary")
    ' Procesar datos desde fila 4 (asumiendo encabezados en filas 1-3)
    ultimaFila = wsOrigen.Cells(wsOrigen.Rows.Count, 1).End(xlUp).Row
    For i = 4 To ultimaFila
        historia = Trim(wsOrigen.Cells(i, 1).Value) ' Columna A: Story
        pierID = Trim(wsOrigen.Cells(i, 2).Value)   ' Columna B: Pier (M1X, M1Y, etc.)
        Pvalor = wsOrigen.Cells(i, 8).Value         ' Columna H: P
        V2valor = wsOrigen.Cells(i, 9).Value        ' Columna I: V2
        M3valor = wsOrigen.Cells(i, 13).Value       ' Columna M: M3
        LoadCaseP = wsOrigen.Cells(i, 3).Value      ' Columna C: Load Case P
        LoadCaseV2 = wsOrigen.Cells(i, 3).Value     ' Columna C: Load Case V2
        LoadCaseM3 = wsOrigen.Cells(i, 3).Value     ' Columna C: Load Case M3
        ' Crear estructura en diccionario si no existe
        If Not dict.Exists(historia) Then
            dict.Add historia, CreateObject("Scripting.Dictionary")
        End If
        If Not dict(historia).Exists(pierID) Then
            dict(historia).Add pierID, CreateObject("Scripting.Dictionary")
            dict(historia)(pierID).Add "Pmax", Abs(Pvalor) ' Valor absoluto
            dict(historia)(pierID).Add "V2max", Abs(V2valor) ' Valor absoluto
            dict(historia)(pierID).Add "M3max", Abs(M3valor) ' Valor absoluto
            dict(historia)(pierID).Add "LoadCaseP", LoadCaseP
            dict(historia)(pierID).Add "LoadCaseV2", LoadCaseV2
            dict(historia)(pierID).Add "LoadCaseM3", LoadCaseM3
        Else
            ' Actualizar máximos absolutos
            If Abs(Pvalor) &gt; dict(historia)(pierID)("Pmax") Then
                dict(historia)(pierID)("Pmax") = Abs(Pvalor)
                dict(historia)(pierID)("LoadCaseP") = LoadCaseP
            End If
            If Abs(V2valor) &gt; dict(historia)(pierID)("V2max") Then
                dict(historia)(pierID)("V2max") = Abs(V2valor)
                dict(historia)(pierID)("LoadCaseV2") = LoadCaseV2
            End If
            If Abs(M3valor) &gt; dict(historia)(pierID)("M3max") Then
                dict(historia)(pierID)("M3max") = Abs(M3valor)
                dict(historia)(pierID)("LoadCaseM3") = LoadCaseM3
            End If
        End If
    Next i
    ' Cerrar archivo ETABS sin guardar
    wbETABS.Close False
    ' Escribir resultados en hoja destino
    wsDestino.Cells.Clear
    filaDestino = 1 ' Comienza desde la fila 1
    ' Encabezado de la tabla
    wsDestino.Cells(filaDestino, 1).Resize(1, 8).Value = Array("Story", "Pier", "Load Case P", "Pmax (Ton)", "Load Case V2", "V2max (Ton)", "Load Case M3", "M3max (Ton-m)")
    filaDestino = filaDestino + 1
    ' Escribir los datos de la tabla
    Dim storyKey As Variant, pierKey As Variant
    For Each storyKey In dict.Keys
        For Each pierKey In dict(storyKey).Keys
            With wsDestino
                .Cells(filaDestino, 1).Value = storyKey
                .Cells(filaDestino, 2).Value = pierKey
                .Cells(filaDestino, 3).Value = dict(storyKey)(pierKey)("LoadCaseP")
                .Cells(filaDestino, 4).Value = dict(storyKey)(pierKey)("Pmax")
                .Cells(filaDestino, 5).Value = dict(storyKey)(pierKey)("LoadCaseV2")
                .Cells(filaDestino, 6).Value = dict(storyKey)(pierKey)("V2max")
                .Cells(filaDestino, 7).Value = dict(storyKey)(pierKey)("LoadCaseM3")
                .Cells(filaDestino, 8).Value = dict(storyKey)(pierKey)("M3max")
            End With
            filaDestino = filaDestino + 1
        Next pierKey
    Next storyKey
    ' Formatear tabla: Calibri, centrado, bordes, activar filtro y color de fondo en la primera fila
    With wsDestino
        .Range("A1:H1").Font.Name = "Calibri" ' Fuente Calibri en los encabezados
        .Range("A1:H1").Font.Bold = True       ' Encabezado en negrita
        .Range("A1:H1").HorizontalAlignment = xlCenter ' Centrado encabezado
        .Range("A1:H1").Interior.Color = RGB(0, 255, 255) ' Color de fondo cyan
        .Columns("A:H").Font.Name = "Calibri"   ' Fuente Calibri para todo
        .Columns("A:H").HorizontalAlignment = xlCenter ' Centrado para todo
        .Columns("A:H").AutoFit              ' Ajustar el ancho de las columnas
        .Range("A1:H" &amp; filaDestino - 1).Borders.LineStyle = xlContinuous ' Bordes continuos
        ' Aplicar formato con comas para miles en las celdas de valores
        .Range("D2:D" &amp; filaDestino - 1).NumberFormat = "#,##0.00" ' Pmax con comas
        .Range("F2:F" &amp; filaDestino - 1).NumberFormat = "#,##0.00" ' V2max con comas
        .Range("H2:H" &amp; filaDestino - 1).NumberFormat = "#,##0.00" ' M3max con comas
        ' Activar el filtro en la primera fila
        .Range("A1:H1").AutoFilter
    End With
    MsgBox "Tabla generada exitosamente en la hoja 'ELEMENTOS MECÁNICOS'.", vbInformation
End Sub</t>
  </si>
  <si>
    <t xml:space="preserve">  </t>
  </si>
  <si>
    <t>Pier</t>
  </si>
  <si>
    <t>M1X</t>
  </si>
  <si>
    <t>M2X</t>
  </si>
  <si>
    <t>M3X</t>
  </si>
  <si>
    <t>M4X</t>
  </si>
  <si>
    <t>M5X</t>
  </si>
  <si>
    <t>M6X</t>
  </si>
  <si>
    <t>M1Y</t>
  </si>
  <si>
    <t>M2Y</t>
  </si>
  <si>
    <t>M3Y</t>
  </si>
  <si>
    <t>M4Y</t>
  </si>
  <si>
    <t>M5Y</t>
  </si>
  <si>
    <t>M6Y</t>
  </si>
  <si>
    <t>M7Y</t>
  </si>
  <si>
    <t>M7X</t>
  </si>
  <si>
    <t>M8X</t>
  </si>
  <si>
    <t>M9X</t>
  </si>
  <si>
    <t>M8Y</t>
  </si>
  <si>
    <t>M9Y</t>
  </si>
  <si>
    <t>Story1 - Pier (X)</t>
  </si>
  <si>
    <t>Story1 - Long (m)</t>
  </si>
  <si>
    <t>Story1 - Alt (m)</t>
  </si>
  <si>
    <t>ENVOL Y DIN</t>
  </si>
  <si>
    <t>ENVOL X DIN</t>
  </si>
  <si>
    <t>Story1 - Pier (Y)</t>
  </si>
  <si>
    <t>Story2 - Pier (X)</t>
  </si>
  <si>
    <t>Story2 - Long (m)</t>
  </si>
  <si>
    <t>Story2 - Alt (m)</t>
  </si>
  <si>
    <t>Story2 - Pier (Y)</t>
  </si>
  <si>
    <t>Combo P</t>
  </si>
  <si>
    <t>Combo V2</t>
  </si>
  <si>
    <t>Combo M3</t>
  </si>
  <si>
    <t>Pmax (kg)</t>
  </si>
  <si>
    <t>V2max (kg)</t>
  </si>
  <si>
    <t>-</t>
  </si>
  <si>
    <t>Material</t>
  </si>
  <si>
    <t>M3max (kg*cm)</t>
  </si>
  <si>
    <t>MUROS Y</t>
  </si>
  <si>
    <t>Espesor (cm)</t>
  </si>
  <si>
    <t>Unidades: kg y kg*cm  |  Espesor: cm (kgf-cm)  |  Material: Notes &gt; MatProp via PierLabel.GetSectionProperties  |  NTC 2023 Grupo B</t>
  </si>
  <si>
    <t xml:space="preserve">OBRA                   : </t>
  </si>
  <si>
    <t>1.4 CARGA MAX</t>
  </si>
  <si>
    <t>M10X</t>
  </si>
  <si>
    <t>M11X</t>
  </si>
  <si>
    <t>M12X</t>
  </si>
  <si>
    <t>M13X</t>
  </si>
  <si>
    <t>M14X</t>
  </si>
  <si>
    <t>M15X</t>
  </si>
  <si>
    <t>M16X</t>
  </si>
  <si>
    <t>Combos: 1.3 CM + 1.5 CVMAX  |  1.4 CARGA MAX  |  ENVOL X DIN  |  ENVOL Y DIN   —   Max. abs. Top/Bottom   —   Stories: 4   —   Muros X: filas 6-206   |   Muros Y: filas 207-407</t>
  </si>
  <si>
    <t>Story1  (Z=280 cm)</t>
  </si>
  <si>
    <t>Story2  (Z=560 cm)</t>
  </si>
  <si>
    <t>Story3  (Z=840 cm)</t>
  </si>
  <si>
    <t>Story4  (Z=1120 cm)</t>
  </si>
  <si>
    <t>Story3 - Pier (X)</t>
  </si>
  <si>
    <t>Story3 - Long (m)</t>
  </si>
  <si>
    <t>Story3 - Alt (m)</t>
  </si>
  <si>
    <t>Story3 - Pier (Y)</t>
  </si>
  <si>
    <t>Story4 - Pier (X)</t>
  </si>
  <si>
    <t>Story4 - Long (m)</t>
  </si>
  <si>
    <t>Story4 - Alt (m)</t>
  </si>
  <si>
    <t>Story4 - Pier (Y)</t>
  </si>
  <si>
    <t>ELEMENTOS MECANICOS CRITICOS — MUROS (PIER FORCES)  |  GRUPO B  |  01/09/2026 15:51</t>
  </si>
  <si>
    <t>Story1</t>
  </si>
  <si>
    <t>Story2</t>
  </si>
  <si>
    <t>Story3</t>
  </si>
  <si>
    <t>Story4</t>
  </si>
  <si>
    <t>Story5</t>
  </si>
  <si>
    <t>Story6</t>
  </si>
  <si>
    <t>Story7</t>
  </si>
  <si>
    <t>Story8</t>
  </si>
  <si>
    <t>Story9</t>
  </si>
  <si>
    <t>Story10</t>
  </si>
  <si>
    <t>Story11</t>
  </si>
  <si>
    <t>Story12</t>
  </si>
  <si>
    <t>Story13</t>
  </si>
  <si>
    <t>Story14</t>
  </si>
  <si>
    <t>Story15</t>
  </si>
  <si>
    <t>Altura entrepiso</t>
  </si>
  <si>
    <t>Altura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</si>
</sst>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 #,##0.00_);_(* \(#,##0.00\);_(* &quot;-&quot;??_);_(@_)"/>
    <numFmt numFmtId="165" formatCode="General_)"/>
    <numFmt numFmtId="166" formatCode="_(* #,##0.0_);_(* \(#,##0.0\);_(* &quot;-&quot;??_);_(@_)"/>
    <numFmt numFmtId="167" formatCode="0.000"/>
    <numFmt numFmtId="168" formatCode="0.0000"/>
    <numFmt numFmtId="169" formatCode="_(* #,##0_);_(* \(#,##0\);_(* &quot;-&quot;??_);_(@_)"/>
    <numFmt numFmtId="170" formatCode="0.0"/>
    <numFmt numFmtId="171" formatCode="&quot;$&quot;0_);\(&quot;$&quot;0\)"/>
    <numFmt numFmtId="172" formatCode="_([$€]* #,##0.00_);_([$€]* \(#,##0.00\);_([$€]* &quot;-&quot;??_);_(@_)"/>
    <numFmt numFmtId="173" formatCode="_(* #,##0.0000000000_);_(* \(#,##0.0000000000\);_(* &quot;-&quot;??_);_(@_)"/>
    <numFmt numFmtId="174" formatCode="#,##0.0\ &quot;kg/cm²&quot;"/>
    <numFmt numFmtId="175" formatCode="0.00000"/>
    <numFmt numFmtId="176" formatCode="#,##0.00;\(#,##0.00\);\-"/>
  </numFmts>
  <fonts count="93">
    <font>
      <sz val="10"/>
      <name val="Courier"/>
    </font>
    <font>
      <sz val="10"/>
      <name val="Times New Roman"/>
      <family val="1"/>
    </font>
    <font>
      <b/>
      <sz val="10"/>
      <name val="UNIVERS CD [WN]"/>
    </font>
    <font>
      <sz val="10"/>
      <name val="UNIVERS CD [WN]"/>
    </font>
    <font>
      <sz val="12"/>
      <name val="UNIVERS CD [WN]"/>
    </font>
    <font>
      <sz val="10"/>
      <name val="Arial"/>
      <family val="2"/>
    </font>
    <font>
      <b/>
      <sz val="10"/>
      <name val="Arial"/>
      <family val="2"/>
    </font>
    <font>
      <sz val="12"/>
      <name val="Modern"/>
      <family val="3"/>
      <charset val="255"/>
    </font>
    <font>
      <sz val="12"/>
      <name val="Arial"/>
      <family val="2"/>
    </font>
    <font>
      <b/>
      <sz val="12"/>
      <name val="Arial"/>
      <family val="2"/>
    </font>
    <font>
      <b/>
      <sz val="12"/>
      <color indexed="56"/>
      <name val="Arial"/>
      <family val="2"/>
    </font>
    <font>
      <b/>
      <sz val="12"/>
      <color indexed="12"/>
      <name val="Arial"/>
      <family val="2"/>
    </font>
    <font>
      <b/>
      <vertAlign val="superscript"/>
      <sz val="12"/>
      <name val="Arial"/>
      <family val="2"/>
    </font>
    <font>
      <sz val="12"/>
      <color indexed="56"/>
      <name val="Arial"/>
      <family val="2"/>
    </font>
    <font>
      <sz val="12"/>
      <color indexed="10"/>
      <name val="Arial"/>
      <family val="2"/>
    </font>
    <font>
      <b/>
      <sz val="12"/>
      <color indexed="10"/>
      <name val="Arial"/>
      <family val="2"/>
    </font>
    <font>
      <b/>
      <sz val="16"/>
      <name val="Arial"/>
      <family val="2"/>
    </font>
    <font>
      <sz val="8"/>
      <name val="Arial"/>
      <family val="2"/>
    </font>
    <font>
      <b/>
      <vertAlign val="subscript"/>
      <sz val="12"/>
      <name val="Arial"/>
      <family val="2"/>
    </font>
    <font>
      <b/>
      <sz val="8"/>
      <color indexed="81"/>
      <name val="Tahoma"/>
      <family val="2"/>
    </font>
    <font>
      <b/>
      <sz val="12"/>
      <color indexed="18"/>
      <name val="Arial"/>
      <family val="2"/>
    </font>
    <font>
      <sz val="12"/>
      <color indexed="12"/>
      <name val="Arial"/>
      <family val="2"/>
    </font>
    <font>
      <sz val="12"/>
      <color indexed="8"/>
      <name val="Arial"/>
      <family val="2"/>
    </font>
    <font>
      <b/>
      <vertAlign val="superscript"/>
      <sz val="12"/>
      <color indexed="10"/>
      <name val="Arial"/>
      <family val="2"/>
    </font>
    <font>
      <b/>
      <sz val="12"/>
      <color indexed="8"/>
      <name val="Arial"/>
      <family val="2"/>
    </font>
    <font>
      <vertAlign val="superscript"/>
      <sz val="12"/>
      <name val="Arial"/>
      <family val="2"/>
    </font>
    <font>
      <vertAlign val="subscript"/>
      <sz val="12"/>
      <name val="Arial"/>
      <family val="2"/>
    </font>
    <font>
      <b/>
      <sz val="14"/>
      <name val="Arial"/>
      <family val="2"/>
    </font>
    <font>
      <sz val="10"/>
      <name val="Arial"/>
      <family val="2"/>
    </font>
    <font>
      <sz val="14"/>
      <name val="Arial"/>
      <family val="2"/>
    </font>
    <font>
      <b/>
      <sz val="10"/>
      <color indexed="81"/>
      <name val="Arial"/>
      <family val="2"/>
    </font>
    <font>
      <sz val="10"/>
      <color indexed="81"/>
      <name val="Arial"/>
      <family val="2"/>
    </font>
    <font>
      <sz val="10"/>
      <name val="Courier"/>
      <family val="3"/>
    </font>
    <font>
      <sz val="11"/>
      <name val="univers cd [wn]"/>
    </font>
    <font>
      <sz val="16"/>
      <name val="univers cd [wn]"/>
    </font>
    <font>
      <sz val="11"/>
      <color indexed="12"/>
      <name val="univers cd [wn]"/>
    </font>
    <font>
      <vertAlign val="superscript"/>
      <sz val="11"/>
      <name val="univers cd [wn]"/>
    </font>
    <font>
      <b/>
      <sz val="11"/>
      <color indexed="10"/>
      <name val="Univers Cd [wn]"/>
    </font>
    <font>
      <sz val="8"/>
      <color indexed="81"/>
      <name val="Tahoma"/>
      <family val="2"/>
    </font>
    <font>
      <b/>
      <sz val="16"/>
      <name val="univers cd [wn]"/>
    </font>
    <font>
      <sz val="11"/>
      <name val="Arial"/>
      <family val="2"/>
    </font>
    <font>
      <sz val="16"/>
      <name val="Arial"/>
      <family val="2"/>
    </font>
    <font>
      <sz val="11"/>
      <color indexed="12"/>
      <name val="Arial"/>
      <family val="2"/>
    </font>
    <font>
      <vertAlign val="superscript"/>
      <sz val="11"/>
      <name val="Arial"/>
      <family val="2"/>
    </font>
    <font>
      <b/>
      <sz val="11"/>
      <color indexed="10"/>
      <name val="Arial"/>
      <family val="2"/>
    </font>
    <font>
      <sz val="12"/>
      <color indexed="12"/>
      <name val="univers cd [wn]"/>
    </font>
    <font>
      <sz val="11"/>
      <name val="Times New Roman"/>
      <family val="1"/>
    </font>
    <font>
      <sz val="16"/>
      <name val="Times New Roman"/>
      <family val="1"/>
    </font>
    <font>
      <sz val="10"/>
      <name val="Times New Roman"/>
      <family val="1"/>
    </font>
    <font>
      <sz val="11"/>
      <color indexed="10"/>
      <name val="Times New Roman"/>
      <family val="1"/>
    </font>
    <font>
      <vertAlign val="superscript"/>
      <sz val="11"/>
      <name val="Times New Roman"/>
      <family val="1"/>
    </font>
    <font>
      <b/>
      <sz val="10"/>
      <name val="Times New Roman"/>
      <family val="1"/>
    </font>
    <font>
      <b/>
      <sz val="11"/>
      <color indexed="10"/>
      <name val="Times New Roman"/>
      <family val="1"/>
    </font>
    <font>
      <sz val="12"/>
      <name val="Arial"/>
      <family val="2"/>
    </font>
    <font>
      <sz val="12"/>
      <color indexed="81"/>
      <name val="Tahoma"/>
      <family val="2"/>
    </font>
    <font>
      <sz val="12"/>
      <color indexed="81"/>
      <name val="Arial"/>
      <family val="2"/>
    </font>
    <font>
      <b/>
      <sz val="12"/>
      <color indexed="81"/>
      <name val="Arial"/>
      <family val="2"/>
    </font>
    <font>
      <b/>
      <sz val="10"/>
      <color indexed="81"/>
      <name val="Tahoma"/>
      <family val="2"/>
    </font>
    <font>
      <sz val="10"/>
      <color indexed="81"/>
      <name val="Tahoma"/>
      <family val="2"/>
    </font>
    <font>
      <sz val="11"/>
      <color indexed="12"/>
      <name val="Times New Roman"/>
      <family val="1"/>
    </font>
    <font>
      <b/>
      <sz val="11"/>
      <name val="Arial"/>
      <family val="2"/>
    </font>
    <font>
      <b/>
      <sz val="14"/>
      <color indexed="56"/>
      <name val="Arial"/>
      <family val="2"/>
    </font>
    <font>
      <sz val="11"/>
      <name val="Calibri"/>
      <family val="2"/>
    </font>
    <font>
      <b/>
      <sz val="9"/>
      <name val="Arial"/>
      <family val="2"/>
    </font>
    <font>
      <sz val="9"/>
      <color indexed="81"/>
      <name val="Tahoma"/>
      <family val="2"/>
    </font>
    <font>
      <b/>
      <sz val="9"/>
      <color indexed="81"/>
      <name val="Tahoma"/>
      <family val="2"/>
    </font>
    <font>
      <sz val="11"/>
      <color theme="1"/>
      <name val="Calibri"/>
      <family val="2"/>
      <scheme val="minor"/>
    </font>
    <font>
      <sz val="12"/>
      <color rgb="FF0000FF"/>
      <name val="Arial"/>
      <family val="2"/>
    </font>
    <font>
      <b/>
      <i/>
      <sz val="11"/>
      <color theme="4"/>
      <name val="Calibri"/>
      <family val="2"/>
      <scheme val="minor"/>
    </font>
    <font>
      <sz val="12"/>
      <color rgb="FFFFFF00"/>
      <name val="Arial"/>
      <family val="2"/>
    </font>
    <font>
      <sz val="12"/>
      <color rgb="FF002060"/>
      <name val="Arial"/>
      <family val="2"/>
    </font>
    <font>
      <sz val="12"/>
      <color theme="0"/>
      <name val="Arial"/>
      <family val="2"/>
    </font>
    <font>
      <b/>
      <sz val="12"/>
      <color rgb="FFFF0000"/>
      <name val="Arial"/>
      <family val="2"/>
    </font>
    <font>
      <sz val="12"/>
      <color theme="1"/>
      <name val="Arial"/>
      <family val="2"/>
    </font>
    <font>
      <sz val="10"/>
      <name val="Calibri"/>
      <family val="2"/>
    </font>
    <font>
      <b/>
      <sz val="10"/>
      <name val="Calibri"/>
      <family val="2"/>
    </font>
    <font>
      <sz val="11"/>
      <color rgb="FF000000"/>
      <name val="Aptos Narrow"/>
      <family val="2"/>
    </font>
    <font>
      <b/>
      <sz val="12"/>
      <color rgb="FF000000"/>
      <name val="Aptos Narrow"/>
      <family val="2"/>
    </font>
    <font>
      <b/>
      <sz val="10"/>
      <color rgb="FFFFFFFF"/>
      <name val="Calibri"/>
      <family val="2"/>
    </font>
    <font>
      <b/>
      <sz val="14"/>
      <color rgb="FF000000"/>
      <name val="Calibri"/>
      <family val="2"/>
    </font>
    <font>
      <b/>
      <sz val="12"/>
      <color rgb="FF1F3864"/>
      <name val="Calibri"/>
      <family val="2"/>
    </font>
    <font>
      <b/>
      <sz val="11"/>
      <color rgb="FFFFFFFF"/>
      <name val="Calibri"/>
      <family val="2"/>
    </font>
    <font>
      <i/>
      <sz val="8"/>
      <color rgb="FF787878"/>
      <name val="Calibri"/>
      <family val="2"/>
    </font>
    <font>
      <b/>
      <sz val="9"/>
      <color rgb="FFFFFFFF"/>
      <name val="Calibri"/>
      <family val="2"/>
    </font>
    <font>
      <i/>
      <sz val="8"/>
      <color rgb="FF3C3C3C"/>
      <name val="Calibri"/>
      <family val="2"/>
    </font>
    <font>
      <i/>
      <sz val="9"/>
      <color rgb="FF505050"/>
      <name val="Calibri"/>
      <family val="2"/>
    </font>
    <font>
      <b/>
      <sz val="10"/>
      <color rgb="FFA0A0A0"/>
      <name val="Calibri"/>
      <family val="2"/>
    </font>
    <font>
      <sz val="10"/>
      <color rgb="FFA0A0A0"/>
      <name val="Calibri"/>
      <family val="2"/>
    </font>
    <font>
      <b/>
      <sz val="9"/>
      <color rgb="FFFFDC00"/>
      <name val="Calibri"/>
      <family val="2"/>
    </font>
    <font>
      <b/>
      <sz val="9"/>
      <color rgb="FF1F3864"/>
      <name val="Calibri"/>
      <family val="2"/>
    </font>
    <font>
      <b/>
      <sz val="10"/>
      <color rgb="FF3E5823"/>
      <name val="Calibri"/>
      <family val="2"/>
    </font>
    <font>
      <sz val="10"/>
      <name val="Courier"/>
    </font>
    <font>
      <sz val="8"/>
      <name val="Courier"/>
    </font>
  </fonts>
  <fills count="21">
    <fill>
      <patternFill patternType="none"/>
    </fill>
    <fill>
      <patternFill patternType="gray125"/>
    </fill>
    <fill>
      <patternFill patternType="solid">
        <fgColor indexed="10"/>
        <bgColor indexed="64"/>
      </patternFill>
    </fill>
    <fill>
      <patternFill patternType="solid">
        <fgColor indexed="13"/>
        <bgColor indexed="64"/>
      </patternFill>
    </fill>
    <fill>
      <patternFill patternType="solid">
        <fgColor indexed="47"/>
        <bgColor indexed="64"/>
      </patternFill>
    </fill>
    <fill>
      <patternFill patternType="solid">
        <fgColor indexed="22"/>
        <bgColor indexed="64"/>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0"/>
        <bgColor indexed="64"/>
      </patternFill>
    </fill>
    <fill>
      <patternFill patternType="solid">
        <fgColor theme="2"/>
        <bgColor indexed="64"/>
      </patternFill>
    </fill>
    <fill>
      <patternFill patternType="solid">
        <fgColor rgb="FF1F4E79"/>
        <bgColor indexed="64"/>
      </patternFill>
    </fill>
    <fill>
      <patternFill patternType="solid">
        <fgColor rgb="FFD9E1F2"/>
        <bgColor indexed="64"/>
      </patternFill>
    </fill>
    <fill>
      <patternFill patternType="solid">
        <fgColor rgb="FFFFFFFF"/>
        <bgColor indexed="64"/>
      </patternFill>
    </fill>
    <fill>
      <patternFill patternType="solid">
        <fgColor rgb="FF1F3864"/>
        <bgColor indexed="64"/>
      </patternFill>
    </fill>
    <fill>
      <patternFill patternType="solid">
        <fgColor rgb="FF3E5823"/>
        <bgColor indexed="64"/>
      </patternFill>
    </fill>
    <fill>
      <patternFill patternType="solid">
        <fgColor rgb="FFE6E6E6"/>
        <bgColor indexed="64"/>
      </patternFill>
    </fill>
    <fill>
      <patternFill patternType="solid">
        <fgColor rgb="FFF2F2F2"/>
        <bgColor indexed="64"/>
      </patternFill>
    </fill>
    <fill>
      <patternFill patternType="solid">
        <fgColor rgb="FF323232"/>
        <bgColor indexed="64"/>
      </patternFill>
    </fill>
    <fill>
      <patternFill patternType="solid">
        <fgColor rgb="FF833C0C"/>
        <bgColor indexed="64"/>
      </patternFill>
    </fill>
    <fill>
      <patternFill patternType="solid">
        <fgColor rgb="FF581845"/>
        <bgColor indexed="64"/>
      </patternFill>
    </fill>
  </fills>
  <borders count="101">
    <border>
      <left/>
      <right/>
      <top/>
      <bottom/>
      <diagonal/>
    </border>
    <border>
      <left style="thin">
        <color indexed="64"/>
      </left>
      <right style="thin">
        <color indexed="64"/>
      </right>
      <top/>
      <bottom/>
      <diagonal/>
    </border>
    <border>
      <left style="thin">
        <color indexed="64"/>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medium">
        <color indexed="64"/>
      </top>
      <bottom/>
      <diagonal/>
    </border>
    <border>
      <left style="medium">
        <color indexed="64"/>
      </left>
      <right/>
      <top style="medium">
        <color indexed="64"/>
      </top>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right style="double">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top style="double">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hair">
        <color rgb="FF000000"/>
      </left>
      <right style="hair">
        <color rgb="FF000000"/>
      </right>
      <top style="hair">
        <color rgb="FF000000"/>
      </top>
      <bottom style="hair">
        <color rgb="FF000000"/>
      </bottom>
      <diagonal/>
    </border>
    <border>
      <left style="medium">
        <color rgb="FF1F3864"/>
      </left>
      <right style="hair">
        <color rgb="FFD2D2D2"/>
      </right>
      <top/>
      <bottom style="hair">
        <color rgb="FFD2D2D2"/>
      </bottom>
      <diagonal/>
    </border>
    <border>
      <left style="hair">
        <color rgb="FFD2D2D2"/>
      </left>
      <right style="hair">
        <color rgb="FFD2D2D2"/>
      </right>
      <top/>
      <bottom style="hair">
        <color rgb="FFD2D2D2"/>
      </bottom>
      <diagonal/>
    </border>
    <border>
      <left style="medium">
        <color rgb="FF1F3864"/>
      </left>
      <right style="hair">
        <color rgb="FFD2D2D2"/>
      </right>
      <top style="hair">
        <color rgb="FFD2D2D2"/>
      </top>
      <bottom style="hair">
        <color rgb="FFD2D2D2"/>
      </bottom>
      <diagonal/>
    </border>
    <border>
      <left style="hair">
        <color rgb="FFD2D2D2"/>
      </left>
      <right style="hair">
        <color rgb="FFD2D2D2"/>
      </right>
      <top style="hair">
        <color rgb="FFD2D2D2"/>
      </top>
      <bottom style="hair">
        <color rgb="FFD2D2D2"/>
      </bottom>
      <diagonal/>
    </border>
    <border>
      <left style="medium">
        <color rgb="FF1F3864"/>
      </left>
      <right style="hair">
        <color rgb="FFD2D2D2"/>
      </right>
      <top style="hair">
        <color rgb="FFD2D2D2"/>
      </top>
      <bottom style="medium">
        <color rgb="FF1F3864"/>
      </bottom>
      <diagonal/>
    </border>
    <border>
      <left style="hair">
        <color rgb="FFD2D2D2"/>
      </left>
      <right style="hair">
        <color rgb="FFD2D2D2"/>
      </right>
      <top style="hair">
        <color rgb="FFD2D2D2"/>
      </top>
      <bottom style="medium">
        <color rgb="FF1F3864"/>
      </bottom>
      <diagonal/>
    </border>
    <border>
      <left style="hair">
        <color rgb="FFD2D2D2"/>
      </left>
      <right/>
      <top/>
      <bottom style="hair">
        <color rgb="FFD2D2D2"/>
      </bottom>
      <diagonal/>
    </border>
    <border>
      <left style="hair">
        <color rgb="FFD2D2D2"/>
      </left>
      <right/>
      <top style="hair">
        <color rgb="FFD2D2D2"/>
      </top>
      <bottom style="hair">
        <color rgb="FFD2D2D2"/>
      </bottom>
      <diagonal/>
    </border>
    <border>
      <left style="hair">
        <color rgb="FFD2D2D2"/>
      </left>
      <right/>
      <top style="hair">
        <color rgb="FFD2D2D2"/>
      </top>
      <bottom style="medium">
        <color rgb="FF1F3864"/>
      </bottom>
      <diagonal/>
    </border>
    <border>
      <left style="medium">
        <color rgb="FF3E5823"/>
      </left>
      <right style="hair">
        <color rgb="FFD2D2D2"/>
      </right>
      <top/>
      <bottom style="hair">
        <color rgb="FFD2D2D2"/>
      </bottom>
      <diagonal/>
    </border>
    <border>
      <left style="medium">
        <color rgb="FF3E5823"/>
      </left>
      <right style="hair">
        <color rgb="FFD2D2D2"/>
      </right>
      <top style="hair">
        <color rgb="FFD2D2D2"/>
      </top>
      <bottom style="hair">
        <color rgb="FFD2D2D2"/>
      </bottom>
      <diagonal/>
    </border>
    <border>
      <left style="medium">
        <color rgb="FF3E5823"/>
      </left>
      <right style="hair">
        <color rgb="FFD2D2D2"/>
      </right>
      <top style="hair">
        <color rgb="FFD2D2D2"/>
      </top>
      <bottom style="medium">
        <color rgb="FF3E5823"/>
      </bottom>
      <diagonal/>
    </border>
    <border>
      <left style="hair">
        <color rgb="FFD2D2D2"/>
      </left>
      <right style="hair">
        <color rgb="FFD2D2D2"/>
      </right>
      <top style="hair">
        <color rgb="FFD2D2D2"/>
      </top>
      <bottom style="medium">
        <color rgb="FF3E5823"/>
      </bottom>
      <diagonal/>
    </border>
    <border>
      <left style="hair">
        <color rgb="FFD2D2D2"/>
      </left>
      <right/>
      <top style="hair">
        <color rgb="FFD2D2D2"/>
      </top>
      <bottom style="medium">
        <color rgb="FF3E5823"/>
      </bottom>
      <diagonal/>
    </border>
    <border>
      <left style="medium">
        <color rgb="FF833C0C"/>
      </left>
      <right style="hair">
        <color rgb="FFD2D2D2"/>
      </right>
      <top/>
      <bottom style="hair">
        <color rgb="FFD2D2D2"/>
      </bottom>
      <diagonal/>
    </border>
    <border>
      <left style="medium">
        <color rgb="FF833C0C"/>
      </left>
      <right style="hair">
        <color rgb="FFD2D2D2"/>
      </right>
      <top style="hair">
        <color rgb="FFD2D2D2"/>
      </top>
      <bottom style="hair">
        <color rgb="FFD2D2D2"/>
      </bottom>
      <diagonal/>
    </border>
    <border>
      <left style="medium">
        <color rgb="FF833C0C"/>
      </left>
      <right style="hair">
        <color rgb="FFD2D2D2"/>
      </right>
      <top style="hair">
        <color rgb="FFD2D2D2"/>
      </top>
      <bottom style="medium">
        <color rgb="FF833C0C"/>
      </bottom>
      <diagonal/>
    </border>
    <border>
      <left style="hair">
        <color rgb="FFD2D2D2"/>
      </left>
      <right style="hair">
        <color rgb="FFD2D2D2"/>
      </right>
      <top style="hair">
        <color rgb="FFD2D2D2"/>
      </top>
      <bottom style="medium">
        <color rgb="FF833C0C"/>
      </bottom>
      <diagonal/>
    </border>
    <border>
      <left style="hair">
        <color rgb="FFD2D2D2"/>
      </left>
      <right/>
      <top style="hair">
        <color rgb="FFD2D2D2"/>
      </top>
      <bottom style="medium">
        <color rgb="FF833C0C"/>
      </bottom>
      <diagonal/>
    </border>
    <border>
      <left style="medium">
        <color rgb="FF581845"/>
      </left>
      <right style="hair">
        <color rgb="FFD2D2D2"/>
      </right>
      <top/>
      <bottom style="hair">
        <color rgb="FFD2D2D2"/>
      </bottom>
      <diagonal/>
    </border>
    <border>
      <left style="hair">
        <color rgb="FFD2D2D2"/>
      </left>
      <right style="medium">
        <color rgb="FF581845"/>
      </right>
      <top/>
      <bottom style="hair">
        <color rgb="FFD2D2D2"/>
      </bottom>
      <diagonal/>
    </border>
    <border>
      <left style="medium">
        <color rgb="FF581845"/>
      </left>
      <right style="hair">
        <color rgb="FFD2D2D2"/>
      </right>
      <top style="hair">
        <color rgb="FFD2D2D2"/>
      </top>
      <bottom style="hair">
        <color rgb="FFD2D2D2"/>
      </bottom>
      <diagonal/>
    </border>
    <border>
      <left style="hair">
        <color rgb="FFD2D2D2"/>
      </left>
      <right style="medium">
        <color rgb="FF581845"/>
      </right>
      <top style="hair">
        <color rgb="FFD2D2D2"/>
      </top>
      <bottom style="hair">
        <color rgb="FFD2D2D2"/>
      </bottom>
      <diagonal/>
    </border>
    <border>
      <left style="medium">
        <color rgb="FF581845"/>
      </left>
      <right style="hair">
        <color rgb="FFD2D2D2"/>
      </right>
      <top style="hair">
        <color rgb="FFD2D2D2"/>
      </top>
      <bottom style="medium">
        <color rgb="FF581845"/>
      </bottom>
      <diagonal/>
    </border>
    <border>
      <left style="hair">
        <color rgb="FFD2D2D2"/>
      </left>
      <right style="hair">
        <color rgb="FFD2D2D2"/>
      </right>
      <top style="hair">
        <color rgb="FFD2D2D2"/>
      </top>
      <bottom style="medium">
        <color rgb="FF581845"/>
      </bottom>
      <diagonal/>
    </border>
    <border>
      <left style="hair">
        <color rgb="FFD2D2D2"/>
      </left>
      <right style="medium">
        <color rgb="FF581845"/>
      </right>
      <top style="hair">
        <color rgb="FFD2D2D2"/>
      </top>
      <bottom style="medium">
        <color rgb="FF581845"/>
      </bottom>
      <diagonal/>
    </border>
  </borders>
  <cellStyleXfs count="10">
    <xf numFmtId="165" fontId="0" fillId="0" borderId="0"/>
    <xf numFmtId="172" fontId="32" fillId="0" borderId="0" applyFont="0" applyFill="0" applyBorder="0" applyAlignment="0" applyProtection="0"/>
    <xf numFmtId="164" fontId="1" fillId="0" borderId="0" applyFont="0" applyFill="0" applyBorder="0" applyAlignment="0" applyProtection="0"/>
    <xf numFmtId="0" fontId="66" fillId="0" borderId="0"/>
    <xf numFmtId="0" fontId="5" fillId="0" borderId="0"/>
    <xf numFmtId="0" fontId="7" fillId="0" borderId="0"/>
    <xf numFmtId="165" fontId="32" fillId="0" borderId="0"/>
    <xf numFmtId="0" fontId="32" fillId="0" borderId="0"/>
    <xf numFmtId="0" fontId="5" fillId="0" borderId="0"/>
    <xf numFmtId="9" fontId="91" fillId="0" borderId="0" applyFont="0" applyFill="0" applyBorder="0" applyAlignment="0" applyProtection="0"/>
  </cellStyleXfs>
  <cellXfs count="1226">
    <xf numFmtId="165" fontId="0" fillId="0" borderId="0" xfId="0"/>
    <xf numFmtId="0" fontId="4" fillId="0" borderId="0" xfId="5" applyFont="1"/>
    <xf numFmtId="0" fontId="4" fillId="0" borderId="1" xfId="5" applyFont="1" applyBorder="1"/>
    <xf numFmtId="0" fontId="4" fillId="0" borderId="2" xfId="5" applyFont="1" applyBorder="1"/>
    <xf numFmtId="165" fontId="8" fillId="0" borderId="0" xfId="0" applyFont="1" applyAlignment="1">
      <alignment vertical="center"/>
    </xf>
    <xf numFmtId="165" fontId="9" fillId="0" borderId="3" xfId="0" applyFont="1" applyBorder="1" applyAlignment="1">
      <alignment horizontal="centerContinuous" vertical="center"/>
    </xf>
    <xf numFmtId="165" fontId="9" fillId="0" borderId="4" xfId="0" applyFont="1" applyBorder="1" applyAlignment="1">
      <alignment horizontal="centerContinuous" vertical="center"/>
    </xf>
    <xf numFmtId="165" fontId="9" fillId="0" borderId="5" xfId="0" applyFont="1" applyBorder="1" applyAlignment="1">
      <alignment horizontal="centerContinuous" vertical="center"/>
    </xf>
    <xf numFmtId="165" fontId="9" fillId="0" borderId="6" xfId="0" applyFont="1" applyBorder="1" applyAlignment="1">
      <alignment horizontal="centerContinuous" vertical="center"/>
    </xf>
    <xf numFmtId="165" fontId="9" fillId="0" borderId="0" xfId="0" applyFont="1" applyAlignment="1">
      <alignment horizontal="centerContinuous" vertical="center"/>
    </xf>
    <xf numFmtId="165" fontId="9" fillId="0" borderId="7" xfId="0" applyFont="1" applyBorder="1" applyAlignment="1">
      <alignment horizontal="centerContinuous" vertical="center"/>
    </xf>
    <xf numFmtId="165" fontId="9" fillId="0" borderId="8" xfId="0" applyFont="1" applyBorder="1" applyAlignment="1">
      <alignment horizontal="centerContinuous" vertical="center"/>
    </xf>
    <xf numFmtId="165" fontId="9" fillId="0" borderId="9" xfId="0" applyFont="1" applyBorder="1" applyAlignment="1">
      <alignment horizontal="centerContinuous" vertical="center"/>
    </xf>
    <xf numFmtId="165" fontId="9" fillId="0" borderId="10" xfId="0" applyFont="1" applyBorder="1" applyAlignment="1">
      <alignment horizontal="centerContinuous" vertical="center"/>
    </xf>
    <xf numFmtId="165" fontId="8" fillId="0" borderId="11" xfId="0" applyFont="1" applyBorder="1" applyAlignment="1">
      <alignment vertical="center"/>
    </xf>
    <xf numFmtId="165" fontId="9" fillId="0" borderId="12" xfId="0" applyFont="1" applyBorder="1" applyAlignment="1">
      <alignment vertical="center"/>
    </xf>
    <xf numFmtId="165" fontId="9" fillId="0" borderId="11" xfId="0" applyFont="1" applyBorder="1" applyAlignment="1">
      <alignment vertical="center"/>
    </xf>
    <xf numFmtId="165" fontId="10" fillId="0" borderId="0" xfId="0" applyFont="1" applyAlignment="1">
      <alignment horizontal="center" vertical="center"/>
    </xf>
    <xf numFmtId="165" fontId="9" fillId="0" borderId="13" xfId="0" applyFont="1" applyBorder="1" applyAlignment="1">
      <alignment horizontal="centerContinuous" vertical="center"/>
    </xf>
    <xf numFmtId="165" fontId="8" fillId="0" borderId="13" xfId="0" applyFont="1" applyBorder="1" applyAlignment="1">
      <alignment vertical="center"/>
    </xf>
    <xf numFmtId="165" fontId="9" fillId="0" borderId="9" xfId="0" applyFont="1" applyBorder="1" applyAlignment="1">
      <alignment vertical="center"/>
    </xf>
    <xf numFmtId="165" fontId="9" fillId="0" borderId="0" xfId="0" applyFont="1" applyAlignment="1">
      <alignment vertical="center"/>
    </xf>
    <xf numFmtId="165" fontId="9" fillId="0" borderId="14" xfId="0" applyFont="1" applyBorder="1" applyAlignment="1">
      <alignment horizontal="center" vertical="center"/>
    </xf>
    <xf numFmtId="165" fontId="9" fillId="0" borderId="15" xfId="0" applyFont="1" applyBorder="1" applyAlignment="1">
      <alignment horizontal="center" vertical="center"/>
    </xf>
    <xf numFmtId="165" fontId="8" fillId="0" borderId="16" xfId="0" applyFont="1" applyBorder="1" applyAlignment="1">
      <alignment vertical="center"/>
    </xf>
    <xf numFmtId="165" fontId="9" fillId="0" borderId="2" xfId="0" applyFont="1" applyBorder="1" applyAlignment="1">
      <alignment horizontal="center" vertical="center"/>
    </xf>
    <xf numFmtId="165" fontId="9" fillId="0" borderId="0" xfId="0" applyFont="1" applyAlignment="1">
      <alignment horizontal="center" vertical="center"/>
    </xf>
    <xf numFmtId="165" fontId="8" fillId="0" borderId="17" xfId="0" applyFont="1" applyBorder="1" applyAlignment="1">
      <alignment vertical="center"/>
    </xf>
    <xf numFmtId="165" fontId="9" fillId="0" borderId="18" xfId="0" applyFont="1" applyBorder="1" applyAlignment="1">
      <alignment horizontal="center" vertical="center"/>
    </xf>
    <xf numFmtId="165" fontId="9" fillId="0" borderId="19" xfId="0" applyFont="1" applyBorder="1" applyAlignment="1">
      <alignment horizontal="center" vertical="center"/>
    </xf>
    <xf numFmtId="165" fontId="8" fillId="0" borderId="20" xfId="0" applyFont="1" applyBorder="1" applyAlignment="1">
      <alignment vertical="center"/>
    </xf>
    <xf numFmtId="165" fontId="8" fillId="0" borderId="21" xfId="0" applyFont="1" applyBorder="1" applyAlignment="1">
      <alignment horizontal="center" vertical="center"/>
    </xf>
    <xf numFmtId="164" fontId="8" fillId="0" borderId="17" xfId="2" applyFont="1" applyBorder="1" applyAlignment="1" applyProtection="1">
      <alignment vertical="center"/>
    </xf>
    <xf numFmtId="169" fontId="8" fillId="0" borderId="17" xfId="2" applyNumberFormat="1" applyFont="1" applyBorder="1" applyAlignment="1" applyProtection="1">
      <alignment vertical="center"/>
    </xf>
    <xf numFmtId="2" fontId="8" fillId="0" borderId="17" xfId="2" applyNumberFormat="1" applyFont="1" applyBorder="1" applyAlignment="1">
      <alignment vertical="center"/>
    </xf>
    <xf numFmtId="164" fontId="8" fillId="0" borderId="17" xfId="2" applyFont="1" applyBorder="1" applyAlignment="1">
      <alignment vertical="center"/>
    </xf>
    <xf numFmtId="165" fontId="8" fillId="0" borderId="1" xfId="0" applyFont="1" applyBorder="1" applyAlignment="1">
      <alignment horizontal="center" vertical="center"/>
    </xf>
    <xf numFmtId="2" fontId="8" fillId="0" borderId="17" xfId="2" applyNumberFormat="1" applyFont="1" applyBorder="1" applyAlignment="1" applyProtection="1">
      <alignment vertical="center"/>
    </xf>
    <xf numFmtId="165" fontId="8" fillId="0" borderId="17" xfId="0" applyFont="1" applyBorder="1" applyAlignment="1">
      <alignment horizontal="center" vertical="center"/>
    </xf>
    <xf numFmtId="165" fontId="9" fillId="0" borderId="17" xfId="0" applyFont="1" applyBorder="1" applyAlignment="1">
      <alignment horizontal="center" vertical="center"/>
    </xf>
    <xf numFmtId="165" fontId="9" fillId="0" borderId="17" xfId="0" applyFont="1" applyBorder="1" applyAlignment="1">
      <alignment vertical="center"/>
    </xf>
    <xf numFmtId="165" fontId="8" fillId="0" borderId="22" xfId="0" applyFont="1" applyBorder="1" applyAlignment="1">
      <alignment horizontal="center" vertical="center"/>
    </xf>
    <xf numFmtId="2" fontId="8" fillId="0" borderId="20" xfId="2" applyNumberFormat="1" applyFont="1" applyBorder="1" applyAlignment="1">
      <alignment vertical="center"/>
    </xf>
    <xf numFmtId="164" fontId="8" fillId="0" borderId="20" xfId="2" applyFont="1" applyBorder="1" applyAlignment="1">
      <alignment vertical="center"/>
    </xf>
    <xf numFmtId="165" fontId="8" fillId="0" borderId="0" xfId="0" applyFont="1" applyAlignment="1">
      <alignment horizontal="center" vertical="center"/>
    </xf>
    <xf numFmtId="2" fontId="8" fillId="0" borderId="0" xfId="0" applyNumberFormat="1" applyFont="1" applyAlignment="1">
      <alignment vertical="center"/>
    </xf>
    <xf numFmtId="165" fontId="9" fillId="0" borderId="16" xfId="0" applyFont="1" applyBorder="1" applyAlignment="1">
      <alignment horizontal="center" vertical="center"/>
    </xf>
    <xf numFmtId="165" fontId="9" fillId="0" borderId="20" xfId="0" applyFont="1" applyBorder="1" applyAlignment="1">
      <alignment horizontal="center" vertical="center"/>
    </xf>
    <xf numFmtId="165" fontId="8" fillId="0" borderId="1" xfId="0" applyFont="1" applyBorder="1" applyAlignment="1">
      <alignment vertical="center"/>
    </xf>
    <xf numFmtId="165" fontId="8" fillId="0" borderId="22" xfId="0" applyFont="1" applyBorder="1" applyAlignment="1">
      <alignment vertical="center"/>
    </xf>
    <xf numFmtId="165" fontId="9" fillId="0" borderId="0" xfId="0" applyFont="1" applyAlignment="1">
      <alignment horizontal="left" vertical="center"/>
    </xf>
    <xf numFmtId="165" fontId="9" fillId="0" borderId="0" xfId="0" applyFont="1" applyAlignment="1">
      <alignment horizontal="right" vertical="center"/>
    </xf>
    <xf numFmtId="165" fontId="9" fillId="0" borderId="1" xfId="0" applyFont="1" applyBorder="1" applyAlignment="1">
      <alignment horizontal="center" vertical="center"/>
    </xf>
    <xf numFmtId="2" fontId="13" fillId="0" borderId="17" xfId="2" applyNumberFormat="1" applyFont="1" applyBorder="1" applyAlignment="1" applyProtection="1">
      <alignment horizontal="center" vertical="center"/>
    </xf>
    <xf numFmtId="1" fontId="8" fillId="0" borderId="17" xfId="2" applyNumberFormat="1" applyFont="1" applyBorder="1" applyAlignment="1" applyProtection="1">
      <alignment vertical="center"/>
    </xf>
    <xf numFmtId="1" fontId="8" fillId="0" borderId="1" xfId="2" applyNumberFormat="1" applyFont="1" applyBorder="1" applyAlignment="1">
      <alignment vertical="center"/>
    </xf>
    <xf numFmtId="165" fontId="9" fillId="0" borderId="22" xfId="0" applyFont="1" applyBorder="1" applyAlignment="1">
      <alignment horizontal="center" vertical="center"/>
    </xf>
    <xf numFmtId="165" fontId="8" fillId="0" borderId="18" xfId="0" applyFont="1" applyBorder="1" applyAlignment="1">
      <alignment horizontal="center" vertical="center"/>
    </xf>
    <xf numFmtId="165" fontId="8" fillId="0" borderId="16" xfId="0" applyFont="1" applyBorder="1" applyAlignment="1">
      <alignment horizontal="center" vertical="center"/>
    </xf>
    <xf numFmtId="164" fontId="8" fillId="0" borderId="17" xfId="2" applyFont="1" applyBorder="1" applyAlignment="1">
      <alignment horizontal="center" vertical="center"/>
    </xf>
    <xf numFmtId="164" fontId="8" fillId="0" borderId="17" xfId="2" applyFont="1" applyBorder="1" applyAlignment="1" applyProtection="1">
      <alignment horizontal="center" vertical="center"/>
    </xf>
    <xf numFmtId="165" fontId="9" fillId="0" borderId="15" xfId="0" applyFont="1" applyBorder="1" applyAlignment="1">
      <alignment vertical="center"/>
    </xf>
    <xf numFmtId="165" fontId="9" fillId="0" borderId="14" xfId="0" applyFont="1" applyBorder="1" applyAlignment="1">
      <alignment vertical="center"/>
    </xf>
    <xf numFmtId="165" fontId="9" fillId="0" borderId="16" xfId="0" applyFont="1" applyBorder="1" applyAlignment="1">
      <alignment vertical="center"/>
    </xf>
    <xf numFmtId="165" fontId="9" fillId="0" borderId="21" xfId="0" applyFont="1" applyBorder="1" applyAlignment="1">
      <alignment horizontal="center" vertical="center"/>
    </xf>
    <xf numFmtId="165" fontId="8" fillId="0" borderId="23" xfId="0" applyFont="1" applyBorder="1" applyAlignment="1">
      <alignment vertical="center"/>
    </xf>
    <xf numFmtId="165" fontId="8" fillId="0" borderId="24" xfId="0" applyFont="1" applyBorder="1" applyAlignment="1">
      <alignment vertical="center"/>
    </xf>
    <xf numFmtId="2" fontId="13" fillId="0" borderId="17" xfId="2" applyNumberFormat="1" applyFont="1" applyBorder="1" applyAlignment="1" applyProtection="1">
      <alignment vertical="center"/>
    </xf>
    <xf numFmtId="165" fontId="13" fillId="0" borderId="17" xfId="0" applyFont="1" applyBorder="1" applyAlignment="1">
      <alignment horizontal="center" vertical="center"/>
    </xf>
    <xf numFmtId="1" fontId="8" fillId="0" borderId="17" xfId="2" applyNumberFormat="1" applyFont="1" applyBorder="1" applyAlignment="1">
      <alignment vertical="center"/>
    </xf>
    <xf numFmtId="2" fontId="13" fillId="0" borderId="17" xfId="2" applyNumberFormat="1" applyFont="1" applyBorder="1" applyAlignment="1">
      <alignment vertical="center"/>
    </xf>
    <xf numFmtId="165" fontId="9" fillId="0" borderId="1" xfId="0" applyFont="1" applyBorder="1" applyAlignment="1">
      <alignment vertical="center"/>
    </xf>
    <xf numFmtId="165" fontId="8" fillId="0" borderId="2" xfId="0" applyFont="1" applyBorder="1" applyAlignment="1">
      <alignment vertical="center"/>
    </xf>
    <xf numFmtId="2" fontId="14" fillId="0" borderId="20" xfId="0" applyNumberFormat="1" applyFont="1" applyBorder="1" applyAlignment="1">
      <alignment vertical="center"/>
    </xf>
    <xf numFmtId="165" fontId="15" fillId="0" borderId="0" xfId="0" applyFont="1" applyAlignment="1">
      <alignment vertical="center"/>
    </xf>
    <xf numFmtId="165" fontId="9" fillId="0" borderId="2" xfId="0" applyFont="1" applyBorder="1" applyAlignment="1">
      <alignment horizontal="centerContinuous" vertical="center"/>
    </xf>
    <xf numFmtId="165" fontId="9" fillId="0" borderId="17" xfId="0" applyFont="1" applyBorder="1" applyAlignment="1">
      <alignment horizontal="centerContinuous" vertical="center"/>
    </xf>
    <xf numFmtId="164" fontId="8" fillId="0" borderId="16" xfId="2" applyFont="1" applyBorder="1" applyAlignment="1">
      <alignment vertical="center"/>
    </xf>
    <xf numFmtId="2" fontId="21" fillId="0" borderId="17" xfId="2" applyNumberFormat="1" applyFont="1" applyBorder="1" applyAlignment="1" applyProtection="1">
      <alignment vertical="center"/>
    </xf>
    <xf numFmtId="165" fontId="8" fillId="0" borderId="2" xfId="0" applyFont="1" applyBorder="1" applyAlignment="1">
      <alignment horizontal="center" vertical="center"/>
    </xf>
    <xf numFmtId="165" fontId="9" fillId="0" borderId="2" xfId="0" applyFont="1" applyBorder="1" applyAlignment="1">
      <alignment vertical="center"/>
    </xf>
    <xf numFmtId="165" fontId="8" fillId="0" borderId="18" xfId="0" applyFont="1" applyBorder="1" applyAlignment="1">
      <alignment vertical="center"/>
    </xf>
    <xf numFmtId="165" fontId="8" fillId="0" borderId="19" xfId="0" applyFont="1" applyBorder="1" applyAlignment="1">
      <alignment vertical="center"/>
    </xf>
    <xf numFmtId="167" fontId="8" fillId="0" borderId="17" xfId="0" applyNumberFormat="1" applyFont="1" applyBorder="1" applyAlignment="1">
      <alignment vertical="center"/>
    </xf>
    <xf numFmtId="165" fontId="8" fillId="0" borderId="14" xfId="0" applyFont="1" applyBorder="1" applyAlignment="1">
      <alignment vertical="center"/>
    </xf>
    <xf numFmtId="165" fontId="8" fillId="0" borderId="15" xfId="0" applyFont="1" applyBorder="1" applyAlignment="1">
      <alignment vertical="center"/>
    </xf>
    <xf numFmtId="165" fontId="14" fillId="0" borderId="17" xfId="0" applyFont="1" applyBorder="1" applyAlignment="1">
      <alignment vertical="center"/>
    </xf>
    <xf numFmtId="1" fontId="8" fillId="0" borderId="17" xfId="0" applyNumberFormat="1" applyFont="1" applyBorder="1" applyAlignment="1">
      <alignment vertical="center"/>
    </xf>
    <xf numFmtId="1" fontId="8" fillId="0" borderId="0" xfId="0" applyNumberFormat="1" applyFont="1" applyAlignment="1">
      <alignment vertical="center"/>
    </xf>
    <xf numFmtId="164" fontId="9" fillId="0" borderId="17" xfId="2" applyFont="1" applyBorder="1" applyAlignment="1">
      <alignment horizontal="center" vertical="center"/>
    </xf>
    <xf numFmtId="164" fontId="21" fillId="0" borderId="17" xfId="2" applyFont="1" applyBorder="1" applyAlignment="1">
      <alignment vertical="center"/>
    </xf>
    <xf numFmtId="2" fontId="22" fillId="0" borderId="17" xfId="2" applyNumberFormat="1" applyFont="1" applyBorder="1" applyAlignment="1">
      <alignment vertical="center"/>
    </xf>
    <xf numFmtId="165" fontId="8" fillId="0" borderId="21" xfId="0" applyFont="1" applyBorder="1" applyAlignment="1">
      <alignment vertical="center"/>
    </xf>
    <xf numFmtId="168" fontId="8" fillId="0" borderId="0" xfId="2" applyNumberFormat="1" applyFont="1" applyBorder="1" applyAlignment="1" applyProtection="1">
      <alignment vertical="center"/>
    </xf>
    <xf numFmtId="165" fontId="8" fillId="0" borderId="0" xfId="0" applyFont="1" applyAlignment="1">
      <alignment horizontal="centerContinuous" vertical="center"/>
    </xf>
    <xf numFmtId="165" fontId="8" fillId="0" borderId="9" xfId="0" applyFont="1" applyBorder="1" applyAlignment="1">
      <alignment horizontal="centerContinuous" vertical="center"/>
    </xf>
    <xf numFmtId="164" fontId="13" fillId="0" borderId="17" xfId="2" applyFont="1" applyBorder="1" applyAlignment="1" applyProtection="1">
      <alignment vertical="center"/>
    </xf>
    <xf numFmtId="165" fontId="9" fillId="0" borderId="19" xfId="0" applyFont="1" applyBorder="1" applyAlignment="1">
      <alignment vertical="center"/>
    </xf>
    <xf numFmtId="165" fontId="9" fillId="0" borderId="18" xfId="0" applyFont="1" applyBorder="1" applyAlignment="1">
      <alignment vertical="center"/>
    </xf>
    <xf numFmtId="165" fontId="21" fillId="0" borderId="1" xfId="0" applyFont="1" applyBorder="1" applyAlignment="1">
      <alignment horizontal="center" vertical="center"/>
    </xf>
    <xf numFmtId="164" fontId="13" fillId="0" borderId="17" xfId="2" applyFont="1" applyBorder="1" applyAlignment="1" applyProtection="1">
      <alignment horizontal="center" vertical="center"/>
    </xf>
    <xf numFmtId="166" fontId="8" fillId="0" borderId="0" xfId="2" applyNumberFormat="1" applyFont="1" applyAlignment="1">
      <alignment vertical="center"/>
    </xf>
    <xf numFmtId="165" fontId="24" fillId="0" borderId="0" xfId="0" applyFont="1" applyAlignment="1">
      <alignment horizontal="centerContinuous" vertical="center"/>
    </xf>
    <xf numFmtId="165" fontId="9" fillId="0" borderId="21" xfId="0" applyFont="1" applyBorder="1" applyAlignment="1">
      <alignment vertical="center"/>
    </xf>
    <xf numFmtId="165" fontId="22" fillId="0" borderId="1" xfId="0" applyFont="1" applyBorder="1" applyAlignment="1">
      <alignment vertical="center"/>
    </xf>
    <xf numFmtId="2" fontId="22" fillId="0" borderId="1" xfId="2" applyNumberFormat="1" applyFont="1" applyBorder="1" applyAlignment="1">
      <alignment vertical="center"/>
    </xf>
    <xf numFmtId="165" fontId="21" fillId="0" borderId="1" xfId="0" applyFont="1" applyBorder="1" applyAlignment="1">
      <alignment vertical="center"/>
    </xf>
    <xf numFmtId="165" fontId="21" fillId="0" borderId="22" xfId="0" applyFont="1" applyBorder="1" applyAlignment="1">
      <alignment vertical="center"/>
    </xf>
    <xf numFmtId="167" fontId="8" fillId="0" borderId="0" xfId="0" applyNumberFormat="1" applyFont="1" applyAlignment="1">
      <alignment vertical="center"/>
    </xf>
    <xf numFmtId="2" fontId="14" fillId="0" borderId="17" xfId="2" applyNumberFormat="1" applyFont="1" applyBorder="1" applyAlignment="1">
      <alignment vertical="center"/>
    </xf>
    <xf numFmtId="165" fontId="8" fillId="0" borderId="3" xfId="0" applyFont="1" applyBorder="1" applyAlignment="1">
      <alignment vertical="center"/>
    </xf>
    <xf numFmtId="165" fontId="8" fillId="0" borderId="4" xfId="0" applyFont="1" applyBorder="1" applyAlignment="1">
      <alignment vertical="center"/>
    </xf>
    <xf numFmtId="165" fontId="8" fillId="0" borderId="5" xfId="0" applyFont="1" applyBorder="1" applyAlignment="1">
      <alignment vertical="center"/>
    </xf>
    <xf numFmtId="165" fontId="8" fillId="0" borderId="8" xfId="0" applyFont="1" applyBorder="1" applyAlignment="1">
      <alignment vertical="center"/>
    </xf>
    <xf numFmtId="165" fontId="8" fillId="0" borderId="9" xfId="0" applyFont="1" applyBorder="1" applyAlignment="1">
      <alignment vertical="center"/>
    </xf>
    <xf numFmtId="165" fontId="8" fillId="0" borderId="10" xfId="0" applyFont="1" applyBorder="1" applyAlignment="1">
      <alignment vertical="center"/>
    </xf>
    <xf numFmtId="167" fontId="14" fillId="0" borderId="17" xfId="0" applyNumberFormat="1" applyFont="1" applyBorder="1" applyAlignment="1">
      <alignment vertical="center"/>
    </xf>
    <xf numFmtId="171" fontId="9" fillId="0" borderId="0" xfId="4" applyNumberFormat="1" applyFont="1" applyProtection="1">
      <protection locked="0"/>
    </xf>
    <xf numFmtId="0" fontId="9" fillId="0" borderId="0" xfId="4" applyFont="1" applyProtection="1">
      <protection locked="0"/>
    </xf>
    <xf numFmtId="2" fontId="9" fillId="0" borderId="0" xfId="4" applyNumberFormat="1" applyFont="1" applyProtection="1">
      <protection locked="0"/>
    </xf>
    <xf numFmtId="171" fontId="9" fillId="0" borderId="0" xfId="4" applyNumberFormat="1" applyFont="1" applyAlignment="1" applyProtection="1">
      <alignment horizontal="center"/>
      <protection locked="0"/>
    </xf>
    <xf numFmtId="0" fontId="9" fillId="0" borderId="0" xfId="4" applyFont="1" applyAlignment="1" applyProtection="1">
      <alignment horizontal="center"/>
      <protection locked="0"/>
    </xf>
    <xf numFmtId="1" fontId="9" fillId="0" borderId="0" xfId="4" applyNumberFormat="1" applyFont="1" applyAlignment="1" applyProtection="1">
      <alignment horizontal="right"/>
      <protection locked="0"/>
    </xf>
    <xf numFmtId="1" fontId="9" fillId="0" borderId="0" xfId="4" applyNumberFormat="1" applyFont="1" applyAlignment="1" applyProtection="1">
      <alignment horizontal="center"/>
      <protection locked="0"/>
    </xf>
    <xf numFmtId="168" fontId="9" fillId="0" borderId="0" xfId="4" applyNumberFormat="1" applyFont="1" applyAlignment="1" applyProtection="1">
      <alignment horizontal="right"/>
      <protection locked="0"/>
    </xf>
    <xf numFmtId="2" fontId="9" fillId="0" borderId="0" xfId="4" applyNumberFormat="1" applyFont="1" applyAlignment="1" applyProtection="1">
      <alignment horizontal="right"/>
      <protection locked="0"/>
    </xf>
    <xf numFmtId="168" fontId="9" fillId="0" borderId="0" xfId="4" applyNumberFormat="1" applyFont="1" applyAlignment="1" applyProtection="1">
      <alignment horizontal="left"/>
      <protection locked="0"/>
    </xf>
    <xf numFmtId="2" fontId="9" fillId="0" borderId="0" xfId="4" applyNumberFormat="1" applyFont="1" applyAlignment="1" applyProtection="1">
      <alignment horizontal="center"/>
      <protection locked="0"/>
    </xf>
    <xf numFmtId="171" fontId="9" fillId="0" borderId="0" xfId="4" applyNumberFormat="1" applyFont="1" applyAlignment="1" applyProtection="1">
      <alignment horizontal="right"/>
      <protection locked="0"/>
    </xf>
    <xf numFmtId="171" fontId="9" fillId="0" borderId="0" xfId="4" applyNumberFormat="1" applyFont="1" applyAlignment="1" applyProtection="1">
      <alignment horizontal="left"/>
      <protection locked="0"/>
    </xf>
    <xf numFmtId="171" fontId="9" fillId="0" borderId="0" xfId="4" applyNumberFormat="1" applyFont="1" applyAlignment="1" applyProtection="1">
      <alignment horizontal="centerContinuous"/>
      <protection locked="0"/>
    </xf>
    <xf numFmtId="2" fontId="9" fillId="0" borderId="0" xfId="4" applyNumberFormat="1" applyFont="1" applyAlignment="1" applyProtection="1">
      <alignment horizontal="left"/>
      <protection locked="0"/>
    </xf>
    <xf numFmtId="171" fontId="15" fillId="0" borderId="0" xfId="4" applyNumberFormat="1" applyFont="1" applyAlignment="1" applyProtection="1">
      <alignment horizontal="center"/>
      <protection locked="0"/>
    </xf>
    <xf numFmtId="1" fontId="9" fillId="0" borderId="0" xfId="4" applyNumberFormat="1" applyFont="1" applyProtection="1">
      <protection locked="0"/>
    </xf>
    <xf numFmtId="1" fontId="9" fillId="0" borderId="0" xfId="4" quotePrefix="1" applyNumberFormat="1" applyFont="1" applyProtection="1">
      <protection locked="0"/>
    </xf>
    <xf numFmtId="165" fontId="8" fillId="0" borderId="0" xfId="0" applyFont="1"/>
    <xf numFmtId="165" fontId="9" fillId="0" borderId="25" xfId="0" applyFont="1" applyBorder="1" applyAlignment="1">
      <alignment horizontal="centerContinuous" vertical="center"/>
    </xf>
    <xf numFmtId="165" fontId="27" fillId="0" borderId="6" xfId="0" applyFont="1" applyBorder="1" applyAlignment="1">
      <alignment horizontal="centerContinuous" vertical="center"/>
    </xf>
    <xf numFmtId="165" fontId="8" fillId="0" borderId="0" xfId="0" applyFont="1" applyAlignment="1">
      <alignment horizontal="right" vertical="center"/>
    </xf>
    <xf numFmtId="165" fontId="8" fillId="0" borderId="0" xfId="0" applyFont="1" applyAlignment="1">
      <alignment horizontal="center"/>
    </xf>
    <xf numFmtId="165" fontId="8" fillId="0" borderId="0" xfId="0" applyFont="1" applyAlignment="1">
      <alignment horizontal="centerContinuous"/>
    </xf>
    <xf numFmtId="165" fontId="8" fillId="0" borderId="2" xfId="0" applyFont="1" applyBorder="1" applyAlignment="1">
      <alignment horizontal="center"/>
    </xf>
    <xf numFmtId="2" fontId="9" fillId="0" borderId="0" xfId="5" applyNumberFormat="1" applyFont="1" applyAlignment="1">
      <alignment horizontal="center"/>
    </xf>
    <xf numFmtId="2" fontId="8" fillId="0" borderId="0" xfId="5" applyNumberFormat="1" applyFont="1" applyAlignment="1">
      <alignment horizontal="center"/>
    </xf>
    <xf numFmtId="2" fontId="8" fillId="0" borderId="0" xfId="0" applyNumberFormat="1" applyFont="1"/>
    <xf numFmtId="167" fontId="8" fillId="0" borderId="0" xfId="0" applyNumberFormat="1" applyFont="1" applyAlignment="1">
      <alignment horizontal="center"/>
    </xf>
    <xf numFmtId="167" fontId="8" fillId="0" borderId="0" xfId="0" applyNumberFormat="1" applyFont="1" applyAlignment="1">
      <alignment horizontal="centerContinuous"/>
    </xf>
    <xf numFmtId="168" fontId="8" fillId="0" borderId="0" xfId="0" applyNumberFormat="1" applyFont="1"/>
    <xf numFmtId="2" fontId="8" fillId="0" borderId="0" xfId="0" applyNumberFormat="1" applyFont="1" applyAlignment="1">
      <alignment horizontal="centerContinuous"/>
    </xf>
    <xf numFmtId="2" fontId="8" fillId="0" borderId="0" xfId="0" applyNumberFormat="1" applyFont="1" applyAlignment="1">
      <alignment horizontal="center"/>
    </xf>
    <xf numFmtId="2" fontId="9" fillId="0" borderId="10" xfId="0" applyNumberFormat="1" applyFont="1" applyBorder="1" applyAlignment="1">
      <alignment horizontal="center"/>
    </xf>
    <xf numFmtId="2" fontId="9" fillId="0" borderId="0" xfId="0" applyNumberFormat="1" applyFont="1" applyAlignment="1">
      <alignment horizontal="center"/>
    </xf>
    <xf numFmtId="2" fontId="9" fillId="0" borderId="0" xfId="0" applyNumberFormat="1" applyFont="1" applyAlignment="1">
      <alignment horizontal="center" vertical="center"/>
    </xf>
    <xf numFmtId="165" fontId="8" fillId="0" borderId="15" xfId="0" applyFont="1" applyBorder="1"/>
    <xf numFmtId="165" fontId="8" fillId="0" borderId="19" xfId="0" applyFont="1" applyBorder="1"/>
    <xf numFmtId="167" fontId="9" fillId="0" borderId="0" xfId="4" applyNumberFormat="1" applyFont="1" applyAlignment="1" applyProtection="1">
      <alignment horizontal="center"/>
      <protection locked="0"/>
    </xf>
    <xf numFmtId="1" fontId="9" fillId="0" borderId="0" xfId="4" applyNumberFormat="1" applyFont="1" applyAlignment="1" applyProtection="1">
      <alignment horizontal="left"/>
      <protection locked="0"/>
    </xf>
    <xf numFmtId="168" fontId="11" fillId="0" borderId="0" xfId="4" applyNumberFormat="1" applyFont="1" applyAlignment="1" applyProtection="1">
      <alignment horizontal="left"/>
      <protection locked="0"/>
    </xf>
    <xf numFmtId="2" fontId="11" fillId="0" borderId="0" xfId="4" applyNumberFormat="1" applyFont="1" applyAlignment="1" applyProtection="1">
      <alignment horizontal="left"/>
      <protection locked="0"/>
    </xf>
    <xf numFmtId="2" fontId="11" fillId="0" borderId="0" xfId="4" applyNumberFormat="1" applyFont="1" applyAlignment="1" applyProtection="1">
      <alignment horizontal="center"/>
      <protection locked="0"/>
    </xf>
    <xf numFmtId="1" fontId="11" fillId="0" borderId="0" xfId="4" applyNumberFormat="1" applyFont="1" applyAlignment="1" applyProtection="1">
      <alignment horizontal="center"/>
      <protection locked="0"/>
    </xf>
    <xf numFmtId="1" fontId="11" fillId="0" borderId="0" xfId="4" applyNumberFormat="1" applyFont="1" applyProtection="1">
      <protection locked="0"/>
    </xf>
    <xf numFmtId="0" fontId="9" fillId="0" borderId="0" xfId="5" applyFont="1"/>
    <xf numFmtId="0" fontId="8" fillId="0" borderId="0" xfId="5" applyFont="1"/>
    <xf numFmtId="0" fontId="9" fillId="0" borderId="0" xfId="5" applyFont="1" applyAlignment="1">
      <alignment horizontal="center"/>
    </xf>
    <xf numFmtId="0" fontId="8" fillId="0" borderId="19" xfId="5" applyFont="1" applyBorder="1" applyAlignment="1">
      <alignment horizontal="center"/>
    </xf>
    <xf numFmtId="0" fontId="8" fillId="0" borderId="0" xfId="5" applyFont="1" applyAlignment="1">
      <alignment horizontal="center"/>
    </xf>
    <xf numFmtId="0" fontId="8" fillId="0" borderId="1" xfId="5" applyFont="1" applyBorder="1"/>
    <xf numFmtId="0" fontId="28" fillId="0" borderId="14" xfId="5" applyFont="1" applyBorder="1"/>
    <xf numFmtId="0" fontId="28" fillId="0" borderId="15" xfId="5" applyFont="1" applyBorder="1"/>
    <xf numFmtId="0" fontId="28" fillId="0" borderId="16" xfId="5" applyFont="1" applyBorder="1"/>
    <xf numFmtId="0" fontId="8" fillId="0" borderId="21" xfId="5" applyFont="1" applyBorder="1" applyAlignment="1">
      <alignment horizontal="center"/>
    </xf>
    <xf numFmtId="0" fontId="8" fillId="0" borderId="21" xfId="5" applyFont="1" applyBorder="1"/>
    <xf numFmtId="0" fontId="8" fillId="0" borderId="14" xfId="5" applyFont="1" applyBorder="1" applyAlignment="1">
      <alignment horizontal="center"/>
    </xf>
    <xf numFmtId="0" fontId="8" fillId="0" borderId="15" xfId="5" applyFont="1" applyBorder="1" applyAlignment="1">
      <alignment horizontal="center"/>
    </xf>
    <xf numFmtId="0" fontId="8" fillId="0" borderId="14" xfId="5" applyFont="1" applyBorder="1"/>
    <xf numFmtId="0" fontId="8" fillId="0" borderId="16" xfId="5" applyFont="1" applyBorder="1" applyAlignment="1">
      <alignment horizontal="center"/>
    </xf>
    <xf numFmtId="0" fontId="8" fillId="0" borderId="22" xfId="5" applyFont="1" applyBorder="1"/>
    <xf numFmtId="0" fontId="8" fillId="0" borderId="18" xfId="5" applyFont="1" applyBorder="1"/>
    <xf numFmtId="0" fontId="8" fillId="0" borderId="19" xfId="5" applyFont="1" applyBorder="1"/>
    <xf numFmtId="0" fontId="8" fillId="0" borderId="20" xfId="5" applyFont="1" applyBorder="1"/>
    <xf numFmtId="0" fontId="8" fillId="0" borderId="22" xfId="5" applyFont="1" applyBorder="1" applyAlignment="1">
      <alignment horizontal="center"/>
    </xf>
    <xf numFmtId="0" fontId="9" fillId="0" borderId="2" xfId="5" applyFont="1" applyBorder="1" applyAlignment="1">
      <alignment horizontal="left"/>
    </xf>
    <xf numFmtId="0" fontId="8" fillId="0" borderId="15" xfId="5" applyFont="1" applyBorder="1"/>
    <xf numFmtId="0" fontId="8" fillId="0" borderId="16" xfId="5" applyFont="1" applyBorder="1"/>
    <xf numFmtId="170" fontId="8" fillId="0" borderId="0" xfId="5" applyNumberFormat="1" applyFont="1"/>
    <xf numFmtId="168" fontId="8" fillId="0" borderId="21" xfId="5" applyNumberFormat="1" applyFont="1" applyBorder="1"/>
    <xf numFmtId="168" fontId="8" fillId="0" borderId="0" xfId="5" applyNumberFormat="1" applyFont="1"/>
    <xf numFmtId="2" fontId="8" fillId="0" borderId="0" xfId="5" applyNumberFormat="1" applyFont="1"/>
    <xf numFmtId="167" fontId="8" fillId="0" borderId="0" xfId="5" applyNumberFormat="1" applyFont="1"/>
    <xf numFmtId="0" fontId="8" fillId="0" borderId="2" xfId="5" applyFont="1" applyBorder="1"/>
    <xf numFmtId="0" fontId="8" fillId="0" borderId="17" xfId="5" applyFont="1" applyBorder="1"/>
    <xf numFmtId="0" fontId="8" fillId="0" borderId="2" xfId="5" applyFont="1" applyBorder="1" applyAlignment="1">
      <alignment horizontal="center"/>
    </xf>
    <xf numFmtId="168" fontId="8" fillId="0" borderId="1" xfId="5" applyNumberFormat="1" applyFont="1" applyBorder="1"/>
    <xf numFmtId="1" fontId="8" fillId="0" borderId="17" xfId="5" applyNumberFormat="1" applyFont="1" applyBorder="1" applyAlignment="1">
      <alignment horizontal="center"/>
    </xf>
    <xf numFmtId="0" fontId="8" fillId="0" borderId="18" xfId="5" applyFont="1" applyBorder="1" applyAlignment="1">
      <alignment horizontal="center"/>
    </xf>
    <xf numFmtId="168" fontId="8" fillId="0" borderId="22" xfId="5" applyNumberFormat="1" applyFont="1" applyBorder="1"/>
    <xf numFmtId="167" fontId="8" fillId="0" borderId="1" xfId="5" applyNumberFormat="1" applyFont="1" applyBorder="1"/>
    <xf numFmtId="167" fontId="8" fillId="0" borderId="22" xfId="5" applyNumberFormat="1" applyFont="1" applyBorder="1"/>
    <xf numFmtId="2" fontId="8" fillId="0" borderId="22" xfId="5" applyNumberFormat="1" applyFont="1" applyBorder="1"/>
    <xf numFmtId="2" fontId="8" fillId="0" borderId="21" xfId="5" applyNumberFormat="1" applyFont="1" applyBorder="1"/>
    <xf numFmtId="2" fontId="8" fillId="0" borderId="1" xfId="5" applyNumberFormat="1" applyFont="1" applyBorder="1"/>
    <xf numFmtId="1" fontId="8" fillId="0" borderId="1" xfId="5" applyNumberFormat="1" applyFont="1" applyBorder="1"/>
    <xf numFmtId="1" fontId="8" fillId="0" borderId="21" xfId="0" applyNumberFormat="1" applyFont="1" applyBorder="1" applyAlignment="1">
      <alignment vertical="center"/>
    </xf>
    <xf numFmtId="1" fontId="8" fillId="0" borderId="16" xfId="0" applyNumberFormat="1" applyFont="1" applyBorder="1" applyAlignment="1">
      <alignment vertical="center"/>
    </xf>
    <xf numFmtId="1" fontId="8" fillId="0" borderId="22" xfId="0" applyNumberFormat="1" applyFont="1" applyBorder="1" applyAlignment="1">
      <alignment vertical="center"/>
    </xf>
    <xf numFmtId="165" fontId="8" fillId="0" borderId="17" xfId="0" applyFont="1" applyBorder="1" applyAlignment="1">
      <alignment horizontal="right" vertical="center"/>
    </xf>
    <xf numFmtId="165" fontId="9" fillId="0" borderId="26" xfId="0" applyFont="1" applyBorder="1" applyAlignment="1">
      <alignment vertical="center"/>
    </xf>
    <xf numFmtId="167" fontId="15" fillId="0" borderId="27" xfId="0" applyNumberFormat="1" applyFont="1" applyBorder="1" applyAlignment="1">
      <alignment horizontal="center" vertical="center"/>
    </xf>
    <xf numFmtId="165" fontId="8" fillId="0" borderId="11" xfId="0" applyFont="1" applyBorder="1" applyAlignment="1">
      <alignment horizontal="centerContinuous" vertical="center"/>
    </xf>
    <xf numFmtId="165" fontId="8" fillId="0" borderId="28" xfId="0" applyFont="1" applyBorder="1" applyAlignment="1">
      <alignment vertical="center"/>
    </xf>
    <xf numFmtId="165" fontId="8" fillId="0" borderId="13" xfId="0" applyFont="1" applyBorder="1" applyAlignment="1">
      <alignment horizontal="centerContinuous" vertical="center"/>
    </xf>
    <xf numFmtId="165" fontId="8" fillId="0" borderId="12" xfId="0" applyFont="1" applyBorder="1" applyAlignment="1">
      <alignment horizontal="center" vertical="center"/>
    </xf>
    <xf numFmtId="165" fontId="8" fillId="0" borderId="25" xfId="0" applyFont="1" applyBorder="1" applyAlignment="1">
      <alignment horizontal="center" vertical="center"/>
    </xf>
    <xf numFmtId="167" fontId="11" fillId="0" borderId="1" xfId="0" applyNumberFormat="1" applyFont="1" applyBorder="1" applyAlignment="1">
      <alignment horizontal="center" vertical="center"/>
    </xf>
    <xf numFmtId="0" fontId="9" fillId="0" borderId="21" xfId="5" applyFont="1" applyBorder="1" applyAlignment="1">
      <alignment horizontal="left"/>
    </xf>
    <xf numFmtId="0" fontId="9" fillId="0" borderId="1" xfId="5" applyFont="1" applyBorder="1" applyAlignment="1">
      <alignment horizontal="left"/>
    </xf>
    <xf numFmtId="0" fontId="8" fillId="0" borderId="1" xfId="5" applyFont="1" applyBorder="1" applyAlignment="1">
      <alignment horizontal="center"/>
    </xf>
    <xf numFmtId="167" fontId="8" fillId="0" borderId="19" xfId="5" applyNumberFormat="1" applyFont="1" applyBorder="1"/>
    <xf numFmtId="1" fontId="8" fillId="0" borderId="0" xfId="5" applyNumberFormat="1" applyFont="1"/>
    <xf numFmtId="0" fontId="9" fillId="0" borderId="14" xfId="5" applyFont="1" applyBorder="1" applyAlignment="1">
      <alignment horizontal="left"/>
    </xf>
    <xf numFmtId="170" fontId="8" fillId="0" borderId="15" xfId="5" applyNumberFormat="1" applyFont="1" applyBorder="1"/>
    <xf numFmtId="168" fontId="8" fillId="0" borderId="15" xfId="5" applyNumberFormat="1" applyFont="1" applyBorder="1"/>
    <xf numFmtId="2" fontId="8" fillId="0" borderId="15" xfId="5" applyNumberFormat="1" applyFont="1" applyBorder="1"/>
    <xf numFmtId="167" fontId="8" fillId="0" borderId="15" xfId="5" applyNumberFormat="1" applyFont="1" applyBorder="1"/>
    <xf numFmtId="2" fontId="8" fillId="0" borderId="19" xfId="5" applyNumberFormat="1" applyFont="1" applyBorder="1"/>
    <xf numFmtId="168" fontId="8" fillId="0" borderId="19" xfId="5" applyNumberFormat="1" applyFont="1" applyBorder="1"/>
    <xf numFmtId="167" fontId="8" fillId="0" borderId="21" xfId="5" applyNumberFormat="1" applyFont="1" applyBorder="1"/>
    <xf numFmtId="1" fontId="8" fillId="0" borderId="1" xfId="5" applyNumberFormat="1" applyFont="1" applyBorder="1" applyAlignment="1">
      <alignment horizontal="center"/>
    </xf>
    <xf numFmtId="1" fontId="8" fillId="0" borderId="22" xfId="5" applyNumberFormat="1" applyFont="1" applyBorder="1" applyAlignment="1">
      <alignment horizontal="center"/>
    </xf>
    <xf numFmtId="165" fontId="9" fillId="0" borderId="22" xfId="0" applyFont="1" applyBorder="1" applyAlignment="1">
      <alignment vertical="center"/>
    </xf>
    <xf numFmtId="165" fontId="9" fillId="0" borderId="1" xfId="0" applyFont="1" applyBorder="1" applyAlignment="1">
      <alignment horizontal="centerContinuous" vertical="center"/>
    </xf>
    <xf numFmtId="165" fontId="9" fillId="0" borderId="29" xfId="0" applyFont="1" applyBorder="1" applyAlignment="1">
      <alignment horizontal="right" vertical="center"/>
    </xf>
    <xf numFmtId="165" fontId="10" fillId="0" borderId="30" xfId="0" applyFont="1" applyBorder="1" applyAlignment="1">
      <alignment horizontal="center" vertical="center"/>
    </xf>
    <xf numFmtId="165" fontId="9" fillId="0" borderId="31" xfId="0" applyFont="1" applyBorder="1" applyAlignment="1">
      <alignment vertical="center"/>
    </xf>
    <xf numFmtId="165" fontId="15" fillId="0" borderId="21" xfId="0" applyFont="1" applyBorder="1" applyAlignment="1">
      <alignment horizontal="center" vertical="center"/>
    </xf>
    <xf numFmtId="165" fontId="15" fillId="0" borderId="22" xfId="0" applyFont="1" applyBorder="1" applyAlignment="1">
      <alignment horizontal="center" vertical="center"/>
    </xf>
    <xf numFmtId="165" fontId="8" fillId="0" borderId="15" xfId="0" applyFont="1" applyBorder="1" applyAlignment="1">
      <alignment horizontal="center" vertical="center"/>
    </xf>
    <xf numFmtId="165" fontId="8" fillId="0" borderId="19" xfId="0" applyFont="1" applyBorder="1" applyAlignment="1">
      <alignment horizontal="center" vertical="center"/>
    </xf>
    <xf numFmtId="165" fontId="9" fillId="0" borderId="1" xfId="0" applyFont="1" applyBorder="1" applyAlignment="1">
      <alignment horizontal="right" vertical="center"/>
    </xf>
    <xf numFmtId="165" fontId="8" fillId="0" borderId="18" xfId="0" applyFont="1" applyBorder="1" applyAlignment="1">
      <alignment horizontal="center"/>
    </xf>
    <xf numFmtId="165" fontId="8" fillId="0" borderId="18" xfId="0" applyFont="1" applyBorder="1"/>
    <xf numFmtId="165" fontId="8" fillId="0" borderId="1" xfId="0" applyFont="1" applyBorder="1" applyAlignment="1">
      <alignment horizontal="center"/>
    </xf>
    <xf numFmtId="165" fontId="8" fillId="0" borderId="21" xfId="0" applyFont="1" applyBorder="1" applyAlignment="1">
      <alignment horizontal="center"/>
    </xf>
    <xf numFmtId="165" fontId="8" fillId="0" borderId="22" xfId="0" applyFont="1" applyBorder="1" applyAlignment="1">
      <alignment horizontal="center"/>
    </xf>
    <xf numFmtId="165" fontId="11" fillId="0" borderId="22" xfId="0" applyFont="1" applyBorder="1" applyAlignment="1">
      <alignment horizontal="center"/>
    </xf>
    <xf numFmtId="1" fontId="8" fillId="0" borderId="0" xfId="0" applyNumberFormat="1" applyFont="1"/>
    <xf numFmtId="165" fontId="11" fillId="0" borderId="21" xfId="0" applyFont="1" applyBorder="1" applyAlignment="1">
      <alignment horizontal="center"/>
    </xf>
    <xf numFmtId="2" fontId="8" fillId="0" borderId="6" xfId="0" applyNumberFormat="1" applyFont="1" applyBorder="1"/>
    <xf numFmtId="165" fontId="8" fillId="0" borderId="14" xfId="0" applyFont="1" applyBorder="1"/>
    <xf numFmtId="171" fontId="9" fillId="0" borderId="14" xfId="4" applyNumberFormat="1" applyFont="1" applyBorder="1" applyAlignment="1" applyProtection="1">
      <alignment horizontal="right"/>
      <protection locked="0"/>
    </xf>
    <xf numFmtId="2" fontId="11" fillId="0" borderId="15" xfId="4" applyNumberFormat="1" applyFont="1" applyBorder="1" applyAlignment="1" applyProtection="1">
      <alignment horizontal="left"/>
      <protection locked="0"/>
    </xf>
    <xf numFmtId="2" fontId="9" fillId="0" borderId="15" xfId="4" applyNumberFormat="1" applyFont="1" applyBorder="1" applyAlignment="1" applyProtection="1">
      <alignment horizontal="right"/>
      <protection locked="0"/>
    </xf>
    <xf numFmtId="1" fontId="9" fillId="0" borderId="15" xfId="4" applyNumberFormat="1" applyFont="1" applyBorder="1" applyAlignment="1" applyProtection="1">
      <alignment horizontal="center"/>
      <protection locked="0"/>
    </xf>
    <xf numFmtId="171" fontId="9" fillId="0" borderId="15" xfId="4" applyNumberFormat="1" applyFont="1" applyBorder="1" applyProtection="1">
      <protection locked="0"/>
    </xf>
    <xf numFmtId="171" fontId="9" fillId="0" borderId="15" xfId="4" applyNumberFormat="1" applyFont="1" applyBorder="1" applyAlignment="1" applyProtection="1">
      <alignment horizontal="center"/>
      <protection locked="0"/>
    </xf>
    <xf numFmtId="1" fontId="9" fillId="0" borderId="15" xfId="4" applyNumberFormat="1" applyFont="1" applyBorder="1" applyAlignment="1" applyProtection="1">
      <alignment horizontal="right"/>
      <protection locked="0"/>
    </xf>
    <xf numFmtId="168" fontId="9" fillId="0" borderId="15" xfId="4" applyNumberFormat="1" applyFont="1" applyBorder="1" applyAlignment="1" applyProtection="1">
      <alignment horizontal="right"/>
      <protection locked="0"/>
    </xf>
    <xf numFmtId="171" fontId="9" fillId="0" borderId="16" xfId="4" applyNumberFormat="1" applyFont="1" applyBorder="1" applyProtection="1">
      <protection locked="0"/>
    </xf>
    <xf numFmtId="171" fontId="9" fillId="0" borderId="2" xfId="4" applyNumberFormat="1" applyFont="1" applyBorder="1" applyAlignment="1" applyProtection="1">
      <alignment horizontal="right"/>
      <protection locked="0"/>
    </xf>
    <xf numFmtId="171" fontId="9" fillId="0" borderId="17" xfId="4" applyNumberFormat="1" applyFont="1" applyBorder="1" applyProtection="1">
      <protection locked="0"/>
    </xf>
    <xf numFmtId="171" fontId="9" fillId="0" borderId="2" xfId="4" applyNumberFormat="1" applyFont="1" applyBorder="1" applyAlignment="1" applyProtection="1">
      <alignment horizontal="center"/>
      <protection locked="0"/>
    </xf>
    <xf numFmtId="1" fontId="9" fillId="0" borderId="17" xfId="4" applyNumberFormat="1" applyFont="1" applyBorder="1" applyProtection="1">
      <protection locked="0"/>
    </xf>
    <xf numFmtId="171" fontId="9" fillId="0" borderId="18" xfId="4" applyNumberFormat="1" applyFont="1" applyBorder="1" applyAlignment="1" applyProtection="1">
      <alignment horizontal="right"/>
      <protection locked="0"/>
    </xf>
    <xf numFmtId="2" fontId="9" fillId="0" borderId="19" xfId="4" applyNumberFormat="1" applyFont="1" applyBorder="1" applyAlignment="1" applyProtection="1">
      <alignment horizontal="center"/>
      <protection locked="0"/>
    </xf>
    <xf numFmtId="2" fontId="9" fillId="0" borderId="19" xfId="4" applyNumberFormat="1" applyFont="1" applyBorder="1" applyAlignment="1" applyProtection="1">
      <alignment horizontal="right"/>
      <protection locked="0"/>
    </xf>
    <xf numFmtId="1" fontId="9" fillId="0" borderId="19" xfId="4" applyNumberFormat="1" applyFont="1" applyBorder="1" applyAlignment="1" applyProtection="1">
      <alignment horizontal="center"/>
      <protection locked="0"/>
    </xf>
    <xf numFmtId="171" fontId="9" fillId="0" borderId="19" xfId="4" applyNumberFormat="1" applyFont="1" applyBorder="1" applyAlignment="1" applyProtection="1">
      <alignment horizontal="center"/>
      <protection locked="0"/>
    </xf>
    <xf numFmtId="1" fontId="9" fillId="0" borderId="19" xfId="4" applyNumberFormat="1" applyFont="1" applyBorder="1" applyAlignment="1" applyProtection="1">
      <alignment horizontal="right"/>
      <protection locked="0"/>
    </xf>
    <xf numFmtId="168" fontId="9" fillId="0" borderId="19" xfId="4" applyNumberFormat="1" applyFont="1" applyBorder="1" applyAlignment="1" applyProtection="1">
      <alignment horizontal="right"/>
      <protection locked="0"/>
    </xf>
    <xf numFmtId="171" fontId="9" fillId="0" borderId="3" xfId="4" applyNumberFormat="1" applyFont="1" applyBorder="1" applyProtection="1">
      <protection locked="0"/>
    </xf>
    <xf numFmtId="171" fontId="9" fillId="0" borderId="4" xfId="4" applyNumberFormat="1" applyFont="1" applyBorder="1" applyProtection="1">
      <protection locked="0"/>
    </xf>
    <xf numFmtId="1" fontId="11" fillId="0" borderId="4" xfId="4" applyNumberFormat="1" applyFont="1" applyBorder="1" applyProtection="1">
      <protection locked="0"/>
    </xf>
    <xf numFmtId="0" fontId="9" fillId="0" borderId="4" xfId="4" applyFont="1" applyBorder="1" applyProtection="1">
      <protection locked="0"/>
    </xf>
    <xf numFmtId="0" fontId="9" fillId="0" borderId="5" xfId="4" applyFont="1" applyBorder="1" applyProtection="1">
      <protection locked="0"/>
    </xf>
    <xf numFmtId="0" fontId="9" fillId="0" borderId="7" xfId="4" applyFont="1" applyBorder="1" applyProtection="1">
      <protection locked="0"/>
    </xf>
    <xf numFmtId="171" fontId="9" fillId="0" borderId="6" xfId="4" applyNumberFormat="1" applyFont="1" applyBorder="1" applyProtection="1">
      <protection locked="0"/>
    </xf>
    <xf numFmtId="171" fontId="9" fillId="0" borderId="8" xfId="4" applyNumberFormat="1" applyFont="1" applyBorder="1" applyProtection="1">
      <protection locked="0"/>
    </xf>
    <xf numFmtId="171" fontId="9" fillId="0" borderId="9" xfId="4" applyNumberFormat="1" applyFont="1" applyBorder="1" applyProtection="1">
      <protection locked="0"/>
    </xf>
    <xf numFmtId="1" fontId="9" fillId="0" borderId="9" xfId="4" applyNumberFormat="1" applyFont="1" applyBorder="1" applyProtection="1">
      <protection locked="0"/>
    </xf>
    <xf numFmtId="0" fontId="9" fillId="0" borderId="9" xfId="4" applyFont="1" applyBorder="1" applyProtection="1">
      <protection locked="0"/>
    </xf>
    <xf numFmtId="0" fontId="9" fillId="0" borderId="10" xfId="4" applyFont="1" applyBorder="1" applyProtection="1">
      <protection locked="0"/>
    </xf>
    <xf numFmtId="171" fontId="9" fillId="0" borderId="14" xfId="4" applyNumberFormat="1" applyFont="1" applyBorder="1" applyProtection="1">
      <protection locked="0"/>
    </xf>
    <xf numFmtId="171" fontId="9" fillId="0" borderId="18" xfId="4" applyNumberFormat="1" applyFont="1" applyBorder="1" applyAlignment="1" applyProtection="1">
      <alignment horizontal="center"/>
      <protection locked="0"/>
    </xf>
    <xf numFmtId="171" fontId="9" fillId="0" borderId="21" xfId="4" applyNumberFormat="1" applyFont="1" applyBorder="1" applyProtection="1">
      <protection locked="0"/>
    </xf>
    <xf numFmtId="171" fontId="9" fillId="0" borderId="1" xfId="4" applyNumberFormat="1" applyFont="1" applyBorder="1" applyAlignment="1" applyProtection="1">
      <alignment horizontal="center"/>
      <protection locked="0"/>
    </xf>
    <xf numFmtId="171" fontId="9" fillId="0" borderId="22" xfId="4" applyNumberFormat="1" applyFont="1" applyBorder="1" applyAlignment="1" applyProtection="1">
      <alignment horizontal="center"/>
      <protection locked="0"/>
    </xf>
    <xf numFmtId="0" fontId="9" fillId="0" borderId="21" xfId="4" applyFont="1" applyBorder="1" applyProtection="1">
      <protection locked="0"/>
    </xf>
    <xf numFmtId="0" fontId="9" fillId="0" borderId="1" xfId="4" applyFont="1" applyBorder="1" applyAlignment="1" applyProtection="1">
      <alignment horizontal="center"/>
      <protection locked="0"/>
    </xf>
    <xf numFmtId="0" fontId="9" fillId="0" borderId="22" xfId="4" applyFont="1" applyBorder="1" applyProtection="1">
      <protection locked="0"/>
    </xf>
    <xf numFmtId="171" fontId="9" fillId="0" borderId="22" xfId="4" applyNumberFormat="1" applyFont="1" applyBorder="1" applyProtection="1">
      <protection locked="0"/>
    </xf>
    <xf numFmtId="171" fontId="9" fillId="0" borderId="21" xfId="4" applyNumberFormat="1" applyFont="1" applyBorder="1" applyAlignment="1" applyProtection="1">
      <alignment horizontal="center"/>
      <protection locked="0"/>
    </xf>
    <xf numFmtId="171" fontId="15" fillId="0" borderId="20" xfId="4" applyNumberFormat="1" applyFont="1" applyBorder="1" applyProtection="1">
      <protection locked="0"/>
    </xf>
    <xf numFmtId="2" fontId="9" fillId="0" borderId="21" xfId="4" applyNumberFormat="1" applyFont="1" applyBorder="1" applyAlignment="1" applyProtection="1">
      <alignment horizontal="right"/>
      <protection locked="0"/>
    </xf>
    <xf numFmtId="2" fontId="9" fillId="0" borderId="1" xfId="4" applyNumberFormat="1" applyFont="1" applyBorder="1" applyAlignment="1" applyProtection="1">
      <alignment horizontal="right"/>
      <protection locked="0"/>
    </xf>
    <xf numFmtId="2" fontId="9" fillId="0" borderId="22" xfId="4" applyNumberFormat="1" applyFont="1" applyBorder="1" applyAlignment="1" applyProtection="1">
      <alignment horizontal="right"/>
      <protection locked="0"/>
    </xf>
    <xf numFmtId="2" fontId="9" fillId="0" borderId="21" xfId="4" applyNumberFormat="1" applyFont="1" applyBorder="1" applyAlignment="1" applyProtection="1">
      <alignment horizontal="center"/>
      <protection locked="0"/>
    </xf>
    <xf numFmtId="2" fontId="9" fillId="0" borderId="1" xfId="4" applyNumberFormat="1" applyFont="1" applyBorder="1" applyAlignment="1" applyProtection="1">
      <alignment horizontal="center"/>
      <protection locked="0"/>
    </xf>
    <xf numFmtId="2" fontId="9" fillId="0" borderId="22" xfId="4" applyNumberFormat="1" applyFont="1" applyBorder="1" applyAlignment="1" applyProtection="1">
      <alignment horizontal="center"/>
      <protection locked="0"/>
    </xf>
    <xf numFmtId="1" fontId="9" fillId="0" borderId="21" xfId="4" applyNumberFormat="1" applyFont="1" applyBorder="1" applyAlignment="1" applyProtection="1">
      <alignment horizontal="center"/>
      <protection locked="0"/>
    </xf>
    <xf numFmtId="1" fontId="9" fillId="0" borderId="1" xfId="4" applyNumberFormat="1" applyFont="1" applyBorder="1" applyAlignment="1" applyProtection="1">
      <alignment horizontal="center"/>
      <protection locked="0"/>
    </xf>
    <xf numFmtId="1" fontId="9" fillId="0" borderId="22" xfId="4" applyNumberFormat="1" applyFont="1" applyBorder="1" applyAlignment="1" applyProtection="1">
      <alignment horizontal="center"/>
      <protection locked="0"/>
    </xf>
    <xf numFmtId="171" fontId="9" fillId="0" borderId="2" xfId="4" applyNumberFormat="1" applyFont="1" applyBorder="1" applyProtection="1">
      <protection locked="0"/>
    </xf>
    <xf numFmtId="171" fontId="9" fillId="0" borderId="18" xfId="4" applyNumberFormat="1" applyFont="1" applyBorder="1" applyProtection="1">
      <protection locked="0"/>
    </xf>
    <xf numFmtId="165" fontId="8" fillId="0" borderId="14" xfId="0" applyFont="1" applyBorder="1" applyAlignment="1">
      <alignment horizontal="center" vertical="center"/>
    </xf>
    <xf numFmtId="0" fontId="8" fillId="0" borderId="32" xfId="5" applyFont="1" applyBorder="1"/>
    <xf numFmtId="165" fontId="13" fillId="0" borderId="1" xfId="0" applyFont="1" applyBorder="1" applyAlignment="1">
      <alignment horizontal="center" vertical="center"/>
    </xf>
    <xf numFmtId="165" fontId="29" fillId="0" borderId="33" xfId="0" applyFont="1" applyBorder="1" applyAlignment="1">
      <alignment horizontal="center" vertical="center"/>
    </xf>
    <xf numFmtId="0" fontId="27" fillId="0" borderId="0" xfId="5" applyFont="1"/>
    <xf numFmtId="0" fontId="9" fillId="0" borderId="17" xfId="4" applyFont="1" applyBorder="1" applyProtection="1">
      <protection locked="0"/>
    </xf>
    <xf numFmtId="167" fontId="8" fillId="0" borderId="0" xfId="0" applyNumberFormat="1" applyFont="1" applyAlignment="1">
      <alignment horizontal="left"/>
    </xf>
    <xf numFmtId="0" fontId="33" fillId="0" borderId="0" xfId="7" applyFont="1"/>
    <xf numFmtId="0" fontId="33" fillId="0" borderId="3" xfId="7" applyFont="1" applyBorder="1"/>
    <xf numFmtId="0" fontId="33" fillId="0" borderId="4" xfId="7" applyFont="1" applyBorder="1"/>
    <xf numFmtId="0" fontId="33" fillId="0" borderId="5" xfId="7" applyFont="1" applyBorder="1"/>
    <xf numFmtId="0" fontId="34" fillId="0" borderId="0" xfId="7" applyFont="1" applyAlignment="1">
      <alignment horizontal="centerContinuous"/>
    </xf>
    <xf numFmtId="0" fontId="34" fillId="0" borderId="7" xfId="7" applyFont="1" applyBorder="1" applyAlignment="1">
      <alignment horizontal="centerContinuous"/>
    </xf>
    <xf numFmtId="0" fontId="33" fillId="0" borderId="8" xfId="7" applyFont="1" applyBorder="1"/>
    <xf numFmtId="0" fontId="33" fillId="0" borderId="9" xfId="7" applyFont="1" applyBorder="1"/>
    <xf numFmtId="0" fontId="33" fillId="0" borderId="10" xfId="7" applyFont="1" applyBorder="1"/>
    <xf numFmtId="0" fontId="3" fillId="0" borderId="0" xfId="7" applyFont="1" applyAlignment="1">
      <alignment horizontal="right"/>
    </xf>
    <xf numFmtId="167" fontId="35" fillId="0" borderId="0" xfId="7" applyNumberFormat="1" applyFont="1" applyAlignment="1">
      <alignment horizontal="center"/>
    </xf>
    <xf numFmtId="0" fontId="35" fillId="0" borderId="0" xfId="7" applyFont="1"/>
    <xf numFmtId="167" fontId="33" fillId="0" borderId="0" xfId="7" applyNumberFormat="1" applyFont="1" applyAlignment="1">
      <alignment horizontal="center"/>
    </xf>
    <xf numFmtId="0" fontId="33" fillId="0" borderId="0" xfId="7" applyFont="1" applyAlignment="1">
      <alignment horizontal="right"/>
    </xf>
    <xf numFmtId="0" fontId="33" fillId="0" borderId="0" xfId="7" applyFont="1" applyAlignment="1">
      <alignment horizontal="left"/>
    </xf>
    <xf numFmtId="2" fontId="33" fillId="0" borderId="0" xfId="7" applyNumberFormat="1" applyFont="1" applyAlignment="1">
      <alignment horizontal="left"/>
    </xf>
    <xf numFmtId="0" fontId="33" fillId="0" borderId="0" xfId="7" applyFont="1" applyAlignment="1">
      <alignment horizontal="center"/>
    </xf>
    <xf numFmtId="0" fontId="2" fillId="0" borderId="0" xfId="7" applyFont="1" applyAlignment="1">
      <alignment horizontal="centerContinuous"/>
    </xf>
    <xf numFmtId="0" fontId="2" fillId="0" borderId="0" xfId="7" quotePrefix="1" applyFont="1" applyAlignment="1">
      <alignment horizontal="centerContinuous"/>
    </xf>
    <xf numFmtId="167" fontId="33" fillId="0" borderId="0" xfId="7" applyNumberFormat="1" applyFont="1" applyAlignment="1">
      <alignment horizontal="centerContinuous"/>
    </xf>
    <xf numFmtId="1" fontId="33" fillId="0" borderId="0" xfId="7" applyNumberFormat="1" applyFont="1" applyAlignment="1">
      <alignment horizontal="centerContinuous"/>
    </xf>
    <xf numFmtId="168" fontId="33" fillId="0" borderId="0" xfId="7" applyNumberFormat="1" applyFont="1" applyAlignment="1">
      <alignment horizontal="centerContinuous"/>
    </xf>
    <xf numFmtId="1" fontId="37" fillId="0" borderId="0" xfId="7" applyNumberFormat="1" applyFont="1" applyAlignment="1">
      <alignment horizontal="center"/>
    </xf>
    <xf numFmtId="0" fontId="37" fillId="0" borderId="0" xfId="7" applyFont="1" applyAlignment="1">
      <alignment horizontal="center"/>
    </xf>
    <xf numFmtId="167" fontId="33" fillId="0" borderId="0" xfId="7" applyNumberFormat="1" applyFont="1"/>
    <xf numFmtId="168" fontId="33" fillId="0" borderId="0" xfId="7" applyNumberFormat="1" applyFont="1"/>
    <xf numFmtId="2" fontId="33" fillId="0" borderId="0" xfId="7" applyNumberFormat="1" applyFont="1" applyAlignment="1">
      <alignment horizontal="centerContinuous"/>
    </xf>
    <xf numFmtId="0" fontId="33" fillId="0" borderId="0" xfId="7" applyFont="1" applyAlignment="1">
      <alignment horizontal="centerContinuous"/>
    </xf>
    <xf numFmtId="0" fontId="37" fillId="0" borderId="0" xfId="7" applyFont="1" applyAlignment="1">
      <alignment horizontal="centerContinuous"/>
    </xf>
    <xf numFmtId="0" fontId="2" fillId="0" borderId="0" xfId="7" applyFont="1" applyAlignment="1">
      <alignment horizontal="left"/>
    </xf>
    <xf numFmtId="0" fontId="39" fillId="0" borderId="6" xfId="7" applyFont="1" applyBorder="1" applyAlignment="1">
      <alignment horizontal="centerContinuous"/>
    </xf>
    <xf numFmtId="1" fontId="11" fillId="0" borderId="21" xfId="4" applyNumberFormat="1" applyFont="1" applyBorder="1" applyAlignment="1" applyProtection="1">
      <alignment horizontal="center"/>
      <protection locked="0"/>
    </xf>
    <xf numFmtId="1" fontId="11" fillId="0" borderId="1" xfId="4" applyNumberFormat="1" applyFont="1" applyBorder="1" applyAlignment="1" applyProtection="1">
      <alignment horizontal="center"/>
      <protection locked="0"/>
    </xf>
    <xf numFmtId="1" fontId="11" fillId="0" borderId="22" xfId="4" applyNumberFormat="1" applyFont="1" applyBorder="1" applyAlignment="1" applyProtection="1">
      <alignment horizontal="center"/>
      <protection locked="0"/>
    </xf>
    <xf numFmtId="171" fontId="9" fillId="0" borderId="16" xfId="4" quotePrefix="1" applyNumberFormat="1" applyFont="1" applyBorder="1" applyAlignment="1" applyProtection="1">
      <alignment horizontal="center"/>
      <protection locked="0"/>
    </xf>
    <xf numFmtId="171" fontId="9" fillId="0" borderId="17" xfId="4" quotePrefix="1" applyNumberFormat="1" applyFont="1" applyBorder="1" applyAlignment="1" applyProtection="1">
      <alignment horizontal="center"/>
      <protection locked="0"/>
    </xf>
    <xf numFmtId="171" fontId="9" fillId="0" borderId="20" xfId="4" quotePrefix="1" applyNumberFormat="1" applyFont="1" applyBorder="1" applyAlignment="1" applyProtection="1">
      <alignment horizontal="center"/>
      <protection locked="0"/>
    </xf>
    <xf numFmtId="0" fontId="9" fillId="2" borderId="0" xfId="5" applyFont="1" applyFill="1" applyAlignment="1">
      <alignment horizontal="center"/>
    </xf>
    <xf numFmtId="167" fontId="33" fillId="0" borderId="0" xfId="7" applyNumberFormat="1" applyFont="1" applyAlignment="1">
      <alignment horizontal="right"/>
    </xf>
    <xf numFmtId="0" fontId="8" fillId="0" borderId="0" xfId="0" applyNumberFormat="1" applyFont="1" applyAlignment="1">
      <alignment vertical="center"/>
    </xf>
    <xf numFmtId="0" fontId="8" fillId="0" borderId="0" xfId="0" applyNumberFormat="1" applyFont="1" applyAlignment="1">
      <alignment horizontal="center" vertical="center"/>
    </xf>
    <xf numFmtId="0" fontId="40" fillId="0" borderId="0" xfId="7" applyFont="1"/>
    <xf numFmtId="0" fontId="40" fillId="0" borderId="3" xfId="7" applyFont="1" applyBorder="1"/>
    <xf numFmtId="0" fontId="40" fillId="0" borderId="4" xfId="7" applyFont="1" applyBorder="1"/>
    <xf numFmtId="0" fontId="40" fillId="0" borderId="5" xfId="7" applyFont="1" applyBorder="1"/>
    <xf numFmtId="0" fontId="16" fillId="0" borderId="6" xfId="7" applyFont="1" applyBorder="1" applyAlignment="1">
      <alignment horizontal="centerContinuous"/>
    </xf>
    <xf numFmtId="0" fontId="41" fillId="0" borderId="0" xfId="7" applyFont="1" applyAlignment="1">
      <alignment horizontal="centerContinuous"/>
    </xf>
    <xf numFmtId="0" fontId="41" fillId="0" borderId="7" xfId="7" applyFont="1" applyBorder="1" applyAlignment="1">
      <alignment horizontal="centerContinuous"/>
    </xf>
    <xf numFmtId="0" fontId="40" fillId="0" borderId="8" xfId="7" applyFont="1" applyBorder="1"/>
    <xf numFmtId="0" fontId="40" fillId="0" borderId="9" xfId="7" applyFont="1" applyBorder="1"/>
    <xf numFmtId="0" fontId="40" fillId="0" borderId="10" xfId="7" applyFont="1" applyBorder="1"/>
    <xf numFmtId="0" fontId="28" fillId="0" borderId="0" xfId="7" applyFont="1" applyAlignment="1">
      <alignment horizontal="right"/>
    </xf>
    <xf numFmtId="167" fontId="42" fillId="0" borderId="0" xfId="7" applyNumberFormat="1" applyFont="1" applyAlignment="1">
      <alignment horizontal="center"/>
    </xf>
    <xf numFmtId="0" fontId="42" fillId="0" borderId="0" xfId="7" applyFont="1"/>
    <xf numFmtId="167" fontId="40" fillId="0" borderId="0" xfId="7" applyNumberFormat="1" applyFont="1" applyAlignment="1">
      <alignment horizontal="center"/>
    </xf>
    <xf numFmtId="0" fontId="40" fillId="0" borderId="0" xfId="7" applyFont="1" applyAlignment="1">
      <alignment horizontal="right"/>
    </xf>
    <xf numFmtId="0" fontId="40" fillId="0" borderId="0" xfId="7" applyFont="1" applyAlignment="1">
      <alignment horizontal="left"/>
    </xf>
    <xf numFmtId="2" fontId="40" fillId="0" borderId="0" xfId="7" applyNumberFormat="1" applyFont="1" applyAlignment="1">
      <alignment horizontal="left"/>
    </xf>
    <xf numFmtId="0" fontId="40" fillId="0" borderId="0" xfId="7" applyFont="1" applyAlignment="1">
      <alignment horizontal="center"/>
    </xf>
    <xf numFmtId="0" fontId="6" fillId="0" borderId="0" xfId="7" applyFont="1" applyAlignment="1">
      <alignment horizontal="centerContinuous"/>
    </xf>
    <xf numFmtId="0" fontId="6" fillId="0" borderId="0" xfId="7" quotePrefix="1" applyFont="1" applyAlignment="1">
      <alignment horizontal="centerContinuous"/>
    </xf>
    <xf numFmtId="167" fontId="40" fillId="0" borderId="0" xfId="7" applyNumberFormat="1" applyFont="1" applyAlignment="1">
      <alignment horizontal="centerContinuous"/>
    </xf>
    <xf numFmtId="1" fontId="40" fillId="0" borderId="0" xfId="7" applyNumberFormat="1" applyFont="1" applyAlignment="1">
      <alignment horizontal="centerContinuous"/>
    </xf>
    <xf numFmtId="168" fontId="40" fillId="0" borderId="0" xfId="7" applyNumberFormat="1" applyFont="1" applyAlignment="1">
      <alignment horizontal="centerContinuous"/>
    </xf>
    <xf numFmtId="1" fontId="44" fillId="0" borderId="0" xfId="7" applyNumberFormat="1" applyFont="1" applyAlignment="1">
      <alignment horizontal="center"/>
    </xf>
    <xf numFmtId="0" fontId="44" fillId="0" borderId="0" xfId="7" applyFont="1" applyAlignment="1">
      <alignment horizontal="center"/>
    </xf>
    <xf numFmtId="167" fontId="40" fillId="0" borderId="0" xfId="7" applyNumberFormat="1" applyFont="1"/>
    <xf numFmtId="168" fontId="40" fillId="0" borderId="0" xfId="7" applyNumberFormat="1" applyFont="1"/>
    <xf numFmtId="2" fontId="40" fillId="0" borderId="0" xfId="7" applyNumberFormat="1" applyFont="1" applyAlignment="1">
      <alignment horizontal="centerContinuous"/>
    </xf>
    <xf numFmtId="0" fontId="40" fillId="0" borderId="0" xfId="7" applyFont="1" applyAlignment="1">
      <alignment horizontal="centerContinuous"/>
    </xf>
    <xf numFmtId="0" fontId="44" fillId="0" borderId="0" xfId="7" applyFont="1" applyAlignment="1">
      <alignment horizontal="centerContinuous"/>
    </xf>
    <xf numFmtId="0" fontId="6" fillId="0" borderId="0" xfId="7" applyFont="1" applyAlignment="1">
      <alignment horizontal="left"/>
    </xf>
    <xf numFmtId="2" fontId="13" fillId="0" borderId="20" xfId="2" applyNumberFormat="1" applyFont="1" applyBorder="1" applyAlignment="1">
      <alignment vertical="center"/>
    </xf>
    <xf numFmtId="2" fontId="13" fillId="0" borderId="0" xfId="0" applyNumberFormat="1" applyFont="1" applyAlignment="1">
      <alignment vertical="center"/>
    </xf>
    <xf numFmtId="2" fontId="8" fillId="0" borderId="16" xfId="0" applyNumberFormat="1" applyFont="1" applyBorder="1" applyAlignment="1">
      <alignment horizontal="center" vertical="center"/>
    </xf>
    <xf numFmtId="2" fontId="15" fillId="0" borderId="14" xfId="0" applyNumberFormat="1" applyFont="1" applyBorder="1" applyAlignment="1">
      <alignment horizontal="center" vertical="center"/>
    </xf>
    <xf numFmtId="2" fontId="15" fillId="0" borderId="15" xfId="2" applyNumberFormat="1" applyFont="1" applyBorder="1" applyAlignment="1" applyProtection="1">
      <alignment vertical="center"/>
    </xf>
    <xf numFmtId="2" fontId="14" fillId="0" borderId="16" xfId="0" applyNumberFormat="1" applyFont="1" applyBorder="1" applyAlignment="1">
      <alignment vertical="center"/>
    </xf>
    <xf numFmtId="2" fontId="15" fillId="0" borderId="15" xfId="2" applyNumberFormat="1" applyFont="1" applyBorder="1" applyAlignment="1">
      <alignment vertical="center"/>
    </xf>
    <xf numFmtId="2" fontId="15" fillId="0" borderId="16" xfId="0" applyNumberFormat="1" applyFont="1" applyBorder="1" applyAlignment="1">
      <alignment horizontal="center" vertical="center"/>
    </xf>
    <xf numFmtId="2" fontId="9" fillId="0" borderId="0" xfId="2" applyNumberFormat="1" applyFont="1" applyAlignment="1">
      <alignment vertical="center"/>
    </xf>
    <xf numFmtId="2" fontId="8" fillId="0" borderId="20" xfId="0" applyNumberFormat="1" applyFont="1" applyBorder="1" applyAlignment="1">
      <alignment horizontal="center" vertical="center"/>
    </xf>
    <xf numFmtId="2" fontId="15" fillId="0" borderId="18" xfId="0" applyNumberFormat="1" applyFont="1" applyBorder="1" applyAlignment="1">
      <alignment horizontal="center" vertical="center"/>
    </xf>
    <xf numFmtId="2" fontId="15" fillId="0" borderId="19" xfId="2" applyNumberFormat="1" applyFont="1" applyBorder="1" applyAlignment="1" applyProtection="1">
      <alignment vertical="center"/>
    </xf>
    <xf numFmtId="2" fontId="15" fillId="0" borderId="19" xfId="2" applyNumberFormat="1" applyFont="1" applyBorder="1" applyAlignment="1">
      <alignment vertical="center"/>
    </xf>
    <xf numFmtId="2" fontId="15" fillId="0" borderId="20" xfId="0" applyNumberFormat="1" applyFont="1" applyBorder="1" applyAlignment="1">
      <alignment horizontal="center" vertical="center"/>
    </xf>
    <xf numFmtId="165" fontId="46" fillId="0" borderId="0" xfId="6" applyFont="1" applyAlignment="1">
      <alignment horizontal="left"/>
    </xf>
    <xf numFmtId="165" fontId="46" fillId="0" borderId="0" xfId="6" applyFont="1"/>
    <xf numFmtId="165" fontId="46" fillId="0" borderId="3" xfId="6" applyFont="1" applyBorder="1"/>
    <xf numFmtId="165" fontId="46" fillId="0" borderId="4" xfId="6" applyFont="1" applyBorder="1"/>
    <xf numFmtId="165" fontId="46" fillId="0" borderId="5" xfId="6" applyFont="1" applyBorder="1"/>
    <xf numFmtId="165" fontId="47" fillId="0" borderId="6" xfId="6" applyFont="1" applyBorder="1" applyAlignment="1">
      <alignment horizontal="centerContinuous"/>
    </xf>
    <xf numFmtId="165" fontId="47" fillId="0" borderId="0" xfId="6" applyFont="1" applyAlignment="1">
      <alignment horizontal="centerContinuous"/>
    </xf>
    <xf numFmtId="165" fontId="47" fillId="0" borderId="7" xfId="6" applyFont="1" applyBorder="1" applyAlignment="1">
      <alignment horizontal="centerContinuous"/>
    </xf>
    <xf numFmtId="165" fontId="46" fillId="0" borderId="8" xfId="6" applyFont="1" applyBorder="1"/>
    <xf numFmtId="165" fontId="46" fillId="0" borderId="9" xfId="6" applyFont="1" applyBorder="1"/>
    <xf numFmtId="165" fontId="46" fillId="0" borderId="10" xfId="6" applyFont="1" applyBorder="1"/>
    <xf numFmtId="165" fontId="48" fillId="0" borderId="0" xfId="6" applyFont="1" applyAlignment="1">
      <alignment horizontal="right"/>
    </xf>
    <xf numFmtId="165" fontId="49" fillId="0" borderId="0" xfId="6" applyFont="1"/>
    <xf numFmtId="167" fontId="46" fillId="0" borderId="0" xfId="6" applyNumberFormat="1" applyFont="1" applyAlignment="1">
      <alignment horizontal="center"/>
    </xf>
    <xf numFmtId="165" fontId="46" fillId="0" borderId="0" xfId="6" applyFont="1" applyAlignment="1">
      <alignment horizontal="right"/>
    </xf>
    <xf numFmtId="2" fontId="46" fillId="0" borderId="0" xfId="6" applyNumberFormat="1" applyFont="1" applyAlignment="1">
      <alignment horizontal="left"/>
    </xf>
    <xf numFmtId="165" fontId="51" fillId="0" borderId="0" xfId="6" applyFont="1" applyAlignment="1">
      <alignment horizontal="centerContinuous"/>
    </xf>
    <xf numFmtId="165" fontId="51" fillId="0" borderId="0" xfId="6" quotePrefix="1" applyFont="1" applyAlignment="1">
      <alignment horizontal="centerContinuous"/>
    </xf>
    <xf numFmtId="167" fontId="46" fillId="0" borderId="0" xfId="6" applyNumberFormat="1" applyFont="1" applyAlignment="1">
      <alignment horizontal="centerContinuous"/>
    </xf>
    <xf numFmtId="2" fontId="46" fillId="0" borderId="0" xfId="6" applyNumberFormat="1" applyFont="1" applyAlignment="1">
      <alignment horizontal="centerContinuous"/>
    </xf>
    <xf numFmtId="168" fontId="46" fillId="0" borderId="0" xfId="6" applyNumberFormat="1" applyFont="1" applyAlignment="1">
      <alignment horizontal="centerContinuous"/>
    </xf>
    <xf numFmtId="1" fontId="52" fillId="0" borderId="0" xfId="6" applyNumberFormat="1" applyFont="1" applyAlignment="1">
      <alignment horizontal="center"/>
    </xf>
    <xf numFmtId="165" fontId="52" fillId="0" borderId="0" xfId="6" applyFont="1" applyAlignment="1">
      <alignment horizontal="center"/>
    </xf>
    <xf numFmtId="167" fontId="46" fillId="0" borderId="0" xfId="6" applyNumberFormat="1" applyFont="1"/>
    <xf numFmtId="168" fontId="46" fillId="0" borderId="0" xfId="6" applyNumberFormat="1" applyFont="1"/>
    <xf numFmtId="165" fontId="46" fillId="0" borderId="0" xfId="6" applyFont="1" applyAlignment="1">
      <alignment horizontal="centerContinuous"/>
    </xf>
    <xf numFmtId="165" fontId="52" fillId="0" borderId="0" xfId="6" applyFont="1" applyAlignment="1">
      <alignment horizontal="centerContinuous"/>
    </xf>
    <xf numFmtId="165" fontId="51" fillId="0" borderId="0" xfId="6" applyFont="1" applyAlignment="1">
      <alignment horizontal="left"/>
    </xf>
    <xf numFmtId="165" fontId="14" fillId="0" borderId="0" xfId="0" applyFont="1" applyAlignment="1">
      <alignment horizontal="center" vertical="center"/>
    </xf>
    <xf numFmtId="165" fontId="11" fillId="0" borderId="2" xfId="0" applyFont="1" applyBorder="1" applyAlignment="1">
      <alignment horizontal="center" vertical="center"/>
    </xf>
    <xf numFmtId="165" fontId="11" fillId="0" borderId="18" xfId="0" applyFont="1" applyBorder="1" applyAlignment="1">
      <alignment horizontal="center" vertical="center"/>
    </xf>
    <xf numFmtId="168" fontId="21" fillId="0" borderId="0" xfId="2" applyNumberFormat="1" applyFont="1" applyBorder="1" applyAlignment="1" applyProtection="1">
      <alignment vertical="center"/>
    </xf>
    <xf numFmtId="167" fontId="14" fillId="0" borderId="0" xfId="0" applyNumberFormat="1" applyFont="1" applyAlignment="1">
      <alignment horizontal="center" vertical="center"/>
    </xf>
    <xf numFmtId="165" fontId="11" fillId="0" borderId="1" xfId="0" applyFont="1" applyBorder="1" applyAlignment="1">
      <alignment horizontal="center" vertical="center"/>
    </xf>
    <xf numFmtId="165" fontId="8" fillId="0" borderId="1" xfId="0" quotePrefix="1" applyFont="1" applyBorder="1" applyAlignment="1">
      <alignment vertical="center"/>
    </xf>
    <xf numFmtId="165" fontId="8" fillId="0" borderId="0" xfId="0" quotePrefix="1" applyFont="1" applyAlignment="1">
      <alignment horizontal="left"/>
    </xf>
    <xf numFmtId="165" fontId="8" fillId="0" borderId="0" xfId="0" applyFont="1" applyAlignment="1">
      <alignment horizontal="left"/>
    </xf>
    <xf numFmtId="165" fontId="9" fillId="0" borderId="0" xfId="0" applyFont="1"/>
    <xf numFmtId="165" fontId="8" fillId="0" borderId="0" xfId="0" applyFont="1" applyAlignment="1">
      <alignment horizontal="right"/>
    </xf>
    <xf numFmtId="165" fontId="8" fillId="0" borderId="15" xfId="0" applyFont="1" applyBorder="1" applyAlignment="1">
      <alignment horizontal="center"/>
    </xf>
    <xf numFmtId="165" fontId="8" fillId="0" borderId="16" xfId="0" applyFont="1" applyBorder="1" applyAlignment="1">
      <alignment horizontal="center"/>
    </xf>
    <xf numFmtId="165" fontId="8" fillId="0" borderId="19" xfId="0" applyFont="1" applyBorder="1" applyAlignment="1">
      <alignment horizontal="center"/>
    </xf>
    <xf numFmtId="165" fontId="8" fillId="0" borderId="20" xfId="0" applyFont="1" applyBorder="1" applyAlignment="1">
      <alignment horizontal="center"/>
    </xf>
    <xf numFmtId="168" fontId="8" fillId="0" borderId="15" xfId="0" applyNumberFormat="1" applyFont="1" applyBorder="1" applyAlignment="1">
      <alignment horizontal="center"/>
    </xf>
    <xf numFmtId="168" fontId="14" fillId="0" borderId="16" xfId="0" applyNumberFormat="1" applyFont="1" applyBorder="1" applyAlignment="1">
      <alignment horizontal="center"/>
    </xf>
    <xf numFmtId="168" fontId="8" fillId="0" borderId="0" xfId="0" applyNumberFormat="1" applyFont="1" applyAlignment="1">
      <alignment horizontal="center"/>
    </xf>
    <xf numFmtId="168" fontId="14" fillId="0" borderId="17" xfId="0" applyNumberFormat="1" applyFont="1" applyBorder="1" applyAlignment="1">
      <alignment horizontal="center"/>
    </xf>
    <xf numFmtId="168" fontId="8" fillId="0" borderId="19" xfId="0" applyNumberFormat="1" applyFont="1" applyBorder="1" applyAlignment="1">
      <alignment horizontal="center"/>
    </xf>
    <xf numFmtId="168" fontId="14" fillId="0" borderId="20" xfId="0" applyNumberFormat="1" applyFont="1" applyBorder="1" applyAlignment="1">
      <alignment horizontal="center"/>
    </xf>
    <xf numFmtId="165" fontId="8" fillId="0" borderId="16" xfId="0" applyFont="1" applyBorder="1"/>
    <xf numFmtId="165" fontId="11" fillId="0" borderId="0" xfId="0" quotePrefix="1" applyFont="1" applyAlignment="1">
      <alignment horizontal="left"/>
    </xf>
    <xf numFmtId="165" fontId="11" fillId="0" borderId="1" xfId="0" applyFont="1" applyBorder="1" applyAlignment="1">
      <alignment horizontal="center"/>
    </xf>
    <xf numFmtId="167" fontId="8" fillId="0" borderId="14" xfId="0" applyNumberFormat="1" applyFont="1" applyBorder="1" applyAlignment="1">
      <alignment horizontal="center"/>
    </xf>
    <xf numFmtId="167" fontId="8" fillId="0" borderId="2" xfId="0" applyNumberFormat="1" applyFont="1" applyBorder="1" applyAlignment="1">
      <alignment horizontal="center"/>
    </xf>
    <xf numFmtId="167" fontId="8" fillId="0" borderId="18" xfId="0" applyNumberFormat="1" applyFont="1" applyBorder="1" applyAlignment="1">
      <alignment horizontal="center"/>
    </xf>
    <xf numFmtId="165" fontId="14" fillId="0" borderId="17" xfId="0" applyFont="1" applyBorder="1" applyAlignment="1">
      <alignment horizontal="center"/>
    </xf>
    <xf numFmtId="167" fontId="14" fillId="0" borderId="21" xfId="0" applyNumberFormat="1" applyFont="1" applyBorder="1" applyAlignment="1">
      <alignment horizontal="center"/>
    </xf>
    <xf numFmtId="167" fontId="14" fillId="0" borderId="1" xfId="0" applyNumberFormat="1" applyFont="1" applyBorder="1" applyAlignment="1">
      <alignment horizontal="center"/>
    </xf>
    <xf numFmtId="167" fontId="14" fillId="0" borderId="22" xfId="0" applyNumberFormat="1" applyFont="1" applyBorder="1" applyAlignment="1">
      <alignment horizontal="center"/>
    </xf>
    <xf numFmtId="165" fontId="21" fillId="0" borderId="0" xfId="0" applyFont="1" applyAlignment="1">
      <alignment horizontal="center" vertical="center"/>
    </xf>
    <xf numFmtId="165" fontId="8" fillId="3" borderId="0" xfId="0" applyFont="1" applyFill="1" applyAlignment="1">
      <alignment horizontal="center" vertical="center"/>
    </xf>
    <xf numFmtId="165" fontId="8" fillId="0" borderId="1" xfId="0" quotePrefix="1" applyFont="1" applyBorder="1" applyAlignment="1">
      <alignment horizontal="center" vertical="center"/>
    </xf>
    <xf numFmtId="165" fontId="16" fillId="0" borderId="0" xfId="0" applyFont="1" applyAlignment="1">
      <alignment vertical="center"/>
    </xf>
    <xf numFmtId="165" fontId="8" fillId="3" borderId="0" xfId="0" applyFont="1" applyFill="1" applyAlignment="1">
      <alignment vertical="center"/>
    </xf>
    <xf numFmtId="165" fontId="8" fillId="4" borderId="2" xfId="0" applyFont="1" applyFill="1" applyBorder="1" applyAlignment="1">
      <alignment horizontal="center" vertical="center"/>
    </xf>
    <xf numFmtId="165" fontId="8" fillId="4" borderId="17" xfId="0" applyFont="1" applyFill="1" applyBorder="1" applyAlignment="1">
      <alignment horizontal="center" vertical="center"/>
    </xf>
    <xf numFmtId="165" fontId="8" fillId="4" borderId="0" xfId="0" applyFont="1" applyFill="1" applyAlignment="1">
      <alignment vertical="center"/>
    </xf>
    <xf numFmtId="165" fontId="8" fillId="4" borderId="17" xfId="0" applyFont="1" applyFill="1" applyBorder="1" applyAlignment="1">
      <alignment vertical="center"/>
    </xf>
    <xf numFmtId="165" fontId="11" fillId="4" borderId="17" xfId="0" applyFont="1" applyFill="1" applyBorder="1" applyAlignment="1">
      <alignment horizontal="center" vertical="center"/>
    </xf>
    <xf numFmtId="165" fontId="8" fillId="4" borderId="0" xfId="0" applyFont="1" applyFill="1" applyAlignment="1">
      <alignment horizontal="center" vertical="center"/>
    </xf>
    <xf numFmtId="165" fontId="53" fillId="4" borderId="0" xfId="0" applyFont="1" applyFill="1" applyAlignment="1">
      <alignment horizontal="center" vertical="center"/>
    </xf>
    <xf numFmtId="165" fontId="11" fillId="4" borderId="20" xfId="0" applyFont="1" applyFill="1" applyBorder="1" applyAlignment="1">
      <alignment horizontal="center" vertical="center"/>
    </xf>
    <xf numFmtId="165" fontId="8" fillId="4" borderId="19" xfId="0" applyFont="1" applyFill="1" applyBorder="1" applyAlignment="1">
      <alignment vertical="center"/>
    </xf>
    <xf numFmtId="165" fontId="8" fillId="4" borderId="14" xfId="0" applyFont="1" applyFill="1" applyBorder="1" applyAlignment="1">
      <alignment vertical="center"/>
    </xf>
    <xf numFmtId="165" fontId="8" fillId="4" borderId="16" xfId="0" applyFont="1" applyFill="1" applyBorder="1" applyAlignment="1">
      <alignment vertical="center"/>
    </xf>
    <xf numFmtId="165" fontId="14" fillId="4" borderId="17" xfId="0" applyFont="1" applyFill="1" applyBorder="1" applyAlignment="1">
      <alignment horizontal="center" vertical="center"/>
    </xf>
    <xf numFmtId="1" fontId="8" fillId="4" borderId="2" xfId="0" applyNumberFormat="1" applyFont="1" applyFill="1" applyBorder="1" applyAlignment="1">
      <alignment horizontal="center" vertical="center"/>
    </xf>
    <xf numFmtId="165" fontId="8" fillId="5" borderId="0" xfId="0" applyFont="1" applyFill="1" applyAlignment="1">
      <alignment vertical="center"/>
    </xf>
    <xf numFmtId="165" fontId="8" fillId="5" borderId="17" xfId="0" applyFont="1" applyFill="1" applyBorder="1" applyAlignment="1">
      <alignment vertical="center"/>
    </xf>
    <xf numFmtId="165" fontId="8" fillId="5" borderId="0" xfId="0" applyFont="1" applyFill="1" applyAlignment="1">
      <alignment horizontal="center" vertical="center"/>
    </xf>
    <xf numFmtId="165" fontId="11" fillId="5" borderId="0" xfId="0" applyFont="1" applyFill="1" applyAlignment="1">
      <alignment horizontal="center" vertical="center"/>
    </xf>
    <xf numFmtId="165" fontId="8" fillId="5" borderId="19" xfId="0" applyFont="1" applyFill="1" applyBorder="1" applyAlignment="1">
      <alignment vertical="center"/>
    </xf>
    <xf numFmtId="165" fontId="8" fillId="5" borderId="20" xfId="0" applyFont="1" applyFill="1" applyBorder="1" applyAlignment="1">
      <alignment vertical="center"/>
    </xf>
    <xf numFmtId="165" fontId="8" fillId="5" borderId="15" xfId="0" applyFont="1" applyFill="1" applyBorder="1" applyAlignment="1">
      <alignment vertical="center"/>
    </xf>
    <xf numFmtId="165" fontId="8" fillId="5" borderId="16" xfId="0" applyFont="1" applyFill="1" applyBorder="1" applyAlignment="1">
      <alignment vertical="center"/>
    </xf>
    <xf numFmtId="168" fontId="8" fillId="5" borderId="0" xfId="0" applyNumberFormat="1" applyFont="1" applyFill="1" applyAlignment="1">
      <alignment vertical="center"/>
    </xf>
    <xf numFmtId="168" fontId="14" fillId="5" borderId="0" xfId="0" applyNumberFormat="1" applyFont="1" applyFill="1" applyAlignment="1">
      <alignment vertical="center"/>
    </xf>
    <xf numFmtId="165" fontId="14" fillId="5" borderId="0" xfId="0" applyFont="1" applyFill="1" applyAlignment="1">
      <alignment vertical="center"/>
    </xf>
    <xf numFmtId="167" fontId="14" fillId="5" borderId="0" xfId="0" applyNumberFormat="1" applyFont="1" applyFill="1" applyAlignment="1">
      <alignment vertical="center"/>
    </xf>
    <xf numFmtId="2" fontId="8" fillId="5" borderId="0" xfId="0" applyNumberFormat="1" applyFont="1" applyFill="1" applyAlignment="1">
      <alignment vertical="center"/>
    </xf>
    <xf numFmtId="165" fontId="14" fillId="5" borderId="17" xfId="0" applyFont="1" applyFill="1" applyBorder="1" applyAlignment="1">
      <alignment vertical="center"/>
    </xf>
    <xf numFmtId="165" fontId="8" fillId="5" borderId="2" xfId="0" applyFont="1" applyFill="1" applyBorder="1" applyAlignment="1">
      <alignment vertical="center"/>
    </xf>
    <xf numFmtId="165" fontId="52" fillId="0" borderId="0" xfId="6" applyFont="1"/>
    <xf numFmtId="2" fontId="46" fillId="0" borderId="0" xfId="6" applyNumberFormat="1" applyFont="1" applyAlignment="1">
      <alignment horizontal="center"/>
    </xf>
    <xf numFmtId="168" fontId="14" fillId="0" borderId="0" xfId="5" applyNumberFormat="1" applyFont="1"/>
    <xf numFmtId="0" fontId="45" fillId="0" borderId="1" xfId="5" applyFont="1" applyBorder="1"/>
    <xf numFmtId="0" fontId="45" fillId="0" borderId="2" xfId="5" applyFont="1" applyBorder="1"/>
    <xf numFmtId="0" fontId="45" fillId="0" borderId="0" xfId="5" applyFont="1"/>
    <xf numFmtId="0" fontId="21" fillId="0" borderId="0" xfId="5" applyFont="1"/>
    <xf numFmtId="0" fontId="14" fillId="0" borderId="0" xfId="5" applyFont="1"/>
    <xf numFmtId="0" fontId="21" fillId="0" borderId="0" xfId="5" applyFont="1" applyAlignment="1">
      <alignment horizontal="center"/>
    </xf>
    <xf numFmtId="0" fontId="21" fillId="0" borderId="17" xfId="5" applyFont="1" applyBorder="1"/>
    <xf numFmtId="0" fontId="21" fillId="0" borderId="1" xfId="5" applyFont="1" applyBorder="1"/>
    <xf numFmtId="2" fontId="21" fillId="0" borderId="0" xfId="5" applyNumberFormat="1" applyFont="1"/>
    <xf numFmtId="0" fontId="14" fillId="0" borderId="0" xfId="5" applyFont="1" applyAlignment="1">
      <alignment horizontal="center"/>
    </xf>
    <xf numFmtId="0" fontId="21" fillId="0" borderId="2" xfId="5" applyFont="1" applyBorder="1"/>
    <xf numFmtId="0" fontId="21" fillId="0" borderId="2" xfId="5" applyFont="1" applyBorder="1" applyAlignment="1">
      <alignment horizontal="center"/>
    </xf>
    <xf numFmtId="170" fontId="21" fillId="0" borderId="0" xfId="5" applyNumberFormat="1" applyFont="1"/>
    <xf numFmtId="0" fontId="14" fillId="0" borderId="1" xfId="5" applyFont="1" applyBorder="1"/>
    <xf numFmtId="2" fontId="21" fillId="0" borderId="1" xfId="5" applyNumberFormat="1" applyFont="1" applyBorder="1"/>
    <xf numFmtId="0" fontId="14" fillId="0" borderId="22" xfId="5" applyFont="1" applyBorder="1"/>
    <xf numFmtId="0" fontId="21" fillId="0" borderId="22" xfId="5" applyFont="1" applyBorder="1"/>
    <xf numFmtId="0" fontId="21" fillId="0" borderId="19" xfId="5" applyFont="1" applyBorder="1"/>
    <xf numFmtId="2" fontId="21" fillId="0" borderId="19" xfId="5" applyNumberFormat="1" applyFont="1" applyBorder="1"/>
    <xf numFmtId="0" fontId="21" fillId="0" borderId="20" xfId="5" applyFont="1" applyBorder="1"/>
    <xf numFmtId="0" fontId="21" fillId="0" borderId="18" xfId="5" applyFont="1" applyBorder="1" applyAlignment="1">
      <alignment horizontal="center"/>
    </xf>
    <xf numFmtId="168" fontId="14" fillId="0" borderId="18" xfId="5" applyNumberFormat="1" applyFont="1" applyBorder="1"/>
    <xf numFmtId="168" fontId="14" fillId="0" borderId="19" xfId="5" applyNumberFormat="1" applyFont="1" applyBorder="1"/>
    <xf numFmtId="167" fontId="59" fillId="0" borderId="0" xfId="6" applyNumberFormat="1" applyFont="1" applyAlignment="1">
      <alignment horizontal="center"/>
    </xf>
    <xf numFmtId="165" fontId="59" fillId="0" borderId="0" xfId="6" applyFont="1"/>
    <xf numFmtId="167" fontId="52" fillId="0" borderId="0" xfId="6" applyNumberFormat="1" applyFont="1" applyAlignment="1">
      <alignment horizontal="center"/>
    </xf>
    <xf numFmtId="0" fontId="5" fillId="0" borderId="0" xfId="8"/>
    <xf numFmtId="165" fontId="21" fillId="0" borderId="0" xfId="0" applyFont="1" applyAlignment="1">
      <alignment vertical="center"/>
    </xf>
    <xf numFmtId="2" fontId="67" fillId="0" borderId="1" xfId="2" applyNumberFormat="1" applyFont="1" applyBorder="1" applyAlignment="1">
      <alignment vertical="center"/>
    </xf>
    <xf numFmtId="165" fontId="8" fillId="6" borderId="0" xfId="0" applyFont="1" applyFill="1" applyAlignment="1">
      <alignment vertical="center"/>
    </xf>
    <xf numFmtId="170" fontId="0" fillId="0" borderId="0" xfId="0" applyNumberFormat="1"/>
    <xf numFmtId="170" fontId="8" fillId="0" borderId="0" xfId="0" applyNumberFormat="1" applyFont="1" applyAlignment="1">
      <alignment vertical="center"/>
    </xf>
    <xf numFmtId="170" fontId="9" fillId="0" borderId="0" xfId="0" applyNumberFormat="1" applyFont="1" applyAlignment="1">
      <alignment horizontal="centerContinuous" vertical="center"/>
    </xf>
    <xf numFmtId="170" fontId="9" fillId="0" borderId="9" xfId="0" applyNumberFormat="1" applyFont="1" applyBorder="1" applyAlignment="1">
      <alignment horizontal="centerContinuous" vertical="center"/>
    </xf>
    <xf numFmtId="170" fontId="9" fillId="0" borderId="0" xfId="0" applyNumberFormat="1" applyFont="1" applyAlignment="1">
      <alignment horizontal="center" vertical="center"/>
    </xf>
    <xf numFmtId="170" fontId="9" fillId="0" borderId="15" xfId="0" applyNumberFormat="1" applyFont="1" applyBorder="1" applyAlignment="1">
      <alignment horizontal="center" vertical="center"/>
    </xf>
    <xf numFmtId="170" fontId="9" fillId="0" borderId="19" xfId="0" applyNumberFormat="1" applyFont="1" applyBorder="1" applyAlignment="1">
      <alignment horizontal="center" vertical="center"/>
    </xf>
    <xf numFmtId="170" fontId="9" fillId="0" borderId="16" xfId="0" applyNumberFormat="1" applyFont="1" applyBorder="1" applyAlignment="1">
      <alignment horizontal="center" vertical="center"/>
    </xf>
    <xf numFmtId="170" fontId="8" fillId="0" borderId="17" xfId="0" applyNumberFormat="1" applyFont="1" applyBorder="1" applyAlignment="1">
      <alignment vertical="center"/>
    </xf>
    <xf numFmtId="165" fontId="60" fillId="0" borderId="0" xfId="0" applyFont="1" applyAlignment="1">
      <alignment horizontal="center" vertical="center"/>
    </xf>
    <xf numFmtId="165" fontId="60" fillId="0" borderId="22" xfId="0" applyFont="1" applyBorder="1" applyAlignment="1">
      <alignment horizontal="center" vertical="center" wrapText="1"/>
    </xf>
    <xf numFmtId="165" fontId="62" fillId="0" borderId="0" xfId="0" applyFont="1" applyAlignment="1">
      <alignment vertical="center"/>
    </xf>
    <xf numFmtId="165" fontId="9" fillId="7" borderId="16" xfId="0" applyFont="1" applyFill="1" applyBorder="1" applyAlignment="1">
      <alignment horizontal="center" vertical="center"/>
    </xf>
    <xf numFmtId="165" fontId="9" fillId="7" borderId="17" xfId="0" applyFont="1" applyFill="1" applyBorder="1" applyAlignment="1">
      <alignment horizontal="center" vertical="center"/>
    </xf>
    <xf numFmtId="165" fontId="62" fillId="0" borderId="0" xfId="0" applyFont="1"/>
    <xf numFmtId="165" fontId="60" fillId="0" borderId="1" xfId="0" applyFont="1" applyBorder="1" applyAlignment="1">
      <alignment horizontal="center" vertical="center" wrapText="1"/>
    </xf>
    <xf numFmtId="165" fontId="8" fillId="8" borderId="32" xfId="0" applyFont="1" applyFill="1" applyBorder="1" applyAlignment="1">
      <alignment vertical="center"/>
    </xf>
    <xf numFmtId="165" fontId="9" fillId="8" borderId="32" xfId="0" applyFont="1" applyFill="1" applyBorder="1" applyAlignment="1">
      <alignment horizontal="center" vertical="center"/>
    </xf>
    <xf numFmtId="165" fontId="63" fillId="8" borderId="32" xfId="0" applyFont="1" applyFill="1" applyBorder="1" applyAlignment="1">
      <alignment horizontal="center" vertical="center"/>
    </xf>
    <xf numFmtId="165" fontId="6" fillId="8" borderId="32" xfId="0" applyFont="1" applyFill="1" applyBorder="1" applyAlignment="1">
      <alignment horizontal="center" vertical="center"/>
    </xf>
    <xf numFmtId="165" fontId="8" fillId="8" borderId="32" xfId="0" applyFont="1" applyFill="1" applyBorder="1" applyAlignment="1">
      <alignment horizontal="center" vertical="center"/>
    </xf>
    <xf numFmtId="165" fontId="62" fillId="8" borderId="32" xfId="0" applyFont="1" applyFill="1" applyBorder="1" applyAlignment="1">
      <alignment vertical="center"/>
    </xf>
    <xf numFmtId="1" fontId="8" fillId="8" borderId="32" xfId="0" applyNumberFormat="1" applyFont="1" applyFill="1" applyBorder="1" applyAlignment="1">
      <alignment vertical="center"/>
    </xf>
    <xf numFmtId="165" fontId="61" fillId="8" borderId="32" xfId="0" applyFont="1" applyFill="1" applyBorder="1" applyAlignment="1">
      <alignment horizontal="center" vertical="center"/>
    </xf>
    <xf numFmtId="165" fontId="9" fillId="8" borderId="32" xfId="0" applyFont="1" applyFill="1" applyBorder="1" applyAlignment="1">
      <alignment vertical="center"/>
    </xf>
    <xf numFmtId="165" fontId="60" fillId="0" borderId="19" xfId="0" applyFont="1" applyBorder="1" applyAlignment="1">
      <alignment vertical="center"/>
    </xf>
    <xf numFmtId="165" fontId="60" fillId="8" borderId="32" xfId="0" applyFont="1" applyFill="1" applyBorder="1" applyAlignment="1">
      <alignment vertical="center"/>
    </xf>
    <xf numFmtId="170" fontId="9" fillId="0" borderId="21" xfId="0" applyNumberFormat="1" applyFont="1" applyBorder="1" applyAlignment="1">
      <alignment horizontal="center" vertical="center"/>
    </xf>
    <xf numFmtId="170" fontId="8" fillId="0" borderId="1" xfId="0" applyNumberFormat="1" applyFont="1" applyBorder="1" applyAlignment="1">
      <alignment vertical="center"/>
    </xf>
    <xf numFmtId="165" fontId="62" fillId="0" borderId="1" xfId="0" applyFont="1" applyBorder="1" applyAlignment="1">
      <alignment vertical="center"/>
    </xf>
    <xf numFmtId="170" fontId="8" fillId="0" borderId="22" xfId="0" applyNumberFormat="1" applyFont="1" applyBorder="1" applyAlignment="1">
      <alignment vertical="center"/>
    </xf>
    <xf numFmtId="165" fontId="9" fillId="0" borderId="30" xfId="0" applyFont="1" applyBorder="1" applyAlignment="1">
      <alignment horizontal="center" vertical="center"/>
    </xf>
    <xf numFmtId="1" fontId="8" fillId="0" borderId="1" xfId="0" applyNumberFormat="1" applyFont="1" applyBorder="1" applyAlignment="1">
      <alignment vertical="center"/>
    </xf>
    <xf numFmtId="2" fontId="67" fillId="0" borderId="1" xfId="2" applyNumberFormat="1" applyFont="1" applyFill="1" applyBorder="1" applyAlignment="1">
      <alignment vertical="center"/>
    </xf>
    <xf numFmtId="164" fontId="8" fillId="0" borderId="17" xfId="2" applyFont="1" applyFill="1" applyBorder="1" applyAlignment="1">
      <alignment vertical="center"/>
    </xf>
    <xf numFmtId="2" fontId="8" fillId="0" borderId="17" xfId="2" applyNumberFormat="1" applyFont="1" applyFill="1" applyBorder="1" applyAlignment="1">
      <alignment vertical="center"/>
    </xf>
    <xf numFmtId="2" fontId="8" fillId="0" borderId="1" xfId="0" applyNumberFormat="1" applyFont="1" applyBorder="1" applyAlignment="1">
      <alignment vertical="center"/>
    </xf>
    <xf numFmtId="2" fontId="8" fillId="0" borderId="1" xfId="2" applyNumberFormat="1" applyFont="1" applyFill="1" applyBorder="1" applyAlignment="1">
      <alignment vertical="center"/>
    </xf>
    <xf numFmtId="1" fontId="8" fillId="0" borderId="17" xfId="2" applyNumberFormat="1" applyFont="1" applyFill="1" applyBorder="1" applyAlignment="1">
      <alignment vertical="center"/>
    </xf>
    <xf numFmtId="2" fontId="22" fillId="0" borderId="17" xfId="2" applyNumberFormat="1" applyFont="1" applyFill="1" applyBorder="1" applyAlignment="1">
      <alignment vertical="center"/>
    </xf>
    <xf numFmtId="165" fontId="0" fillId="6" borderId="0" xfId="0" applyFill="1"/>
    <xf numFmtId="165" fontId="0" fillId="6" borderId="32" xfId="0" applyFill="1" applyBorder="1"/>
    <xf numFmtId="165" fontId="0" fillId="0" borderId="0" xfId="0" applyAlignment="1">
      <alignment horizontal="center"/>
    </xf>
    <xf numFmtId="165" fontId="68" fillId="7" borderId="32" xfId="0" applyFont="1" applyFill="1" applyBorder="1" applyAlignment="1">
      <alignment horizontal="center"/>
    </xf>
    <xf numFmtId="165" fontId="11" fillId="0" borderId="32" xfId="0" applyFont="1" applyBorder="1" applyAlignment="1">
      <alignment horizontal="center"/>
    </xf>
    <xf numFmtId="1" fontId="8" fillId="0" borderId="32" xfId="0" applyNumberFormat="1" applyFont="1" applyBorder="1" applyAlignment="1">
      <alignment horizontal="center"/>
    </xf>
    <xf numFmtId="1" fontId="14" fillId="0" borderId="32" xfId="0" applyNumberFormat="1" applyFont="1" applyBorder="1" applyAlignment="1">
      <alignment horizontal="center"/>
    </xf>
    <xf numFmtId="165" fontId="8" fillId="0" borderId="32" xfId="0" applyFont="1" applyBorder="1"/>
    <xf numFmtId="165" fontId="8" fillId="0" borderId="32" xfId="0" applyFont="1" applyBorder="1" applyAlignment="1">
      <alignment horizontal="center"/>
    </xf>
    <xf numFmtId="168" fontId="8" fillId="0" borderId="32" xfId="0" applyNumberFormat="1" applyFont="1" applyBorder="1" applyAlignment="1">
      <alignment horizontal="center"/>
    </xf>
    <xf numFmtId="2" fontId="8" fillId="0" borderId="32" xfId="0" applyNumberFormat="1" applyFont="1" applyBorder="1" applyAlignment="1">
      <alignment horizontal="center"/>
    </xf>
    <xf numFmtId="165" fontId="60" fillId="0" borderId="32" xfId="0" applyFont="1" applyBorder="1" applyAlignment="1">
      <alignment horizontal="center" vertical="center" wrapText="1"/>
    </xf>
    <xf numFmtId="170" fontId="8" fillId="0" borderId="17" xfId="0" applyNumberFormat="1" applyFont="1" applyBorder="1" applyAlignment="1">
      <alignment horizontal="center" vertical="center"/>
    </xf>
    <xf numFmtId="1" fontId="8" fillId="0" borderId="17" xfId="0" applyNumberFormat="1" applyFont="1" applyBorder="1" applyAlignment="1">
      <alignment horizontal="center" vertical="center"/>
    </xf>
    <xf numFmtId="1" fontId="8" fillId="0" borderId="17" xfId="2" applyNumberFormat="1" applyFont="1" applyBorder="1" applyAlignment="1" applyProtection="1">
      <alignment horizontal="center" vertical="center"/>
    </xf>
    <xf numFmtId="165" fontId="11" fillId="4" borderId="32" xfId="0" applyFont="1" applyFill="1" applyBorder="1" applyAlignment="1">
      <alignment horizontal="center" vertical="center"/>
    </xf>
    <xf numFmtId="2" fontId="8" fillId="0" borderId="17" xfId="0" applyNumberFormat="1" applyFont="1" applyBorder="1" applyAlignment="1">
      <alignment horizontal="center" vertical="center"/>
    </xf>
    <xf numFmtId="169" fontId="8" fillId="0" borderId="17" xfId="2" applyNumberFormat="1" applyFont="1" applyBorder="1" applyAlignment="1" applyProtection="1">
      <alignment horizontal="center" vertical="center"/>
    </xf>
    <xf numFmtId="164" fontId="13" fillId="0" borderId="17" xfId="2" applyFont="1" applyFill="1" applyBorder="1" applyAlignment="1" applyProtection="1">
      <alignment horizontal="center" vertical="center"/>
    </xf>
    <xf numFmtId="167" fontId="8" fillId="0" borderId="1" xfId="0" applyNumberFormat="1" applyFont="1" applyBorder="1" applyAlignment="1">
      <alignment horizontal="center" vertical="center"/>
    </xf>
    <xf numFmtId="167" fontId="67" fillId="0" borderId="1" xfId="0" applyNumberFormat="1" applyFont="1" applyBorder="1" applyAlignment="1">
      <alignment horizontal="center" vertical="center"/>
    </xf>
    <xf numFmtId="167" fontId="15" fillId="0" borderId="1" xfId="0" applyNumberFormat="1" applyFont="1" applyBorder="1" applyAlignment="1">
      <alignment horizontal="center" vertical="center"/>
    </xf>
    <xf numFmtId="165" fontId="14" fillId="0" borderId="1" xfId="0" applyFont="1" applyBorder="1" applyAlignment="1">
      <alignment horizontal="center" vertical="center"/>
    </xf>
    <xf numFmtId="165" fontId="8" fillId="0" borderId="12" xfId="0" applyFont="1" applyBorder="1" applyAlignment="1">
      <alignment horizontal="centerContinuous" vertical="center"/>
    </xf>
    <xf numFmtId="165" fontId="27" fillId="0" borderId="33" xfId="0" applyFont="1" applyBorder="1" applyAlignment="1">
      <alignment horizontal="centerContinuous" vertical="center"/>
    </xf>
    <xf numFmtId="165" fontId="8" fillId="0" borderId="25" xfId="0" applyFont="1" applyBorder="1" applyAlignment="1">
      <alignment horizontal="centerContinuous" vertical="center"/>
    </xf>
    <xf numFmtId="165" fontId="9" fillId="0" borderId="33" xfId="0" applyFont="1" applyBorder="1" applyAlignment="1">
      <alignment horizontal="center" vertical="center"/>
    </xf>
    <xf numFmtId="165" fontId="9" fillId="0" borderId="28" xfId="0" applyFont="1" applyBorder="1" applyAlignment="1">
      <alignment horizontal="center" vertical="center"/>
    </xf>
    <xf numFmtId="0" fontId="5" fillId="9" borderId="0" xfId="8" applyFill="1"/>
    <xf numFmtId="165" fontId="0" fillId="9" borderId="0" xfId="0" applyFill="1"/>
    <xf numFmtId="165" fontId="8" fillId="9" borderId="0" xfId="0" applyFont="1" applyFill="1" applyAlignment="1">
      <alignment vertical="center"/>
    </xf>
    <xf numFmtId="165" fontId="8" fillId="9" borderId="0" xfId="0" applyFont="1" applyFill="1"/>
    <xf numFmtId="2" fontId="8" fillId="9" borderId="0" xfId="0" applyNumberFormat="1" applyFont="1" applyFill="1"/>
    <xf numFmtId="2" fontId="8" fillId="9" borderId="0" xfId="0" applyNumberFormat="1" applyFont="1" applyFill="1" applyAlignment="1">
      <alignment horizontal="center"/>
    </xf>
    <xf numFmtId="168" fontId="8" fillId="9" borderId="0" xfId="0" applyNumberFormat="1" applyFont="1" applyFill="1"/>
    <xf numFmtId="165" fontId="9" fillId="9" borderId="0" xfId="0" applyFont="1" applyFill="1" applyAlignment="1">
      <alignment horizontal="centerContinuous"/>
    </xf>
    <xf numFmtId="1" fontId="8" fillId="9" borderId="0" xfId="0" applyNumberFormat="1" applyFont="1" applyFill="1" applyAlignment="1">
      <alignment horizontal="centerContinuous"/>
    </xf>
    <xf numFmtId="2" fontId="9" fillId="9" borderId="0" xfId="0" applyNumberFormat="1" applyFont="1" applyFill="1" applyAlignment="1">
      <alignment horizontal="center"/>
    </xf>
    <xf numFmtId="2" fontId="8" fillId="9" borderId="6" xfId="0" applyNumberFormat="1" applyFont="1" applyFill="1" applyBorder="1"/>
    <xf numFmtId="165" fontId="9" fillId="9" borderId="9" xfId="0" applyFont="1" applyFill="1" applyBorder="1" applyAlignment="1">
      <alignment horizontal="centerContinuous"/>
    </xf>
    <xf numFmtId="1" fontId="11" fillId="9" borderId="9" xfId="0" applyNumberFormat="1" applyFont="1" applyFill="1" applyBorder="1" applyAlignment="1">
      <alignment horizontal="centerContinuous"/>
    </xf>
    <xf numFmtId="2" fontId="9" fillId="9" borderId="10" xfId="0" applyNumberFormat="1" applyFont="1" applyFill="1" applyBorder="1" applyAlignment="1">
      <alignment horizontal="center"/>
    </xf>
    <xf numFmtId="1" fontId="11" fillId="9" borderId="0" xfId="0" applyNumberFormat="1" applyFont="1" applyFill="1" applyAlignment="1">
      <alignment horizontal="centerContinuous"/>
    </xf>
    <xf numFmtId="165" fontId="9" fillId="9" borderId="0" xfId="0" applyFont="1" applyFill="1" applyAlignment="1">
      <alignment horizontal="center" vertical="center"/>
    </xf>
    <xf numFmtId="2" fontId="9" fillId="9" borderId="0" xfId="0" applyNumberFormat="1" applyFont="1" applyFill="1" applyAlignment="1">
      <alignment horizontal="center" vertical="center"/>
    </xf>
    <xf numFmtId="165" fontId="8" fillId="9" borderId="15" xfId="0" applyFont="1" applyFill="1" applyBorder="1"/>
    <xf numFmtId="165" fontId="8" fillId="9" borderId="1" xfId="0" applyFont="1" applyFill="1" applyBorder="1" applyAlignment="1">
      <alignment horizontal="centerContinuous"/>
    </xf>
    <xf numFmtId="165" fontId="8" fillId="9" borderId="0" xfId="0" applyFont="1" applyFill="1" applyAlignment="1">
      <alignment horizontal="centerContinuous"/>
    </xf>
    <xf numFmtId="165" fontId="8" fillId="9" borderId="1" xfId="0" applyFont="1" applyFill="1" applyBorder="1" applyAlignment="1">
      <alignment horizontal="center"/>
    </xf>
    <xf numFmtId="2" fontId="8" fillId="9" borderId="2" xfId="0" applyNumberFormat="1" applyFont="1" applyFill="1" applyBorder="1" applyAlignment="1">
      <alignment horizontal="centerContinuous"/>
    </xf>
    <xf numFmtId="2" fontId="8" fillId="9" borderId="21" xfId="0" applyNumberFormat="1" applyFont="1" applyFill="1" applyBorder="1" applyAlignment="1">
      <alignment horizontal="center"/>
    </xf>
    <xf numFmtId="2" fontId="8" fillId="9" borderId="0" xfId="0" applyNumberFormat="1" applyFont="1" applyFill="1" applyAlignment="1">
      <alignment horizontal="centerContinuous"/>
    </xf>
    <xf numFmtId="168" fontId="8" fillId="9" borderId="21" xfId="0" applyNumberFormat="1" applyFont="1" applyFill="1" applyBorder="1" applyAlignment="1">
      <alignment horizontal="centerContinuous"/>
    </xf>
    <xf numFmtId="167" fontId="8" fillId="9" borderId="0" xfId="0" applyNumberFormat="1" applyFont="1" applyFill="1" applyAlignment="1">
      <alignment horizontal="left"/>
    </xf>
    <xf numFmtId="165" fontId="8" fillId="9" borderId="21" xfId="0" applyFont="1" applyFill="1" applyBorder="1" applyAlignment="1">
      <alignment horizontal="center"/>
    </xf>
    <xf numFmtId="165" fontId="8" fillId="9" borderId="0" xfId="0" applyFont="1" applyFill="1" applyAlignment="1">
      <alignment horizontal="center"/>
    </xf>
    <xf numFmtId="165" fontId="8" fillId="9" borderId="2" xfId="0" applyFont="1" applyFill="1" applyBorder="1" applyAlignment="1">
      <alignment horizontal="center"/>
    </xf>
    <xf numFmtId="165" fontId="8" fillId="9" borderId="22" xfId="0" applyFont="1" applyFill="1" applyBorder="1" applyAlignment="1">
      <alignment horizontal="centerContinuous"/>
    </xf>
    <xf numFmtId="165" fontId="8" fillId="9" borderId="19" xfId="0" applyFont="1" applyFill="1" applyBorder="1" applyAlignment="1">
      <alignment horizontal="centerContinuous"/>
    </xf>
    <xf numFmtId="2" fontId="8" fillId="9" borderId="18" xfId="0" applyNumberFormat="1" applyFont="1" applyFill="1" applyBorder="1" applyAlignment="1">
      <alignment horizontal="centerContinuous"/>
    </xf>
    <xf numFmtId="2" fontId="8" fillId="9" borderId="22" xfId="0" applyNumberFormat="1" applyFont="1" applyFill="1" applyBorder="1" applyAlignment="1">
      <alignment horizontal="center"/>
    </xf>
    <xf numFmtId="2" fontId="11" fillId="9" borderId="19" xfId="0" applyNumberFormat="1" applyFont="1" applyFill="1" applyBorder="1" applyAlignment="1">
      <alignment horizontal="centerContinuous"/>
    </xf>
    <xf numFmtId="168" fontId="8" fillId="9" borderId="22" xfId="0" applyNumberFormat="1" applyFont="1" applyFill="1" applyBorder="1"/>
    <xf numFmtId="2" fontId="8" fillId="9" borderId="19" xfId="0" applyNumberFormat="1" applyFont="1" applyFill="1" applyBorder="1"/>
    <xf numFmtId="2" fontId="8" fillId="9" borderId="22" xfId="0" applyNumberFormat="1" applyFont="1" applyFill="1" applyBorder="1"/>
    <xf numFmtId="167" fontId="8" fillId="9" borderId="19" xfId="0" applyNumberFormat="1" applyFont="1" applyFill="1" applyBorder="1" applyAlignment="1">
      <alignment horizontal="left"/>
    </xf>
    <xf numFmtId="165" fontId="8" fillId="9" borderId="22" xfId="0" applyFont="1" applyFill="1" applyBorder="1" applyAlignment="1">
      <alignment horizontal="center"/>
    </xf>
    <xf numFmtId="165" fontId="8" fillId="9" borderId="19" xfId="0" applyFont="1" applyFill="1" applyBorder="1"/>
    <xf numFmtId="165" fontId="11" fillId="9" borderId="22" xfId="0" applyFont="1" applyFill="1" applyBorder="1" applyAlignment="1">
      <alignment horizontal="center"/>
    </xf>
    <xf numFmtId="165" fontId="8" fillId="9" borderId="18" xfId="0" applyFont="1" applyFill="1" applyBorder="1"/>
    <xf numFmtId="2" fontId="11" fillId="9" borderId="0" xfId="0" applyNumberFormat="1" applyFont="1" applyFill="1" applyAlignment="1">
      <alignment horizontal="centerContinuous"/>
    </xf>
    <xf numFmtId="165" fontId="11" fillId="9" borderId="1" xfId="0" applyFont="1" applyFill="1" applyBorder="1" applyAlignment="1">
      <alignment horizontal="center"/>
    </xf>
    <xf numFmtId="165" fontId="8" fillId="9" borderId="21" xfId="0" applyFont="1" applyFill="1" applyBorder="1" applyAlignment="1">
      <alignment horizontal="centerContinuous"/>
    </xf>
    <xf numFmtId="165" fontId="8" fillId="9" borderId="15" xfId="0" applyFont="1" applyFill="1" applyBorder="1" applyAlignment="1">
      <alignment horizontal="centerContinuous"/>
    </xf>
    <xf numFmtId="2" fontId="8" fillId="9" borderId="21" xfId="0" applyNumberFormat="1" applyFont="1" applyFill="1" applyBorder="1" applyAlignment="1">
      <alignment horizontal="centerContinuous"/>
    </xf>
    <xf numFmtId="2" fontId="8" fillId="9" borderId="15" xfId="0" applyNumberFormat="1" applyFont="1" applyFill="1" applyBorder="1" applyAlignment="1">
      <alignment horizontal="center"/>
    </xf>
    <xf numFmtId="2" fontId="21" fillId="9" borderId="21" xfId="0" applyNumberFormat="1" applyFont="1" applyFill="1" applyBorder="1" applyAlignment="1">
      <alignment horizontal="centerContinuous"/>
    </xf>
    <xf numFmtId="168" fontId="8" fillId="9" borderId="15" xfId="0" applyNumberFormat="1" applyFont="1" applyFill="1" applyBorder="1"/>
    <xf numFmtId="2" fontId="8" fillId="9" borderId="21" xfId="0" applyNumberFormat="1" applyFont="1" applyFill="1" applyBorder="1"/>
    <xf numFmtId="2" fontId="8" fillId="9" borderId="15" xfId="0" applyNumberFormat="1" applyFont="1" applyFill="1" applyBorder="1"/>
    <xf numFmtId="165" fontId="11" fillId="9" borderId="21" xfId="0" applyFont="1" applyFill="1" applyBorder="1" applyAlignment="1">
      <alignment horizontal="center"/>
    </xf>
    <xf numFmtId="1" fontId="8" fillId="9" borderId="0" xfId="0" applyNumberFormat="1" applyFont="1" applyFill="1"/>
    <xf numFmtId="167" fontId="8" fillId="9" borderId="0" xfId="0" applyNumberFormat="1" applyFont="1" applyFill="1"/>
    <xf numFmtId="165" fontId="69" fillId="9" borderId="0" xfId="0" applyFont="1" applyFill="1"/>
    <xf numFmtId="165" fontId="9" fillId="0" borderId="33" xfId="0" applyFont="1" applyBorder="1" applyAlignment="1">
      <alignment horizontal="centerContinuous" vertical="center"/>
    </xf>
    <xf numFmtId="165" fontId="9" fillId="0" borderId="33" xfId="0" applyFont="1" applyBorder="1" applyAlignment="1">
      <alignment horizontal="center" vertical="top"/>
    </xf>
    <xf numFmtId="165" fontId="9" fillId="0" borderId="0" xfId="0" applyFont="1" applyAlignment="1">
      <alignment horizontal="center" vertical="top"/>
    </xf>
    <xf numFmtId="165" fontId="9" fillId="0" borderId="34" xfId="0" applyFont="1" applyBorder="1" applyAlignment="1">
      <alignment horizontal="center" vertical="center"/>
    </xf>
    <xf numFmtId="165" fontId="9" fillId="0" borderId="35" xfId="0" applyFont="1" applyBorder="1" applyAlignment="1">
      <alignment horizontal="center" vertical="center"/>
    </xf>
    <xf numFmtId="165" fontId="8" fillId="0" borderId="36" xfId="0" applyFont="1" applyBorder="1" applyAlignment="1">
      <alignment horizontal="center" vertical="center"/>
    </xf>
    <xf numFmtId="165" fontId="9" fillId="0" borderId="37" xfId="0" applyFont="1" applyBorder="1" applyAlignment="1">
      <alignment horizontal="center" vertical="center"/>
    </xf>
    <xf numFmtId="165" fontId="9" fillId="0" borderId="38" xfId="0" applyFont="1" applyBorder="1" applyAlignment="1">
      <alignment horizontal="center" vertical="center"/>
    </xf>
    <xf numFmtId="165" fontId="9" fillId="0" borderId="39" xfId="0" applyFont="1" applyBorder="1" applyAlignment="1">
      <alignment horizontal="center" vertical="center"/>
    </xf>
    <xf numFmtId="165" fontId="8" fillId="0" borderId="35" xfId="0" applyFont="1" applyBorder="1" applyAlignment="1">
      <alignment vertical="center"/>
    </xf>
    <xf numFmtId="165" fontId="8" fillId="0" borderId="37" xfId="0" applyFont="1" applyBorder="1" applyAlignment="1">
      <alignment vertical="center"/>
    </xf>
    <xf numFmtId="165" fontId="15" fillId="0" borderId="35" xfId="0" applyFont="1" applyBorder="1" applyAlignment="1">
      <alignment horizontal="center" vertical="center"/>
    </xf>
    <xf numFmtId="165" fontId="13" fillId="0" borderId="35" xfId="0" applyFont="1" applyBorder="1" applyAlignment="1">
      <alignment horizontal="center" vertical="center"/>
    </xf>
    <xf numFmtId="165" fontId="13" fillId="0" borderId="37" xfId="0" applyFont="1" applyBorder="1" applyAlignment="1">
      <alignment horizontal="center" vertical="center"/>
    </xf>
    <xf numFmtId="165" fontId="13" fillId="0" borderId="40" xfId="0" applyFont="1" applyBorder="1" applyAlignment="1">
      <alignment horizontal="center" vertical="center"/>
    </xf>
    <xf numFmtId="2" fontId="13" fillId="0" borderId="41" xfId="2" applyNumberFormat="1" applyFont="1" applyBorder="1" applyAlignment="1" applyProtection="1">
      <alignment horizontal="center" vertical="center"/>
    </xf>
    <xf numFmtId="165" fontId="13" fillId="0" borderId="41" xfId="0" applyFont="1" applyBorder="1" applyAlignment="1">
      <alignment horizontal="center" vertical="center"/>
    </xf>
    <xf numFmtId="165" fontId="13" fillId="0" borderId="42" xfId="0" applyFont="1" applyBorder="1" applyAlignment="1">
      <alignment horizontal="center" vertical="center"/>
    </xf>
    <xf numFmtId="165" fontId="13" fillId="0" borderId="43" xfId="0" applyFont="1" applyBorder="1" applyAlignment="1">
      <alignment horizontal="center" vertical="center"/>
    </xf>
    <xf numFmtId="165" fontId="15" fillId="0" borderId="44" xfId="0" applyFont="1" applyBorder="1" applyAlignment="1">
      <alignment horizontal="center" vertical="center"/>
    </xf>
    <xf numFmtId="2" fontId="13" fillId="0" borderId="45" xfId="2" applyNumberFormat="1" applyFont="1" applyBorder="1" applyAlignment="1">
      <alignment horizontal="center" vertical="center"/>
    </xf>
    <xf numFmtId="165" fontId="13" fillId="0" borderId="45" xfId="0" applyFont="1" applyBorder="1" applyAlignment="1">
      <alignment vertical="center"/>
    </xf>
    <xf numFmtId="165" fontId="13" fillId="0" borderId="46" xfId="0" applyFont="1" applyBorder="1" applyAlignment="1">
      <alignment horizontal="center" vertical="center"/>
    </xf>
    <xf numFmtId="165" fontId="13" fillId="0" borderId="47" xfId="0" applyFont="1" applyBorder="1" applyAlignment="1">
      <alignment horizontal="center" vertical="center"/>
    </xf>
    <xf numFmtId="165" fontId="9" fillId="0" borderId="12" xfId="0" applyFont="1" applyBorder="1" applyAlignment="1">
      <alignment horizontal="centerContinuous" vertical="center"/>
    </xf>
    <xf numFmtId="165" fontId="9" fillId="0" borderId="11" xfId="0" applyFont="1" applyBorder="1" applyAlignment="1">
      <alignment horizontal="centerContinuous" vertical="center"/>
    </xf>
    <xf numFmtId="165" fontId="9" fillId="0" borderId="23" xfId="0" applyFont="1" applyBorder="1" applyAlignment="1">
      <alignment horizontal="centerContinuous" vertical="center"/>
    </xf>
    <xf numFmtId="165" fontId="16" fillId="0" borderId="33" xfId="0" applyFont="1" applyBorder="1" applyAlignment="1">
      <alignment horizontal="centerContinuous" vertical="center"/>
    </xf>
    <xf numFmtId="165" fontId="9" fillId="0" borderId="28" xfId="0" applyFont="1" applyBorder="1" applyAlignment="1">
      <alignment horizontal="centerContinuous" vertical="center"/>
    </xf>
    <xf numFmtId="165" fontId="9" fillId="0" borderId="48" xfId="0" applyFont="1" applyBorder="1" applyAlignment="1">
      <alignment horizontal="centerContinuous" vertical="center"/>
    </xf>
    <xf numFmtId="165" fontId="9" fillId="0" borderId="49" xfId="0" applyFont="1" applyBorder="1" applyAlignment="1">
      <alignment horizontal="centerContinuous" vertical="center"/>
    </xf>
    <xf numFmtId="165" fontId="8" fillId="0" borderId="33" xfId="0" applyFont="1" applyBorder="1" applyAlignment="1">
      <alignment vertical="center"/>
    </xf>
    <xf numFmtId="165" fontId="9" fillId="0" borderId="50" xfId="0" applyFont="1" applyBorder="1" applyAlignment="1">
      <alignment horizontal="center" vertical="center"/>
    </xf>
    <xf numFmtId="165" fontId="9" fillId="0" borderId="51" xfId="0" applyFont="1" applyBorder="1" applyAlignment="1">
      <alignment horizontal="center" vertical="center"/>
    </xf>
    <xf numFmtId="165" fontId="9" fillId="0" borderId="52" xfId="0" applyFont="1" applyBorder="1" applyAlignment="1">
      <alignment horizontal="center" vertical="center"/>
    </xf>
    <xf numFmtId="165" fontId="9" fillId="0" borderId="53" xfId="0" applyFont="1" applyBorder="1" applyAlignment="1">
      <alignment horizontal="center" vertical="center"/>
    </xf>
    <xf numFmtId="165" fontId="8" fillId="0" borderId="34" xfId="0" applyFont="1" applyBorder="1" applyAlignment="1">
      <alignment vertical="center"/>
    </xf>
    <xf numFmtId="165" fontId="8" fillId="0" borderId="51" xfId="0" applyFont="1" applyBorder="1" applyAlignment="1">
      <alignment vertical="center"/>
    </xf>
    <xf numFmtId="165" fontId="8" fillId="0" borderId="35" xfId="0" applyFont="1" applyBorder="1" applyAlignment="1">
      <alignment horizontal="center" vertical="center"/>
    </xf>
    <xf numFmtId="165" fontId="8" fillId="0" borderId="28" xfId="0" applyFont="1" applyBorder="1" applyAlignment="1">
      <alignment horizontal="center" vertical="center"/>
    </xf>
    <xf numFmtId="165" fontId="8" fillId="0" borderId="40" xfId="0" applyFont="1" applyBorder="1" applyAlignment="1">
      <alignment horizontal="center" vertical="center"/>
    </xf>
    <xf numFmtId="1" fontId="8" fillId="0" borderId="41" xfId="2" applyNumberFormat="1" applyFont="1" applyBorder="1" applyAlignment="1" applyProtection="1">
      <alignment horizontal="center" vertical="center"/>
    </xf>
    <xf numFmtId="165" fontId="13" fillId="0" borderId="45" xfId="0" applyFont="1" applyBorder="1" applyAlignment="1">
      <alignment horizontal="center" vertical="center"/>
    </xf>
    <xf numFmtId="165" fontId="8" fillId="0" borderId="45" xfId="0" applyFont="1" applyBorder="1" applyAlignment="1">
      <alignment horizontal="center" vertical="center"/>
    </xf>
    <xf numFmtId="165" fontId="8" fillId="8" borderId="54" xfId="0" applyFont="1" applyFill="1" applyBorder="1" applyAlignment="1">
      <alignment horizontal="center" vertical="center"/>
    </xf>
    <xf numFmtId="1" fontId="8" fillId="0" borderId="45" xfId="0" applyNumberFormat="1" applyFont="1" applyBorder="1" applyAlignment="1">
      <alignment horizontal="center" vertical="center"/>
    </xf>
    <xf numFmtId="1" fontId="8" fillId="0" borderId="45" xfId="2" applyNumberFormat="1" applyFont="1" applyBorder="1" applyAlignment="1">
      <alignment horizontal="center" vertical="center"/>
    </xf>
    <xf numFmtId="1" fontId="8" fillId="0" borderId="45" xfId="2" applyNumberFormat="1" applyFont="1" applyBorder="1" applyAlignment="1" applyProtection="1">
      <alignment horizontal="center" vertical="center"/>
    </xf>
    <xf numFmtId="165" fontId="8" fillId="0" borderId="23" xfId="0" applyFont="1" applyBorder="1" applyAlignment="1">
      <alignment horizontal="center" vertical="center"/>
    </xf>
    <xf numFmtId="165" fontId="11" fillId="4" borderId="0" xfId="0" applyFont="1" applyFill="1" applyAlignment="1">
      <alignment horizontal="center" vertical="center"/>
    </xf>
    <xf numFmtId="165" fontId="11" fillId="4" borderId="19" xfId="0" applyFont="1" applyFill="1" applyBorder="1" applyAlignment="1">
      <alignment horizontal="center" vertical="center"/>
    </xf>
    <xf numFmtId="165" fontId="8" fillId="4" borderId="15" xfId="0" applyFont="1" applyFill="1" applyBorder="1" applyAlignment="1">
      <alignment vertical="center"/>
    </xf>
    <xf numFmtId="165" fontId="8" fillId="0" borderId="33" xfId="0" applyFont="1" applyBorder="1" applyAlignment="1">
      <alignment horizontal="center" vertical="center"/>
    </xf>
    <xf numFmtId="165" fontId="9" fillId="0" borderId="36" xfId="0" applyFont="1" applyBorder="1" applyAlignment="1">
      <alignment horizontal="center" vertical="center"/>
    </xf>
    <xf numFmtId="165" fontId="8" fillId="0" borderId="17" xfId="0" quotePrefix="1" applyFont="1" applyBorder="1" applyAlignment="1">
      <alignment vertical="center"/>
    </xf>
    <xf numFmtId="165" fontId="8" fillId="0" borderId="23" xfId="0" applyFont="1" applyBorder="1" applyAlignment="1">
      <alignment horizontal="centerContinuous" vertical="center"/>
    </xf>
    <xf numFmtId="165" fontId="8" fillId="0" borderId="28" xfId="0" applyFont="1" applyBorder="1" applyAlignment="1">
      <alignment horizontal="centerContinuous" vertical="center"/>
    </xf>
    <xf numFmtId="165" fontId="8" fillId="0" borderId="48" xfId="0" applyFont="1" applyBorder="1" applyAlignment="1">
      <alignment horizontal="centerContinuous" vertical="center"/>
    </xf>
    <xf numFmtId="165" fontId="8" fillId="0" borderId="49" xfId="0" applyFont="1" applyBorder="1" applyAlignment="1">
      <alignment horizontal="centerContinuous" vertical="center"/>
    </xf>
    <xf numFmtId="164" fontId="8" fillId="0" borderId="28" xfId="2" applyFont="1" applyBorder="1" applyAlignment="1" applyProtection="1">
      <alignment horizontal="center" vertical="center"/>
    </xf>
    <xf numFmtId="169" fontId="8" fillId="0" borderId="41" xfId="2" applyNumberFormat="1" applyFont="1" applyBorder="1" applyAlignment="1" applyProtection="1">
      <alignment horizontal="center" vertical="center"/>
    </xf>
    <xf numFmtId="164" fontId="13" fillId="0" borderId="41" xfId="2" applyFont="1" applyBorder="1" applyAlignment="1" applyProtection="1">
      <alignment horizontal="center" vertical="center"/>
    </xf>
    <xf numFmtId="164" fontId="8" fillId="0" borderId="41" xfId="2" applyFont="1" applyBorder="1" applyAlignment="1" applyProtection="1">
      <alignment horizontal="center" vertical="center"/>
    </xf>
    <xf numFmtId="164" fontId="8" fillId="0" borderId="24" xfId="2" applyFont="1" applyBorder="1" applyAlignment="1" applyProtection="1">
      <alignment horizontal="center" vertical="center"/>
    </xf>
    <xf numFmtId="169" fontId="8" fillId="0" borderId="45" xfId="2" applyNumberFormat="1" applyFont="1" applyBorder="1" applyAlignment="1">
      <alignment horizontal="center" vertical="center"/>
    </xf>
    <xf numFmtId="164" fontId="13" fillId="0" borderId="45" xfId="2" applyFont="1" applyBorder="1" applyAlignment="1">
      <alignment horizontal="center" vertical="center"/>
    </xf>
    <xf numFmtId="164" fontId="8" fillId="0" borderId="45" xfId="2" applyFont="1" applyBorder="1" applyAlignment="1">
      <alignment horizontal="center" vertical="center"/>
    </xf>
    <xf numFmtId="164" fontId="8" fillId="0" borderId="23" xfId="2" applyFont="1" applyBorder="1" applyAlignment="1" applyProtection="1">
      <alignment horizontal="center" vertical="center"/>
    </xf>
    <xf numFmtId="165" fontId="9" fillId="9" borderId="12" xfId="0" applyFont="1" applyFill="1" applyBorder="1" applyAlignment="1">
      <alignment horizontal="centerContinuous"/>
    </xf>
    <xf numFmtId="165" fontId="9" fillId="9" borderId="11" xfId="0" applyFont="1" applyFill="1" applyBorder="1" applyAlignment="1">
      <alignment horizontal="centerContinuous"/>
    </xf>
    <xf numFmtId="1" fontId="11" fillId="9" borderId="11" xfId="0" applyNumberFormat="1" applyFont="1" applyFill="1" applyBorder="1" applyAlignment="1">
      <alignment horizontal="centerContinuous"/>
    </xf>
    <xf numFmtId="2" fontId="9" fillId="9" borderId="55" xfId="0" applyNumberFormat="1" applyFont="1" applyFill="1" applyBorder="1" applyAlignment="1">
      <alignment horizontal="center"/>
    </xf>
    <xf numFmtId="2" fontId="8" fillId="9" borderId="11" xfId="0" applyNumberFormat="1" applyFont="1" applyFill="1" applyBorder="1"/>
    <xf numFmtId="168" fontId="8" fillId="9" borderId="11" xfId="0" applyNumberFormat="1" applyFont="1" applyFill="1" applyBorder="1" applyAlignment="1">
      <alignment horizontal="centerContinuous"/>
    </xf>
    <xf numFmtId="2" fontId="8" fillId="9" borderId="11" xfId="0" applyNumberFormat="1" applyFont="1" applyFill="1" applyBorder="1" applyAlignment="1">
      <alignment horizontal="centerContinuous"/>
    </xf>
    <xf numFmtId="165" fontId="8" fillId="9" borderId="11" xfId="0" applyFont="1" applyFill="1" applyBorder="1" applyAlignment="1">
      <alignment horizontal="centerContinuous"/>
    </xf>
    <xf numFmtId="165" fontId="8" fillId="9" borderId="11" xfId="0" applyFont="1" applyFill="1" applyBorder="1"/>
    <xf numFmtId="165" fontId="8" fillId="9" borderId="23" xfId="0" applyFont="1" applyFill="1" applyBorder="1"/>
    <xf numFmtId="168" fontId="8" fillId="9" borderId="0" xfId="0" applyNumberFormat="1" applyFont="1" applyFill="1" applyAlignment="1">
      <alignment horizontal="centerContinuous"/>
    </xf>
    <xf numFmtId="165" fontId="8" fillId="9" borderId="28" xfId="0" applyFont="1" applyFill="1" applyBorder="1"/>
    <xf numFmtId="165" fontId="9" fillId="9" borderId="48" xfId="0" applyFont="1" applyFill="1" applyBorder="1" applyAlignment="1">
      <alignment horizontal="centerContinuous"/>
    </xf>
    <xf numFmtId="165" fontId="9" fillId="9" borderId="33" xfId="0" applyFont="1" applyFill="1" applyBorder="1" applyAlignment="1">
      <alignment horizontal="centerContinuous"/>
    </xf>
    <xf numFmtId="165" fontId="9" fillId="9" borderId="33" xfId="0" applyFont="1" applyFill="1" applyBorder="1" applyAlignment="1">
      <alignment horizontal="center" vertical="center"/>
    </xf>
    <xf numFmtId="165" fontId="9" fillId="9" borderId="28" xfId="0" applyFont="1" applyFill="1" applyBorder="1" applyAlignment="1">
      <alignment horizontal="center" vertical="center"/>
    </xf>
    <xf numFmtId="165" fontId="8" fillId="9" borderId="33" xfId="0" applyFont="1" applyFill="1" applyBorder="1"/>
    <xf numFmtId="165" fontId="8" fillId="9" borderId="33" xfId="0" applyFont="1" applyFill="1" applyBorder="1" applyAlignment="1">
      <alignment horizontal="left"/>
    </xf>
    <xf numFmtId="165" fontId="8" fillId="9" borderId="36" xfId="0" applyFont="1" applyFill="1" applyBorder="1" applyAlignment="1">
      <alignment horizontal="center"/>
    </xf>
    <xf numFmtId="165" fontId="8" fillId="9" borderId="52" xfId="0" applyFont="1" applyFill="1" applyBorder="1" applyAlignment="1">
      <alignment horizontal="center"/>
    </xf>
    <xf numFmtId="165" fontId="11" fillId="9" borderId="39" xfId="0" applyFont="1" applyFill="1" applyBorder="1" applyAlignment="1">
      <alignment horizontal="center"/>
    </xf>
    <xf numFmtId="165" fontId="8" fillId="9" borderId="33" xfId="0" applyFont="1" applyFill="1" applyBorder="1" applyAlignment="1">
      <alignment horizontal="center"/>
    </xf>
    <xf numFmtId="165" fontId="11" fillId="9" borderId="37" xfId="0" applyFont="1" applyFill="1" applyBorder="1" applyAlignment="1">
      <alignment horizontal="center"/>
    </xf>
    <xf numFmtId="165" fontId="15" fillId="9" borderId="50" xfId="0" applyFont="1" applyFill="1" applyBorder="1" applyAlignment="1">
      <alignment horizontal="left"/>
    </xf>
    <xf numFmtId="165" fontId="11" fillId="9" borderId="36" xfId="0" applyFont="1" applyFill="1" applyBorder="1" applyAlignment="1">
      <alignment horizontal="center"/>
    </xf>
    <xf numFmtId="165" fontId="16" fillId="0" borderId="18" xfId="0" applyFont="1" applyBorder="1" applyAlignment="1">
      <alignment horizontal="center"/>
    </xf>
    <xf numFmtId="165" fontId="16" fillId="0" borderId="19" xfId="0" applyFont="1" applyBorder="1" applyAlignment="1">
      <alignment horizontal="center"/>
    </xf>
    <xf numFmtId="165" fontId="16" fillId="0" borderId="20" xfId="0" applyFont="1" applyBorder="1" applyAlignment="1">
      <alignment horizontal="center"/>
    </xf>
    <xf numFmtId="165" fontId="16" fillId="0" borderId="14" xfId="0" applyFont="1" applyBorder="1" applyAlignment="1">
      <alignment horizontal="center"/>
    </xf>
    <xf numFmtId="165" fontId="16" fillId="0" borderId="15" xfId="0" applyFont="1" applyBorder="1" applyAlignment="1">
      <alignment horizontal="center"/>
    </xf>
    <xf numFmtId="165" fontId="16" fillId="0" borderId="16" xfId="0" applyFont="1" applyBorder="1" applyAlignment="1">
      <alignment horizontal="center"/>
    </xf>
    <xf numFmtId="165" fontId="9" fillId="0" borderId="34" xfId="0" applyFont="1" applyBorder="1" applyAlignment="1">
      <alignment vertical="center"/>
    </xf>
    <xf numFmtId="165" fontId="8" fillId="0" borderId="51" xfId="0" applyFont="1" applyBorder="1" applyAlignment="1">
      <alignment horizontal="center" vertical="center"/>
    </xf>
    <xf numFmtId="165" fontId="20" fillId="3" borderId="38" xfId="0" applyFont="1" applyFill="1" applyBorder="1" applyAlignment="1">
      <alignment horizontal="center" vertical="center"/>
    </xf>
    <xf numFmtId="170" fontId="9" fillId="0" borderId="11" xfId="0" applyNumberFormat="1" applyFont="1" applyBorder="1" applyAlignment="1">
      <alignment horizontal="centerContinuous" vertical="center"/>
    </xf>
    <xf numFmtId="170" fontId="8" fillId="0" borderId="45" xfId="0" applyNumberFormat="1" applyFont="1" applyBorder="1" applyAlignment="1">
      <alignment horizontal="center" vertical="center"/>
    </xf>
    <xf numFmtId="165" fontId="8" fillId="4" borderId="15" xfId="0" applyFont="1" applyFill="1" applyBorder="1" applyAlignment="1">
      <alignment horizontal="right" vertical="center"/>
    </xf>
    <xf numFmtId="164" fontId="8" fillId="4" borderId="0" xfId="2" applyFont="1" applyFill="1" applyBorder="1" applyAlignment="1">
      <alignment horizontal="center" vertical="center"/>
    </xf>
    <xf numFmtId="165" fontId="9" fillId="0" borderId="11" xfId="0" applyFont="1" applyBorder="1" applyAlignment="1">
      <alignment horizontal="center" vertical="center"/>
    </xf>
    <xf numFmtId="165" fontId="8" fillId="0" borderId="34" xfId="0" applyFont="1" applyBorder="1" applyAlignment="1">
      <alignment horizontal="center" vertical="center"/>
    </xf>
    <xf numFmtId="165" fontId="8" fillId="0" borderId="36" xfId="0" applyFont="1" applyBorder="1" applyAlignment="1">
      <alignment vertical="center"/>
    </xf>
    <xf numFmtId="164" fontId="8" fillId="0" borderId="37" xfId="2" applyFont="1" applyBorder="1" applyAlignment="1">
      <alignment horizontal="center" vertical="center"/>
    </xf>
    <xf numFmtId="164" fontId="8" fillId="0" borderId="37" xfId="2" applyFont="1" applyBorder="1" applyAlignment="1" applyProtection="1">
      <alignment horizontal="center" vertical="center"/>
    </xf>
    <xf numFmtId="2" fontId="8" fillId="0" borderId="45" xfId="2" applyNumberFormat="1" applyFont="1" applyBorder="1" applyAlignment="1">
      <alignment horizontal="center" vertical="center"/>
    </xf>
    <xf numFmtId="164" fontId="8" fillId="0" borderId="47" xfId="2" applyFont="1" applyBorder="1" applyAlignment="1" applyProtection="1">
      <alignment horizontal="center" vertical="center"/>
    </xf>
    <xf numFmtId="165" fontId="8" fillId="5" borderId="0" xfId="0" quotePrefix="1" applyFont="1" applyFill="1" applyAlignment="1">
      <alignment vertical="center"/>
    </xf>
    <xf numFmtId="165" fontId="11" fillId="5" borderId="19" xfId="0" applyFont="1" applyFill="1" applyBorder="1" applyAlignment="1">
      <alignment horizontal="center" vertical="center"/>
    </xf>
    <xf numFmtId="165" fontId="8" fillId="4" borderId="28" xfId="0" applyFont="1" applyFill="1" applyBorder="1" applyAlignment="1">
      <alignment vertical="center"/>
    </xf>
    <xf numFmtId="165" fontId="8" fillId="4" borderId="53" xfId="0" applyFont="1" applyFill="1" applyBorder="1" applyAlignment="1">
      <alignment vertical="center"/>
    </xf>
    <xf numFmtId="165" fontId="8" fillId="4" borderId="51" xfId="0" applyFont="1" applyFill="1" applyBorder="1" applyAlignment="1">
      <alignment vertical="center"/>
    </xf>
    <xf numFmtId="165" fontId="8" fillId="4" borderId="28" xfId="0" applyFont="1" applyFill="1" applyBorder="1" applyAlignment="1">
      <alignment horizontal="center" vertical="center"/>
    </xf>
    <xf numFmtId="167" fontId="8" fillId="4" borderId="0" xfId="0" applyNumberFormat="1" applyFont="1" applyFill="1" applyAlignment="1">
      <alignment horizontal="center" vertical="center"/>
    </xf>
    <xf numFmtId="1" fontId="8" fillId="4" borderId="0" xfId="0" applyNumberFormat="1" applyFont="1" applyFill="1" applyAlignment="1">
      <alignment horizontal="center" vertical="center"/>
    </xf>
    <xf numFmtId="165" fontId="14" fillId="4" borderId="28" xfId="0" applyFont="1" applyFill="1" applyBorder="1" applyAlignment="1">
      <alignment horizontal="center" vertical="center"/>
    </xf>
    <xf numFmtId="165" fontId="8" fillId="4" borderId="11" xfId="0" applyFont="1" applyFill="1" applyBorder="1" applyAlignment="1">
      <alignment horizontal="center" vertical="center"/>
    </xf>
    <xf numFmtId="165" fontId="8" fillId="4" borderId="45" xfId="0" applyFont="1" applyFill="1" applyBorder="1" applyAlignment="1">
      <alignment horizontal="center" vertical="center"/>
    </xf>
    <xf numFmtId="165" fontId="8" fillId="4" borderId="23" xfId="0" applyFont="1" applyFill="1" applyBorder="1" applyAlignment="1">
      <alignment horizontal="center" vertical="center"/>
    </xf>
    <xf numFmtId="165" fontId="9" fillId="0" borderId="23" xfId="0" applyFont="1" applyBorder="1" applyAlignment="1">
      <alignment vertical="center"/>
    </xf>
    <xf numFmtId="165" fontId="9" fillId="0" borderId="48" xfId="0" applyFont="1" applyBorder="1" applyAlignment="1">
      <alignment vertical="center"/>
    </xf>
    <xf numFmtId="165" fontId="9" fillId="0" borderId="49" xfId="0" applyFont="1" applyBorder="1" applyAlignment="1">
      <alignment vertical="center"/>
    </xf>
    <xf numFmtId="165" fontId="9" fillId="0" borderId="28" xfId="0" applyFont="1" applyBorder="1" applyAlignment="1">
      <alignment vertical="center"/>
    </xf>
    <xf numFmtId="165" fontId="9" fillId="0" borderId="53" xfId="0" applyFont="1" applyBorder="1" applyAlignment="1">
      <alignment vertical="center"/>
    </xf>
    <xf numFmtId="164" fontId="13" fillId="0" borderId="45" xfId="2" applyFont="1" applyFill="1" applyBorder="1" applyAlignment="1">
      <alignment horizontal="center" vertical="center"/>
    </xf>
    <xf numFmtId="165" fontId="8" fillId="0" borderId="33" xfId="0" applyFont="1" applyBorder="1"/>
    <xf numFmtId="165" fontId="8" fillId="0" borderId="28" xfId="0" applyFont="1" applyBorder="1"/>
    <xf numFmtId="165" fontId="8" fillId="0" borderId="51" xfId="0" applyFont="1" applyBorder="1" applyAlignment="1">
      <alignment horizontal="center"/>
    </xf>
    <xf numFmtId="165" fontId="8" fillId="0" borderId="53" xfId="0" applyFont="1" applyBorder="1" applyAlignment="1">
      <alignment horizontal="center"/>
    </xf>
    <xf numFmtId="168" fontId="14" fillId="0" borderId="57" xfId="0" applyNumberFormat="1" applyFont="1" applyBorder="1" applyAlignment="1">
      <alignment horizontal="center"/>
    </xf>
    <xf numFmtId="165" fontId="8" fillId="0" borderId="33" xfId="0" quotePrefix="1" applyFont="1" applyBorder="1" applyAlignment="1">
      <alignment horizontal="left"/>
    </xf>
    <xf numFmtId="165" fontId="8" fillId="0" borderId="33" xfId="0" applyFont="1" applyBorder="1" applyAlignment="1">
      <alignment horizontal="left"/>
    </xf>
    <xf numFmtId="168" fontId="8" fillId="0" borderId="28" xfId="0" applyNumberFormat="1" applyFont="1" applyBorder="1" applyAlignment="1">
      <alignment horizontal="center"/>
    </xf>
    <xf numFmtId="165" fontId="8" fillId="0" borderId="13" xfId="0" quotePrefix="1" applyFont="1" applyBorder="1" applyAlignment="1">
      <alignment horizontal="left"/>
    </xf>
    <xf numFmtId="165" fontId="8" fillId="0" borderId="13" xfId="0" applyFont="1" applyBorder="1"/>
    <xf numFmtId="165" fontId="8" fillId="0" borderId="24" xfId="0" applyFont="1" applyBorder="1"/>
    <xf numFmtId="167" fontId="8" fillId="0" borderId="0" xfId="0" applyNumberFormat="1" applyFont="1"/>
    <xf numFmtId="165" fontId="8" fillId="0" borderId="11" xfId="0" applyFont="1" applyBorder="1"/>
    <xf numFmtId="2" fontId="9" fillId="0" borderId="55" xfId="0" applyNumberFormat="1" applyFont="1" applyBorder="1" applyAlignment="1">
      <alignment horizontal="center"/>
    </xf>
    <xf numFmtId="2" fontId="8" fillId="0" borderId="11" xfId="0" applyNumberFormat="1" applyFont="1" applyBorder="1"/>
    <xf numFmtId="168" fontId="8" fillId="0" borderId="11" xfId="0" applyNumberFormat="1" applyFont="1" applyBorder="1"/>
    <xf numFmtId="167" fontId="8" fillId="0" borderId="11" xfId="0" applyNumberFormat="1" applyFont="1" applyBorder="1"/>
    <xf numFmtId="165" fontId="8" fillId="0" borderId="23" xfId="0" applyFont="1" applyBorder="1"/>
    <xf numFmtId="2" fontId="8" fillId="0" borderId="11" xfId="0" applyNumberFormat="1" applyFont="1" applyBorder="1" applyAlignment="1">
      <alignment horizontal="center"/>
    </xf>
    <xf numFmtId="164" fontId="8" fillId="4" borderId="11" xfId="2" applyFont="1" applyFill="1" applyBorder="1" applyAlignment="1" applyProtection="1">
      <alignment horizontal="center" vertical="center"/>
    </xf>
    <xf numFmtId="165" fontId="8" fillId="0" borderId="12" xfId="0" applyFont="1" applyBorder="1"/>
    <xf numFmtId="165" fontId="21" fillId="9" borderId="0" xfId="0" applyFont="1" applyFill="1" applyAlignment="1">
      <alignment horizontal="center"/>
    </xf>
    <xf numFmtId="167" fontId="8" fillId="9" borderId="0" xfId="0" applyNumberFormat="1" applyFont="1" applyFill="1" applyAlignment="1">
      <alignment horizontal="center"/>
    </xf>
    <xf numFmtId="1" fontId="8" fillId="9" borderId="0" xfId="0" applyNumberFormat="1" applyFont="1" applyFill="1" applyAlignment="1">
      <alignment horizontal="center"/>
    </xf>
    <xf numFmtId="165" fontId="21" fillId="0" borderId="0" xfId="0" applyFont="1"/>
    <xf numFmtId="1" fontId="8" fillId="0" borderId="0" xfId="0" applyNumberFormat="1" applyFont="1" applyAlignment="1">
      <alignment horizontal="center"/>
    </xf>
    <xf numFmtId="165" fontId="15" fillId="9" borderId="12" xfId="0" applyFont="1" applyFill="1" applyBorder="1"/>
    <xf numFmtId="165" fontId="8" fillId="9" borderId="46" xfId="0" applyFont="1" applyFill="1" applyBorder="1"/>
    <xf numFmtId="2" fontId="14" fillId="9" borderId="59" xfId="0" applyNumberFormat="1" applyFont="1" applyFill="1" applyBorder="1" applyAlignment="1">
      <alignment horizontal="centerContinuous"/>
    </xf>
    <xf numFmtId="2" fontId="14" fillId="9" borderId="60" xfId="0" applyNumberFormat="1" applyFont="1" applyFill="1" applyBorder="1" applyAlignment="1">
      <alignment horizontal="centerContinuous"/>
    </xf>
    <xf numFmtId="167" fontId="22" fillId="9" borderId="60" xfId="0" applyNumberFormat="1" applyFont="1" applyFill="1" applyBorder="1" applyAlignment="1">
      <alignment horizontal="left"/>
    </xf>
    <xf numFmtId="167" fontId="14" fillId="9" borderId="60" xfId="0" applyNumberFormat="1" applyFont="1" applyFill="1" applyBorder="1" applyAlignment="1">
      <alignment horizontal="left"/>
    </xf>
    <xf numFmtId="165" fontId="14" fillId="9" borderId="61" xfId="0" applyFont="1" applyFill="1" applyBorder="1" applyAlignment="1">
      <alignment horizontal="centerContinuous"/>
    </xf>
    <xf numFmtId="165" fontId="14" fillId="9" borderId="59" xfId="0" quotePrefix="1" applyFont="1" applyFill="1" applyBorder="1"/>
    <xf numFmtId="165" fontId="14" fillId="9" borderId="61" xfId="0" applyFont="1" applyFill="1" applyBorder="1"/>
    <xf numFmtId="165" fontId="14" fillId="9" borderId="59" xfId="0" quotePrefix="1" applyFont="1" applyFill="1" applyBorder="1" applyAlignment="1">
      <alignment horizontal="centerContinuous"/>
    </xf>
    <xf numFmtId="165" fontId="14" fillId="9" borderId="62" xfId="0" applyFont="1" applyFill="1" applyBorder="1" applyAlignment="1">
      <alignment horizontal="centerContinuous"/>
    </xf>
    <xf numFmtId="1" fontId="8" fillId="9" borderId="28" xfId="0" applyNumberFormat="1" applyFont="1" applyFill="1" applyBorder="1" applyAlignment="1">
      <alignment horizontal="center"/>
    </xf>
    <xf numFmtId="165" fontId="21" fillId="9" borderId="13" xfId="0" applyFont="1" applyFill="1" applyBorder="1" applyAlignment="1">
      <alignment horizontal="center"/>
    </xf>
    <xf numFmtId="1" fontId="8" fillId="9" borderId="13" xfId="0" applyNumberFormat="1" applyFont="1" applyFill="1" applyBorder="1"/>
    <xf numFmtId="165" fontId="8" fillId="9" borderId="13" xfId="0" applyFont="1" applyFill="1" applyBorder="1"/>
    <xf numFmtId="2" fontId="8" fillId="9" borderId="13" xfId="0" applyNumberFormat="1" applyFont="1" applyFill="1" applyBorder="1"/>
    <xf numFmtId="2" fontId="8" fillId="9" borderId="13" xfId="0" applyNumberFormat="1" applyFont="1" applyFill="1" applyBorder="1" applyAlignment="1">
      <alignment horizontal="center"/>
    </xf>
    <xf numFmtId="168" fontId="8" fillId="9" borderId="13" xfId="0" applyNumberFormat="1" applyFont="1" applyFill="1" applyBorder="1"/>
    <xf numFmtId="167" fontId="8" fillId="9" borderId="13" xfId="0" applyNumberFormat="1" applyFont="1" applyFill="1" applyBorder="1" applyAlignment="1">
      <alignment horizontal="center"/>
    </xf>
    <xf numFmtId="1" fontId="8" fillId="9" borderId="13" xfId="0" applyNumberFormat="1" applyFont="1" applyFill="1" applyBorder="1" applyAlignment="1">
      <alignment horizontal="center"/>
    </xf>
    <xf numFmtId="1" fontId="8" fillId="9" borderId="24" xfId="0" applyNumberFormat="1" applyFont="1" applyFill="1" applyBorder="1" applyAlignment="1">
      <alignment horizontal="center"/>
    </xf>
    <xf numFmtId="2" fontId="11" fillId="0" borderId="0" xfId="0" applyNumberFormat="1" applyFont="1" applyAlignment="1">
      <alignment horizontal="centerContinuous"/>
    </xf>
    <xf numFmtId="165" fontId="11" fillId="0" borderId="0" xfId="0" applyFont="1" applyAlignment="1">
      <alignment horizontal="center"/>
    </xf>
    <xf numFmtId="2" fontId="21" fillId="0" borderId="0" xfId="0" applyNumberFormat="1" applyFont="1" applyAlignment="1">
      <alignment horizontal="centerContinuous"/>
    </xf>
    <xf numFmtId="167" fontId="22" fillId="0" borderId="11" xfId="0" applyNumberFormat="1" applyFont="1" applyBorder="1" applyAlignment="1">
      <alignment horizontal="left"/>
    </xf>
    <xf numFmtId="167" fontId="14" fillId="0" borderId="11" xfId="0" applyNumberFormat="1" applyFont="1" applyBorder="1" applyAlignment="1">
      <alignment horizontal="left"/>
    </xf>
    <xf numFmtId="165" fontId="8" fillId="0" borderId="28" xfId="0" applyFont="1" applyBorder="1" applyAlignment="1">
      <alignment horizontal="center"/>
    </xf>
    <xf numFmtId="165" fontId="11" fillId="0" borderId="28" xfId="0" applyFont="1" applyBorder="1" applyAlignment="1">
      <alignment horizontal="center"/>
    </xf>
    <xf numFmtId="165" fontId="15" fillId="0" borderId="33" xfId="0" applyFont="1" applyBorder="1" applyAlignment="1">
      <alignment horizontal="left"/>
    </xf>
    <xf numFmtId="1" fontId="8" fillId="0" borderId="28" xfId="0" applyNumberFormat="1" applyFont="1" applyBorder="1" applyAlignment="1">
      <alignment horizontal="center"/>
    </xf>
    <xf numFmtId="165" fontId="60" fillId="9" borderId="33" xfId="0" applyFont="1" applyFill="1" applyBorder="1" applyAlignment="1">
      <alignment horizontal="centerContinuous"/>
    </xf>
    <xf numFmtId="173" fontId="8" fillId="0" borderId="0" xfId="2" applyNumberFormat="1" applyFont="1"/>
    <xf numFmtId="165" fontId="8" fillId="0" borderId="25" xfId="0" applyFont="1" applyBorder="1"/>
    <xf numFmtId="165" fontId="21" fillId="0" borderId="13" xfId="0" applyFont="1" applyBorder="1"/>
    <xf numFmtId="1" fontId="8" fillId="0" borderId="13" xfId="0" applyNumberFormat="1" applyFont="1" applyBorder="1"/>
    <xf numFmtId="2" fontId="8" fillId="0" borderId="13" xfId="0" applyNumberFormat="1" applyFont="1" applyBorder="1"/>
    <xf numFmtId="2" fontId="8" fillId="0" borderId="13" xfId="0" applyNumberFormat="1" applyFont="1" applyBorder="1" applyAlignment="1">
      <alignment horizontal="center"/>
    </xf>
    <xf numFmtId="168" fontId="8" fillId="0" borderId="13" xfId="0" applyNumberFormat="1" applyFont="1" applyBorder="1"/>
    <xf numFmtId="167" fontId="8" fillId="0" borderId="13" xfId="0" applyNumberFormat="1" applyFont="1" applyBorder="1" applyAlignment="1">
      <alignment horizontal="center"/>
    </xf>
    <xf numFmtId="1" fontId="8" fillId="0" borderId="13" xfId="0" applyNumberFormat="1" applyFont="1" applyBorder="1" applyAlignment="1">
      <alignment horizontal="center"/>
    </xf>
    <xf numFmtId="1" fontId="8" fillId="0" borderId="24" xfId="0" applyNumberFormat="1" applyFont="1" applyBorder="1" applyAlignment="1">
      <alignment horizontal="center"/>
    </xf>
    <xf numFmtId="165" fontId="15" fillId="0" borderId="12" xfId="0" applyFont="1" applyBorder="1"/>
    <xf numFmtId="1" fontId="8" fillId="0" borderId="11" xfId="0" applyNumberFormat="1" applyFont="1" applyBorder="1"/>
    <xf numFmtId="168" fontId="8" fillId="0" borderId="0" xfId="0" applyNumberFormat="1" applyFont="1" applyAlignment="1">
      <alignment vertical="center"/>
    </xf>
    <xf numFmtId="168" fontId="14" fillId="0" borderId="0" xfId="0" applyNumberFormat="1" applyFont="1" applyAlignment="1">
      <alignment vertical="center"/>
    </xf>
    <xf numFmtId="165" fontId="14" fillId="0" borderId="0" xfId="0" applyFont="1" applyAlignment="1">
      <alignment vertical="center"/>
    </xf>
    <xf numFmtId="167" fontId="14" fillId="0" borderId="0" xfId="0" applyNumberFormat="1" applyFont="1" applyAlignment="1">
      <alignment vertical="center"/>
    </xf>
    <xf numFmtId="165" fontId="8" fillId="9" borderId="35" xfId="0" applyFont="1" applyFill="1" applyBorder="1" applyAlignment="1">
      <alignment horizontal="center" vertical="center"/>
    </xf>
    <xf numFmtId="1" fontId="8" fillId="9" borderId="17" xfId="2" applyNumberFormat="1" applyFont="1" applyFill="1" applyBorder="1" applyAlignment="1" applyProtection="1">
      <alignment horizontal="center" vertical="center"/>
    </xf>
    <xf numFmtId="2" fontId="8" fillId="9" borderId="17" xfId="0" applyNumberFormat="1" applyFont="1" applyFill="1" applyBorder="1" applyAlignment="1">
      <alignment horizontal="center" vertical="center"/>
    </xf>
    <xf numFmtId="165" fontId="8" fillId="9" borderId="17" xfId="0" applyFont="1" applyFill="1" applyBorder="1" applyAlignment="1">
      <alignment horizontal="center" vertical="center"/>
    </xf>
    <xf numFmtId="165" fontId="8" fillId="9" borderId="28" xfId="0" applyFont="1" applyFill="1" applyBorder="1" applyAlignment="1">
      <alignment horizontal="center" vertical="center"/>
    </xf>
    <xf numFmtId="165" fontId="15" fillId="9" borderId="44" xfId="0" applyFont="1" applyFill="1" applyBorder="1" applyAlignment="1">
      <alignment horizontal="center" vertical="center"/>
    </xf>
    <xf numFmtId="1" fontId="8" fillId="9" borderId="45" xfId="2" applyNumberFormat="1" applyFont="1" applyFill="1" applyBorder="1" applyAlignment="1" applyProtection="1">
      <alignment horizontal="center" vertical="center"/>
    </xf>
    <xf numFmtId="2" fontId="8" fillId="9" borderId="45" xfId="0" applyNumberFormat="1" applyFont="1" applyFill="1" applyBorder="1" applyAlignment="1">
      <alignment horizontal="center" vertical="center"/>
    </xf>
    <xf numFmtId="165" fontId="8" fillId="9" borderId="45" xfId="0" applyFont="1" applyFill="1" applyBorder="1" applyAlignment="1">
      <alignment horizontal="center" vertical="center"/>
    </xf>
    <xf numFmtId="165" fontId="8" fillId="9" borderId="23" xfId="0" applyFont="1" applyFill="1" applyBorder="1" applyAlignment="1">
      <alignment horizontal="center" vertical="center"/>
    </xf>
    <xf numFmtId="165" fontId="8" fillId="10" borderId="0" xfId="0" applyFont="1" applyFill="1" applyAlignment="1">
      <alignment horizontal="center" vertical="center"/>
    </xf>
    <xf numFmtId="165" fontId="14" fillId="10" borderId="17" xfId="0" applyFont="1" applyFill="1" applyBorder="1" applyAlignment="1">
      <alignment horizontal="center" vertical="center"/>
    </xf>
    <xf numFmtId="167" fontId="8" fillId="10" borderId="0" xfId="0" applyNumberFormat="1" applyFont="1" applyFill="1" applyAlignment="1">
      <alignment horizontal="center" vertical="center"/>
    </xf>
    <xf numFmtId="1" fontId="8" fillId="10" borderId="0" xfId="0" applyNumberFormat="1" applyFont="1" applyFill="1" applyAlignment="1">
      <alignment horizontal="center" vertical="center"/>
    </xf>
    <xf numFmtId="1" fontId="8" fillId="10" borderId="2" xfId="0" applyNumberFormat="1" applyFont="1" applyFill="1" applyBorder="1" applyAlignment="1">
      <alignment horizontal="center" vertical="center"/>
    </xf>
    <xf numFmtId="165" fontId="14" fillId="10" borderId="28" xfId="0" applyFont="1" applyFill="1" applyBorder="1" applyAlignment="1">
      <alignment horizontal="center" vertical="center"/>
    </xf>
    <xf numFmtId="165" fontId="8" fillId="10" borderId="11" xfId="0" applyFont="1" applyFill="1" applyBorder="1" applyAlignment="1">
      <alignment horizontal="center" vertical="center"/>
    </xf>
    <xf numFmtId="165" fontId="8" fillId="10" borderId="45" xfId="0" applyFont="1" applyFill="1" applyBorder="1" applyAlignment="1">
      <alignment horizontal="center" vertical="center"/>
    </xf>
    <xf numFmtId="165" fontId="8" fillId="10" borderId="56" xfId="0" applyFont="1" applyFill="1" applyBorder="1" applyAlignment="1">
      <alignment horizontal="center" vertical="center"/>
    </xf>
    <xf numFmtId="165" fontId="8" fillId="10" borderId="23" xfId="0" applyFont="1" applyFill="1" applyBorder="1" applyAlignment="1">
      <alignment horizontal="center" vertical="center"/>
    </xf>
    <xf numFmtId="1" fontId="8" fillId="0" borderId="17" xfId="2" applyNumberFormat="1" applyFont="1" applyFill="1" applyBorder="1" applyAlignment="1" applyProtection="1">
      <alignment horizontal="center" vertical="center"/>
    </xf>
    <xf numFmtId="164" fontId="8" fillId="0" borderId="37" xfId="2" applyFont="1" applyFill="1" applyBorder="1" applyAlignment="1" applyProtection="1">
      <alignment horizontal="center" vertical="center"/>
    </xf>
    <xf numFmtId="0" fontId="66" fillId="0" borderId="0" xfId="3"/>
    <xf numFmtId="3" fontId="13" fillId="0" borderId="1" xfId="0" applyNumberFormat="1" applyFont="1" applyBorder="1" applyAlignment="1">
      <alignment horizontal="center" vertical="center"/>
    </xf>
    <xf numFmtId="165" fontId="9" fillId="0" borderId="33" xfId="0" applyFont="1" applyBorder="1" applyAlignment="1">
      <alignment horizontal="left" vertical="center"/>
    </xf>
    <xf numFmtId="165" fontId="8" fillId="0" borderId="24" xfId="0" applyFont="1" applyBorder="1" applyAlignment="1">
      <alignment horizontal="center" vertical="center"/>
    </xf>
    <xf numFmtId="165" fontId="70" fillId="9" borderId="0" xfId="0" applyFont="1" applyFill="1"/>
    <xf numFmtId="2" fontId="8" fillId="0" borderId="41" xfId="0" applyNumberFormat="1" applyFont="1" applyBorder="1" applyAlignment="1">
      <alignment horizontal="center" vertical="center"/>
    </xf>
    <xf numFmtId="165" fontId="8" fillId="0" borderId="41" xfId="0" applyFont="1" applyBorder="1" applyAlignment="1">
      <alignment horizontal="center" vertical="center"/>
    </xf>
    <xf numFmtId="165" fontId="8" fillId="10" borderId="13" xfId="0" applyFont="1" applyFill="1" applyBorder="1" applyAlignment="1">
      <alignment horizontal="center" vertical="center"/>
    </xf>
    <xf numFmtId="165" fontId="14" fillId="4" borderId="41" xfId="0" applyFont="1" applyFill="1" applyBorder="1" applyAlignment="1">
      <alignment horizontal="center" vertical="center"/>
    </xf>
    <xf numFmtId="167" fontId="8" fillId="4" borderId="13" xfId="0" applyNumberFormat="1" applyFont="1" applyFill="1" applyBorder="1" applyAlignment="1">
      <alignment horizontal="center" vertical="center"/>
    </xf>
    <xf numFmtId="1" fontId="8" fillId="4" borderId="13" xfId="0" applyNumberFormat="1" applyFont="1" applyFill="1" applyBorder="1" applyAlignment="1">
      <alignment horizontal="center" vertical="center"/>
    </xf>
    <xf numFmtId="165" fontId="14" fillId="4" borderId="24" xfId="0" applyFont="1" applyFill="1" applyBorder="1" applyAlignment="1">
      <alignment horizontal="center" vertical="center"/>
    </xf>
    <xf numFmtId="164" fontId="8" fillId="0" borderId="43" xfId="2" applyFont="1" applyBorder="1" applyAlignment="1" applyProtection="1">
      <alignment horizontal="center" vertical="center"/>
    </xf>
    <xf numFmtId="165" fontId="8" fillId="8" borderId="64" xfId="0" applyFont="1" applyFill="1" applyBorder="1" applyAlignment="1">
      <alignment horizontal="center" vertical="center"/>
    </xf>
    <xf numFmtId="1" fontId="8" fillId="0" borderId="41" xfId="0" applyNumberFormat="1" applyFont="1" applyBorder="1" applyAlignment="1">
      <alignment horizontal="center" vertical="center"/>
    </xf>
    <xf numFmtId="170" fontId="8" fillId="0" borderId="41" xfId="0" applyNumberFormat="1" applyFont="1" applyBorder="1" applyAlignment="1">
      <alignment horizontal="center" vertical="center"/>
    </xf>
    <xf numFmtId="165" fontId="8" fillId="9" borderId="40" xfId="0" applyFont="1" applyFill="1" applyBorder="1" applyAlignment="1">
      <alignment horizontal="center" vertical="center"/>
    </xf>
    <xf numFmtId="1" fontId="8" fillId="9" borderId="41" xfId="2" applyNumberFormat="1" applyFont="1" applyFill="1" applyBorder="1" applyAlignment="1" applyProtection="1">
      <alignment horizontal="center" vertical="center"/>
    </xf>
    <xf numFmtId="2" fontId="8" fillId="9" borderId="41" xfId="0" applyNumberFormat="1" applyFont="1" applyFill="1" applyBorder="1" applyAlignment="1">
      <alignment horizontal="center" vertical="center"/>
    </xf>
    <xf numFmtId="165" fontId="8" fillId="9" borderId="41" xfId="0" applyFont="1" applyFill="1" applyBorder="1" applyAlignment="1">
      <alignment horizontal="center" vertical="center"/>
    </xf>
    <xf numFmtId="165" fontId="8" fillId="9" borderId="24" xfId="0" applyFont="1" applyFill="1" applyBorder="1" applyAlignment="1">
      <alignment horizontal="center" vertical="center"/>
    </xf>
    <xf numFmtId="165" fontId="14" fillId="10" borderId="41" xfId="0" applyFont="1" applyFill="1" applyBorder="1" applyAlignment="1">
      <alignment horizontal="center" vertical="center"/>
    </xf>
    <xf numFmtId="167" fontId="8" fillId="10" borderId="13" xfId="0" applyNumberFormat="1" applyFont="1" applyFill="1" applyBorder="1" applyAlignment="1">
      <alignment horizontal="center" vertical="center"/>
    </xf>
    <xf numFmtId="1" fontId="8" fillId="10" borderId="13" xfId="0" applyNumberFormat="1" applyFont="1" applyFill="1" applyBorder="1" applyAlignment="1">
      <alignment horizontal="center" vertical="center"/>
    </xf>
    <xf numFmtId="1" fontId="8" fillId="10" borderId="63" xfId="0" applyNumberFormat="1" applyFont="1" applyFill="1" applyBorder="1" applyAlignment="1">
      <alignment horizontal="center" vertical="center"/>
    </xf>
    <xf numFmtId="165" fontId="14" fillId="10" borderId="24" xfId="0" applyFont="1" applyFill="1" applyBorder="1" applyAlignment="1">
      <alignment horizontal="center" vertical="center"/>
    </xf>
    <xf numFmtId="165" fontId="8" fillId="8" borderId="0" xfId="0" applyFont="1" applyFill="1" applyAlignment="1">
      <alignment vertical="center"/>
    </xf>
    <xf numFmtId="165" fontId="8" fillId="8" borderId="0" xfId="0" applyFont="1" applyFill="1" applyAlignment="1">
      <alignment horizontal="center" vertical="center"/>
    </xf>
    <xf numFmtId="165" fontId="62" fillId="8" borderId="0" xfId="0" applyFont="1" applyFill="1" applyAlignment="1">
      <alignment vertical="center"/>
    </xf>
    <xf numFmtId="165" fontId="13" fillId="0" borderId="0" xfId="0" applyFont="1" applyAlignment="1">
      <alignment horizontal="center" vertical="center"/>
    </xf>
    <xf numFmtId="2" fontId="8" fillId="0" borderId="45" xfId="0" applyNumberFormat="1" applyFont="1" applyBorder="1" applyAlignment="1">
      <alignment horizontal="center" vertical="center"/>
    </xf>
    <xf numFmtId="165" fontId="8" fillId="9" borderId="13" xfId="0" applyFont="1" applyFill="1" applyBorder="1" applyAlignment="1">
      <alignment horizontal="center"/>
    </xf>
    <xf numFmtId="165" fontId="71" fillId="0" borderId="0" xfId="0" applyFont="1" applyAlignment="1">
      <alignment vertical="center"/>
    </xf>
    <xf numFmtId="165" fontId="8" fillId="0" borderId="0" xfId="0" applyFont="1" applyAlignment="1">
      <alignment vertical="center" wrapText="1"/>
    </xf>
    <xf numFmtId="164" fontId="13" fillId="0" borderId="41" xfId="2" applyFont="1" applyFill="1" applyBorder="1" applyAlignment="1" applyProtection="1">
      <alignment horizontal="center" vertical="center"/>
    </xf>
    <xf numFmtId="4" fontId="0" fillId="0" borderId="0" xfId="0" applyNumberFormat="1"/>
    <xf numFmtId="2" fontId="13" fillId="0" borderId="42" xfId="2" applyNumberFormat="1" applyFont="1" applyBorder="1" applyAlignment="1" applyProtection="1">
      <alignment horizontal="center" vertical="center"/>
    </xf>
    <xf numFmtId="4" fontId="8" fillId="0" borderId="0" xfId="0" applyNumberFormat="1" applyFont="1" applyAlignment="1">
      <alignment vertical="center"/>
    </xf>
    <xf numFmtId="4" fontId="9" fillId="0" borderId="11" xfId="0" applyNumberFormat="1" applyFont="1" applyBorder="1" applyAlignment="1">
      <alignment horizontal="centerContinuous" vertical="center"/>
    </xf>
    <xf numFmtId="4" fontId="9" fillId="0" borderId="0" xfId="0" applyNumberFormat="1" applyFont="1" applyAlignment="1">
      <alignment horizontal="centerContinuous" vertical="center"/>
    </xf>
    <xf numFmtId="4" fontId="9" fillId="0" borderId="9" xfId="0" applyNumberFormat="1" applyFont="1" applyBorder="1" applyAlignment="1">
      <alignment horizontal="centerContinuous" vertical="center"/>
    </xf>
    <xf numFmtId="4" fontId="9" fillId="0" borderId="0" xfId="0" applyNumberFormat="1" applyFont="1" applyAlignment="1">
      <alignment horizontal="center" vertical="center"/>
    </xf>
    <xf numFmtId="4" fontId="9" fillId="0" borderId="21" xfId="0" applyNumberFormat="1" applyFont="1" applyBorder="1" applyAlignment="1">
      <alignment vertical="center"/>
    </xf>
    <xf numFmtId="4" fontId="9" fillId="0" borderId="22" xfId="0" applyNumberFormat="1" applyFont="1" applyBorder="1" applyAlignment="1">
      <alignment horizontal="center" vertical="center"/>
    </xf>
    <xf numFmtId="4" fontId="8" fillId="0" borderId="16" xfId="0" applyNumberFormat="1" applyFont="1" applyBorder="1" applyAlignment="1">
      <alignment horizontal="center" vertical="center"/>
    </xf>
    <xf numFmtId="4" fontId="8" fillId="0" borderId="17" xfId="0" applyNumberFormat="1" applyFont="1" applyBorder="1" applyAlignment="1">
      <alignment vertical="center"/>
    </xf>
    <xf numFmtId="4" fontId="13" fillId="0" borderId="17" xfId="0" applyNumberFormat="1" applyFont="1" applyBorder="1" applyAlignment="1">
      <alignment horizontal="center" vertical="center"/>
    </xf>
    <xf numFmtId="4" fontId="8" fillId="0" borderId="17" xfId="0" applyNumberFormat="1" applyFont="1" applyBorder="1" applyAlignment="1">
      <alignment horizontal="center" vertical="center"/>
    </xf>
    <xf numFmtId="4" fontId="8" fillId="0" borderId="45" xfId="2" applyNumberFormat="1" applyFont="1" applyBorder="1" applyAlignment="1" applyProtection="1">
      <alignment horizontal="center" vertical="center"/>
    </xf>
    <xf numFmtId="4" fontId="8" fillId="0" borderId="45" xfId="0" applyNumberFormat="1" applyFont="1" applyBorder="1" applyAlignment="1">
      <alignment horizontal="center" vertical="center"/>
    </xf>
    <xf numFmtId="4" fontId="8" fillId="0" borderId="41" xfId="0" applyNumberFormat="1" applyFont="1" applyBorder="1" applyAlignment="1">
      <alignment horizontal="center" vertical="center"/>
    </xf>
    <xf numFmtId="4" fontId="0" fillId="0" borderId="0" xfId="0" applyNumberFormat="1" applyAlignment="1">
      <alignment horizontal="center"/>
    </xf>
    <xf numFmtId="4" fontId="8" fillId="0" borderId="0" xfId="0" applyNumberFormat="1" applyFont="1" applyAlignment="1">
      <alignment horizontal="center" vertical="center"/>
    </xf>
    <xf numFmtId="4" fontId="9" fillId="0" borderId="11" xfId="0" applyNumberFormat="1" applyFont="1" applyBorder="1" applyAlignment="1">
      <alignment horizontal="center" vertical="center"/>
    </xf>
    <xf numFmtId="4" fontId="9" fillId="0" borderId="9" xfId="0" applyNumberFormat="1" applyFont="1" applyBorder="1" applyAlignment="1">
      <alignment horizontal="center" vertical="center"/>
    </xf>
    <xf numFmtId="4" fontId="9" fillId="0" borderId="21" xfId="0" applyNumberFormat="1" applyFont="1" applyBorder="1" applyAlignment="1">
      <alignment horizontal="center" vertical="center"/>
    </xf>
    <xf numFmtId="4" fontId="8" fillId="0" borderId="1" xfId="0" applyNumberFormat="1" applyFont="1" applyBorder="1" applyAlignment="1">
      <alignment horizontal="center" vertical="center"/>
    </xf>
    <xf numFmtId="4" fontId="8" fillId="0" borderId="1" xfId="0" applyNumberFormat="1" applyFont="1" applyBorder="1" applyAlignment="1">
      <alignment vertical="center"/>
    </xf>
    <xf numFmtId="4" fontId="13" fillId="0" borderId="45" xfId="0" applyNumberFormat="1" applyFont="1" applyBorder="1" applyAlignment="1">
      <alignment horizontal="center" vertical="center"/>
    </xf>
    <xf numFmtId="4" fontId="9" fillId="0" borderId="15" xfId="0" applyNumberFormat="1" applyFont="1" applyBorder="1" applyAlignment="1">
      <alignment horizontal="center" vertical="center"/>
    </xf>
    <xf numFmtId="4" fontId="9" fillId="0" borderId="1" xfId="0" applyNumberFormat="1" applyFont="1" applyBorder="1" applyAlignment="1">
      <alignment horizontal="center" vertical="center"/>
    </xf>
    <xf numFmtId="4" fontId="9" fillId="0" borderId="19" xfId="0" applyNumberFormat="1" applyFont="1" applyBorder="1" applyAlignment="1">
      <alignment horizontal="center" vertical="center"/>
    </xf>
    <xf numFmtId="4" fontId="9" fillId="0" borderId="17" xfId="0" applyNumberFormat="1" applyFont="1" applyBorder="1" applyAlignment="1">
      <alignment horizontal="center" vertical="center"/>
    </xf>
    <xf numFmtId="4" fontId="8" fillId="0" borderId="17" xfId="2" applyNumberFormat="1" applyFont="1" applyBorder="1" applyAlignment="1">
      <alignment horizontal="center" vertical="center"/>
    </xf>
    <xf numFmtId="4" fontId="8" fillId="0" borderId="17" xfId="2" applyNumberFormat="1" applyFont="1" applyBorder="1" applyAlignment="1" applyProtection="1">
      <alignment horizontal="center" vertical="center"/>
    </xf>
    <xf numFmtId="4" fontId="8" fillId="0" borderId="17" xfId="2" applyNumberFormat="1" applyFont="1" applyFill="1" applyBorder="1" applyAlignment="1" applyProtection="1">
      <alignment horizontal="center" vertical="center"/>
    </xf>
    <xf numFmtId="4" fontId="8" fillId="0" borderId="45" xfId="2" applyNumberFormat="1" applyFont="1" applyBorder="1" applyAlignment="1">
      <alignment horizontal="center" vertical="center"/>
    </xf>
    <xf numFmtId="4" fontId="8" fillId="0" borderId="11" xfId="0" applyNumberFormat="1" applyFont="1" applyBorder="1" applyAlignment="1">
      <alignment vertical="center"/>
    </xf>
    <xf numFmtId="4" fontId="8" fillId="4" borderId="0" xfId="0" applyNumberFormat="1" applyFont="1" applyFill="1" applyAlignment="1">
      <alignment vertical="center"/>
    </xf>
    <xf numFmtId="4" fontId="8" fillId="4" borderId="19" xfId="0" applyNumberFormat="1" applyFont="1" applyFill="1" applyBorder="1" applyAlignment="1">
      <alignment vertical="center"/>
    </xf>
    <xf numFmtId="4" fontId="8" fillId="4" borderId="14" xfId="0" applyNumberFormat="1" applyFont="1" applyFill="1" applyBorder="1" applyAlignment="1">
      <alignment vertical="center"/>
    </xf>
    <xf numFmtId="4" fontId="8" fillId="4" borderId="2" xfId="0" applyNumberFormat="1" applyFont="1" applyFill="1" applyBorder="1" applyAlignment="1">
      <alignment horizontal="center" vertical="center"/>
    </xf>
    <xf numFmtId="4" fontId="8" fillId="4" borderId="56" xfId="0" applyNumberFormat="1" applyFont="1" applyFill="1" applyBorder="1" applyAlignment="1">
      <alignment horizontal="center" vertical="center"/>
    </xf>
    <xf numFmtId="4" fontId="8" fillId="0" borderId="41" xfId="2" applyNumberFormat="1" applyFont="1" applyBorder="1" applyAlignment="1" applyProtection="1">
      <alignment horizontal="center" vertical="center"/>
    </xf>
    <xf numFmtId="165" fontId="8" fillId="4" borderId="13" xfId="0" applyFont="1" applyFill="1" applyBorder="1" applyAlignment="1">
      <alignment horizontal="center" vertical="center"/>
    </xf>
    <xf numFmtId="4" fontId="8" fillId="4" borderId="63" xfId="0" applyNumberFormat="1" applyFont="1" applyFill="1" applyBorder="1" applyAlignment="1">
      <alignment horizontal="center" vertical="center"/>
    </xf>
    <xf numFmtId="4" fontId="13" fillId="0" borderId="42" xfId="0" applyNumberFormat="1" applyFont="1" applyBorder="1" applyAlignment="1">
      <alignment horizontal="center" vertical="center"/>
    </xf>
    <xf numFmtId="165" fontId="73" fillId="0" borderId="0" xfId="0" applyFont="1" applyAlignment="1">
      <alignment vertical="center"/>
    </xf>
    <xf numFmtId="165" fontId="15" fillId="9" borderId="12" xfId="0" applyFont="1" applyFill="1" applyBorder="1" applyAlignment="1">
      <alignment horizontal="left"/>
    </xf>
    <xf numFmtId="1" fontId="8" fillId="9" borderId="11" xfId="0" applyNumberFormat="1" applyFont="1" applyFill="1" applyBorder="1"/>
    <xf numFmtId="167" fontId="8" fillId="9" borderId="11" xfId="0" applyNumberFormat="1" applyFont="1" applyFill="1" applyBorder="1"/>
    <xf numFmtId="2" fontId="8" fillId="9" borderId="11" xfId="0" applyNumberFormat="1" applyFont="1" applyFill="1" applyBorder="1" applyAlignment="1">
      <alignment horizontal="center"/>
    </xf>
    <xf numFmtId="168" fontId="8" fillId="9" borderId="11" xfId="0" applyNumberFormat="1" applyFont="1" applyFill="1" applyBorder="1"/>
    <xf numFmtId="1" fontId="8" fillId="9" borderId="23" xfId="0" applyNumberFormat="1" applyFont="1" applyFill="1" applyBorder="1" applyAlignment="1">
      <alignment horizontal="center"/>
    </xf>
    <xf numFmtId="4" fontId="9" fillId="0" borderId="16" xfId="0" applyNumberFormat="1" applyFont="1" applyBorder="1" applyAlignment="1">
      <alignment horizontal="center" vertical="center"/>
    </xf>
    <xf numFmtId="4" fontId="8" fillId="9" borderId="17" xfId="2" applyNumberFormat="1" applyFont="1" applyFill="1" applyBorder="1" applyAlignment="1" applyProtection="1">
      <alignment horizontal="center" vertical="center"/>
    </xf>
    <xf numFmtId="4" fontId="13" fillId="9" borderId="45" xfId="0" applyNumberFormat="1" applyFont="1" applyFill="1" applyBorder="1" applyAlignment="1">
      <alignment horizontal="center" vertical="center"/>
    </xf>
    <xf numFmtId="4" fontId="8" fillId="9" borderId="45" xfId="2" applyNumberFormat="1" applyFont="1" applyFill="1" applyBorder="1" applyAlignment="1" applyProtection="1">
      <alignment horizontal="center" vertical="center"/>
    </xf>
    <xf numFmtId="4" fontId="13" fillId="9" borderId="17" xfId="0" applyNumberFormat="1" applyFont="1" applyFill="1" applyBorder="1" applyAlignment="1">
      <alignment horizontal="center" vertical="center"/>
    </xf>
    <xf numFmtId="4" fontId="8" fillId="9" borderId="41" xfId="2" applyNumberFormat="1" applyFont="1" applyFill="1" applyBorder="1" applyAlignment="1" applyProtection="1">
      <alignment horizontal="center" vertical="center"/>
    </xf>
    <xf numFmtId="4" fontId="9" fillId="0" borderId="11" xfId="0" applyNumberFormat="1" applyFont="1" applyBorder="1" applyAlignment="1">
      <alignment vertical="center"/>
    </xf>
    <xf numFmtId="4" fontId="9" fillId="0" borderId="9" xfId="0" applyNumberFormat="1" applyFont="1" applyBorder="1" applyAlignment="1">
      <alignment vertical="center"/>
    </xf>
    <xf numFmtId="4" fontId="9" fillId="0" borderId="19" xfId="0" applyNumberFormat="1" applyFont="1" applyBorder="1" applyAlignment="1">
      <alignment vertical="center"/>
    </xf>
    <xf numFmtId="4" fontId="9" fillId="0" borderId="22" xfId="0" applyNumberFormat="1" applyFont="1" applyBorder="1" applyAlignment="1">
      <alignment vertical="center"/>
    </xf>
    <xf numFmtId="4" fontId="8" fillId="0" borderId="16" xfId="0" applyNumberFormat="1" applyFont="1" applyBorder="1" applyAlignment="1">
      <alignment vertical="center"/>
    </xf>
    <xf numFmtId="4" fontId="8" fillId="0" borderId="11" xfId="0" applyNumberFormat="1" applyFont="1" applyBorder="1" applyAlignment="1">
      <alignment horizontal="centerContinuous" vertical="center"/>
    </xf>
    <xf numFmtId="4" fontId="8" fillId="0" borderId="0" xfId="0" applyNumberFormat="1" applyFont="1" applyAlignment="1">
      <alignment horizontal="centerContinuous" vertical="center"/>
    </xf>
    <xf numFmtId="4" fontId="8" fillId="0" borderId="9" xfId="0" applyNumberFormat="1" applyFont="1" applyBorder="1" applyAlignment="1">
      <alignment horizontal="centerContinuous" vertical="center"/>
    </xf>
    <xf numFmtId="165" fontId="8" fillId="8" borderId="22" xfId="0" applyFont="1" applyFill="1" applyBorder="1" applyAlignment="1">
      <alignment horizontal="center" vertical="center"/>
    </xf>
    <xf numFmtId="165" fontId="8" fillId="8" borderId="21" xfId="0" applyFont="1" applyFill="1" applyBorder="1" applyAlignment="1">
      <alignment horizontal="center" vertical="center"/>
    </xf>
    <xf numFmtId="165" fontId="74" fillId="0" borderId="0" xfId="0" applyFont="1"/>
    <xf numFmtId="2" fontId="9" fillId="0" borderId="45" xfId="0" applyNumberFormat="1" applyFont="1" applyBorder="1" applyAlignment="1">
      <alignment horizontal="center" vertical="center"/>
    </xf>
    <xf numFmtId="2" fontId="5" fillId="0" borderId="0" xfId="8" applyNumberFormat="1"/>
    <xf numFmtId="2" fontId="8" fillId="0" borderId="17" xfId="2" applyNumberFormat="1" applyFont="1" applyBorder="1" applyAlignment="1" applyProtection="1">
      <alignment horizontal="center" vertical="center"/>
    </xf>
    <xf numFmtId="2" fontId="8" fillId="0" borderId="41" xfId="2" applyNumberFormat="1" applyFont="1" applyBorder="1" applyAlignment="1" applyProtection="1">
      <alignment horizontal="center" vertical="center"/>
    </xf>
    <xf numFmtId="165" fontId="8" fillId="8" borderId="15" xfId="0" applyFont="1" applyFill="1" applyBorder="1" applyAlignment="1">
      <alignment vertical="center"/>
    </xf>
    <xf numFmtId="165" fontId="11" fillId="8" borderId="0" xfId="0" applyFont="1" applyFill="1" applyAlignment="1">
      <alignment horizontal="center" vertical="center"/>
    </xf>
    <xf numFmtId="165" fontId="8" fillId="8" borderId="17" xfId="0" applyFont="1" applyFill="1" applyBorder="1" applyAlignment="1">
      <alignment vertical="center"/>
    </xf>
    <xf numFmtId="165" fontId="8" fillId="8" borderId="0" xfId="0" quotePrefix="1" applyFont="1" applyFill="1" applyAlignment="1">
      <alignment vertical="center"/>
    </xf>
    <xf numFmtId="165" fontId="11" fillId="8" borderId="19" xfId="0" applyFont="1" applyFill="1" applyBorder="1" applyAlignment="1">
      <alignment horizontal="center" vertical="center"/>
    </xf>
    <xf numFmtId="165" fontId="8" fillId="8" borderId="19" xfId="0" applyFont="1" applyFill="1" applyBorder="1" applyAlignment="1">
      <alignment vertical="center"/>
    </xf>
    <xf numFmtId="165" fontId="8" fillId="8" borderId="20" xfId="0" applyFont="1" applyFill="1" applyBorder="1" applyAlignment="1">
      <alignment vertical="center"/>
    </xf>
    <xf numFmtId="165" fontId="8" fillId="8" borderId="16" xfId="0" applyFont="1" applyFill="1" applyBorder="1" applyAlignment="1">
      <alignment vertical="center"/>
    </xf>
    <xf numFmtId="175" fontId="8" fillId="8" borderId="0" xfId="0" applyNumberFormat="1" applyFont="1" applyFill="1" applyAlignment="1">
      <alignment vertical="center"/>
    </xf>
    <xf numFmtId="168" fontId="8" fillId="8" borderId="0" xfId="0" applyNumberFormat="1" applyFont="1" applyFill="1" applyAlignment="1">
      <alignment vertical="center"/>
    </xf>
    <xf numFmtId="168" fontId="14" fillId="8" borderId="0" xfId="0" applyNumberFormat="1" applyFont="1" applyFill="1" applyAlignment="1">
      <alignment vertical="center"/>
    </xf>
    <xf numFmtId="165" fontId="14" fillId="8" borderId="0" xfId="0" applyFont="1" applyFill="1" applyAlignment="1">
      <alignment vertical="center"/>
    </xf>
    <xf numFmtId="167" fontId="14" fillId="8" borderId="0" xfId="0" applyNumberFormat="1" applyFont="1" applyFill="1" applyAlignment="1">
      <alignment vertical="center"/>
    </xf>
    <xf numFmtId="2" fontId="8" fillId="8" borderId="0" xfId="0" applyNumberFormat="1" applyFont="1" applyFill="1" applyAlignment="1">
      <alignment vertical="center"/>
    </xf>
    <xf numFmtId="165" fontId="14" fillId="8" borderId="17" xfId="0" applyFont="1" applyFill="1" applyBorder="1" applyAlignment="1">
      <alignment vertical="center"/>
    </xf>
    <xf numFmtId="168" fontId="8" fillId="8" borderId="2" xfId="0" applyNumberFormat="1" applyFont="1" applyFill="1" applyBorder="1" applyAlignment="1">
      <alignment vertical="center"/>
    </xf>
    <xf numFmtId="165" fontId="8" fillId="8" borderId="11" xfId="0" applyFont="1" applyFill="1" applyBorder="1" applyAlignment="1">
      <alignment vertical="center"/>
    </xf>
    <xf numFmtId="165" fontId="8" fillId="8" borderId="45" xfId="0" applyFont="1" applyFill="1" applyBorder="1" applyAlignment="1">
      <alignment vertical="center"/>
    </xf>
    <xf numFmtId="168" fontId="8" fillId="8" borderId="25" xfId="0" applyNumberFormat="1" applyFont="1" applyFill="1" applyBorder="1" applyAlignment="1">
      <alignment vertical="center"/>
    </xf>
    <xf numFmtId="168" fontId="8" fillId="8" borderId="13" xfId="0" applyNumberFormat="1" applyFont="1" applyFill="1" applyBorder="1" applyAlignment="1">
      <alignment vertical="center"/>
    </xf>
    <xf numFmtId="168" fontId="14" fillId="8" borderId="13" xfId="0" applyNumberFormat="1" applyFont="1" applyFill="1" applyBorder="1" applyAlignment="1">
      <alignment vertical="center"/>
    </xf>
    <xf numFmtId="165" fontId="14" fillId="8" borderId="13" xfId="0" applyFont="1" applyFill="1" applyBorder="1" applyAlignment="1">
      <alignment vertical="center"/>
    </xf>
    <xf numFmtId="167" fontId="14" fillId="8" borderId="13" xfId="0" applyNumberFormat="1" applyFont="1" applyFill="1" applyBorder="1" applyAlignment="1">
      <alignment vertical="center"/>
    </xf>
    <xf numFmtId="2" fontId="8" fillId="8" borderId="13" xfId="0" applyNumberFormat="1" applyFont="1" applyFill="1" applyBorder="1" applyAlignment="1">
      <alignment vertical="center"/>
    </xf>
    <xf numFmtId="165" fontId="14" fillId="8" borderId="41" xfId="0" applyFont="1" applyFill="1" applyBorder="1" applyAlignment="1">
      <alignment vertical="center"/>
    </xf>
    <xf numFmtId="4" fontId="8" fillId="8" borderId="0" xfId="0" applyNumberFormat="1" applyFont="1" applyFill="1" applyAlignment="1">
      <alignment vertical="center"/>
    </xf>
    <xf numFmtId="4" fontId="8" fillId="8" borderId="11" xfId="0" applyNumberFormat="1" applyFont="1" applyFill="1" applyBorder="1" applyAlignment="1">
      <alignment vertical="center"/>
    </xf>
    <xf numFmtId="4" fontId="8" fillId="8" borderId="13" xfId="0" applyNumberFormat="1" applyFont="1" applyFill="1" applyBorder="1" applyAlignment="1">
      <alignment vertical="center"/>
    </xf>
    <xf numFmtId="165" fontId="78" fillId="11" borderId="73" xfId="0" applyFont="1" applyFill="1" applyBorder="1" applyAlignment="1">
      <alignment horizontal="center" vertical="top"/>
    </xf>
    <xf numFmtId="165" fontId="74" fillId="12" borderId="74" xfId="0" applyFont="1" applyFill="1" applyBorder="1" applyAlignment="1">
      <alignment horizontal="center" vertical="top"/>
    </xf>
    <xf numFmtId="167" fontId="74" fillId="12" borderId="74" xfId="0" applyNumberFormat="1" applyFont="1" applyFill="1" applyBorder="1" applyAlignment="1">
      <alignment horizontal="center" vertical="top"/>
    </xf>
    <xf numFmtId="165" fontId="74" fillId="13" borderId="74" xfId="0" applyFont="1" applyFill="1" applyBorder="1" applyAlignment="1">
      <alignment horizontal="center" vertical="top"/>
    </xf>
    <xf numFmtId="167" fontId="74" fillId="13" borderId="74" xfId="0" applyNumberFormat="1" applyFont="1" applyFill="1" applyBorder="1" applyAlignment="1">
      <alignment horizontal="center" vertical="top"/>
    </xf>
    <xf numFmtId="165" fontId="83" fillId="14" borderId="77" xfId="0" applyFont="1" applyFill="1" applyBorder="1" applyAlignment="1">
      <alignment horizontal="center" vertical="center" wrapText="1"/>
    </xf>
    <xf numFmtId="165" fontId="83" fillId="14" borderId="78" xfId="0" applyFont="1" applyFill="1" applyBorder="1" applyAlignment="1">
      <alignment horizontal="center" vertical="center" wrapText="1"/>
    </xf>
    <xf numFmtId="165" fontId="83" fillId="14" borderId="82" xfId="0" applyFont="1" applyFill="1" applyBorder="1" applyAlignment="1">
      <alignment horizontal="center" vertical="center" wrapText="1"/>
    </xf>
    <xf numFmtId="165" fontId="83" fillId="15" borderId="85" xfId="0" applyFont="1" applyFill="1" applyBorder="1" applyAlignment="1">
      <alignment horizontal="center" vertical="center" wrapText="1"/>
    </xf>
    <xf numFmtId="165" fontId="83" fillId="15" borderId="78" xfId="0" applyFont="1" applyFill="1" applyBorder="1" applyAlignment="1">
      <alignment horizontal="center" vertical="center" wrapText="1"/>
    </xf>
    <xf numFmtId="165" fontId="75" fillId="13" borderId="85" xfId="0" applyFont="1" applyFill="1" applyBorder="1" applyAlignment="1">
      <alignment horizontal="center" vertical="center"/>
    </xf>
    <xf numFmtId="165" fontId="75" fillId="17" borderId="85" xfId="0" applyFont="1" applyFill="1" applyBorder="1" applyAlignment="1">
      <alignment horizontal="center" vertical="center"/>
    </xf>
    <xf numFmtId="165" fontId="75" fillId="13" borderId="77" xfId="0" applyFont="1" applyFill="1" applyBorder="1" applyAlignment="1">
      <alignment horizontal="center" vertical="center"/>
    </xf>
    <xf numFmtId="165" fontId="75" fillId="17" borderId="77" xfId="0" applyFont="1" applyFill="1" applyBorder="1" applyAlignment="1">
      <alignment horizontal="center" vertical="center"/>
    </xf>
    <xf numFmtId="165" fontId="0" fillId="0" borderId="77" xfId="0" applyBorder="1"/>
    <xf numFmtId="165" fontId="0" fillId="0" borderId="78" xfId="0" applyBorder="1"/>
    <xf numFmtId="165" fontId="0" fillId="0" borderId="79" xfId="0" applyBorder="1"/>
    <xf numFmtId="165" fontId="0" fillId="0" borderId="80" xfId="0" applyBorder="1"/>
    <xf numFmtId="165" fontId="75" fillId="13" borderId="75" xfId="0" applyFont="1" applyFill="1" applyBorder="1" applyAlignment="1">
      <alignment horizontal="center" vertical="center"/>
    </xf>
    <xf numFmtId="165" fontId="0" fillId="0" borderId="82" xfId="0" applyBorder="1"/>
    <xf numFmtId="165" fontId="0" fillId="0" borderId="83" xfId="0" applyBorder="1"/>
    <xf numFmtId="165" fontId="0" fillId="0" borderId="85" xfId="0" applyBorder="1"/>
    <xf numFmtId="165" fontId="0" fillId="0" borderId="86" xfId="0" applyBorder="1"/>
    <xf numFmtId="165" fontId="0" fillId="0" borderId="87" xfId="0" applyBorder="1"/>
    <xf numFmtId="165" fontId="75" fillId="13" borderId="84" xfId="0" applyFont="1" applyFill="1" applyBorder="1" applyAlignment="1">
      <alignment horizontal="center" vertical="center"/>
    </xf>
    <xf numFmtId="165" fontId="84" fillId="13" borderId="78" xfId="0" applyFont="1" applyFill="1" applyBorder="1" applyAlignment="1">
      <alignment horizontal="center" wrapText="1"/>
    </xf>
    <xf numFmtId="176" fontId="75" fillId="13" borderId="78" xfId="0" applyNumberFormat="1" applyFont="1" applyFill="1" applyBorder="1" applyAlignment="1">
      <alignment horizontal="right"/>
    </xf>
    <xf numFmtId="165" fontId="84" fillId="17" borderId="78" xfId="0" applyFont="1" applyFill="1" applyBorder="1" applyAlignment="1">
      <alignment horizontal="center" wrapText="1"/>
    </xf>
    <xf numFmtId="176" fontId="75" fillId="17" borderId="78" xfId="0" applyNumberFormat="1" applyFont="1" applyFill="1" applyBorder="1" applyAlignment="1">
      <alignment horizontal="right"/>
    </xf>
    <xf numFmtId="165" fontId="84" fillId="13" borderId="76" xfId="0" applyFont="1" applyFill="1" applyBorder="1" applyAlignment="1">
      <alignment horizontal="center" wrapText="1"/>
    </xf>
    <xf numFmtId="176" fontId="75" fillId="13" borderId="76" xfId="0" applyNumberFormat="1" applyFont="1" applyFill="1" applyBorder="1" applyAlignment="1">
      <alignment horizontal="right"/>
    </xf>
    <xf numFmtId="165" fontId="87" fillId="16" borderId="78" xfId="0" applyFont="1" applyFill="1" applyBorder="1" applyAlignment="1">
      <alignment horizontal="center"/>
    </xf>
    <xf numFmtId="165" fontId="89" fillId="13" borderId="78" xfId="0" applyFont="1" applyFill="1" applyBorder="1" applyAlignment="1">
      <alignment horizontal="center" vertical="center" wrapText="1"/>
    </xf>
    <xf numFmtId="165" fontId="89" fillId="17" borderId="78" xfId="0" applyFont="1" applyFill="1" applyBorder="1" applyAlignment="1">
      <alignment horizontal="center" vertical="center" wrapText="1"/>
    </xf>
    <xf numFmtId="165" fontId="89" fillId="13" borderId="76" xfId="0" applyFont="1" applyFill="1" applyBorder="1" applyAlignment="1">
      <alignment horizontal="center" vertical="center" wrapText="1"/>
    </xf>
    <xf numFmtId="2" fontId="90" fillId="13" borderId="82" xfId="0" applyNumberFormat="1" applyFont="1" applyFill="1" applyBorder="1" applyAlignment="1">
      <alignment horizontal="center" vertical="center"/>
    </xf>
    <xf numFmtId="2" fontId="90" fillId="17" borderId="82" xfId="0" applyNumberFormat="1" applyFont="1" applyFill="1" applyBorder="1" applyAlignment="1">
      <alignment horizontal="center" vertical="center"/>
    </xf>
    <xf numFmtId="2" fontId="90" fillId="13" borderId="81" xfId="0" applyNumberFormat="1" applyFont="1" applyFill="1" applyBorder="1" applyAlignment="1">
      <alignment horizontal="center" vertical="center"/>
    </xf>
    <xf numFmtId="9" fontId="73" fillId="0" borderId="0" xfId="9" applyFont="1" applyAlignment="1">
      <alignment vertical="center"/>
    </xf>
    <xf numFmtId="2" fontId="14" fillId="0" borderId="11" xfId="0" applyNumberFormat="1" applyFont="1" applyBorder="1" applyAlignment="1">
      <alignment horizontal="center"/>
    </xf>
    <xf numFmtId="165" fontId="9" fillId="0" borderId="12" xfId="0" applyFont="1" applyBorder="1" applyAlignment="1">
      <alignment horizontal="center"/>
    </xf>
    <xf numFmtId="165" fontId="9" fillId="0" borderId="11" xfId="0" applyFont="1" applyBorder="1" applyAlignment="1">
      <alignment horizontal="center"/>
    </xf>
    <xf numFmtId="167" fontId="9" fillId="0" borderId="11" xfId="0" applyNumberFormat="1" applyFont="1" applyBorder="1" applyAlignment="1">
      <alignment horizontal="center"/>
    </xf>
    <xf numFmtId="1" fontId="11" fillId="0" borderId="11" xfId="0" applyNumberFormat="1" applyFont="1" applyBorder="1" applyAlignment="1">
      <alignment horizontal="center"/>
    </xf>
    <xf numFmtId="167" fontId="9" fillId="0" borderId="0" xfId="0" applyNumberFormat="1" applyFont="1" applyAlignment="1">
      <alignment horizontal="center"/>
    </xf>
    <xf numFmtId="165" fontId="9" fillId="0" borderId="33" xfId="0" applyFont="1" applyBorder="1" applyAlignment="1">
      <alignment horizontal="center"/>
    </xf>
    <xf numFmtId="165" fontId="9" fillId="0" borderId="0" xfId="0" applyFont="1" applyAlignment="1">
      <alignment horizontal="center"/>
    </xf>
    <xf numFmtId="165" fontId="9" fillId="0" borderId="9" xfId="0" applyFont="1" applyBorder="1" applyAlignment="1">
      <alignment horizontal="center"/>
    </xf>
    <xf numFmtId="1" fontId="11" fillId="0" borderId="9" xfId="0" applyNumberFormat="1" applyFont="1" applyBorder="1" applyAlignment="1">
      <alignment horizontal="center"/>
    </xf>
    <xf numFmtId="165" fontId="9" fillId="0" borderId="58" xfId="0" applyFont="1" applyBorder="1" applyAlignment="1">
      <alignment horizontal="center"/>
    </xf>
    <xf numFmtId="165" fontId="9" fillId="0" borderId="4" xfId="0" applyFont="1" applyBorder="1" applyAlignment="1">
      <alignment horizontal="center"/>
    </xf>
    <xf numFmtId="167" fontId="9" fillId="0" borderId="4" xfId="0" applyNumberFormat="1" applyFont="1" applyBorder="1" applyAlignment="1">
      <alignment horizontal="center"/>
    </xf>
    <xf numFmtId="1" fontId="11" fillId="0" borderId="0" xfId="0" applyNumberFormat="1" applyFont="1" applyAlignment="1">
      <alignment horizontal="center"/>
    </xf>
    <xf numFmtId="167" fontId="14" fillId="0" borderId="11" xfId="0" applyNumberFormat="1" applyFont="1" applyBorder="1" applyAlignment="1">
      <alignment horizontal="center"/>
    </xf>
    <xf numFmtId="2" fontId="11" fillId="0" borderId="0" xfId="0" applyNumberFormat="1" applyFont="1" applyAlignment="1">
      <alignment horizontal="center"/>
    </xf>
    <xf numFmtId="165" fontId="89" fillId="13" borderId="80" xfId="0" applyFont="1" applyFill="1" applyBorder="1" applyAlignment="1">
      <alignment horizontal="center" vertical="center" wrapText="1"/>
    </xf>
    <xf numFmtId="165" fontId="86" fillId="16" borderId="85" xfId="0" applyFont="1" applyFill="1" applyBorder="1" applyAlignment="1">
      <alignment horizontal="center" vertical="center"/>
    </xf>
    <xf numFmtId="165" fontId="86" fillId="16" borderId="86" xfId="0" applyFont="1" applyFill="1" applyBorder="1" applyAlignment="1">
      <alignment horizontal="center" vertical="center"/>
    </xf>
    <xf numFmtId="165" fontId="87" fillId="16" borderId="87" xfId="0" applyFont="1" applyFill="1" applyBorder="1" applyAlignment="1">
      <alignment horizontal="center"/>
    </xf>
    <xf numFmtId="165" fontId="89" fillId="13" borderId="87" xfId="0" applyFont="1" applyFill="1" applyBorder="1" applyAlignment="1">
      <alignment horizontal="center" vertical="center" wrapText="1"/>
    </xf>
    <xf numFmtId="165" fontId="86" fillId="16" borderId="77" xfId="0" applyFont="1" applyFill="1" applyBorder="1" applyAlignment="1">
      <alignment horizontal="center" vertical="center"/>
    </xf>
    <xf numFmtId="165" fontId="86" fillId="16" borderId="79" xfId="0" applyFont="1" applyFill="1" applyBorder="1" applyAlignment="1">
      <alignment horizontal="center" vertical="center"/>
    </xf>
    <xf numFmtId="165" fontId="87" fillId="16" borderId="80" xfId="0" applyFont="1" applyFill="1" applyBorder="1" applyAlignment="1">
      <alignment horizontal="center"/>
    </xf>
    <xf numFmtId="165" fontId="90" fillId="17" borderId="82" xfId="0" applyFont="1" applyFill="1" applyBorder="1" applyAlignment="1">
      <alignment horizontal="center" vertical="center"/>
    </xf>
    <xf numFmtId="165" fontId="90" fillId="13" borderId="82" xfId="0" applyFont="1" applyFill="1" applyBorder="1" applyAlignment="1">
      <alignment horizontal="center" vertical="center"/>
    </xf>
    <xf numFmtId="165" fontId="90" fillId="13" borderId="83" xfId="0" applyFont="1" applyFill="1" applyBorder="1" applyAlignment="1">
      <alignment horizontal="center" vertical="center"/>
    </xf>
    <xf numFmtId="165" fontId="83" fillId="15" borderId="82" xfId="0" applyFont="1" applyFill="1" applyBorder="1" applyAlignment="1">
      <alignment horizontal="center" vertical="center" wrapText="1"/>
    </xf>
    <xf numFmtId="165" fontId="0" fillId="0" borderId="88" xfId="0" applyBorder="1"/>
    <xf numFmtId="165" fontId="83" fillId="19" borderId="90" xfId="0" applyFont="1" applyFill="1" applyBorder="1" applyAlignment="1">
      <alignment horizontal="center" vertical="center" wrapText="1"/>
    </xf>
    <xf numFmtId="165" fontId="83" fillId="19" borderId="78" xfId="0" applyFont="1" applyFill="1" applyBorder="1" applyAlignment="1">
      <alignment horizontal="center" vertical="center" wrapText="1"/>
    </xf>
    <xf numFmtId="165" fontId="75" fillId="13" borderId="90" xfId="0" applyFont="1" applyFill="1" applyBorder="1" applyAlignment="1">
      <alignment horizontal="center" vertical="center"/>
    </xf>
    <xf numFmtId="165" fontId="75" fillId="17" borderId="90" xfId="0" applyFont="1" applyFill="1" applyBorder="1" applyAlignment="1">
      <alignment horizontal="center" vertical="center"/>
    </xf>
    <xf numFmtId="165" fontId="0" fillId="0" borderId="90" xfId="0" applyBorder="1"/>
    <xf numFmtId="165" fontId="0" fillId="0" borderId="91" xfId="0" applyBorder="1"/>
    <xf numFmtId="165" fontId="0" fillId="0" borderId="92" xfId="0" applyBorder="1"/>
    <xf numFmtId="165" fontId="90" fillId="13" borderId="88" xfId="0" applyFont="1" applyFill="1" applyBorder="1" applyAlignment="1">
      <alignment horizontal="center" vertical="center"/>
    </xf>
    <xf numFmtId="165" fontId="75" fillId="13" borderId="89" xfId="0" applyFont="1" applyFill="1" applyBorder="1" applyAlignment="1">
      <alignment horizontal="center" vertical="center"/>
    </xf>
    <xf numFmtId="165" fontId="75" fillId="13" borderId="91" xfId="0" applyFont="1" applyFill="1" applyBorder="1" applyAlignment="1">
      <alignment horizontal="center" vertical="center"/>
    </xf>
    <xf numFmtId="165" fontId="84" fillId="13" borderId="92" xfId="0" applyFont="1" applyFill="1" applyBorder="1" applyAlignment="1">
      <alignment horizontal="center" wrapText="1"/>
    </xf>
    <xf numFmtId="176" fontId="75" fillId="13" borderId="92" xfId="0" applyNumberFormat="1" applyFont="1" applyFill="1" applyBorder="1" applyAlignment="1">
      <alignment horizontal="right"/>
    </xf>
    <xf numFmtId="165" fontId="89" fillId="13" borderId="92" xfId="0" applyFont="1" applyFill="1" applyBorder="1" applyAlignment="1">
      <alignment horizontal="center" vertical="center" wrapText="1"/>
    </xf>
    <xf numFmtId="165" fontId="83" fillId="19" borderId="82" xfId="0" applyFont="1" applyFill="1" applyBorder="1" applyAlignment="1">
      <alignment horizontal="center" vertical="center" wrapText="1"/>
    </xf>
    <xf numFmtId="165" fontId="0" fillId="0" borderId="93" xfId="0" applyBorder="1"/>
    <xf numFmtId="165" fontId="83" fillId="20" borderId="96" xfId="0" applyFont="1" applyFill="1" applyBorder="1" applyAlignment="1">
      <alignment horizontal="center" vertical="center" wrapText="1"/>
    </xf>
    <xf numFmtId="165" fontId="83" fillId="20" borderId="78" xfId="0" applyFont="1" applyFill="1" applyBorder="1" applyAlignment="1">
      <alignment horizontal="center" vertical="center" wrapText="1"/>
    </xf>
    <xf numFmtId="165" fontId="83" fillId="20" borderId="97" xfId="0" applyFont="1" applyFill="1" applyBorder="1" applyAlignment="1">
      <alignment horizontal="center" vertical="center" wrapText="1"/>
    </xf>
    <xf numFmtId="165" fontId="75" fillId="13" borderId="96" xfId="0" applyFont="1" applyFill="1" applyBorder="1" applyAlignment="1">
      <alignment horizontal="center" vertical="center"/>
    </xf>
    <xf numFmtId="2" fontId="90" fillId="13" borderId="97" xfId="0" applyNumberFormat="1" applyFont="1" applyFill="1" applyBorder="1" applyAlignment="1">
      <alignment horizontal="center" vertical="center"/>
    </xf>
    <xf numFmtId="165" fontId="75" fillId="17" borderId="96" xfId="0" applyFont="1" applyFill="1" applyBorder="1" applyAlignment="1">
      <alignment horizontal="center" vertical="center"/>
    </xf>
    <xf numFmtId="2" fontId="90" fillId="17" borderId="97" xfId="0" applyNumberFormat="1" applyFont="1" applyFill="1" applyBorder="1" applyAlignment="1">
      <alignment horizontal="center" vertical="center"/>
    </xf>
    <xf numFmtId="165" fontId="86" fillId="16" borderId="96" xfId="0" applyFont="1" applyFill="1" applyBorder="1" applyAlignment="1">
      <alignment horizontal="center" vertical="center"/>
    </xf>
    <xf numFmtId="165" fontId="90" fillId="13" borderId="97" xfId="0" applyFont="1" applyFill="1" applyBorder="1" applyAlignment="1">
      <alignment horizontal="center" vertical="center"/>
    </xf>
    <xf numFmtId="165" fontId="90" fillId="17" borderId="97" xfId="0" applyFont="1" applyFill="1" applyBorder="1" applyAlignment="1">
      <alignment horizontal="center" vertical="center"/>
    </xf>
    <xf numFmtId="165" fontId="0" fillId="0" borderId="96" xfId="0" applyBorder="1"/>
    <xf numFmtId="165" fontId="0" fillId="0" borderId="97" xfId="0" applyBorder="1"/>
    <xf numFmtId="165" fontId="0" fillId="0" borderId="98" xfId="0" applyBorder="1"/>
    <xf numFmtId="165" fontId="0" fillId="0" borderId="99" xfId="0" applyBorder="1"/>
    <xf numFmtId="165" fontId="0" fillId="0" borderId="100" xfId="0" applyBorder="1"/>
    <xf numFmtId="2" fontId="90" fillId="13" borderId="93" xfId="0" applyNumberFormat="1" applyFont="1" applyFill="1" applyBorder="1" applyAlignment="1">
      <alignment horizontal="center" vertical="center"/>
    </xf>
    <xf numFmtId="165" fontId="75" fillId="13" borderId="94" xfId="0" applyFont="1" applyFill="1" applyBorder="1" applyAlignment="1">
      <alignment horizontal="center" vertical="center"/>
    </xf>
    <xf numFmtId="2" fontId="90" fillId="13" borderId="95" xfId="0" applyNumberFormat="1" applyFont="1" applyFill="1" applyBorder="1" applyAlignment="1">
      <alignment horizontal="center" vertical="center"/>
    </xf>
    <xf numFmtId="165" fontId="86" fillId="16" borderId="98" xfId="0" applyFont="1" applyFill="1" applyBorder="1" applyAlignment="1">
      <alignment horizontal="center" vertical="center"/>
    </xf>
    <xf numFmtId="165" fontId="87" fillId="16" borderId="99" xfId="0" applyFont="1" applyFill="1" applyBorder="1" applyAlignment="1">
      <alignment horizontal="center"/>
    </xf>
    <xf numFmtId="165" fontId="89" fillId="13" borderId="99" xfId="0" applyFont="1" applyFill="1" applyBorder="1" applyAlignment="1">
      <alignment horizontal="center" vertical="center" wrapText="1"/>
    </xf>
    <xf numFmtId="165" fontId="90" fillId="13" borderId="100" xfId="0" applyFont="1" applyFill="1" applyBorder="1" applyAlignment="1">
      <alignment horizontal="center" vertical="center"/>
    </xf>
    <xf numFmtId="9" fontId="8" fillId="0" borderId="0" xfId="9" applyFont="1" applyAlignment="1">
      <alignment horizontal="center" vertical="center"/>
    </xf>
    <xf numFmtId="165" fontId="8" fillId="0" borderId="0" xfId="0" applyFont="1" applyAlignment="1">
      <alignment horizontal="center" vertical="center"/>
    </xf>
    <xf numFmtId="165" fontId="9" fillId="0" borderId="29" xfId="0" applyFont="1" applyBorder="1" applyAlignment="1">
      <alignment horizontal="center" vertical="center"/>
    </xf>
    <xf numFmtId="165" fontId="9" fillId="0" borderId="15" xfId="0" applyFont="1" applyBorder="1" applyAlignment="1">
      <alignment horizontal="center" vertical="center"/>
    </xf>
    <xf numFmtId="165" fontId="9" fillId="0" borderId="65" xfId="0" applyFont="1" applyBorder="1" applyAlignment="1">
      <alignment horizontal="center" vertical="center"/>
    </xf>
    <xf numFmtId="165" fontId="27" fillId="0" borderId="33" xfId="0" applyFont="1" applyBorder="1" applyAlignment="1">
      <alignment horizontal="center" vertical="center"/>
    </xf>
    <xf numFmtId="165" fontId="27" fillId="0" borderId="0" xfId="0" applyFont="1" applyAlignment="1">
      <alignment horizontal="center" vertical="center"/>
    </xf>
    <xf numFmtId="165" fontId="27" fillId="0" borderId="28" xfId="0" applyFont="1" applyBorder="1" applyAlignment="1">
      <alignment horizontal="center" vertical="center"/>
    </xf>
    <xf numFmtId="165" fontId="9" fillId="0" borderId="33" xfId="0" applyFont="1" applyBorder="1" applyAlignment="1">
      <alignment horizontal="center" vertical="center"/>
    </xf>
    <xf numFmtId="165" fontId="9" fillId="0" borderId="0" xfId="0" applyFont="1" applyAlignment="1">
      <alignment horizontal="center" vertical="center"/>
    </xf>
    <xf numFmtId="165" fontId="9" fillId="0" borderId="28" xfId="0" applyFont="1" applyBorder="1" applyAlignment="1">
      <alignment horizontal="center" vertical="center"/>
    </xf>
    <xf numFmtId="165" fontId="9" fillId="0" borderId="30" xfId="0" applyFont="1" applyBorder="1" applyAlignment="1">
      <alignment horizontal="center" vertical="center"/>
    </xf>
    <xf numFmtId="4" fontId="9" fillId="0" borderId="29" xfId="0" applyNumberFormat="1" applyFont="1" applyBorder="1" applyAlignment="1">
      <alignment horizontal="center" vertical="center"/>
    </xf>
    <xf numFmtId="4" fontId="9" fillId="0" borderId="31" xfId="0" applyNumberFormat="1" applyFont="1" applyBorder="1" applyAlignment="1">
      <alignment horizontal="center" vertical="center"/>
    </xf>
    <xf numFmtId="174" fontId="72" fillId="0" borderId="2" xfId="0" applyNumberFormat="1" applyFont="1" applyBorder="1" applyAlignment="1">
      <alignment horizontal="center" vertical="center"/>
    </xf>
    <xf numFmtId="174" fontId="72" fillId="0" borderId="18" xfId="0" applyNumberFormat="1" applyFont="1" applyBorder="1" applyAlignment="1">
      <alignment horizontal="center" vertical="center"/>
    </xf>
    <xf numFmtId="165" fontId="40" fillId="4" borderId="30" xfId="0" applyFont="1" applyFill="1" applyBorder="1" applyAlignment="1">
      <alignment horizontal="center" vertical="center"/>
    </xf>
    <xf numFmtId="165" fontId="40" fillId="4" borderId="65" xfId="0" applyFont="1" applyFill="1" applyBorder="1" applyAlignment="1">
      <alignment horizontal="center" vertical="center"/>
    </xf>
    <xf numFmtId="165" fontId="8" fillId="5" borderId="29" xfId="0" applyFont="1" applyFill="1" applyBorder="1" applyAlignment="1">
      <alignment horizontal="center" vertical="center"/>
    </xf>
    <xf numFmtId="165" fontId="8" fillId="5" borderId="30" xfId="0" applyFont="1" applyFill="1" applyBorder="1" applyAlignment="1">
      <alignment horizontal="center" vertical="center"/>
    </xf>
    <xf numFmtId="165" fontId="8" fillId="5" borderId="31" xfId="0" applyFont="1" applyFill="1" applyBorder="1" applyAlignment="1">
      <alignment horizontal="center" vertical="center"/>
    </xf>
    <xf numFmtId="165" fontId="16" fillId="0" borderId="33" xfId="0" applyFont="1" applyBorder="1" applyAlignment="1">
      <alignment horizontal="center" vertical="center"/>
    </xf>
    <xf numFmtId="165" fontId="16" fillId="0" borderId="0" xfId="0" applyFont="1" applyAlignment="1">
      <alignment horizontal="center" vertical="center"/>
    </xf>
    <xf numFmtId="165" fontId="16" fillId="0" borderId="28" xfId="0" applyFont="1" applyBorder="1" applyAlignment="1">
      <alignment horizontal="center" vertical="center"/>
    </xf>
    <xf numFmtId="165" fontId="9" fillId="0" borderId="18" xfId="0" applyFont="1" applyBorder="1" applyAlignment="1">
      <alignment horizontal="center" vertical="center"/>
    </xf>
    <xf numFmtId="165" fontId="9" fillId="0" borderId="20" xfId="0" applyFont="1" applyBorder="1" applyAlignment="1">
      <alignment horizontal="center" vertical="center"/>
    </xf>
    <xf numFmtId="165" fontId="8" fillId="8" borderId="29" xfId="0" applyFont="1" applyFill="1" applyBorder="1" applyAlignment="1">
      <alignment horizontal="center" vertical="center"/>
    </xf>
    <xf numFmtId="165" fontId="8" fillId="8" borderId="30" xfId="0" applyFont="1" applyFill="1" applyBorder="1" applyAlignment="1">
      <alignment horizontal="center" vertical="center"/>
    </xf>
    <xf numFmtId="165" fontId="8" fillId="8" borderId="31" xfId="0" applyFont="1" applyFill="1" applyBorder="1" applyAlignment="1">
      <alignment horizontal="center" vertical="center"/>
    </xf>
    <xf numFmtId="165" fontId="8" fillId="4" borderId="30" xfId="0" applyFont="1" applyFill="1" applyBorder="1" applyAlignment="1">
      <alignment horizontal="center" vertical="center"/>
    </xf>
    <xf numFmtId="165" fontId="8" fillId="4" borderId="65" xfId="0" applyFont="1" applyFill="1" applyBorder="1" applyAlignment="1">
      <alignment horizontal="center" vertical="center"/>
    </xf>
    <xf numFmtId="165" fontId="16" fillId="0" borderId="12" xfId="0" applyFont="1" applyBorder="1" applyAlignment="1">
      <alignment horizontal="center" vertical="center"/>
    </xf>
    <xf numFmtId="165" fontId="8" fillId="0" borderId="11" xfId="0" applyFont="1" applyBorder="1" applyAlignment="1">
      <alignment horizontal="center" vertical="center"/>
    </xf>
    <xf numFmtId="165" fontId="8" fillId="0" borderId="23" xfId="0" applyFont="1" applyBorder="1" applyAlignment="1">
      <alignment horizontal="center" vertical="center"/>
    </xf>
    <xf numFmtId="165" fontId="8" fillId="0" borderId="25" xfId="0" applyFont="1" applyBorder="1" applyAlignment="1">
      <alignment horizontal="center" vertical="center"/>
    </xf>
    <xf numFmtId="165" fontId="8" fillId="0" borderId="13" xfId="0" applyFont="1" applyBorder="1" applyAlignment="1">
      <alignment horizontal="center" vertical="center"/>
    </xf>
    <xf numFmtId="165" fontId="8" fillId="0" borderId="24" xfId="0" applyFont="1" applyBorder="1" applyAlignment="1">
      <alignment horizontal="center" vertical="center"/>
    </xf>
    <xf numFmtId="165" fontId="8" fillId="0" borderId="2" xfId="0" applyFont="1" applyBorder="1" applyAlignment="1">
      <alignment horizontal="center" vertical="center"/>
    </xf>
    <xf numFmtId="165" fontId="8" fillId="0" borderId="17" xfId="0" applyFont="1" applyBorder="1" applyAlignment="1">
      <alignment horizontal="center" vertical="center"/>
    </xf>
    <xf numFmtId="4" fontId="9" fillId="0" borderId="18" xfId="0" applyNumberFormat="1" applyFont="1" applyBorder="1" applyAlignment="1">
      <alignment horizontal="center" vertical="center"/>
    </xf>
    <xf numFmtId="4" fontId="9" fillId="0" borderId="20" xfId="0" applyNumberFormat="1" applyFont="1" applyBorder="1" applyAlignment="1">
      <alignment horizontal="center" vertical="center"/>
    </xf>
    <xf numFmtId="165" fontId="9" fillId="0" borderId="52" xfId="0" applyFont="1" applyBorder="1" applyAlignment="1">
      <alignment horizontal="center" vertical="center"/>
    </xf>
    <xf numFmtId="165" fontId="8" fillId="0" borderId="19" xfId="0" applyFont="1" applyBorder="1" applyAlignment="1">
      <alignment horizontal="center" vertical="center"/>
    </xf>
    <xf numFmtId="165" fontId="8" fillId="0" borderId="20" xfId="0" applyFont="1" applyBorder="1" applyAlignment="1">
      <alignment horizontal="center" vertical="center"/>
    </xf>
    <xf numFmtId="165" fontId="8" fillId="0" borderId="18" xfId="0" applyFont="1" applyBorder="1" applyAlignment="1">
      <alignment horizontal="center" vertical="center"/>
    </xf>
    <xf numFmtId="165" fontId="8" fillId="0" borderId="29" xfId="0" applyFont="1" applyBorder="1" applyAlignment="1">
      <alignment horizontal="center" vertical="center"/>
    </xf>
    <xf numFmtId="165" fontId="8" fillId="0" borderId="31" xfId="0" applyFont="1" applyBorder="1" applyAlignment="1">
      <alignment horizontal="center" vertical="center"/>
    </xf>
    <xf numFmtId="165" fontId="16" fillId="0" borderId="11" xfId="0" applyFont="1" applyBorder="1" applyAlignment="1">
      <alignment horizontal="center" vertical="center"/>
    </xf>
    <xf numFmtId="165" fontId="16" fillId="0" borderId="23" xfId="0" applyFont="1" applyBorder="1" applyAlignment="1">
      <alignment horizontal="center" vertical="center"/>
    </xf>
    <xf numFmtId="165" fontId="16" fillId="0" borderId="13" xfId="0" applyFont="1" applyBorder="1" applyAlignment="1">
      <alignment horizontal="center" vertical="center"/>
    </xf>
    <xf numFmtId="165" fontId="16" fillId="0" borderId="24" xfId="0" applyFont="1" applyBorder="1" applyAlignment="1">
      <alignment horizontal="center" vertical="center"/>
    </xf>
    <xf numFmtId="165" fontId="14" fillId="0" borderId="11" xfId="0" quotePrefix="1" applyFont="1" applyBorder="1" applyAlignment="1">
      <alignment horizontal="center"/>
    </xf>
    <xf numFmtId="165" fontId="14" fillId="0" borderId="23" xfId="0" quotePrefix="1" applyFont="1" applyBorder="1" applyAlignment="1">
      <alignment horizontal="center"/>
    </xf>
    <xf numFmtId="2" fontId="14" fillId="0" borderId="11" xfId="0" applyNumberFormat="1" applyFont="1" applyBorder="1" applyAlignment="1">
      <alignment horizontal="center"/>
    </xf>
    <xf numFmtId="165" fontId="27" fillId="0" borderId="33" xfId="0" applyFont="1" applyBorder="1" applyAlignment="1">
      <alignment horizontal="center"/>
    </xf>
    <xf numFmtId="165" fontId="27" fillId="0" borderId="0" xfId="0" applyFont="1" applyAlignment="1">
      <alignment horizontal="center"/>
    </xf>
    <xf numFmtId="165" fontId="8" fillId="0" borderId="0" xfId="0" applyFont="1" applyAlignment="1">
      <alignment horizontal="center" wrapText="1"/>
    </xf>
    <xf numFmtId="2" fontId="14" fillId="9" borderId="59" xfId="0" applyNumberFormat="1" applyFont="1" applyFill="1" applyBorder="1" applyAlignment="1">
      <alignment horizontal="center"/>
    </xf>
    <xf numFmtId="2" fontId="14" fillId="9" borderId="60" xfId="0" applyNumberFormat="1" applyFont="1" applyFill="1" applyBorder="1" applyAlignment="1">
      <alignment horizontal="center"/>
    </xf>
    <xf numFmtId="2" fontId="14" fillId="9" borderId="61" xfId="0" applyNumberFormat="1" applyFont="1" applyFill="1" applyBorder="1" applyAlignment="1">
      <alignment horizontal="center"/>
    </xf>
    <xf numFmtId="165" fontId="0" fillId="0" borderId="0" xfId="0" applyAlignment="1">
      <alignment horizontal="center"/>
    </xf>
    <xf numFmtId="165" fontId="9" fillId="0" borderId="66" xfId="0" applyFont="1" applyBorder="1" applyAlignment="1">
      <alignment horizontal="center" vertical="center"/>
    </xf>
    <xf numFmtId="165" fontId="9" fillId="0" borderId="67" xfId="0" applyFont="1" applyBorder="1" applyAlignment="1">
      <alignment horizontal="center" vertical="center"/>
    </xf>
    <xf numFmtId="171" fontId="27" fillId="0" borderId="6" xfId="4" applyNumberFormat="1" applyFont="1" applyBorder="1" applyAlignment="1" applyProtection="1">
      <alignment horizontal="center"/>
      <protection locked="0"/>
    </xf>
    <xf numFmtId="171" fontId="27" fillId="0" borderId="0" xfId="4" applyNumberFormat="1" applyFont="1" applyAlignment="1" applyProtection="1">
      <alignment horizontal="center"/>
      <protection locked="0"/>
    </xf>
    <xf numFmtId="171" fontId="9" fillId="0" borderId="29" xfId="4" applyNumberFormat="1" applyFont="1" applyBorder="1" applyAlignment="1" applyProtection="1">
      <alignment horizontal="center"/>
      <protection locked="0"/>
    </xf>
    <xf numFmtId="171" fontId="9" fillId="0" borderId="30" xfId="4" applyNumberFormat="1" applyFont="1" applyBorder="1" applyAlignment="1" applyProtection="1">
      <alignment horizontal="center"/>
      <protection locked="0"/>
    </xf>
    <xf numFmtId="171" fontId="9" fillId="4" borderId="29" xfId="4" applyNumberFormat="1" applyFont="1" applyFill="1" applyBorder="1" applyAlignment="1" applyProtection="1">
      <alignment horizontal="center"/>
      <protection locked="0"/>
    </xf>
    <xf numFmtId="171" fontId="9" fillId="4" borderId="31" xfId="4" applyNumberFormat="1" applyFont="1" applyFill="1" applyBorder="1" applyAlignment="1" applyProtection="1">
      <alignment horizontal="center"/>
      <protection locked="0"/>
    </xf>
    <xf numFmtId="171" fontId="9" fillId="0" borderId="31" xfId="4" applyNumberFormat="1" applyFont="1" applyBorder="1" applyAlignment="1" applyProtection="1">
      <alignment horizontal="center"/>
      <protection locked="0"/>
    </xf>
    <xf numFmtId="171" fontId="9" fillId="0" borderId="0" xfId="4" applyNumberFormat="1" applyFont="1" applyAlignment="1" applyProtection="1">
      <alignment horizontal="center"/>
      <protection locked="0"/>
    </xf>
    <xf numFmtId="0" fontId="9" fillId="0" borderId="0" xfId="5" applyFont="1" applyAlignment="1">
      <alignment horizontal="center"/>
    </xf>
    <xf numFmtId="0" fontId="8" fillId="0" borderId="29" xfId="5" applyFont="1" applyBorder="1" applyAlignment="1">
      <alignment horizontal="center"/>
    </xf>
    <xf numFmtId="0" fontId="8" fillId="0" borderId="30" xfId="5" applyFont="1" applyBorder="1" applyAlignment="1">
      <alignment horizontal="center"/>
    </xf>
    <xf numFmtId="0" fontId="8" fillId="0" borderId="31" xfId="5" applyFont="1" applyBorder="1" applyAlignment="1">
      <alignment horizontal="center"/>
    </xf>
    <xf numFmtId="0" fontId="8" fillId="0" borderId="18" xfId="5" applyFont="1" applyBorder="1" applyAlignment="1">
      <alignment horizontal="center"/>
    </xf>
    <xf numFmtId="0" fontId="8" fillId="0" borderId="19" xfId="5" applyFont="1" applyBorder="1" applyAlignment="1">
      <alignment horizontal="center"/>
    </xf>
    <xf numFmtId="0" fontId="8" fillId="0" borderId="20" xfId="5" applyFont="1" applyBorder="1" applyAlignment="1">
      <alignment horizontal="center"/>
    </xf>
    <xf numFmtId="165" fontId="8" fillId="4" borderId="29" xfId="0" applyFont="1" applyFill="1" applyBorder="1" applyAlignment="1">
      <alignment horizontal="center"/>
    </xf>
    <xf numFmtId="165" fontId="8" fillId="4" borderId="30" xfId="0" applyFont="1" applyFill="1" applyBorder="1" applyAlignment="1">
      <alignment horizontal="center"/>
    </xf>
    <xf numFmtId="165" fontId="8" fillId="4" borderId="31" xfId="0" applyFont="1" applyFill="1" applyBorder="1" applyAlignment="1">
      <alignment horizontal="center"/>
    </xf>
    <xf numFmtId="165" fontId="8" fillId="0" borderId="29" xfId="0" applyFont="1" applyBorder="1" applyAlignment="1">
      <alignment horizontal="center"/>
    </xf>
    <xf numFmtId="165" fontId="8" fillId="0" borderId="30" xfId="0" applyFont="1" applyBorder="1" applyAlignment="1">
      <alignment horizontal="center"/>
    </xf>
    <xf numFmtId="165" fontId="8" fillId="0" borderId="31" xfId="0" applyFont="1" applyBorder="1" applyAlignment="1">
      <alignment horizontal="center"/>
    </xf>
    <xf numFmtId="165" fontId="8" fillId="0" borderId="2" xfId="0" applyFont="1" applyBorder="1" applyAlignment="1">
      <alignment horizontal="center"/>
    </xf>
    <xf numFmtId="165" fontId="8" fillId="0" borderId="17" xfId="0" applyFont="1" applyBorder="1" applyAlignment="1">
      <alignment horizontal="center"/>
    </xf>
    <xf numFmtId="165" fontId="8" fillId="4" borderId="29" xfId="0" quotePrefix="1" applyFont="1" applyFill="1" applyBorder="1" applyAlignment="1">
      <alignment horizontal="center"/>
    </xf>
    <xf numFmtId="165" fontId="8" fillId="4" borderId="31" xfId="0" quotePrefix="1" applyFont="1" applyFill="1" applyBorder="1" applyAlignment="1">
      <alignment horizontal="center"/>
    </xf>
    <xf numFmtId="165" fontId="8" fillId="4" borderId="68" xfId="0" applyFont="1" applyFill="1" applyBorder="1" applyAlignment="1">
      <alignment horizontal="center"/>
    </xf>
    <xf numFmtId="165" fontId="8" fillId="4" borderId="69" xfId="0" applyFont="1" applyFill="1" applyBorder="1" applyAlignment="1">
      <alignment horizontal="center"/>
    </xf>
    <xf numFmtId="165" fontId="8" fillId="4" borderId="70" xfId="0" applyFont="1" applyFill="1" applyBorder="1" applyAlignment="1">
      <alignment horizontal="center"/>
    </xf>
    <xf numFmtId="165" fontId="16" fillId="0" borderId="71" xfId="0" applyFont="1" applyBorder="1" applyAlignment="1">
      <alignment horizontal="center"/>
    </xf>
    <xf numFmtId="165" fontId="16" fillId="0" borderId="60" xfId="0" applyFont="1" applyBorder="1" applyAlignment="1">
      <alignment horizontal="center"/>
    </xf>
    <xf numFmtId="165" fontId="16" fillId="0" borderId="62" xfId="0" applyFont="1" applyBorder="1" applyAlignment="1">
      <alignment horizontal="center"/>
    </xf>
    <xf numFmtId="165" fontId="8" fillId="0" borderId="65" xfId="0" applyFont="1" applyBorder="1" applyAlignment="1">
      <alignment horizontal="center"/>
    </xf>
    <xf numFmtId="165" fontId="8" fillId="4" borderId="72" xfId="0" quotePrefix="1" applyFont="1" applyFill="1" applyBorder="1" applyAlignment="1">
      <alignment horizontal="center"/>
    </xf>
    <xf numFmtId="165" fontId="8" fillId="0" borderId="21" xfId="0" applyFont="1" applyBorder="1" applyAlignment="1">
      <alignment horizontal="center" vertical="center"/>
    </xf>
    <xf numFmtId="165" fontId="8" fillId="0" borderId="22" xfId="0" applyFont="1" applyBorder="1" applyAlignment="1">
      <alignment horizontal="center" vertical="center"/>
    </xf>
    <xf numFmtId="165" fontId="8" fillId="0" borderId="14" xfId="0" applyFont="1" applyBorder="1" applyAlignment="1">
      <alignment horizontal="center" vertical="center"/>
    </xf>
    <xf numFmtId="165" fontId="8" fillId="0" borderId="16" xfId="0" applyFont="1" applyBorder="1" applyAlignment="1">
      <alignment horizontal="center" vertical="center"/>
    </xf>
    <xf numFmtId="165" fontId="80" fillId="12" borderId="0" xfId="0" applyFont="1" applyFill="1" applyAlignment="1">
      <alignment horizontal="center" vertical="center"/>
    </xf>
    <xf numFmtId="165" fontId="85" fillId="0" borderId="0" xfId="0" applyFont="1" applyAlignment="1">
      <alignment horizontal="center"/>
    </xf>
    <xf numFmtId="165" fontId="81" fillId="19" borderId="89" xfId="0" applyFont="1" applyFill="1" applyBorder="1" applyAlignment="1">
      <alignment horizontal="center" vertical="center"/>
    </xf>
    <xf numFmtId="165" fontId="81" fillId="19" borderId="76" xfId="0" applyFont="1" applyFill="1" applyBorder="1" applyAlignment="1">
      <alignment horizontal="center" vertical="center"/>
    </xf>
    <xf numFmtId="165" fontId="81" fillId="19" borderId="81" xfId="0" applyFont="1" applyFill="1" applyBorder="1" applyAlignment="1">
      <alignment horizontal="center" vertical="center"/>
    </xf>
    <xf numFmtId="165" fontId="88" fillId="18" borderId="0" xfId="0" applyFont="1" applyFill="1" applyAlignment="1">
      <alignment horizontal="center"/>
    </xf>
    <xf numFmtId="165" fontId="81" fillId="20" borderId="94" xfId="0" applyFont="1" applyFill="1" applyBorder="1" applyAlignment="1">
      <alignment horizontal="center" vertical="center"/>
    </xf>
    <xf numFmtId="165" fontId="81" fillId="20" borderId="76" xfId="0" applyFont="1" applyFill="1" applyBorder="1" applyAlignment="1">
      <alignment horizontal="center" vertical="center"/>
    </xf>
    <xf numFmtId="165" fontId="81" fillId="20" borderId="95" xfId="0" applyFont="1" applyFill="1" applyBorder="1" applyAlignment="1">
      <alignment horizontal="center" vertical="center"/>
    </xf>
    <xf numFmtId="165" fontId="82" fillId="0" borderId="0" xfId="0" applyFont="1"/>
    <xf numFmtId="165" fontId="81" fillId="14" borderId="75" xfId="0" applyFont="1" applyFill="1" applyBorder="1" applyAlignment="1">
      <alignment horizontal="center" vertical="center"/>
    </xf>
    <xf numFmtId="165" fontId="81" fillId="14" borderId="76" xfId="0" applyFont="1" applyFill="1" applyBorder="1" applyAlignment="1">
      <alignment horizontal="center" vertical="center"/>
    </xf>
    <xf numFmtId="165" fontId="81" fillId="14" borderId="81" xfId="0" applyFont="1" applyFill="1" applyBorder="1" applyAlignment="1">
      <alignment horizontal="center" vertical="center"/>
    </xf>
    <xf numFmtId="165" fontId="81" fillId="15" borderId="84" xfId="0" applyFont="1" applyFill="1" applyBorder="1" applyAlignment="1">
      <alignment horizontal="center" vertical="center"/>
    </xf>
    <xf numFmtId="165" fontId="81" fillId="15" borderId="76" xfId="0" applyFont="1" applyFill="1" applyBorder="1" applyAlignment="1">
      <alignment horizontal="center" vertical="center"/>
    </xf>
    <xf numFmtId="165" fontId="81" fillId="15" borderId="81" xfId="0" applyFont="1" applyFill="1" applyBorder="1" applyAlignment="1">
      <alignment horizontal="center" vertical="center"/>
    </xf>
  </cellXfs>
  <cellStyles count="10">
    <cellStyle name="Euro" xfId="1" xr:uid="{FB0C733C-58D2-4046-9D3E-F80963B2D172}"/>
    <cellStyle name="Millares" xfId="2" builtinId="3"/>
    <cellStyle name="Normal" xfId="0" builtinId="0"/>
    <cellStyle name="Normal 2" xfId="3" xr:uid="{2DB67B33-9910-43DD-B008-85B2A32F5606}"/>
    <cellStyle name="Normal_CH2N-PREMIN-tabicon-1" xfId="4" xr:uid="{AF74C133-21C6-4300-9B9F-DB5DAF98FE7C}"/>
    <cellStyle name="Normal_DIS-TRABES-ARMEX-REFUERZO" xfId="5" xr:uid="{E4FD7BB1-C8B6-4DBB-8BFA-8F5EB7BE3395}"/>
    <cellStyle name="Normal_DIS-ZAPATA" xfId="6" xr:uid="{CF2BAE25-B1C2-4AF6-816D-93C3398FD82A}"/>
    <cellStyle name="Normal_DIS-ZAPATA_CH-2N-MACR" xfId="7" xr:uid="{B489CC8C-E705-40B4-8700-A2B0A7F97070}"/>
    <cellStyle name="Normal_MURO DE CONCRETO" xfId="8" xr:uid="{5F62C4B5-F097-45B3-8BB1-81DEB49F5320}"/>
    <cellStyle name="Porcentaje" xfId="9" builtinId="5"/>
  </cellStyles>
  <dxfs count="2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hyperlink" Target="#'MENU PRINCIPAL'!A1"/></Relationships>
</file>

<file path=xl/drawings/_rels/drawing8.xml.rels><?xml version="1.0" encoding="UTF-8" standalone="yes"?>
<Relationships xmlns="http://schemas.openxmlformats.org/package/2006/relationships"><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1" Type="http://schemas.openxmlformats.org/officeDocument/2006/relationships/image" Target="../media/image1.emf"/></Relationships>
</file>

<file path=xl/drawings/_rels/drawing10.xml.rels><?xml version="1.0" encoding="UTF-8" standalone="yes"?>
<Relationships xmlns="http://schemas.openxmlformats.org/package/2006/relationships"><Relationship Id="rId1" Type="http://schemas.openxmlformats.org/officeDocument/2006/relationships/image" Target="../media/image1.emf"/></Relationships>
</file>

<file path=xl/drawings/_rels/drawing11.xml.rels><?xml version="1.0" encoding="UTF-8" standalone="yes"?>
<Relationships xmlns="http://schemas.openxmlformats.org/package/2006/relationships"><Relationship Id="rId1" Type="http://schemas.openxmlformats.org/officeDocument/2006/relationships/image" Target="../media/image1.emf"/></Relationships>
</file>

<file path=xl/drawings/_rels/drawing12.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hyperlink" Target="#'MENU PRINCIPAL'!A1"/></Relationships>
</file>

<file path=xl/drawings/_rels/drawing13.xml.rels><?xml version="1.0" encoding="UTF-8" standalone="yes"?>
<Relationships xmlns="http://schemas.openxmlformats.org/package/2006/relationships"><Relationship Id="rId1" Type="http://schemas.openxmlformats.org/officeDocument/2006/relationships/image" Target="../media/image1.emf"/></Relationships>
</file>

<file path=xl/drawings/_rels/drawing14.xml.rels><?xml version="1.0" encoding="UTF-8" standalone="yes"?>
<Relationships xmlns="http://schemas.openxmlformats.org/package/2006/relationships"><Relationship Id="rId1" Type="http://schemas.openxmlformats.org/officeDocument/2006/relationships/image" Target="../media/image1.emf"/></Relationships>
</file>

<file path=xl/drawings/_rels/drawing15.xml.rels><?xml version="1.0" encoding="UTF-8" standalone="yes"?>
<Relationships xmlns="http://schemas.openxmlformats.org/package/2006/relationships"><Relationship Id="rId1" Type="http://schemas.openxmlformats.org/officeDocument/2006/relationships/image" Target="../media/image1.emf"/></Relationships>
</file>

<file path=xl/drawings/_rels/drawing16.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emf"/></Relationships>
</file>

<file path=xl/drawings/_rels/drawing18.xml.rels><?xml version="1.0" encoding="UTF-8" standalone="yes"?>
<Relationships xmlns="http://schemas.openxmlformats.org/package/2006/relationships"><Relationship Id="rId1" Type="http://schemas.openxmlformats.org/officeDocument/2006/relationships/image" Target="../media/image1.emf"/></Relationships>
</file>

<file path=xl/drawings/_rels/drawing19.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hyperlink" Target="#'MENU PRINCIPAL'!A1"/></Relationships>
</file>

<file path=xl/drawings/_rels/drawing20.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hyperlink" Target="#'MENU PRINCIPAL'!A1"/></Relationships>
</file>

<file path=xl/drawings/_rels/drawing2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5</xdr:row>
      <xdr:rowOff>123825</xdr:rowOff>
    </xdr:from>
    <xdr:to>
      <xdr:col>7</xdr:col>
      <xdr:colOff>695325</xdr:colOff>
      <xdr:row>5</xdr:row>
      <xdr:rowOff>123825</xdr:rowOff>
    </xdr:to>
    <xdr:sp macro="" textlink="">
      <xdr:nvSpPr>
        <xdr:cNvPr id="1382801" name="Line 4">
          <a:extLst>
            <a:ext uri="{FF2B5EF4-FFF2-40B4-BE49-F238E27FC236}">
              <a16:creationId xmlns:a16="http://schemas.microsoft.com/office/drawing/2014/main" id="{E2B0BECF-6B63-F863-AE1C-6B8707B4F567}"/>
            </a:ext>
          </a:extLst>
        </xdr:cNvPr>
        <xdr:cNvSpPr>
          <a:spLocks noChangeShapeType="1"/>
        </xdr:cNvSpPr>
      </xdr:nvSpPr>
      <xdr:spPr bwMode="auto">
        <a:xfrm>
          <a:off x="0" y="933450"/>
          <a:ext cx="7124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182880</xdr:colOff>
      <xdr:row>1</xdr:row>
      <xdr:rowOff>47625</xdr:rowOff>
    </xdr:from>
    <xdr:to>
      <xdr:col>8</xdr:col>
      <xdr:colOff>211455</xdr:colOff>
      <xdr:row>2</xdr:row>
      <xdr:rowOff>76200</xdr:rowOff>
    </xdr:to>
    <xdr:sp macro="" textlink="">
      <xdr:nvSpPr>
        <xdr:cNvPr id="19461" name="Texto 327">
          <a:extLst>
            <a:ext uri="{FF2B5EF4-FFF2-40B4-BE49-F238E27FC236}">
              <a16:creationId xmlns:a16="http://schemas.microsoft.com/office/drawing/2014/main" id="{26B595CB-97AD-4C61-4293-14311C5257DB}"/>
            </a:ext>
          </a:extLst>
        </xdr:cNvPr>
        <xdr:cNvSpPr txBox="1">
          <a:spLocks noChangeArrowheads="1"/>
        </xdr:cNvSpPr>
      </xdr:nvSpPr>
      <xdr:spPr bwMode="auto">
        <a:xfrm>
          <a:off x="5905500" y="209550"/>
          <a:ext cx="4895850" cy="190500"/>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3</xdr:col>
      <xdr:colOff>41910</xdr:colOff>
      <xdr:row>2</xdr:row>
      <xdr:rowOff>95250</xdr:rowOff>
    </xdr:from>
    <xdr:to>
      <xdr:col>4</xdr:col>
      <xdr:colOff>47635</xdr:colOff>
      <xdr:row>4</xdr:row>
      <xdr:rowOff>36537</xdr:rowOff>
    </xdr:to>
    <xdr:sp macro="" textlink="">
      <xdr:nvSpPr>
        <xdr:cNvPr id="19462" name="Texto 327">
          <a:extLst>
            <a:ext uri="{FF2B5EF4-FFF2-40B4-BE49-F238E27FC236}">
              <a16:creationId xmlns:a16="http://schemas.microsoft.com/office/drawing/2014/main" id="{22B23E77-7932-BC27-AEC1-610A335AB206}"/>
            </a:ext>
          </a:extLst>
        </xdr:cNvPr>
        <xdr:cNvSpPr txBox="1">
          <a:spLocks noChangeArrowheads="1"/>
        </xdr:cNvSpPr>
      </xdr:nvSpPr>
      <xdr:spPr bwMode="auto">
        <a:xfrm>
          <a:off x="5753100" y="409575"/>
          <a:ext cx="1343025" cy="266700"/>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6</xdr:col>
      <xdr:colOff>47625</xdr:colOff>
      <xdr:row>2</xdr:row>
      <xdr:rowOff>95250</xdr:rowOff>
    </xdr:from>
    <xdr:to>
      <xdr:col>8</xdr:col>
      <xdr:colOff>338973</xdr:colOff>
      <xdr:row>5</xdr:row>
      <xdr:rowOff>76389</xdr:rowOff>
    </xdr:to>
    <xdr:sp macro="" textlink="">
      <xdr:nvSpPr>
        <xdr:cNvPr id="19463" name="Texto 327">
          <a:extLst>
            <a:ext uri="{FF2B5EF4-FFF2-40B4-BE49-F238E27FC236}">
              <a16:creationId xmlns:a16="http://schemas.microsoft.com/office/drawing/2014/main" id="{926F753B-3E6A-21B7-AB86-4E5F93BE61AB}"/>
            </a:ext>
          </a:extLst>
        </xdr:cNvPr>
        <xdr:cNvSpPr txBox="1">
          <a:spLocks noChangeArrowheads="1"/>
        </xdr:cNvSpPr>
      </xdr:nvSpPr>
      <xdr:spPr bwMode="auto">
        <a:xfrm>
          <a:off x="8953500" y="409575"/>
          <a:ext cx="1971675" cy="476250"/>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7</xdr:col>
      <xdr:colOff>308610</xdr:colOff>
      <xdr:row>0</xdr:row>
      <xdr:rowOff>47625</xdr:rowOff>
    </xdr:from>
    <xdr:to>
      <xdr:col>8</xdr:col>
      <xdr:colOff>118055</xdr:colOff>
      <xdr:row>1</xdr:row>
      <xdr:rowOff>76200</xdr:rowOff>
    </xdr:to>
    <xdr:sp macro="" textlink="">
      <xdr:nvSpPr>
        <xdr:cNvPr id="19464" name="Texto 327">
          <a:extLst>
            <a:ext uri="{FF2B5EF4-FFF2-40B4-BE49-F238E27FC236}">
              <a16:creationId xmlns:a16="http://schemas.microsoft.com/office/drawing/2014/main" id="{9E8B5CEC-AF03-24A4-DAD3-26074E1607AB}"/>
            </a:ext>
          </a:extLst>
        </xdr:cNvPr>
        <xdr:cNvSpPr txBox="1">
          <a:spLocks noChangeArrowheads="1"/>
        </xdr:cNvSpPr>
      </xdr:nvSpPr>
      <xdr:spPr bwMode="auto">
        <a:xfrm>
          <a:off x="10039350" y="47625"/>
          <a:ext cx="657225" cy="190500"/>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47625</xdr:colOff>
      <xdr:row>0</xdr:row>
      <xdr:rowOff>28575</xdr:rowOff>
    </xdr:from>
    <xdr:to>
      <xdr:col>1</xdr:col>
      <xdr:colOff>657225</xdr:colOff>
      <xdr:row>5</xdr:row>
      <xdr:rowOff>76200</xdr:rowOff>
    </xdr:to>
    <xdr:pic>
      <xdr:nvPicPr>
        <xdr:cNvPr id="1382806" name="Picture 52">
          <a:extLst>
            <a:ext uri="{FF2B5EF4-FFF2-40B4-BE49-F238E27FC236}">
              <a16:creationId xmlns:a16="http://schemas.microsoft.com/office/drawing/2014/main" id="{269B8419-14C6-5D04-0327-EC17BD61BE8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47625" y="28575"/>
          <a:ext cx="11906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xdr:row>
      <xdr:rowOff>123825</xdr:rowOff>
    </xdr:from>
    <xdr:to>
      <xdr:col>9</xdr:col>
      <xdr:colOff>809625</xdr:colOff>
      <xdr:row>5</xdr:row>
      <xdr:rowOff>123825</xdr:rowOff>
    </xdr:to>
    <xdr:sp macro="" textlink="">
      <xdr:nvSpPr>
        <xdr:cNvPr id="1383822" name="Line 2">
          <a:extLst>
            <a:ext uri="{FF2B5EF4-FFF2-40B4-BE49-F238E27FC236}">
              <a16:creationId xmlns:a16="http://schemas.microsoft.com/office/drawing/2014/main" id="{F7DC014E-245A-E17A-406D-A0F9551F4D2C}"/>
            </a:ext>
          </a:extLst>
        </xdr:cNvPr>
        <xdr:cNvSpPr>
          <a:spLocks noChangeShapeType="1"/>
        </xdr:cNvSpPr>
      </xdr:nvSpPr>
      <xdr:spPr bwMode="auto">
        <a:xfrm>
          <a:off x="0" y="933450"/>
          <a:ext cx="88487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681990</xdr:colOff>
      <xdr:row>1</xdr:row>
      <xdr:rowOff>38100</xdr:rowOff>
    </xdr:from>
    <xdr:to>
      <xdr:col>10</xdr:col>
      <xdr:colOff>392520</xdr:colOff>
      <xdr:row>2</xdr:row>
      <xdr:rowOff>66675</xdr:rowOff>
    </xdr:to>
    <xdr:sp macro="" textlink="">
      <xdr:nvSpPr>
        <xdr:cNvPr id="31747" name="Texto 327">
          <a:extLst>
            <a:ext uri="{FF2B5EF4-FFF2-40B4-BE49-F238E27FC236}">
              <a16:creationId xmlns:a16="http://schemas.microsoft.com/office/drawing/2014/main" id="{23721CBA-8981-33E5-8F37-787460F5D174}"/>
            </a:ext>
          </a:extLst>
        </xdr:cNvPr>
        <xdr:cNvSpPr txBox="1">
          <a:spLocks noChangeArrowheads="1"/>
        </xdr:cNvSpPr>
      </xdr:nvSpPr>
      <xdr:spPr bwMode="auto">
        <a:xfrm>
          <a:off x="7820025" y="200025"/>
          <a:ext cx="4981575" cy="190500"/>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4</xdr:col>
      <xdr:colOff>531495</xdr:colOff>
      <xdr:row>2</xdr:row>
      <xdr:rowOff>76200</xdr:rowOff>
    </xdr:from>
    <xdr:to>
      <xdr:col>6</xdr:col>
      <xdr:colOff>2782</xdr:colOff>
      <xdr:row>4</xdr:row>
      <xdr:rowOff>26637</xdr:rowOff>
    </xdr:to>
    <xdr:sp macro="" textlink="">
      <xdr:nvSpPr>
        <xdr:cNvPr id="31748" name="Texto 327">
          <a:extLst>
            <a:ext uri="{FF2B5EF4-FFF2-40B4-BE49-F238E27FC236}">
              <a16:creationId xmlns:a16="http://schemas.microsoft.com/office/drawing/2014/main" id="{8ADBB70B-3575-E924-B63A-CA8784331B62}"/>
            </a:ext>
          </a:extLst>
        </xdr:cNvPr>
        <xdr:cNvSpPr txBox="1">
          <a:spLocks noChangeArrowheads="1"/>
        </xdr:cNvSpPr>
      </xdr:nvSpPr>
      <xdr:spPr bwMode="auto">
        <a:xfrm>
          <a:off x="7677150" y="400050"/>
          <a:ext cx="1371600" cy="266700"/>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8</xdr:col>
      <xdr:colOff>80010</xdr:colOff>
      <xdr:row>2</xdr:row>
      <xdr:rowOff>85725</xdr:rowOff>
    </xdr:from>
    <xdr:to>
      <xdr:col>10</xdr:col>
      <xdr:colOff>360036</xdr:colOff>
      <xdr:row>5</xdr:row>
      <xdr:rowOff>76200</xdr:rowOff>
    </xdr:to>
    <xdr:sp macro="" textlink="">
      <xdr:nvSpPr>
        <xdr:cNvPr id="31749" name="Texto 327">
          <a:extLst>
            <a:ext uri="{FF2B5EF4-FFF2-40B4-BE49-F238E27FC236}">
              <a16:creationId xmlns:a16="http://schemas.microsoft.com/office/drawing/2014/main" id="{072B6885-AF9B-A7B0-02F6-81A469637500}"/>
            </a:ext>
          </a:extLst>
        </xdr:cNvPr>
        <xdr:cNvSpPr txBox="1">
          <a:spLocks noChangeArrowheads="1"/>
        </xdr:cNvSpPr>
      </xdr:nvSpPr>
      <xdr:spPr bwMode="auto">
        <a:xfrm>
          <a:off x="10801350" y="409575"/>
          <a:ext cx="1971675" cy="476250"/>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9</xdr:col>
      <xdr:colOff>419100</xdr:colOff>
      <xdr:row>0</xdr:row>
      <xdr:rowOff>47625</xdr:rowOff>
    </xdr:from>
    <xdr:to>
      <xdr:col>10</xdr:col>
      <xdr:colOff>220430</xdr:colOff>
      <xdr:row>1</xdr:row>
      <xdr:rowOff>76200</xdr:rowOff>
    </xdr:to>
    <xdr:sp macro="" textlink="">
      <xdr:nvSpPr>
        <xdr:cNvPr id="31750" name="Texto 327">
          <a:extLst>
            <a:ext uri="{FF2B5EF4-FFF2-40B4-BE49-F238E27FC236}">
              <a16:creationId xmlns:a16="http://schemas.microsoft.com/office/drawing/2014/main" id="{29A98FEA-9BF1-CAB7-99D3-5B0302F0D910}"/>
            </a:ext>
          </a:extLst>
        </xdr:cNvPr>
        <xdr:cNvSpPr txBox="1">
          <a:spLocks noChangeArrowheads="1"/>
        </xdr:cNvSpPr>
      </xdr:nvSpPr>
      <xdr:spPr bwMode="auto">
        <a:xfrm>
          <a:off x="11972925" y="47625"/>
          <a:ext cx="657225" cy="190500"/>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2</xdr:col>
      <xdr:colOff>2344</xdr:colOff>
      <xdr:row>5</xdr:row>
      <xdr:rowOff>47625</xdr:rowOff>
    </xdr:to>
    <xdr:pic>
      <xdr:nvPicPr>
        <xdr:cNvPr id="1383827" name="Picture 52">
          <a:extLst>
            <a:ext uri="{FF2B5EF4-FFF2-40B4-BE49-F238E27FC236}">
              <a16:creationId xmlns:a16="http://schemas.microsoft.com/office/drawing/2014/main" id="{86B29280-8A60-26BF-DC14-F22A8AA324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1906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30</xdr:col>
      <xdr:colOff>219075</xdr:colOff>
      <xdr:row>17</xdr:row>
      <xdr:rowOff>123825</xdr:rowOff>
    </xdr:from>
    <xdr:to>
      <xdr:col>30</xdr:col>
      <xdr:colOff>600075</xdr:colOff>
      <xdr:row>19</xdr:row>
      <xdr:rowOff>123825</xdr:rowOff>
    </xdr:to>
    <xdr:grpSp>
      <xdr:nvGrpSpPr>
        <xdr:cNvPr id="1403363" name="Group 22">
          <a:extLst>
            <a:ext uri="{FF2B5EF4-FFF2-40B4-BE49-F238E27FC236}">
              <a16:creationId xmlns:a16="http://schemas.microsoft.com/office/drawing/2014/main" id="{7245E133-E863-3019-CB29-112E83209826}"/>
            </a:ext>
          </a:extLst>
        </xdr:cNvPr>
        <xdr:cNvGrpSpPr>
          <a:grpSpLocks/>
        </xdr:cNvGrpSpPr>
      </xdr:nvGrpSpPr>
      <xdr:grpSpPr bwMode="auto">
        <a:xfrm>
          <a:off x="7197587" y="2898913"/>
          <a:ext cx="0" cy="322608"/>
          <a:chOff x="1789" y="57"/>
          <a:chExt cx="40" cy="41"/>
        </a:xfrm>
      </xdr:grpSpPr>
      <xdr:grpSp>
        <xdr:nvGrpSpPr>
          <xdr:cNvPr id="1403374" name="Group 23">
            <a:extLst>
              <a:ext uri="{FF2B5EF4-FFF2-40B4-BE49-F238E27FC236}">
                <a16:creationId xmlns:a16="http://schemas.microsoft.com/office/drawing/2014/main" id="{75C2EAB2-22CD-7E0C-F3E9-53BBD133EB51}"/>
              </a:ext>
            </a:extLst>
          </xdr:cNvPr>
          <xdr:cNvGrpSpPr>
            <a:grpSpLocks/>
          </xdr:cNvGrpSpPr>
        </xdr:nvGrpSpPr>
        <xdr:grpSpPr bwMode="auto">
          <a:xfrm>
            <a:off x="1789" y="57"/>
            <a:ext cx="40" cy="41"/>
            <a:chOff x="1671" y="135"/>
            <a:chExt cx="57" cy="58"/>
          </a:xfrm>
        </xdr:grpSpPr>
        <xdr:sp macro="" textlink="">
          <xdr:nvSpPr>
            <xdr:cNvPr id="1403376" name="Rectangle 24">
              <a:extLst>
                <a:ext uri="{FF2B5EF4-FFF2-40B4-BE49-F238E27FC236}">
                  <a16:creationId xmlns:a16="http://schemas.microsoft.com/office/drawing/2014/main" id="{D9B759C8-B219-147B-6CB8-913202CF97FA}"/>
                </a:ext>
              </a:extLst>
            </xdr:cNvPr>
            <xdr:cNvSpPr>
              <a:spLocks noChangeArrowheads="1"/>
            </xdr:cNvSpPr>
          </xdr:nvSpPr>
          <xdr:spPr bwMode="auto">
            <a:xfrm>
              <a:off x="1671" y="144"/>
              <a:ext cx="9" cy="4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403377" name="Rectangle 25">
              <a:extLst>
                <a:ext uri="{FF2B5EF4-FFF2-40B4-BE49-F238E27FC236}">
                  <a16:creationId xmlns:a16="http://schemas.microsoft.com/office/drawing/2014/main" id="{27E446B6-2F63-E01A-03EB-0797B7A3E566}"/>
                </a:ext>
              </a:extLst>
            </xdr:cNvPr>
            <xdr:cNvSpPr>
              <a:spLocks noChangeArrowheads="1"/>
            </xdr:cNvSpPr>
          </xdr:nvSpPr>
          <xdr:spPr bwMode="auto">
            <a:xfrm>
              <a:off x="1671" y="135"/>
              <a:ext cx="57" cy="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grpSp>
      <xdr:sp macro="" textlink="">
        <xdr:nvSpPr>
          <xdr:cNvPr id="36890" name="Text Box 26">
            <a:extLst>
              <a:ext uri="{FF2B5EF4-FFF2-40B4-BE49-F238E27FC236}">
                <a16:creationId xmlns:a16="http://schemas.microsoft.com/office/drawing/2014/main" id="{6259588A-6676-279A-132C-B5C4957C609A}"/>
              </a:ext>
            </a:extLst>
          </xdr:cNvPr>
          <xdr:cNvSpPr txBox="1">
            <a:spLocks noChangeArrowheads="1"/>
          </xdr:cNvSpPr>
        </xdr:nvSpPr>
        <xdr:spPr bwMode="auto">
          <a:xfrm>
            <a:off x="6362700" y="5866712685525"/>
            <a:ext cx="0" cy="0"/>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22860" rIns="0" bIns="0" anchor="t" upright="1"/>
          <a:lstStyle/>
          <a:p>
            <a:pPr algn="l" rtl="0">
              <a:defRPr sz="1000"/>
            </a:pPr>
            <a:r>
              <a:rPr lang="es-MX" sz="1200" b="0" i="0" u="none" strike="noStrike" baseline="0">
                <a:solidFill>
                  <a:srgbClr val="000000"/>
                </a:solidFill>
                <a:latin typeface="Arial"/>
                <a:cs typeface="Arial"/>
              </a:rPr>
              <a:t>1</a:t>
            </a:r>
          </a:p>
        </xdr:txBody>
      </xdr:sp>
    </xdr:grpSp>
    <xdr:clientData/>
  </xdr:twoCellAnchor>
  <xdr:twoCellAnchor>
    <xdr:from>
      <xdr:col>0</xdr:col>
      <xdr:colOff>0</xdr:colOff>
      <xdr:row>5</xdr:row>
      <xdr:rowOff>123825</xdr:rowOff>
    </xdr:from>
    <xdr:to>
      <xdr:col>38</xdr:col>
      <xdr:colOff>219075</xdr:colOff>
      <xdr:row>5</xdr:row>
      <xdr:rowOff>123825</xdr:rowOff>
    </xdr:to>
    <xdr:sp macro="" textlink="">
      <xdr:nvSpPr>
        <xdr:cNvPr id="1403364" name="Line 28">
          <a:extLst>
            <a:ext uri="{FF2B5EF4-FFF2-40B4-BE49-F238E27FC236}">
              <a16:creationId xmlns:a16="http://schemas.microsoft.com/office/drawing/2014/main" id="{85BDD6F1-5E40-4958-759D-EEC459843DA2}"/>
            </a:ext>
          </a:extLst>
        </xdr:cNvPr>
        <xdr:cNvSpPr>
          <a:spLocks noChangeShapeType="1"/>
        </xdr:cNvSpPr>
      </xdr:nvSpPr>
      <xdr:spPr bwMode="auto">
        <a:xfrm>
          <a:off x="0" y="1047750"/>
          <a:ext cx="99345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312420</xdr:colOff>
      <xdr:row>1</xdr:row>
      <xdr:rowOff>78105</xdr:rowOff>
    </xdr:from>
    <xdr:to>
      <xdr:col>39</xdr:col>
      <xdr:colOff>49674</xdr:colOff>
      <xdr:row>2</xdr:row>
      <xdr:rowOff>125730</xdr:rowOff>
    </xdr:to>
    <xdr:sp macro="" textlink="">
      <xdr:nvSpPr>
        <xdr:cNvPr id="36893" name="Texto 327">
          <a:extLst>
            <a:ext uri="{FF2B5EF4-FFF2-40B4-BE49-F238E27FC236}">
              <a16:creationId xmlns:a16="http://schemas.microsoft.com/office/drawing/2014/main" id="{9BA803EE-B644-F16E-16A2-9EEF2A01DD40}"/>
            </a:ext>
          </a:extLst>
        </xdr:cNvPr>
        <xdr:cNvSpPr txBox="1">
          <a:spLocks noChangeArrowheads="1"/>
        </xdr:cNvSpPr>
      </xdr:nvSpPr>
      <xdr:spPr bwMode="auto">
        <a:xfrm>
          <a:off x="7781925" y="247650"/>
          <a:ext cx="5467350" cy="209550"/>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15</xdr:col>
      <xdr:colOff>47625</xdr:colOff>
      <xdr:row>2</xdr:row>
      <xdr:rowOff>114300</xdr:rowOff>
    </xdr:from>
    <xdr:to>
      <xdr:col>34</xdr:col>
      <xdr:colOff>129550</xdr:colOff>
      <xdr:row>4</xdr:row>
      <xdr:rowOff>64758</xdr:rowOff>
    </xdr:to>
    <xdr:sp macro="" textlink="">
      <xdr:nvSpPr>
        <xdr:cNvPr id="36894" name="Texto 327">
          <a:extLst>
            <a:ext uri="{FF2B5EF4-FFF2-40B4-BE49-F238E27FC236}">
              <a16:creationId xmlns:a16="http://schemas.microsoft.com/office/drawing/2014/main" id="{2C9F669E-3194-1947-0A0B-50B87276E754}"/>
            </a:ext>
          </a:extLst>
        </xdr:cNvPr>
        <xdr:cNvSpPr txBox="1">
          <a:spLocks noChangeArrowheads="1"/>
        </xdr:cNvSpPr>
      </xdr:nvSpPr>
      <xdr:spPr bwMode="auto">
        <a:xfrm>
          <a:off x="7515225" y="438150"/>
          <a:ext cx="1619250" cy="266700"/>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36</xdr:col>
      <xdr:colOff>131445</xdr:colOff>
      <xdr:row>2</xdr:row>
      <xdr:rowOff>152400</xdr:rowOff>
    </xdr:from>
    <xdr:to>
      <xdr:col>38</xdr:col>
      <xdr:colOff>339111</xdr:colOff>
      <xdr:row>5</xdr:row>
      <xdr:rowOff>78172</xdr:rowOff>
    </xdr:to>
    <xdr:sp macro="" textlink="">
      <xdr:nvSpPr>
        <xdr:cNvPr id="36903" name="Texto 327">
          <a:extLst>
            <a:ext uri="{FF2B5EF4-FFF2-40B4-BE49-F238E27FC236}">
              <a16:creationId xmlns:a16="http://schemas.microsoft.com/office/drawing/2014/main" id="{1C6BBE2E-45D9-8980-E7B3-25AD64E13731}"/>
            </a:ext>
          </a:extLst>
        </xdr:cNvPr>
        <xdr:cNvSpPr txBox="1">
          <a:spLocks noChangeArrowheads="1"/>
        </xdr:cNvSpPr>
      </xdr:nvSpPr>
      <xdr:spPr bwMode="auto">
        <a:xfrm>
          <a:off x="10820400" y="476250"/>
          <a:ext cx="1876425" cy="419100"/>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17</xdr:col>
      <xdr:colOff>0</xdr:colOff>
      <xdr:row>0</xdr:row>
      <xdr:rowOff>81915</xdr:rowOff>
    </xdr:from>
    <xdr:to>
      <xdr:col>17</xdr:col>
      <xdr:colOff>0</xdr:colOff>
      <xdr:row>1</xdr:row>
      <xdr:rowOff>79183</xdr:rowOff>
    </xdr:to>
    <xdr:sp macro="" textlink="">
      <xdr:nvSpPr>
        <xdr:cNvPr id="36904" name="Texto 327">
          <a:extLst>
            <a:ext uri="{FF2B5EF4-FFF2-40B4-BE49-F238E27FC236}">
              <a16:creationId xmlns:a16="http://schemas.microsoft.com/office/drawing/2014/main" id="{29BCA119-43A7-AFE7-C0A9-5F5C02827C7C}"/>
            </a:ext>
          </a:extLst>
        </xdr:cNvPr>
        <xdr:cNvSpPr txBox="1">
          <a:spLocks noChangeArrowheads="1"/>
        </xdr:cNvSpPr>
      </xdr:nvSpPr>
      <xdr:spPr bwMode="auto">
        <a:xfrm>
          <a:off x="9001125" y="85725"/>
          <a:ext cx="0" cy="161925"/>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REALIZA:</a:t>
          </a:r>
        </a:p>
      </xdr:txBody>
    </xdr:sp>
    <xdr:clientData/>
  </xdr:twoCellAnchor>
  <xdr:twoCellAnchor>
    <xdr:from>
      <xdr:col>37</xdr:col>
      <xdr:colOff>419100</xdr:colOff>
      <xdr:row>0</xdr:row>
      <xdr:rowOff>76200</xdr:rowOff>
    </xdr:from>
    <xdr:to>
      <xdr:col>38</xdr:col>
      <xdr:colOff>508608</xdr:colOff>
      <xdr:row>1</xdr:row>
      <xdr:rowOff>76200</xdr:rowOff>
    </xdr:to>
    <xdr:sp macro="" textlink="">
      <xdr:nvSpPr>
        <xdr:cNvPr id="36905" name="Texto 327">
          <a:extLst>
            <a:ext uri="{FF2B5EF4-FFF2-40B4-BE49-F238E27FC236}">
              <a16:creationId xmlns:a16="http://schemas.microsoft.com/office/drawing/2014/main" id="{1AF50679-C7C4-A6F3-236F-031C6D4069C5}"/>
            </a:ext>
          </a:extLst>
        </xdr:cNvPr>
        <xdr:cNvSpPr txBox="1">
          <a:spLocks noChangeArrowheads="1"/>
        </xdr:cNvSpPr>
      </xdr:nvSpPr>
      <xdr:spPr bwMode="auto">
        <a:xfrm>
          <a:off x="11934825" y="76200"/>
          <a:ext cx="923925" cy="161925"/>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REALIZA:</a:t>
          </a:r>
        </a:p>
      </xdr:txBody>
    </xdr:sp>
    <xdr:clientData/>
  </xdr:twoCellAnchor>
  <xdr:twoCellAnchor>
    <xdr:from>
      <xdr:col>0</xdr:col>
      <xdr:colOff>0</xdr:colOff>
      <xdr:row>5</xdr:row>
      <xdr:rowOff>123825</xdr:rowOff>
    </xdr:from>
    <xdr:to>
      <xdr:col>7</xdr:col>
      <xdr:colOff>695325</xdr:colOff>
      <xdr:row>5</xdr:row>
      <xdr:rowOff>123825</xdr:rowOff>
    </xdr:to>
    <xdr:sp macro="" textlink="">
      <xdr:nvSpPr>
        <xdr:cNvPr id="1403370" name="Line 4">
          <a:extLst>
            <a:ext uri="{FF2B5EF4-FFF2-40B4-BE49-F238E27FC236}">
              <a16:creationId xmlns:a16="http://schemas.microsoft.com/office/drawing/2014/main" id="{9679843B-F75F-2F15-46E3-C8A160C43C9F}"/>
            </a:ext>
          </a:extLst>
        </xdr:cNvPr>
        <xdr:cNvSpPr>
          <a:spLocks noChangeShapeType="1"/>
        </xdr:cNvSpPr>
      </xdr:nvSpPr>
      <xdr:spPr bwMode="auto">
        <a:xfrm>
          <a:off x="0" y="1047750"/>
          <a:ext cx="3009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xdr:colOff>
      <xdr:row>2</xdr:row>
      <xdr:rowOff>85725</xdr:rowOff>
    </xdr:from>
    <xdr:to>
      <xdr:col>8</xdr:col>
      <xdr:colOff>342900</xdr:colOff>
      <xdr:row>5</xdr:row>
      <xdr:rowOff>76200</xdr:rowOff>
    </xdr:to>
    <xdr:sp macro="" textlink="">
      <xdr:nvSpPr>
        <xdr:cNvPr id="55" name="Texto 327">
          <a:extLst>
            <a:ext uri="{FF2B5EF4-FFF2-40B4-BE49-F238E27FC236}">
              <a16:creationId xmlns:a16="http://schemas.microsoft.com/office/drawing/2014/main" id="{FBFF3DBB-75FD-3275-3BD1-189C7ECB86BB}"/>
            </a:ext>
          </a:extLst>
        </xdr:cNvPr>
        <xdr:cNvSpPr txBox="1">
          <a:spLocks noChangeArrowheads="1"/>
        </xdr:cNvSpPr>
      </xdr:nvSpPr>
      <xdr:spPr bwMode="auto">
        <a:xfrm>
          <a:off x="5457825" y="409575"/>
          <a:ext cx="1971675" cy="476250"/>
        </a:xfrm>
        <a:prstGeom prst="rect">
          <a:avLst/>
        </a:prstGeom>
        <a:noFill/>
        <a:ln>
          <a:noFill/>
        </a:ln>
      </xdr:spPr>
      <xdr:txBody>
        <a:bodyPr vertOverflow="clip" wrap="square" lIns="27432" tIns="18288" rIns="0" bIns="0" anchor="t" upright="1"/>
        <a:lstStyle/>
        <a:p>
          <a:pPr algn="l" rtl="0">
            <a:lnSpc>
              <a:spcPts val="800"/>
            </a:lnSpc>
            <a:defRPr sz="1000"/>
          </a:pPr>
          <a:r>
            <a:rPr lang="es-MX" sz="800" b="0" i="0" u="none" strike="noStrike" baseline="0">
              <a:solidFill>
                <a:srgbClr val="000000"/>
              </a:solidFill>
              <a:latin typeface="Arial"/>
              <a:cs typeface="Arial"/>
            </a:rPr>
            <a:t> 1a. PRIV. 13 DE SEPT. No. 107</a:t>
          </a:r>
        </a:p>
        <a:p>
          <a:pPr algn="l" rtl="0">
            <a:lnSpc>
              <a:spcPts val="800"/>
            </a:lnSpc>
            <a:defRPr sz="1000"/>
          </a:pPr>
          <a:r>
            <a:rPr lang="es-MX" sz="800" b="0" i="0" u="none" strike="noStrike" baseline="0">
              <a:solidFill>
                <a:srgbClr val="000000"/>
              </a:solidFill>
              <a:latin typeface="Arial"/>
              <a:cs typeface="Arial"/>
            </a:rPr>
            <a:t> COL.VICENTE SUAREZ </a:t>
          </a:r>
        </a:p>
        <a:p>
          <a:pPr algn="l" rtl="0">
            <a:lnSpc>
              <a:spcPts val="700"/>
            </a:lnSpc>
            <a:defRPr sz="1000"/>
          </a:pPr>
          <a:r>
            <a:rPr lang="es-MX" sz="800" b="0" i="0" u="none" strike="noStrike" baseline="0">
              <a:solidFill>
                <a:srgbClr val="000000"/>
              </a:solidFill>
              <a:latin typeface="Arial"/>
              <a:cs typeface="Arial"/>
            </a:rPr>
            <a:t> C.P. 68030, OAXACA OAX</a:t>
          </a:r>
        </a:p>
      </xdr:txBody>
    </xdr:sp>
    <xdr:clientData/>
  </xdr:twoCellAnchor>
  <xdr:twoCellAnchor>
    <xdr:from>
      <xdr:col>7</xdr:col>
      <xdr:colOff>295275</xdr:colOff>
      <xdr:row>0</xdr:row>
      <xdr:rowOff>47625</xdr:rowOff>
    </xdr:from>
    <xdr:to>
      <xdr:col>8</xdr:col>
      <xdr:colOff>114300</xdr:colOff>
      <xdr:row>1</xdr:row>
      <xdr:rowOff>76200</xdr:rowOff>
    </xdr:to>
    <xdr:sp macro="" textlink="">
      <xdr:nvSpPr>
        <xdr:cNvPr id="56" name="Texto 327">
          <a:extLst>
            <a:ext uri="{FF2B5EF4-FFF2-40B4-BE49-F238E27FC236}">
              <a16:creationId xmlns:a16="http://schemas.microsoft.com/office/drawing/2014/main" id="{88321B4B-DBD1-CE36-0AFC-775CE5B9F55F}"/>
            </a:ext>
          </a:extLst>
        </xdr:cNvPr>
        <xdr:cNvSpPr txBox="1">
          <a:spLocks noChangeArrowheads="1"/>
        </xdr:cNvSpPr>
      </xdr:nvSpPr>
      <xdr:spPr bwMode="auto">
        <a:xfrm>
          <a:off x="6543675" y="47625"/>
          <a:ext cx="657225" cy="190500"/>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1</xdr:col>
      <xdr:colOff>657225</xdr:colOff>
      <xdr:row>4</xdr:row>
      <xdr:rowOff>123825</xdr:rowOff>
    </xdr:to>
    <xdr:pic>
      <xdr:nvPicPr>
        <xdr:cNvPr id="1403373" name="Picture 52">
          <a:extLst>
            <a:ext uri="{FF2B5EF4-FFF2-40B4-BE49-F238E27FC236}">
              <a16:creationId xmlns:a16="http://schemas.microsoft.com/office/drawing/2014/main" id="{6E73057B-C5EF-482A-09E3-65F06CDA42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1906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27</xdr:col>
      <xdr:colOff>219075</xdr:colOff>
      <xdr:row>16</xdr:row>
      <xdr:rowOff>123825</xdr:rowOff>
    </xdr:from>
    <xdr:to>
      <xdr:col>27</xdr:col>
      <xdr:colOff>504825</xdr:colOff>
      <xdr:row>18</xdr:row>
      <xdr:rowOff>57150</xdr:rowOff>
    </xdr:to>
    <xdr:grpSp>
      <xdr:nvGrpSpPr>
        <xdr:cNvPr id="1404549" name="Group 11">
          <a:extLst>
            <a:ext uri="{FF2B5EF4-FFF2-40B4-BE49-F238E27FC236}">
              <a16:creationId xmlns:a16="http://schemas.microsoft.com/office/drawing/2014/main" id="{A0608526-90DF-50CF-E847-2404C2FCDA53}"/>
            </a:ext>
          </a:extLst>
        </xdr:cNvPr>
        <xdr:cNvGrpSpPr>
          <a:grpSpLocks/>
        </xdr:cNvGrpSpPr>
      </xdr:nvGrpSpPr>
      <xdr:grpSpPr bwMode="auto">
        <a:xfrm>
          <a:off x="7048500" y="2733675"/>
          <a:ext cx="0" cy="142875"/>
          <a:chOff x="1583" y="162"/>
          <a:chExt cx="43" cy="49"/>
        </a:xfrm>
      </xdr:grpSpPr>
      <xdr:sp macro="" textlink="">
        <xdr:nvSpPr>
          <xdr:cNvPr id="13322" name="Text Box 10">
            <a:extLst>
              <a:ext uri="{FF2B5EF4-FFF2-40B4-BE49-F238E27FC236}">
                <a16:creationId xmlns:a16="http://schemas.microsoft.com/office/drawing/2014/main" id="{0B33CA6D-7F6D-E982-B582-98D6BC5C2DEE}"/>
              </a:ext>
            </a:extLst>
          </xdr:cNvPr>
          <xdr:cNvSpPr txBox="1">
            <a:spLocks noChangeArrowheads="1"/>
          </xdr:cNvSpPr>
        </xdr:nvSpPr>
        <xdr:spPr bwMode="auto">
          <a:xfrm>
            <a:off x="6696075" y="-2854277411530"/>
            <a:ext cx="0" cy="36"/>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22860" rIns="0" bIns="0" anchor="t" upright="1"/>
          <a:lstStyle/>
          <a:p>
            <a:pPr algn="l" rtl="0">
              <a:defRPr sz="1000"/>
            </a:pPr>
            <a:r>
              <a:rPr lang="es-MX" sz="1200" b="0" i="0" u="none" strike="noStrike" baseline="0">
                <a:solidFill>
                  <a:srgbClr val="000000"/>
                </a:solidFill>
                <a:latin typeface="Arial"/>
                <a:cs typeface="Arial"/>
              </a:rPr>
              <a:t>2</a:t>
            </a:r>
          </a:p>
        </xdr:txBody>
      </xdr:sp>
      <xdr:sp macro="" textlink="">
        <xdr:nvSpPr>
          <xdr:cNvPr id="1404568" name="Rectangle 1">
            <a:extLst>
              <a:ext uri="{FF2B5EF4-FFF2-40B4-BE49-F238E27FC236}">
                <a16:creationId xmlns:a16="http://schemas.microsoft.com/office/drawing/2014/main" id="{CDA68393-E668-6002-5C3E-531E9B4AC8C9}"/>
              </a:ext>
            </a:extLst>
          </xdr:cNvPr>
          <xdr:cNvSpPr>
            <a:spLocks noChangeArrowheads="1"/>
          </xdr:cNvSpPr>
        </xdr:nvSpPr>
        <xdr:spPr bwMode="auto">
          <a:xfrm>
            <a:off x="1583" y="162"/>
            <a:ext cx="9" cy="4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grpSp>
    <xdr:clientData/>
  </xdr:twoCellAnchor>
  <xdr:twoCellAnchor>
    <xdr:from>
      <xdr:col>27</xdr:col>
      <xdr:colOff>180975</xdr:colOff>
      <xdr:row>20</xdr:row>
      <xdr:rowOff>161925</xdr:rowOff>
    </xdr:from>
    <xdr:to>
      <xdr:col>27</xdr:col>
      <xdr:colOff>800100</xdr:colOff>
      <xdr:row>22</xdr:row>
      <xdr:rowOff>19050</xdr:rowOff>
    </xdr:to>
    <xdr:grpSp>
      <xdr:nvGrpSpPr>
        <xdr:cNvPr id="1404550" name="Group 15">
          <a:extLst>
            <a:ext uri="{FF2B5EF4-FFF2-40B4-BE49-F238E27FC236}">
              <a16:creationId xmlns:a16="http://schemas.microsoft.com/office/drawing/2014/main" id="{B3DC2680-BAE0-A56D-EE3F-B67979194D8C}"/>
            </a:ext>
          </a:extLst>
        </xdr:cNvPr>
        <xdr:cNvGrpSpPr>
          <a:grpSpLocks/>
        </xdr:cNvGrpSpPr>
      </xdr:nvGrpSpPr>
      <xdr:grpSpPr bwMode="auto">
        <a:xfrm>
          <a:off x="7048500" y="3371850"/>
          <a:ext cx="0" cy="314325"/>
          <a:chOff x="1659" y="295"/>
          <a:chExt cx="65" cy="35"/>
        </a:xfrm>
      </xdr:grpSpPr>
      <xdr:sp macro="" textlink="">
        <xdr:nvSpPr>
          <xdr:cNvPr id="13320" name="Text Box 8">
            <a:extLst>
              <a:ext uri="{FF2B5EF4-FFF2-40B4-BE49-F238E27FC236}">
                <a16:creationId xmlns:a16="http://schemas.microsoft.com/office/drawing/2014/main" id="{82F4C037-3A88-670E-1039-9A70C42E2660}"/>
              </a:ext>
            </a:extLst>
          </xdr:cNvPr>
          <xdr:cNvSpPr txBox="1">
            <a:spLocks noChangeArrowheads="1"/>
          </xdr:cNvSpPr>
        </xdr:nvSpPr>
        <xdr:spPr bwMode="auto">
          <a:xfrm>
            <a:off x="6696075" y="9390429380775"/>
            <a:ext cx="0" cy="0"/>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36576" tIns="22860" rIns="0" bIns="0" anchor="t" upright="1"/>
          <a:lstStyle/>
          <a:p>
            <a:pPr algn="l" rtl="0">
              <a:defRPr sz="1000"/>
            </a:pPr>
            <a:r>
              <a:rPr lang="es-MX" sz="1200" b="0" i="0" u="none" strike="noStrike" baseline="0">
                <a:solidFill>
                  <a:srgbClr val="000000"/>
                </a:solidFill>
                <a:latin typeface="Arial"/>
                <a:cs typeface="Arial"/>
              </a:rPr>
              <a:t>0.8</a:t>
            </a:r>
          </a:p>
        </xdr:txBody>
      </xdr:sp>
      <xdr:grpSp>
        <xdr:nvGrpSpPr>
          <xdr:cNvPr id="1404564" name="Group 7">
            <a:extLst>
              <a:ext uri="{FF2B5EF4-FFF2-40B4-BE49-F238E27FC236}">
                <a16:creationId xmlns:a16="http://schemas.microsoft.com/office/drawing/2014/main" id="{8C830158-4704-E586-93FA-BC4726916F26}"/>
              </a:ext>
            </a:extLst>
          </xdr:cNvPr>
          <xdr:cNvGrpSpPr>
            <a:grpSpLocks/>
          </xdr:cNvGrpSpPr>
        </xdr:nvGrpSpPr>
        <xdr:grpSpPr bwMode="auto">
          <a:xfrm>
            <a:off x="1659" y="295"/>
            <a:ext cx="42" cy="33"/>
            <a:chOff x="1756" y="160"/>
            <a:chExt cx="73" cy="57"/>
          </a:xfrm>
        </xdr:grpSpPr>
        <xdr:sp macro="" textlink="">
          <xdr:nvSpPr>
            <xdr:cNvPr id="1404565" name="Rectangle 5">
              <a:extLst>
                <a:ext uri="{FF2B5EF4-FFF2-40B4-BE49-F238E27FC236}">
                  <a16:creationId xmlns:a16="http://schemas.microsoft.com/office/drawing/2014/main" id="{789390D2-D8E7-AC6F-0E34-088548009B4B}"/>
                </a:ext>
              </a:extLst>
            </xdr:cNvPr>
            <xdr:cNvSpPr>
              <a:spLocks noChangeArrowheads="1"/>
            </xdr:cNvSpPr>
          </xdr:nvSpPr>
          <xdr:spPr bwMode="auto">
            <a:xfrm>
              <a:off x="1788" y="168"/>
              <a:ext cx="9" cy="4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404566" name="Rectangle 6">
              <a:extLst>
                <a:ext uri="{FF2B5EF4-FFF2-40B4-BE49-F238E27FC236}">
                  <a16:creationId xmlns:a16="http://schemas.microsoft.com/office/drawing/2014/main" id="{9593B941-8B8C-27DF-3015-225119936F8B}"/>
                </a:ext>
              </a:extLst>
            </xdr:cNvPr>
            <xdr:cNvSpPr>
              <a:spLocks noChangeArrowheads="1"/>
            </xdr:cNvSpPr>
          </xdr:nvSpPr>
          <xdr:spPr bwMode="auto">
            <a:xfrm>
              <a:off x="1756" y="160"/>
              <a:ext cx="73" cy="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grpSp>
    </xdr:grpSp>
    <xdr:clientData/>
  </xdr:twoCellAnchor>
  <xdr:twoCellAnchor>
    <xdr:from>
      <xdr:col>27</xdr:col>
      <xdr:colOff>219075</xdr:colOff>
      <xdr:row>18</xdr:row>
      <xdr:rowOff>123825</xdr:rowOff>
    </xdr:from>
    <xdr:to>
      <xdr:col>27</xdr:col>
      <xdr:colOff>600075</xdr:colOff>
      <xdr:row>20</xdr:row>
      <xdr:rowOff>123825</xdr:rowOff>
    </xdr:to>
    <xdr:grpSp>
      <xdr:nvGrpSpPr>
        <xdr:cNvPr id="1404551" name="Group 14">
          <a:extLst>
            <a:ext uri="{FF2B5EF4-FFF2-40B4-BE49-F238E27FC236}">
              <a16:creationId xmlns:a16="http://schemas.microsoft.com/office/drawing/2014/main" id="{E232DCBA-51CB-0FAD-1563-B6992B0DF777}"/>
            </a:ext>
          </a:extLst>
        </xdr:cNvPr>
        <xdr:cNvGrpSpPr>
          <a:grpSpLocks/>
        </xdr:cNvGrpSpPr>
      </xdr:nvGrpSpPr>
      <xdr:grpSpPr bwMode="auto">
        <a:xfrm>
          <a:off x="7048500" y="2943225"/>
          <a:ext cx="0" cy="390525"/>
          <a:chOff x="1789" y="57"/>
          <a:chExt cx="40" cy="41"/>
        </a:xfrm>
      </xdr:grpSpPr>
      <xdr:grpSp>
        <xdr:nvGrpSpPr>
          <xdr:cNvPr id="1404559" name="Group 4">
            <a:extLst>
              <a:ext uri="{FF2B5EF4-FFF2-40B4-BE49-F238E27FC236}">
                <a16:creationId xmlns:a16="http://schemas.microsoft.com/office/drawing/2014/main" id="{40DACEBE-1619-9CE1-723C-BA9AADCF8180}"/>
              </a:ext>
            </a:extLst>
          </xdr:cNvPr>
          <xdr:cNvGrpSpPr>
            <a:grpSpLocks/>
          </xdr:cNvGrpSpPr>
        </xdr:nvGrpSpPr>
        <xdr:grpSpPr bwMode="auto">
          <a:xfrm>
            <a:off x="1789" y="57"/>
            <a:ext cx="40" cy="41"/>
            <a:chOff x="1671" y="135"/>
            <a:chExt cx="57" cy="58"/>
          </a:xfrm>
        </xdr:grpSpPr>
        <xdr:sp macro="" textlink="">
          <xdr:nvSpPr>
            <xdr:cNvPr id="1404561" name="Rectangle 2">
              <a:extLst>
                <a:ext uri="{FF2B5EF4-FFF2-40B4-BE49-F238E27FC236}">
                  <a16:creationId xmlns:a16="http://schemas.microsoft.com/office/drawing/2014/main" id="{540E055A-E296-B6A0-6EF5-C791ED0F1EDA}"/>
                </a:ext>
              </a:extLst>
            </xdr:cNvPr>
            <xdr:cNvSpPr>
              <a:spLocks noChangeArrowheads="1"/>
            </xdr:cNvSpPr>
          </xdr:nvSpPr>
          <xdr:spPr bwMode="auto">
            <a:xfrm>
              <a:off x="1671" y="144"/>
              <a:ext cx="9" cy="4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404562" name="Rectangle 3">
              <a:extLst>
                <a:ext uri="{FF2B5EF4-FFF2-40B4-BE49-F238E27FC236}">
                  <a16:creationId xmlns:a16="http://schemas.microsoft.com/office/drawing/2014/main" id="{6294CA44-FFDB-B3C7-195C-CE2B7FC8FE3C}"/>
                </a:ext>
              </a:extLst>
            </xdr:cNvPr>
            <xdr:cNvSpPr>
              <a:spLocks noChangeArrowheads="1"/>
            </xdr:cNvSpPr>
          </xdr:nvSpPr>
          <xdr:spPr bwMode="auto">
            <a:xfrm>
              <a:off x="1671" y="135"/>
              <a:ext cx="57" cy="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grpSp>
      <xdr:sp macro="" textlink="">
        <xdr:nvSpPr>
          <xdr:cNvPr id="13321" name="Text Box 9">
            <a:extLst>
              <a:ext uri="{FF2B5EF4-FFF2-40B4-BE49-F238E27FC236}">
                <a16:creationId xmlns:a16="http://schemas.microsoft.com/office/drawing/2014/main" id="{14DE66D4-65FF-E10D-686B-8C4B4C43E919}"/>
              </a:ext>
            </a:extLst>
          </xdr:cNvPr>
          <xdr:cNvSpPr txBox="1">
            <a:spLocks noChangeArrowheads="1"/>
          </xdr:cNvSpPr>
        </xdr:nvSpPr>
        <xdr:spPr bwMode="auto">
          <a:xfrm>
            <a:off x="6696075" y="-7232568605700"/>
            <a:ext cx="0" cy="0"/>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36576" tIns="22860" rIns="0" bIns="0" anchor="t" upright="1"/>
          <a:lstStyle/>
          <a:p>
            <a:pPr algn="l" rtl="0">
              <a:defRPr sz="1000"/>
            </a:pPr>
            <a:r>
              <a:rPr lang="es-MX" sz="1200" b="0" i="0" u="none" strike="noStrike" baseline="0">
                <a:solidFill>
                  <a:srgbClr val="000000"/>
                </a:solidFill>
                <a:latin typeface="Arial"/>
                <a:cs typeface="Arial"/>
              </a:rPr>
              <a:t>1</a:t>
            </a:r>
          </a:p>
        </xdr:txBody>
      </xdr:sp>
    </xdr:grpSp>
    <xdr:clientData/>
  </xdr:twoCellAnchor>
  <xdr:twoCellAnchor>
    <xdr:from>
      <xdr:col>0</xdr:col>
      <xdr:colOff>0</xdr:colOff>
      <xdr:row>5</xdr:row>
      <xdr:rowOff>123825</xdr:rowOff>
    </xdr:from>
    <xdr:to>
      <xdr:col>36</xdr:col>
      <xdr:colOff>142875</xdr:colOff>
      <xdr:row>5</xdr:row>
      <xdr:rowOff>123825</xdr:rowOff>
    </xdr:to>
    <xdr:sp macro="" textlink="">
      <xdr:nvSpPr>
        <xdr:cNvPr id="1404552" name="Line 16">
          <a:extLst>
            <a:ext uri="{FF2B5EF4-FFF2-40B4-BE49-F238E27FC236}">
              <a16:creationId xmlns:a16="http://schemas.microsoft.com/office/drawing/2014/main" id="{6D87C785-4521-2F8A-2BD5-00E8F8272FD9}"/>
            </a:ext>
          </a:extLst>
        </xdr:cNvPr>
        <xdr:cNvSpPr>
          <a:spLocks noChangeShapeType="1"/>
        </xdr:cNvSpPr>
      </xdr:nvSpPr>
      <xdr:spPr bwMode="auto">
        <a:xfrm>
          <a:off x="0" y="933450"/>
          <a:ext cx="6696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135891</xdr:colOff>
      <xdr:row>1</xdr:row>
      <xdr:rowOff>83820</xdr:rowOff>
    </xdr:from>
    <xdr:to>
      <xdr:col>42</xdr:col>
      <xdr:colOff>20317</xdr:colOff>
      <xdr:row>4</xdr:row>
      <xdr:rowOff>79398</xdr:rowOff>
    </xdr:to>
    <xdr:sp macro="" textlink="">
      <xdr:nvSpPr>
        <xdr:cNvPr id="13329" name="Texto 327">
          <a:extLst>
            <a:ext uri="{FF2B5EF4-FFF2-40B4-BE49-F238E27FC236}">
              <a16:creationId xmlns:a16="http://schemas.microsoft.com/office/drawing/2014/main" id="{5FFF9505-7C70-F79B-0508-F9C1447A01AF}"/>
            </a:ext>
          </a:extLst>
        </xdr:cNvPr>
        <xdr:cNvSpPr txBox="1">
          <a:spLocks noChangeArrowheads="1"/>
        </xdr:cNvSpPr>
      </xdr:nvSpPr>
      <xdr:spPr bwMode="auto">
        <a:xfrm>
          <a:off x="1087121" y="266065"/>
          <a:ext cx="4602290" cy="506095"/>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13</xdr:col>
      <xdr:colOff>92711</xdr:colOff>
      <xdr:row>4</xdr:row>
      <xdr:rowOff>40640</xdr:rowOff>
    </xdr:from>
    <xdr:to>
      <xdr:col>42</xdr:col>
      <xdr:colOff>799234</xdr:colOff>
      <xdr:row>7</xdr:row>
      <xdr:rowOff>91440</xdr:rowOff>
    </xdr:to>
    <xdr:sp macro="" textlink="">
      <xdr:nvSpPr>
        <xdr:cNvPr id="13330" name="Texto 327">
          <a:extLst>
            <a:ext uri="{FF2B5EF4-FFF2-40B4-BE49-F238E27FC236}">
              <a16:creationId xmlns:a16="http://schemas.microsoft.com/office/drawing/2014/main" id="{554F93B1-2CCE-CA87-25E1-9FCFE8A76615}"/>
            </a:ext>
          </a:extLst>
        </xdr:cNvPr>
        <xdr:cNvSpPr txBox="1">
          <a:spLocks noChangeArrowheads="1"/>
        </xdr:cNvSpPr>
      </xdr:nvSpPr>
      <xdr:spPr bwMode="auto">
        <a:xfrm>
          <a:off x="3159761" y="731520"/>
          <a:ext cx="3251200" cy="589280"/>
        </a:xfrm>
        <a:prstGeom prst="rect">
          <a:avLst/>
        </a:prstGeom>
        <a:noFill/>
        <a:ln>
          <a:noFill/>
        </a:ln>
      </xdr:spPr>
      <xdr:txBody>
        <a:bodyPr vertOverflow="clip" wrap="square" lIns="18288" tIns="18288" rIns="18288" bIns="0" anchor="t" upright="1"/>
        <a:lstStyle/>
        <a:p>
          <a:pPr algn="ctr" rtl="0">
            <a:lnSpc>
              <a:spcPts val="500"/>
            </a:lnSpc>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lnSpc>
              <a:spcPts val="600"/>
            </a:lnSpc>
            <a:defRPr sz="1000"/>
          </a:pPr>
          <a:r>
            <a:rPr lang="es-MX" sz="600" b="0" i="0" u="none" strike="noStrike" baseline="0">
              <a:solidFill>
                <a:srgbClr val="333399"/>
              </a:solidFill>
              <a:latin typeface="Arial"/>
              <a:cs typeface="Arial"/>
            </a:rPr>
            <a:t>INGENIERO CIVIL</a:t>
          </a:r>
        </a:p>
      </xdr:txBody>
    </xdr:sp>
    <xdr:clientData/>
  </xdr:twoCellAnchor>
  <xdr:twoCellAnchor>
    <xdr:from>
      <xdr:col>16</xdr:col>
      <xdr:colOff>0</xdr:colOff>
      <xdr:row>2</xdr:row>
      <xdr:rowOff>131445</xdr:rowOff>
    </xdr:from>
    <xdr:to>
      <xdr:col>16</xdr:col>
      <xdr:colOff>0</xdr:colOff>
      <xdr:row>5</xdr:row>
      <xdr:rowOff>76591</xdr:rowOff>
    </xdr:to>
    <xdr:sp macro="" textlink="">
      <xdr:nvSpPr>
        <xdr:cNvPr id="13340" name="Texto 327">
          <a:extLst>
            <a:ext uri="{FF2B5EF4-FFF2-40B4-BE49-F238E27FC236}">
              <a16:creationId xmlns:a16="http://schemas.microsoft.com/office/drawing/2014/main" id="{8A565C8B-EB89-159D-1CAA-DF99E164BE46}"/>
            </a:ext>
          </a:extLst>
        </xdr:cNvPr>
        <xdr:cNvSpPr txBox="1">
          <a:spLocks noChangeArrowheads="1"/>
        </xdr:cNvSpPr>
      </xdr:nvSpPr>
      <xdr:spPr bwMode="auto">
        <a:xfrm>
          <a:off x="11830050" y="466725"/>
          <a:ext cx="1876425" cy="419100"/>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16</xdr:col>
      <xdr:colOff>0</xdr:colOff>
      <xdr:row>0</xdr:row>
      <xdr:rowOff>81915</xdr:rowOff>
    </xdr:from>
    <xdr:to>
      <xdr:col>16</xdr:col>
      <xdr:colOff>0</xdr:colOff>
      <xdr:row>1</xdr:row>
      <xdr:rowOff>84289</xdr:rowOff>
    </xdr:to>
    <xdr:sp macro="" textlink="">
      <xdr:nvSpPr>
        <xdr:cNvPr id="13341" name="Texto 327">
          <a:extLst>
            <a:ext uri="{FF2B5EF4-FFF2-40B4-BE49-F238E27FC236}">
              <a16:creationId xmlns:a16="http://schemas.microsoft.com/office/drawing/2014/main" id="{14C8FA09-38FA-8072-E6D6-B1AD1C229CE5}"/>
            </a:ext>
          </a:extLst>
        </xdr:cNvPr>
        <xdr:cNvSpPr txBox="1">
          <a:spLocks noChangeArrowheads="1"/>
        </xdr:cNvSpPr>
      </xdr:nvSpPr>
      <xdr:spPr bwMode="auto">
        <a:xfrm>
          <a:off x="8896350" y="85725"/>
          <a:ext cx="0" cy="161925"/>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REALIZA:</a:t>
          </a:r>
        </a:p>
      </xdr:txBody>
    </xdr:sp>
    <xdr:clientData/>
  </xdr:twoCellAnchor>
  <xdr:twoCellAnchor>
    <xdr:from>
      <xdr:col>16</xdr:col>
      <xdr:colOff>0</xdr:colOff>
      <xdr:row>0</xdr:row>
      <xdr:rowOff>81915</xdr:rowOff>
    </xdr:from>
    <xdr:to>
      <xdr:col>16</xdr:col>
      <xdr:colOff>0</xdr:colOff>
      <xdr:row>1</xdr:row>
      <xdr:rowOff>84289</xdr:rowOff>
    </xdr:to>
    <xdr:sp macro="" textlink="">
      <xdr:nvSpPr>
        <xdr:cNvPr id="13342" name="Texto 327">
          <a:extLst>
            <a:ext uri="{FF2B5EF4-FFF2-40B4-BE49-F238E27FC236}">
              <a16:creationId xmlns:a16="http://schemas.microsoft.com/office/drawing/2014/main" id="{68088E5B-CA42-093B-8DB5-BB3F902C3431}"/>
            </a:ext>
          </a:extLst>
        </xdr:cNvPr>
        <xdr:cNvSpPr txBox="1">
          <a:spLocks noChangeArrowheads="1"/>
        </xdr:cNvSpPr>
      </xdr:nvSpPr>
      <xdr:spPr bwMode="auto">
        <a:xfrm>
          <a:off x="12944475" y="85725"/>
          <a:ext cx="923925" cy="161925"/>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1</xdr:col>
      <xdr:colOff>569595</xdr:colOff>
      <xdr:row>5</xdr:row>
      <xdr:rowOff>47625</xdr:rowOff>
    </xdr:to>
    <xdr:pic>
      <xdr:nvPicPr>
        <xdr:cNvPr id="1404558" name="Picture 52">
          <a:extLst>
            <a:ext uri="{FF2B5EF4-FFF2-40B4-BE49-F238E27FC236}">
              <a16:creationId xmlns:a16="http://schemas.microsoft.com/office/drawing/2014/main" id="{748571B4-D583-1C6A-2DF5-7E29515194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1906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5</xdr:row>
      <xdr:rowOff>123825</xdr:rowOff>
    </xdr:from>
    <xdr:to>
      <xdr:col>15</xdr:col>
      <xdr:colOff>771525</xdr:colOff>
      <xdr:row>5</xdr:row>
      <xdr:rowOff>123825</xdr:rowOff>
    </xdr:to>
    <xdr:sp macro="" textlink="">
      <xdr:nvSpPr>
        <xdr:cNvPr id="1384846" name="Line 4">
          <a:extLst>
            <a:ext uri="{FF2B5EF4-FFF2-40B4-BE49-F238E27FC236}">
              <a16:creationId xmlns:a16="http://schemas.microsoft.com/office/drawing/2014/main" id="{6DBEAEFD-EC13-77C2-5830-3C2424802993}"/>
            </a:ext>
          </a:extLst>
        </xdr:cNvPr>
        <xdr:cNvSpPr>
          <a:spLocks noChangeShapeType="1"/>
        </xdr:cNvSpPr>
      </xdr:nvSpPr>
      <xdr:spPr bwMode="auto">
        <a:xfrm>
          <a:off x="0" y="933450"/>
          <a:ext cx="74961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1</xdr:row>
      <xdr:rowOff>83820</xdr:rowOff>
    </xdr:from>
    <xdr:to>
      <xdr:col>28</xdr:col>
      <xdr:colOff>460930</xdr:colOff>
      <xdr:row>2</xdr:row>
      <xdr:rowOff>148892</xdr:rowOff>
    </xdr:to>
    <xdr:sp macro="" textlink="">
      <xdr:nvSpPr>
        <xdr:cNvPr id="38917" name="Texto 327">
          <a:extLst>
            <a:ext uri="{FF2B5EF4-FFF2-40B4-BE49-F238E27FC236}">
              <a16:creationId xmlns:a16="http://schemas.microsoft.com/office/drawing/2014/main" id="{6B2886C0-5C4A-42C1-5A35-0592740E4965}"/>
            </a:ext>
          </a:extLst>
        </xdr:cNvPr>
        <xdr:cNvSpPr txBox="1">
          <a:spLocks noChangeArrowheads="1"/>
        </xdr:cNvSpPr>
      </xdr:nvSpPr>
      <xdr:spPr bwMode="auto">
        <a:xfrm>
          <a:off x="7353300" y="247650"/>
          <a:ext cx="14868525" cy="228600"/>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11</xdr:col>
      <xdr:colOff>0</xdr:colOff>
      <xdr:row>2</xdr:row>
      <xdr:rowOff>110490</xdr:rowOff>
    </xdr:from>
    <xdr:to>
      <xdr:col>12</xdr:col>
      <xdr:colOff>241797</xdr:colOff>
      <xdr:row>4</xdr:row>
      <xdr:rowOff>95604</xdr:rowOff>
    </xdr:to>
    <xdr:sp macro="" textlink="">
      <xdr:nvSpPr>
        <xdr:cNvPr id="38918" name="Texto 327">
          <a:extLst>
            <a:ext uri="{FF2B5EF4-FFF2-40B4-BE49-F238E27FC236}">
              <a16:creationId xmlns:a16="http://schemas.microsoft.com/office/drawing/2014/main" id="{AC84F3FB-9C33-3AB9-D29A-E262C91BE6A5}"/>
            </a:ext>
          </a:extLst>
        </xdr:cNvPr>
        <xdr:cNvSpPr txBox="1">
          <a:spLocks noChangeArrowheads="1"/>
        </xdr:cNvSpPr>
      </xdr:nvSpPr>
      <xdr:spPr bwMode="auto">
        <a:xfrm>
          <a:off x="7181850" y="438150"/>
          <a:ext cx="1371600" cy="304800"/>
        </a:xfrm>
        <a:prstGeom prst="rect">
          <a:avLst/>
        </a:prstGeom>
        <a:noFill/>
        <a:ln>
          <a:noFill/>
        </a:ln>
      </xdr:spPr>
      <xdr:txBody>
        <a:bodyPr vertOverflow="clip" wrap="square" lIns="18288" tIns="18288" rIns="18288" bIns="0" anchor="t" upright="1"/>
        <a:lstStyle/>
        <a:p>
          <a:pPr algn="ctr" rtl="0">
            <a:lnSpc>
              <a:spcPts val="600"/>
            </a:lnSpc>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13</xdr:col>
      <xdr:colOff>878764</xdr:colOff>
      <xdr:row>3</xdr:row>
      <xdr:rowOff>13223</xdr:rowOff>
    </xdr:from>
    <xdr:to>
      <xdr:col>27</xdr:col>
      <xdr:colOff>403411</xdr:colOff>
      <xdr:row>5</xdr:row>
      <xdr:rowOff>105545</xdr:rowOff>
    </xdr:to>
    <xdr:sp macro="" textlink="">
      <xdr:nvSpPr>
        <xdr:cNvPr id="38926" name="Texto 327">
          <a:extLst>
            <a:ext uri="{FF2B5EF4-FFF2-40B4-BE49-F238E27FC236}">
              <a16:creationId xmlns:a16="http://schemas.microsoft.com/office/drawing/2014/main" id="{60650FC1-D5F2-02ED-BF78-D43730327A20}"/>
            </a:ext>
          </a:extLst>
        </xdr:cNvPr>
        <xdr:cNvSpPr txBox="1">
          <a:spLocks noChangeArrowheads="1"/>
        </xdr:cNvSpPr>
      </xdr:nvSpPr>
      <xdr:spPr bwMode="auto">
        <a:xfrm>
          <a:off x="6067088" y="483870"/>
          <a:ext cx="1552911" cy="406087"/>
        </a:xfrm>
        <a:prstGeom prst="rect">
          <a:avLst/>
        </a:prstGeom>
        <a:noFill/>
        <a:ln>
          <a:noFill/>
        </a:ln>
      </xdr:spPr>
      <xdr:txBody>
        <a:bodyPr vertOverflow="clip" wrap="square" lIns="27432" tIns="18288" rIns="0" bIns="0" anchor="t" upright="1"/>
        <a:lstStyle/>
        <a:p>
          <a:pPr algn="l" rtl="0">
            <a:lnSpc>
              <a:spcPts val="800"/>
            </a:lnSpc>
            <a:defRPr sz="1000"/>
          </a:pPr>
          <a:r>
            <a:rPr lang="es-MX" sz="800" b="0" i="0" u="none" strike="noStrike" baseline="0">
              <a:solidFill>
                <a:srgbClr val="000000"/>
              </a:solidFill>
              <a:latin typeface="Arial"/>
              <a:cs typeface="Arial"/>
            </a:rPr>
            <a:t> 1a. PRIV. 13 DE SEPT. No. 107</a:t>
          </a:r>
        </a:p>
        <a:p>
          <a:pPr algn="l" rtl="0">
            <a:lnSpc>
              <a:spcPts val="800"/>
            </a:lnSpc>
            <a:defRPr sz="1000"/>
          </a:pPr>
          <a:r>
            <a:rPr lang="es-MX" sz="800" b="0" i="0" u="none" strike="noStrike" baseline="0">
              <a:solidFill>
                <a:srgbClr val="000000"/>
              </a:solidFill>
              <a:latin typeface="Arial"/>
              <a:cs typeface="Arial"/>
            </a:rPr>
            <a:t> COL.VICENTE SUAREZ </a:t>
          </a:r>
        </a:p>
        <a:p>
          <a:pPr algn="l" rtl="0">
            <a:lnSpc>
              <a:spcPts val="800"/>
            </a:lnSpc>
            <a:defRPr sz="1000"/>
          </a:pPr>
          <a:r>
            <a:rPr lang="es-MX" sz="800" b="0" i="0" u="none" strike="noStrike" baseline="0">
              <a:solidFill>
                <a:srgbClr val="000000"/>
              </a:solidFill>
              <a:latin typeface="Arial"/>
              <a:cs typeface="Arial"/>
            </a:rPr>
            <a:t> C.P. 68030, OAXACA OAX</a:t>
          </a:r>
        </a:p>
      </xdr:txBody>
    </xdr:sp>
    <xdr:clientData/>
  </xdr:twoCellAnchor>
  <xdr:twoCellAnchor>
    <xdr:from>
      <xdr:col>15</xdr:col>
      <xdr:colOff>0</xdr:colOff>
      <xdr:row>0</xdr:row>
      <xdr:rowOff>81915</xdr:rowOff>
    </xdr:from>
    <xdr:to>
      <xdr:col>15</xdr:col>
      <xdr:colOff>0</xdr:colOff>
      <xdr:row>1</xdr:row>
      <xdr:rowOff>84474</xdr:rowOff>
    </xdr:to>
    <xdr:sp macro="" textlink="">
      <xdr:nvSpPr>
        <xdr:cNvPr id="38927" name="Texto 327">
          <a:extLst>
            <a:ext uri="{FF2B5EF4-FFF2-40B4-BE49-F238E27FC236}">
              <a16:creationId xmlns:a16="http://schemas.microsoft.com/office/drawing/2014/main" id="{708F02B1-9D7B-BDC0-B605-FF1DB442A961}"/>
            </a:ext>
          </a:extLst>
        </xdr:cNvPr>
        <xdr:cNvSpPr txBox="1">
          <a:spLocks noChangeArrowheads="1"/>
        </xdr:cNvSpPr>
      </xdr:nvSpPr>
      <xdr:spPr bwMode="auto">
        <a:xfrm>
          <a:off x="11477625" y="85725"/>
          <a:ext cx="923925" cy="161925"/>
        </a:xfrm>
        <a:prstGeom prst="rect">
          <a:avLst/>
        </a:prstGeom>
        <a:noFill/>
        <a:ln>
          <a:noFill/>
        </a:ln>
      </xdr:spPr>
      <xdr:txBody>
        <a:bodyPr vertOverflow="clip" wrap="square" lIns="27432" tIns="18288" rIns="0" bIns="0" anchor="t" upright="1"/>
        <a:lstStyle/>
        <a:p>
          <a:pPr algn="l" rtl="0">
            <a:lnSpc>
              <a:spcPts val="700"/>
            </a:lnSpc>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1</xdr:col>
      <xdr:colOff>638175</xdr:colOff>
      <xdr:row>5</xdr:row>
      <xdr:rowOff>28575</xdr:rowOff>
    </xdr:to>
    <xdr:pic>
      <xdr:nvPicPr>
        <xdr:cNvPr id="1384851" name="Picture 52">
          <a:extLst>
            <a:ext uri="{FF2B5EF4-FFF2-40B4-BE49-F238E27FC236}">
              <a16:creationId xmlns:a16="http://schemas.microsoft.com/office/drawing/2014/main" id="{43A0C509-CCF9-6A37-0B5C-2EC70D9E35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181100"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5</xdr:row>
      <xdr:rowOff>123825</xdr:rowOff>
    </xdr:from>
    <xdr:to>
      <xdr:col>30</xdr:col>
      <xdr:colOff>9525</xdr:colOff>
      <xdr:row>5</xdr:row>
      <xdr:rowOff>123825</xdr:rowOff>
    </xdr:to>
    <xdr:sp macro="" textlink="">
      <xdr:nvSpPr>
        <xdr:cNvPr id="1364840" name="Line 5">
          <a:extLst>
            <a:ext uri="{FF2B5EF4-FFF2-40B4-BE49-F238E27FC236}">
              <a16:creationId xmlns:a16="http://schemas.microsoft.com/office/drawing/2014/main" id="{F7B7E423-55F4-4DAD-5BA9-69329B96AD2D}"/>
            </a:ext>
          </a:extLst>
        </xdr:cNvPr>
        <xdr:cNvSpPr>
          <a:spLocks noChangeShapeType="1"/>
        </xdr:cNvSpPr>
      </xdr:nvSpPr>
      <xdr:spPr bwMode="auto">
        <a:xfrm>
          <a:off x="0" y="933450"/>
          <a:ext cx="87820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68804</xdr:colOff>
      <xdr:row>0</xdr:row>
      <xdr:rowOff>140857</xdr:rowOff>
    </xdr:from>
    <xdr:to>
      <xdr:col>29</xdr:col>
      <xdr:colOff>963706</xdr:colOff>
      <xdr:row>2</xdr:row>
      <xdr:rowOff>33617</xdr:rowOff>
    </xdr:to>
    <xdr:sp macro="" textlink="">
      <xdr:nvSpPr>
        <xdr:cNvPr id="37894" name="Texto 327">
          <a:extLst>
            <a:ext uri="{FF2B5EF4-FFF2-40B4-BE49-F238E27FC236}">
              <a16:creationId xmlns:a16="http://schemas.microsoft.com/office/drawing/2014/main" id="{97A6FFDC-C074-79DA-AA70-6AFD264372FE}"/>
            </a:ext>
          </a:extLst>
        </xdr:cNvPr>
        <xdr:cNvSpPr txBox="1">
          <a:spLocks noChangeArrowheads="1"/>
        </xdr:cNvSpPr>
      </xdr:nvSpPr>
      <xdr:spPr bwMode="auto">
        <a:xfrm>
          <a:off x="4741657" y="140857"/>
          <a:ext cx="4469578" cy="206525"/>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13</xdr:col>
      <xdr:colOff>318135</xdr:colOff>
      <xdr:row>2</xdr:row>
      <xdr:rowOff>76200</xdr:rowOff>
    </xdr:from>
    <xdr:to>
      <xdr:col>15</xdr:col>
      <xdr:colOff>6327</xdr:colOff>
      <xdr:row>4</xdr:row>
      <xdr:rowOff>64838</xdr:rowOff>
    </xdr:to>
    <xdr:sp macro="" textlink="">
      <xdr:nvSpPr>
        <xdr:cNvPr id="37895" name="Texto 327">
          <a:extLst>
            <a:ext uri="{FF2B5EF4-FFF2-40B4-BE49-F238E27FC236}">
              <a16:creationId xmlns:a16="http://schemas.microsoft.com/office/drawing/2014/main" id="{F7205E02-C707-681F-154F-B1BF842B470B}"/>
            </a:ext>
          </a:extLst>
        </xdr:cNvPr>
        <xdr:cNvSpPr txBox="1">
          <a:spLocks noChangeArrowheads="1"/>
        </xdr:cNvSpPr>
      </xdr:nvSpPr>
      <xdr:spPr bwMode="auto">
        <a:xfrm>
          <a:off x="8572500" y="400050"/>
          <a:ext cx="1381125" cy="304800"/>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16</xdr:col>
      <xdr:colOff>0</xdr:colOff>
      <xdr:row>2</xdr:row>
      <xdr:rowOff>148590</xdr:rowOff>
    </xdr:from>
    <xdr:to>
      <xdr:col>16</xdr:col>
      <xdr:colOff>0</xdr:colOff>
      <xdr:row>5</xdr:row>
      <xdr:rowOff>91628</xdr:rowOff>
    </xdr:to>
    <xdr:sp macro="" textlink="">
      <xdr:nvSpPr>
        <xdr:cNvPr id="37903" name="Texto 327">
          <a:extLst>
            <a:ext uri="{FF2B5EF4-FFF2-40B4-BE49-F238E27FC236}">
              <a16:creationId xmlns:a16="http://schemas.microsoft.com/office/drawing/2014/main" id="{15A6749E-E195-3B4B-7823-FD86FCEA04CB}"/>
            </a:ext>
          </a:extLst>
        </xdr:cNvPr>
        <xdr:cNvSpPr txBox="1">
          <a:spLocks noChangeArrowheads="1"/>
        </xdr:cNvSpPr>
      </xdr:nvSpPr>
      <xdr:spPr bwMode="auto">
        <a:xfrm>
          <a:off x="11677650" y="476250"/>
          <a:ext cx="0" cy="419100"/>
        </a:xfrm>
        <a:prstGeom prst="rect">
          <a:avLst/>
        </a:prstGeom>
        <a:noFill/>
        <a:ln>
          <a:noFill/>
        </a:ln>
      </xdr:spPr>
      <xdr:txBody>
        <a:bodyPr vertOverflow="clip" wrap="square" lIns="18288"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29</xdr:col>
      <xdr:colOff>272191</xdr:colOff>
      <xdr:row>0</xdr:row>
      <xdr:rowOff>47625</xdr:rowOff>
    </xdr:from>
    <xdr:to>
      <xdr:col>29</xdr:col>
      <xdr:colOff>773206</xdr:colOff>
      <xdr:row>0</xdr:row>
      <xdr:rowOff>145676</xdr:rowOff>
    </xdr:to>
    <xdr:sp macro="" textlink="">
      <xdr:nvSpPr>
        <xdr:cNvPr id="37904" name="Texto 327">
          <a:extLst>
            <a:ext uri="{FF2B5EF4-FFF2-40B4-BE49-F238E27FC236}">
              <a16:creationId xmlns:a16="http://schemas.microsoft.com/office/drawing/2014/main" id="{4551B3B5-FCC2-2C16-3C26-284AF3364E70}"/>
            </a:ext>
          </a:extLst>
        </xdr:cNvPr>
        <xdr:cNvSpPr txBox="1">
          <a:spLocks noChangeArrowheads="1"/>
        </xdr:cNvSpPr>
      </xdr:nvSpPr>
      <xdr:spPr bwMode="auto">
        <a:xfrm>
          <a:off x="8519720" y="47625"/>
          <a:ext cx="501015" cy="98051"/>
        </a:xfrm>
        <a:prstGeom prst="rect">
          <a:avLst/>
        </a:prstGeom>
        <a:noFill/>
        <a:ln>
          <a:noFill/>
        </a:ln>
      </xdr:spPr>
      <xdr:txBody>
        <a:bodyPr vertOverflow="clip" wrap="square" lIns="27432" tIns="18288" rIns="0" bIns="0" anchor="t" upright="1"/>
        <a:lstStyle/>
        <a:p>
          <a:pPr algn="l" rtl="0">
            <a:lnSpc>
              <a:spcPts val="700"/>
            </a:lnSpc>
            <a:defRPr sz="1000"/>
          </a:pPr>
          <a:r>
            <a:rPr lang="es-MX" sz="800" b="0" i="0" u="none" strike="noStrike" baseline="0">
              <a:solidFill>
                <a:srgbClr val="000000"/>
              </a:solidFill>
              <a:latin typeface="Arial"/>
              <a:cs typeface="Arial"/>
            </a:rPr>
            <a:t>REALIZA:</a:t>
          </a:r>
        </a:p>
      </xdr:txBody>
    </xdr:sp>
    <xdr:clientData/>
  </xdr:twoCellAnchor>
  <xdr:twoCellAnchor>
    <xdr:from>
      <xdr:col>26</xdr:col>
      <xdr:colOff>419100</xdr:colOff>
      <xdr:row>0</xdr:row>
      <xdr:rowOff>76200</xdr:rowOff>
    </xdr:from>
    <xdr:to>
      <xdr:col>27</xdr:col>
      <xdr:colOff>504825</xdr:colOff>
      <xdr:row>1</xdr:row>
      <xdr:rowOff>76200</xdr:rowOff>
    </xdr:to>
    <xdr:sp macro="" textlink="">
      <xdr:nvSpPr>
        <xdr:cNvPr id="37905" name="Texto 327">
          <a:extLst>
            <a:ext uri="{FF2B5EF4-FFF2-40B4-BE49-F238E27FC236}">
              <a16:creationId xmlns:a16="http://schemas.microsoft.com/office/drawing/2014/main" id="{803528B7-EE26-4312-F8E6-761711BF79B8}"/>
            </a:ext>
          </a:extLst>
        </xdr:cNvPr>
        <xdr:cNvSpPr txBox="1">
          <a:spLocks noChangeArrowheads="1"/>
        </xdr:cNvSpPr>
      </xdr:nvSpPr>
      <xdr:spPr bwMode="auto">
        <a:xfrm>
          <a:off x="11677650" y="76200"/>
          <a:ext cx="0" cy="161925"/>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REALIZA:</a:t>
          </a:r>
        </a:p>
      </xdr:txBody>
    </xdr:sp>
    <xdr:clientData/>
  </xdr:twoCellAnchor>
  <xdr:twoCellAnchor>
    <xdr:from>
      <xdr:col>28</xdr:col>
      <xdr:colOff>59167</xdr:colOff>
      <xdr:row>2</xdr:row>
      <xdr:rowOff>98612</xdr:rowOff>
    </xdr:from>
    <xdr:to>
      <xdr:col>29</xdr:col>
      <xdr:colOff>840442</xdr:colOff>
      <xdr:row>5</xdr:row>
      <xdr:rowOff>31937</xdr:rowOff>
    </xdr:to>
    <xdr:sp macro="" textlink="">
      <xdr:nvSpPr>
        <xdr:cNvPr id="37906" name="Texto 327">
          <a:extLst>
            <a:ext uri="{FF2B5EF4-FFF2-40B4-BE49-F238E27FC236}">
              <a16:creationId xmlns:a16="http://schemas.microsoft.com/office/drawing/2014/main" id="{EEB543ED-FEC3-A21F-8A2C-2F709A433085}"/>
            </a:ext>
          </a:extLst>
        </xdr:cNvPr>
        <xdr:cNvSpPr txBox="1">
          <a:spLocks noChangeArrowheads="1"/>
        </xdr:cNvSpPr>
      </xdr:nvSpPr>
      <xdr:spPr bwMode="auto">
        <a:xfrm>
          <a:off x="7522285" y="412377"/>
          <a:ext cx="1565686" cy="403972"/>
        </a:xfrm>
        <a:prstGeom prst="rect">
          <a:avLst/>
        </a:prstGeom>
        <a:noFill/>
        <a:ln>
          <a:noFill/>
        </a:ln>
      </xdr:spPr>
      <xdr:txBody>
        <a:bodyPr vertOverflow="clip" wrap="square" lIns="27432" tIns="18288" rIns="0" bIns="0" anchor="t" upright="1"/>
        <a:lstStyle/>
        <a:p>
          <a:pPr algn="l" rtl="0">
            <a:lnSpc>
              <a:spcPts val="700"/>
            </a:lnSpc>
            <a:defRPr sz="1000"/>
          </a:pPr>
          <a:r>
            <a:rPr lang="es-MX" sz="800" b="0" i="0" u="none" strike="noStrike" baseline="0">
              <a:solidFill>
                <a:srgbClr val="000000"/>
              </a:solidFill>
              <a:latin typeface="Arial"/>
              <a:cs typeface="Arial"/>
            </a:rPr>
            <a:t> 1a. PRIV. 13 DE SEPT. No. 107</a:t>
          </a:r>
        </a:p>
        <a:p>
          <a:pPr algn="l" rtl="0">
            <a:lnSpc>
              <a:spcPts val="700"/>
            </a:lnSpc>
            <a:defRPr sz="1000"/>
          </a:pPr>
          <a:r>
            <a:rPr lang="es-MX" sz="800" b="0" i="0" u="none" strike="noStrike" baseline="0">
              <a:solidFill>
                <a:srgbClr val="000000"/>
              </a:solidFill>
              <a:latin typeface="Arial"/>
              <a:cs typeface="Arial"/>
            </a:rPr>
            <a:t> COL.VICENTE SUAREZ </a:t>
          </a:r>
        </a:p>
        <a:p>
          <a:pPr algn="l" rtl="0">
            <a:lnSpc>
              <a:spcPts val="600"/>
            </a:lnSpc>
            <a:defRPr sz="1000"/>
          </a:pPr>
          <a:r>
            <a:rPr lang="es-MX" sz="800" b="0" i="0" u="none" strike="noStrike" baseline="0">
              <a:solidFill>
                <a:srgbClr val="000000"/>
              </a:solidFill>
              <a:latin typeface="Arial"/>
              <a:cs typeface="Arial"/>
            </a:rPr>
            <a:t> C.P. 68030, OAXACA OAX</a:t>
          </a:r>
        </a:p>
      </xdr:txBody>
    </xdr:sp>
    <xdr:clientData/>
  </xdr:twoCellAnchor>
  <xdr:twoCellAnchor editAs="oneCell">
    <xdr:from>
      <xdr:col>0</xdr:col>
      <xdr:colOff>0</xdr:colOff>
      <xdr:row>0</xdr:row>
      <xdr:rowOff>0</xdr:rowOff>
    </xdr:from>
    <xdr:to>
      <xdr:col>1</xdr:col>
      <xdr:colOff>561975</xdr:colOff>
      <xdr:row>5</xdr:row>
      <xdr:rowOff>47625</xdr:rowOff>
    </xdr:to>
    <xdr:pic>
      <xdr:nvPicPr>
        <xdr:cNvPr id="1364847" name="Picture 52">
          <a:extLst>
            <a:ext uri="{FF2B5EF4-FFF2-40B4-BE49-F238E27FC236}">
              <a16:creationId xmlns:a16="http://schemas.microsoft.com/office/drawing/2014/main" id="{93926B02-978D-0306-6D81-AE6B36B9E0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200150"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66675</xdr:colOff>
      <xdr:row>129</xdr:row>
      <xdr:rowOff>28575</xdr:rowOff>
    </xdr:from>
    <xdr:to>
      <xdr:col>12</xdr:col>
      <xdr:colOff>447675</xdr:colOff>
      <xdr:row>130</xdr:row>
      <xdr:rowOff>85725</xdr:rowOff>
    </xdr:to>
    <xdr:sp macro="" textlink="">
      <xdr:nvSpPr>
        <xdr:cNvPr id="1372795" name="AutoShape 2">
          <a:hlinkClick xmlns:r="http://schemas.openxmlformats.org/officeDocument/2006/relationships" r:id="rId1"/>
          <a:extLst>
            <a:ext uri="{FF2B5EF4-FFF2-40B4-BE49-F238E27FC236}">
              <a16:creationId xmlns:a16="http://schemas.microsoft.com/office/drawing/2014/main" id="{BFC622A0-2E2B-DA3A-D8ED-5207A018C921}"/>
            </a:ext>
          </a:extLst>
        </xdr:cNvPr>
        <xdr:cNvSpPr>
          <a:spLocks noChangeArrowheads="1"/>
        </xdr:cNvSpPr>
      </xdr:nvSpPr>
      <xdr:spPr bwMode="auto">
        <a:xfrm>
          <a:off x="8667750" y="14697075"/>
          <a:ext cx="381000" cy="247650"/>
        </a:xfrm>
        <a:prstGeom prst="rightArrow">
          <a:avLst>
            <a:gd name="adj1" fmla="val 50000"/>
            <a:gd name="adj2" fmla="val 38462"/>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0</xdr:colOff>
      <xdr:row>5</xdr:row>
      <xdr:rowOff>123825</xdr:rowOff>
    </xdr:from>
    <xdr:to>
      <xdr:col>15</xdr:col>
      <xdr:colOff>0</xdr:colOff>
      <xdr:row>5</xdr:row>
      <xdr:rowOff>123825</xdr:rowOff>
    </xdr:to>
    <xdr:sp macro="" textlink="">
      <xdr:nvSpPr>
        <xdr:cNvPr id="1372796" name="Line 5">
          <a:extLst>
            <a:ext uri="{FF2B5EF4-FFF2-40B4-BE49-F238E27FC236}">
              <a16:creationId xmlns:a16="http://schemas.microsoft.com/office/drawing/2014/main" id="{E03EDAB8-65F0-EC7C-3FA3-5C200EF54E71}"/>
            </a:ext>
          </a:extLst>
        </xdr:cNvPr>
        <xdr:cNvSpPr>
          <a:spLocks noChangeShapeType="1"/>
        </xdr:cNvSpPr>
      </xdr:nvSpPr>
      <xdr:spPr bwMode="auto">
        <a:xfrm>
          <a:off x="0" y="933450"/>
          <a:ext cx="95345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350184</xdr:colOff>
      <xdr:row>1</xdr:row>
      <xdr:rowOff>114635</xdr:rowOff>
    </xdr:from>
    <xdr:to>
      <xdr:col>12</xdr:col>
      <xdr:colOff>739588</xdr:colOff>
      <xdr:row>3</xdr:row>
      <xdr:rowOff>22411</xdr:rowOff>
    </xdr:to>
    <xdr:sp macro="" textlink="">
      <xdr:nvSpPr>
        <xdr:cNvPr id="25606" name="Texto 327">
          <a:extLst>
            <a:ext uri="{FF2B5EF4-FFF2-40B4-BE49-F238E27FC236}">
              <a16:creationId xmlns:a16="http://schemas.microsoft.com/office/drawing/2014/main" id="{D23115EF-6679-D401-5BED-942BC63505C6}"/>
            </a:ext>
          </a:extLst>
        </xdr:cNvPr>
        <xdr:cNvSpPr txBox="1">
          <a:spLocks noChangeArrowheads="1"/>
        </xdr:cNvSpPr>
      </xdr:nvSpPr>
      <xdr:spPr bwMode="auto">
        <a:xfrm>
          <a:off x="5359213" y="271517"/>
          <a:ext cx="4658846" cy="221541"/>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7</xdr:col>
      <xdr:colOff>514125</xdr:colOff>
      <xdr:row>3</xdr:row>
      <xdr:rowOff>51883</xdr:rowOff>
    </xdr:from>
    <xdr:to>
      <xdr:col>10</xdr:col>
      <xdr:colOff>214886</xdr:colOff>
      <xdr:row>5</xdr:row>
      <xdr:rowOff>17873</xdr:rowOff>
    </xdr:to>
    <xdr:sp macro="" textlink="">
      <xdr:nvSpPr>
        <xdr:cNvPr id="25607" name="Texto 327">
          <a:extLst>
            <a:ext uri="{FF2B5EF4-FFF2-40B4-BE49-F238E27FC236}">
              <a16:creationId xmlns:a16="http://schemas.microsoft.com/office/drawing/2014/main" id="{C9CC2FE1-2F7C-D892-025D-14FF5E316475}"/>
            </a:ext>
          </a:extLst>
        </xdr:cNvPr>
        <xdr:cNvSpPr txBox="1">
          <a:spLocks noChangeArrowheads="1"/>
        </xdr:cNvSpPr>
      </xdr:nvSpPr>
      <xdr:spPr bwMode="auto">
        <a:xfrm>
          <a:off x="4738743" y="522530"/>
          <a:ext cx="2300525" cy="279755"/>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13</xdr:col>
      <xdr:colOff>0</xdr:colOff>
      <xdr:row>2</xdr:row>
      <xdr:rowOff>76200</xdr:rowOff>
    </xdr:from>
    <xdr:to>
      <xdr:col>13</xdr:col>
      <xdr:colOff>0</xdr:colOff>
      <xdr:row>5</xdr:row>
      <xdr:rowOff>2000</xdr:rowOff>
    </xdr:to>
    <xdr:sp macro="" textlink="">
      <xdr:nvSpPr>
        <xdr:cNvPr id="25615" name="Texto 327">
          <a:extLst>
            <a:ext uri="{FF2B5EF4-FFF2-40B4-BE49-F238E27FC236}">
              <a16:creationId xmlns:a16="http://schemas.microsoft.com/office/drawing/2014/main" id="{60D5790F-8309-2E3A-90FF-CEE2469DB7EC}"/>
            </a:ext>
          </a:extLst>
        </xdr:cNvPr>
        <xdr:cNvSpPr txBox="1">
          <a:spLocks noChangeArrowheads="1"/>
        </xdr:cNvSpPr>
      </xdr:nvSpPr>
      <xdr:spPr bwMode="auto">
        <a:xfrm>
          <a:off x="10334625" y="400050"/>
          <a:ext cx="1800225" cy="419100"/>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13</xdr:col>
      <xdr:colOff>0</xdr:colOff>
      <xdr:row>0</xdr:row>
      <xdr:rowOff>28575</xdr:rowOff>
    </xdr:from>
    <xdr:to>
      <xdr:col>13</xdr:col>
      <xdr:colOff>0</xdr:colOff>
      <xdr:row>1</xdr:row>
      <xdr:rowOff>36426</xdr:rowOff>
    </xdr:to>
    <xdr:sp macro="" textlink="">
      <xdr:nvSpPr>
        <xdr:cNvPr id="25616" name="Texto 327">
          <a:extLst>
            <a:ext uri="{FF2B5EF4-FFF2-40B4-BE49-F238E27FC236}">
              <a16:creationId xmlns:a16="http://schemas.microsoft.com/office/drawing/2014/main" id="{4B43FBF7-DF03-310C-13FD-0025E223588B}"/>
            </a:ext>
          </a:extLst>
        </xdr:cNvPr>
        <xdr:cNvSpPr txBox="1">
          <a:spLocks noChangeArrowheads="1"/>
        </xdr:cNvSpPr>
      </xdr:nvSpPr>
      <xdr:spPr bwMode="auto">
        <a:xfrm>
          <a:off x="11430000" y="28575"/>
          <a:ext cx="923925" cy="161925"/>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2</xdr:col>
      <xdr:colOff>38100</xdr:colOff>
      <xdr:row>5</xdr:row>
      <xdr:rowOff>47625</xdr:rowOff>
    </xdr:to>
    <xdr:pic>
      <xdr:nvPicPr>
        <xdr:cNvPr id="1372801" name="Picture 52">
          <a:extLst>
            <a:ext uri="{FF2B5EF4-FFF2-40B4-BE49-F238E27FC236}">
              <a16:creationId xmlns:a16="http://schemas.microsoft.com/office/drawing/2014/main" id="{C5FF554F-C9E3-BA5D-F2F9-91B743E0990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11426" t="16345" r="40158" b="20984"/>
        <a:stretch>
          <a:fillRect/>
        </a:stretch>
      </xdr:blipFill>
      <xdr:spPr bwMode="auto">
        <a:xfrm>
          <a:off x="0" y="0"/>
          <a:ext cx="11906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392205</xdr:colOff>
      <xdr:row>3</xdr:row>
      <xdr:rowOff>67235</xdr:rowOff>
    </xdr:from>
    <xdr:to>
      <xdr:col>12</xdr:col>
      <xdr:colOff>702832</xdr:colOff>
      <xdr:row>6</xdr:row>
      <xdr:rowOff>560</xdr:rowOff>
    </xdr:to>
    <xdr:sp macro="" textlink="">
      <xdr:nvSpPr>
        <xdr:cNvPr id="2" name="Texto 327">
          <a:extLst>
            <a:ext uri="{FF2B5EF4-FFF2-40B4-BE49-F238E27FC236}">
              <a16:creationId xmlns:a16="http://schemas.microsoft.com/office/drawing/2014/main" id="{C7F1884D-BA12-4020-A66B-020D7CEA9E49}"/>
            </a:ext>
          </a:extLst>
        </xdr:cNvPr>
        <xdr:cNvSpPr txBox="1">
          <a:spLocks noChangeArrowheads="1"/>
        </xdr:cNvSpPr>
      </xdr:nvSpPr>
      <xdr:spPr bwMode="auto">
        <a:xfrm>
          <a:off x="8415617" y="537882"/>
          <a:ext cx="1565686" cy="403972"/>
        </a:xfrm>
        <a:prstGeom prst="rect">
          <a:avLst/>
        </a:prstGeom>
        <a:noFill/>
        <a:ln>
          <a:noFill/>
        </a:ln>
      </xdr:spPr>
      <xdr:txBody>
        <a:bodyPr vertOverflow="clip" wrap="square" lIns="27432" tIns="18288" rIns="0" bIns="0" anchor="t" upright="1"/>
        <a:lstStyle/>
        <a:p>
          <a:pPr algn="l" rtl="0">
            <a:lnSpc>
              <a:spcPts val="700"/>
            </a:lnSpc>
            <a:defRPr sz="1000"/>
          </a:pPr>
          <a:r>
            <a:rPr lang="es-MX" sz="800" b="0" i="0" u="none" strike="noStrike" baseline="0">
              <a:solidFill>
                <a:srgbClr val="000000"/>
              </a:solidFill>
              <a:latin typeface="Arial"/>
              <a:cs typeface="Arial"/>
            </a:rPr>
            <a:t> 1a. PRIV. 13 DE SEPT. No. 107</a:t>
          </a:r>
        </a:p>
        <a:p>
          <a:pPr algn="l" rtl="0">
            <a:lnSpc>
              <a:spcPts val="700"/>
            </a:lnSpc>
            <a:defRPr sz="1000"/>
          </a:pPr>
          <a:r>
            <a:rPr lang="es-MX" sz="800" b="0" i="0" u="none" strike="noStrike" baseline="0">
              <a:solidFill>
                <a:srgbClr val="000000"/>
              </a:solidFill>
              <a:latin typeface="Arial"/>
              <a:cs typeface="Arial"/>
            </a:rPr>
            <a:t> COL.VICENTE SUAREZ </a:t>
          </a:r>
        </a:p>
        <a:p>
          <a:pPr algn="l" rtl="0">
            <a:lnSpc>
              <a:spcPts val="600"/>
            </a:lnSpc>
            <a:defRPr sz="1000"/>
          </a:pPr>
          <a:r>
            <a:rPr lang="es-MX" sz="800" b="0" i="0" u="none" strike="noStrike" baseline="0">
              <a:solidFill>
                <a:srgbClr val="000000"/>
              </a:solidFill>
              <a:latin typeface="Arial"/>
              <a:cs typeface="Arial"/>
            </a:rPr>
            <a:t> C.P. 68030, OAXACA OAX</a:t>
          </a:r>
        </a:p>
      </xdr:txBody>
    </xdr:sp>
    <xdr:clientData/>
  </xdr:twoCellAnchor>
  <xdr:twoCellAnchor>
    <xdr:from>
      <xdr:col>12</xdr:col>
      <xdr:colOff>403411</xdr:colOff>
      <xdr:row>0</xdr:row>
      <xdr:rowOff>67235</xdr:rowOff>
    </xdr:from>
    <xdr:to>
      <xdr:col>12</xdr:col>
      <xdr:colOff>904426</xdr:colOff>
      <xdr:row>1</xdr:row>
      <xdr:rowOff>8404</xdr:rowOff>
    </xdr:to>
    <xdr:sp macro="" textlink="">
      <xdr:nvSpPr>
        <xdr:cNvPr id="3" name="Texto 327">
          <a:extLst>
            <a:ext uri="{FF2B5EF4-FFF2-40B4-BE49-F238E27FC236}">
              <a16:creationId xmlns:a16="http://schemas.microsoft.com/office/drawing/2014/main" id="{4C99A898-F1F5-4095-80D0-512006CF5561}"/>
            </a:ext>
          </a:extLst>
        </xdr:cNvPr>
        <xdr:cNvSpPr txBox="1">
          <a:spLocks noChangeArrowheads="1"/>
        </xdr:cNvSpPr>
      </xdr:nvSpPr>
      <xdr:spPr bwMode="auto">
        <a:xfrm>
          <a:off x="9681882" y="67235"/>
          <a:ext cx="501015" cy="98051"/>
        </a:xfrm>
        <a:prstGeom prst="rect">
          <a:avLst/>
        </a:prstGeom>
        <a:noFill/>
        <a:ln>
          <a:noFill/>
        </a:ln>
      </xdr:spPr>
      <xdr:txBody>
        <a:bodyPr vertOverflow="clip" wrap="square" lIns="27432" tIns="18288" rIns="0" bIns="0" anchor="t" upright="1"/>
        <a:lstStyle/>
        <a:p>
          <a:pPr algn="l" rtl="0">
            <a:lnSpc>
              <a:spcPts val="700"/>
            </a:lnSpc>
            <a:defRPr sz="1000"/>
          </a:pPr>
          <a:r>
            <a:rPr lang="es-MX" sz="800" b="0" i="0" u="none" strike="noStrike" baseline="0">
              <a:solidFill>
                <a:srgbClr val="000000"/>
              </a:solidFill>
              <a:latin typeface="Arial"/>
              <a:cs typeface="Arial"/>
            </a:rPr>
            <a:t>REALIZA:</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5</xdr:row>
      <xdr:rowOff>123825</xdr:rowOff>
    </xdr:from>
    <xdr:to>
      <xdr:col>14</xdr:col>
      <xdr:colOff>419100</xdr:colOff>
      <xdr:row>5</xdr:row>
      <xdr:rowOff>123825</xdr:rowOff>
    </xdr:to>
    <xdr:sp macro="" textlink="">
      <xdr:nvSpPr>
        <xdr:cNvPr id="1385870" name="Line 6">
          <a:extLst>
            <a:ext uri="{FF2B5EF4-FFF2-40B4-BE49-F238E27FC236}">
              <a16:creationId xmlns:a16="http://schemas.microsoft.com/office/drawing/2014/main" id="{7280E39A-3EEB-37F1-6947-37C88C64B7B9}"/>
            </a:ext>
          </a:extLst>
        </xdr:cNvPr>
        <xdr:cNvSpPr>
          <a:spLocks noChangeShapeType="1"/>
        </xdr:cNvSpPr>
      </xdr:nvSpPr>
      <xdr:spPr bwMode="auto">
        <a:xfrm>
          <a:off x="0" y="933450"/>
          <a:ext cx="9391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639224</xdr:colOff>
      <xdr:row>1</xdr:row>
      <xdr:rowOff>30148</xdr:rowOff>
    </xdr:from>
    <xdr:to>
      <xdr:col>26</xdr:col>
      <xdr:colOff>253418</xdr:colOff>
      <xdr:row>2</xdr:row>
      <xdr:rowOff>77773</xdr:rowOff>
    </xdr:to>
    <xdr:sp macro="" textlink="">
      <xdr:nvSpPr>
        <xdr:cNvPr id="39943" name="Texto 327">
          <a:extLst>
            <a:ext uri="{FF2B5EF4-FFF2-40B4-BE49-F238E27FC236}">
              <a16:creationId xmlns:a16="http://schemas.microsoft.com/office/drawing/2014/main" id="{862072F3-6D13-1729-512D-72C49B779350}"/>
            </a:ext>
          </a:extLst>
        </xdr:cNvPr>
        <xdr:cNvSpPr txBox="1">
          <a:spLocks noChangeArrowheads="1"/>
        </xdr:cNvSpPr>
      </xdr:nvSpPr>
      <xdr:spPr bwMode="auto">
        <a:xfrm>
          <a:off x="5524063" y="196180"/>
          <a:ext cx="4603896" cy="213657"/>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8</xdr:col>
      <xdr:colOff>504825</xdr:colOff>
      <xdr:row>2</xdr:row>
      <xdr:rowOff>93345</xdr:rowOff>
    </xdr:from>
    <xdr:to>
      <xdr:col>11</xdr:col>
      <xdr:colOff>89850</xdr:colOff>
      <xdr:row>4</xdr:row>
      <xdr:rowOff>74525</xdr:rowOff>
    </xdr:to>
    <xdr:sp macro="" textlink="">
      <xdr:nvSpPr>
        <xdr:cNvPr id="39944" name="Texto 327">
          <a:extLst>
            <a:ext uri="{FF2B5EF4-FFF2-40B4-BE49-F238E27FC236}">
              <a16:creationId xmlns:a16="http://schemas.microsoft.com/office/drawing/2014/main" id="{A3D6D8A1-74C2-43B4-31A1-B9A7F4A35056}"/>
            </a:ext>
          </a:extLst>
        </xdr:cNvPr>
        <xdr:cNvSpPr txBox="1">
          <a:spLocks noChangeArrowheads="1"/>
        </xdr:cNvSpPr>
      </xdr:nvSpPr>
      <xdr:spPr bwMode="auto">
        <a:xfrm>
          <a:off x="6391275" y="409575"/>
          <a:ext cx="1762125" cy="304800"/>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11</xdr:col>
      <xdr:colOff>555717</xdr:colOff>
      <xdr:row>2</xdr:row>
      <xdr:rowOff>102084</xdr:rowOff>
    </xdr:from>
    <xdr:to>
      <xdr:col>26</xdr:col>
      <xdr:colOff>620436</xdr:colOff>
      <xdr:row>5</xdr:row>
      <xdr:rowOff>18400</xdr:rowOff>
    </xdr:to>
    <xdr:sp macro="" textlink="">
      <xdr:nvSpPr>
        <xdr:cNvPr id="39952" name="Texto 327">
          <a:extLst>
            <a:ext uri="{FF2B5EF4-FFF2-40B4-BE49-F238E27FC236}">
              <a16:creationId xmlns:a16="http://schemas.microsoft.com/office/drawing/2014/main" id="{FE50AA6D-2809-00F9-1D4C-FBF1B863269C}"/>
            </a:ext>
          </a:extLst>
        </xdr:cNvPr>
        <xdr:cNvSpPr txBox="1">
          <a:spLocks noChangeArrowheads="1"/>
        </xdr:cNvSpPr>
      </xdr:nvSpPr>
      <xdr:spPr bwMode="auto">
        <a:xfrm>
          <a:off x="8315534" y="434148"/>
          <a:ext cx="2179443" cy="414413"/>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13</xdr:col>
      <xdr:colOff>800100</xdr:colOff>
      <xdr:row>0</xdr:row>
      <xdr:rowOff>76200</xdr:rowOff>
    </xdr:from>
    <xdr:to>
      <xdr:col>15</xdr:col>
      <xdr:colOff>47625</xdr:colOff>
      <xdr:row>1</xdr:row>
      <xdr:rowOff>76200</xdr:rowOff>
    </xdr:to>
    <xdr:sp macro="" textlink="">
      <xdr:nvSpPr>
        <xdr:cNvPr id="39953" name="Texto 327">
          <a:extLst>
            <a:ext uri="{FF2B5EF4-FFF2-40B4-BE49-F238E27FC236}">
              <a16:creationId xmlns:a16="http://schemas.microsoft.com/office/drawing/2014/main" id="{BB712E21-49B6-743D-8D7B-87420023FE6C}"/>
            </a:ext>
          </a:extLst>
        </xdr:cNvPr>
        <xdr:cNvSpPr txBox="1">
          <a:spLocks noChangeArrowheads="1"/>
        </xdr:cNvSpPr>
      </xdr:nvSpPr>
      <xdr:spPr bwMode="auto">
        <a:xfrm>
          <a:off x="10772775" y="76200"/>
          <a:ext cx="923925" cy="161925"/>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2</xdr:col>
      <xdr:colOff>38100</xdr:colOff>
      <xdr:row>5</xdr:row>
      <xdr:rowOff>47625</xdr:rowOff>
    </xdr:to>
    <xdr:pic>
      <xdr:nvPicPr>
        <xdr:cNvPr id="1385875" name="Picture 52">
          <a:extLst>
            <a:ext uri="{FF2B5EF4-FFF2-40B4-BE49-F238E27FC236}">
              <a16:creationId xmlns:a16="http://schemas.microsoft.com/office/drawing/2014/main" id="{2AC31B6F-F06A-732B-F2B3-B2694BAEA3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1906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401973</xdr:colOff>
      <xdr:row>0</xdr:row>
      <xdr:rowOff>78647</xdr:rowOff>
    </xdr:from>
    <xdr:to>
      <xdr:col>12</xdr:col>
      <xdr:colOff>902988</xdr:colOff>
      <xdr:row>1</xdr:row>
      <xdr:rowOff>10666</xdr:rowOff>
    </xdr:to>
    <xdr:sp macro="" textlink="">
      <xdr:nvSpPr>
        <xdr:cNvPr id="2" name="Texto 327">
          <a:extLst>
            <a:ext uri="{FF2B5EF4-FFF2-40B4-BE49-F238E27FC236}">
              <a16:creationId xmlns:a16="http://schemas.microsoft.com/office/drawing/2014/main" id="{A8381878-1164-4207-91F4-EB47023CF420}"/>
            </a:ext>
          </a:extLst>
        </xdr:cNvPr>
        <xdr:cNvSpPr txBox="1">
          <a:spLocks noChangeArrowheads="1"/>
        </xdr:cNvSpPr>
      </xdr:nvSpPr>
      <xdr:spPr bwMode="auto">
        <a:xfrm>
          <a:off x="9324014" y="78647"/>
          <a:ext cx="501015" cy="98051"/>
        </a:xfrm>
        <a:prstGeom prst="rect">
          <a:avLst/>
        </a:prstGeom>
        <a:noFill/>
        <a:ln>
          <a:noFill/>
        </a:ln>
      </xdr:spPr>
      <xdr:txBody>
        <a:bodyPr vertOverflow="clip" wrap="square" lIns="27432" tIns="18288" rIns="0" bIns="0" anchor="t" upright="1"/>
        <a:lstStyle/>
        <a:p>
          <a:pPr algn="l" rtl="0">
            <a:lnSpc>
              <a:spcPts val="700"/>
            </a:lnSpc>
            <a:defRPr sz="1000"/>
          </a:pPr>
          <a:r>
            <a:rPr lang="es-MX" sz="800" b="0" i="0" u="none" strike="noStrike" baseline="0">
              <a:solidFill>
                <a:srgbClr val="000000"/>
              </a:solidFill>
              <a:latin typeface="Arial"/>
              <a:cs typeface="Arial"/>
            </a:rPr>
            <a:t>REALIZA: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5</xdr:row>
      <xdr:rowOff>123825</xdr:rowOff>
    </xdr:from>
    <xdr:to>
      <xdr:col>25</xdr:col>
      <xdr:colOff>695325</xdr:colOff>
      <xdr:row>5</xdr:row>
      <xdr:rowOff>123825</xdr:rowOff>
    </xdr:to>
    <xdr:sp macro="" textlink="">
      <xdr:nvSpPr>
        <xdr:cNvPr id="1386894" name="Line 1">
          <a:extLst>
            <a:ext uri="{FF2B5EF4-FFF2-40B4-BE49-F238E27FC236}">
              <a16:creationId xmlns:a16="http://schemas.microsoft.com/office/drawing/2014/main" id="{31DCD5BE-DCF8-C46B-626A-C2A066C5BA6F}"/>
            </a:ext>
          </a:extLst>
        </xdr:cNvPr>
        <xdr:cNvSpPr>
          <a:spLocks noChangeShapeType="1"/>
        </xdr:cNvSpPr>
      </xdr:nvSpPr>
      <xdr:spPr bwMode="auto">
        <a:xfrm>
          <a:off x="0" y="933450"/>
          <a:ext cx="156781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118110</xdr:colOff>
      <xdr:row>1</xdr:row>
      <xdr:rowOff>28575</xdr:rowOff>
    </xdr:from>
    <xdr:to>
      <xdr:col>26</xdr:col>
      <xdr:colOff>70485</xdr:colOff>
      <xdr:row>2</xdr:row>
      <xdr:rowOff>83772</xdr:rowOff>
    </xdr:to>
    <xdr:sp macro="" textlink="">
      <xdr:nvSpPr>
        <xdr:cNvPr id="46082" name="Texto 327">
          <a:extLst>
            <a:ext uri="{FF2B5EF4-FFF2-40B4-BE49-F238E27FC236}">
              <a16:creationId xmlns:a16="http://schemas.microsoft.com/office/drawing/2014/main" id="{7BF8AFA2-6D5A-C62B-9DEB-ECF1E5BBA98D}"/>
            </a:ext>
          </a:extLst>
        </xdr:cNvPr>
        <xdr:cNvSpPr txBox="1">
          <a:spLocks noChangeArrowheads="1"/>
        </xdr:cNvSpPr>
      </xdr:nvSpPr>
      <xdr:spPr bwMode="auto">
        <a:xfrm>
          <a:off x="9839325" y="190500"/>
          <a:ext cx="4981575" cy="219075"/>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18</xdr:col>
      <xdr:colOff>643890</xdr:colOff>
      <xdr:row>2</xdr:row>
      <xdr:rowOff>40005</xdr:rowOff>
    </xdr:from>
    <xdr:to>
      <xdr:col>21</xdr:col>
      <xdr:colOff>158404</xdr:colOff>
      <xdr:row>3</xdr:row>
      <xdr:rowOff>148915</xdr:rowOff>
    </xdr:to>
    <xdr:sp macro="" textlink="">
      <xdr:nvSpPr>
        <xdr:cNvPr id="46083" name="Texto 327">
          <a:extLst>
            <a:ext uri="{FF2B5EF4-FFF2-40B4-BE49-F238E27FC236}">
              <a16:creationId xmlns:a16="http://schemas.microsoft.com/office/drawing/2014/main" id="{4F452E94-4EB0-FB4B-794B-E072430CAAA9}"/>
            </a:ext>
          </a:extLst>
        </xdr:cNvPr>
        <xdr:cNvSpPr txBox="1">
          <a:spLocks noChangeArrowheads="1"/>
        </xdr:cNvSpPr>
      </xdr:nvSpPr>
      <xdr:spPr bwMode="auto">
        <a:xfrm>
          <a:off x="9515475" y="371475"/>
          <a:ext cx="1704975" cy="266700"/>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23</xdr:col>
      <xdr:colOff>0</xdr:colOff>
      <xdr:row>2</xdr:row>
      <xdr:rowOff>83820</xdr:rowOff>
    </xdr:from>
    <xdr:to>
      <xdr:col>26</xdr:col>
      <xdr:colOff>207497</xdr:colOff>
      <xdr:row>5</xdr:row>
      <xdr:rowOff>76242</xdr:rowOff>
    </xdr:to>
    <xdr:sp macro="" textlink="">
      <xdr:nvSpPr>
        <xdr:cNvPr id="46084" name="Texto 327">
          <a:extLst>
            <a:ext uri="{FF2B5EF4-FFF2-40B4-BE49-F238E27FC236}">
              <a16:creationId xmlns:a16="http://schemas.microsoft.com/office/drawing/2014/main" id="{3E5BB407-9556-F8E3-594A-C8D8EF9588EC}"/>
            </a:ext>
          </a:extLst>
        </xdr:cNvPr>
        <xdr:cNvSpPr txBox="1">
          <a:spLocks noChangeArrowheads="1"/>
        </xdr:cNvSpPr>
      </xdr:nvSpPr>
      <xdr:spPr bwMode="auto">
        <a:xfrm>
          <a:off x="12992100" y="409575"/>
          <a:ext cx="1962150" cy="476250"/>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24</xdr:col>
      <xdr:colOff>721995</xdr:colOff>
      <xdr:row>0</xdr:row>
      <xdr:rowOff>47625</xdr:rowOff>
    </xdr:from>
    <xdr:to>
      <xdr:col>25</xdr:col>
      <xdr:colOff>683996</xdr:colOff>
      <xdr:row>1</xdr:row>
      <xdr:rowOff>57547</xdr:rowOff>
    </xdr:to>
    <xdr:sp macro="" textlink="">
      <xdr:nvSpPr>
        <xdr:cNvPr id="46085" name="Texto 327">
          <a:extLst>
            <a:ext uri="{FF2B5EF4-FFF2-40B4-BE49-F238E27FC236}">
              <a16:creationId xmlns:a16="http://schemas.microsoft.com/office/drawing/2014/main" id="{E65A85A0-8F81-E356-91F4-257EF66077D4}"/>
            </a:ext>
          </a:extLst>
        </xdr:cNvPr>
        <xdr:cNvSpPr txBox="1">
          <a:spLocks noChangeArrowheads="1"/>
        </xdr:cNvSpPr>
      </xdr:nvSpPr>
      <xdr:spPr bwMode="auto">
        <a:xfrm>
          <a:off x="13792200" y="47625"/>
          <a:ext cx="819150" cy="161925"/>
        </a:xfrm>
        <a:prstGeom prst="rect">
          <a:avLst/>
        </a:prstGeom>
        <a:noFill/>
        <a:ln>
          <a:noFill/>
        </a:ln>
      </xdr:spPr>
      <xdr:txBody>
        <a:bodyPr vertOverflow="clip" wrap="square" lIns="0" tIns="18288" rIns="27432" bIns="0" anchor="t" upright="1"/>
        <a:lstStyle/>
        <a:p>
          <a:pPr algn="r"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2</xdr:col>
      <xdr:colOff>47625</xdr:colOff>
      <xdr:row>5</xdr:row>
      <xdr:rowOff>47625</xdr:rowOff>
    </xdr:to>
    <xdr:pic>
      <xdr:nvPicPr>
        <xdr:cNvPr id="1386899" name="Picture 52">
          <a:extLst>
            <a:ext uri="{FF2B5EF4-FFF2-40B4-BE49-F238E27FC236}">
              <a16:creationId xmlns:a16="http://schemas.microsoft.com/office/drawing/2014/main" id="{9151E7A4-6ED7-0588-9E7D-E7BEB5E1E2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181100"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xdr:row>
      <xdr:rowOff>123825</xdr:rowOff>
    </xdr:from>
    <xdr:to>
      <xdr:col>25</xdr:col>
      <xdr:colOff>695325</xdr:colOff>
      <xdr:row>5</xdr:row>
      <xdr:rowOff>123825</xdr:rowOff>
    </xdr:to>
    <xdr:sp macro="" textlink="">
      <xdr:nvSpPr>
        <xdr:cNvPr id="1387918" name="Line 4">
          <a:extLst>
            <a:ext uri="{FF2B5EF4-FFF2-40B4-BE49-F238E27FC236}">
              <a16:creationId xmlns:a16="http://schemas.microsoft.com/office/drawing/2014/main" id="{5B9EE880-95D8-7A75-0423-5E5872E71B28}"/>
            </a:ext>
          </a:extLst>
        </xdr:cNvPr>
        <xdr:cNvSpPr>
          <a:spLocks noChangeShapeType="1"/>
        </xdr:cNvSpPr>
      </xdr:nvSpPr>
      <xdr:spPr bwMode="auto">
        <a:xfrm>
          <a:off x="0" y="933450"/>
          <a:ext cx="13125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909693</xdr:colOff>
      <xdr:row>0</xdr:row>
      <xdr:rowOff>143996</xdr:rowOff>
    </xdr:from>
    <xdr:to>
      <xdr:col>26</xdr:col>
      <xdr:colOff>806823</xdr:colOff>
      <xdr:row>2</xdr:row>
      <xdr:rowOff>0</xdr:rowOff>
    </xdr:to>
    <xdr:sp macro="" textlink="">
      <xdr:nvSpPr>
        <xdr:cNvPr id="45061" name="Texto 327">
          <a:extLst>
            <a:ext uri="{FF2B5EF4-FFF2-40B4-BE49-F238E27FC236}">
              <a16:creationId xmlns:a16="http://schemas.microsoft.com/office/drawing/2014/main" id="{A42D125C-0447-A8A5-B679-1FEBD7F1AA7E}"/>
            </a:ext>
          </a:extLst>
        </xdr:cNvPr>
        <xdr:cNvSpPr txBox="1">
          <a:spLocks noChangeArrowheads="1"/>
        </xdr:cNvSpPr>
      </xdr:nvSpPr>
      <xdr:spPr bwMode="auto">
        <a:xfrm>
          <a:off x="8854664" y="143996"/>
          <a:ext cx="5074247" cy="169769"/>
        </a:xfrm>
        <a:prstGeom prst="rect">
          <a:avLst/>
        </a:prstGeom>
        <a:noFill/>
        <a:ln>
          <a:noFill/>
        </a:ln>
      </xdr:spPr>
      <xdr:txBody>
        <a:bodyPr vertOverflow="clip" wrap="square" lIns="36576" tIns="27432" rIns="0" bIns="0" anchor="t" upright="1"/>
        <a:lstStyle/>
        <a:p>
          <a:pPr algn="l" rtl="0">
            <a:lnSpc>
              <a:spcPts val="1100"/>
            </a:lnSpc>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13</xdr:col>
      <xdr:colOff>397360</xdr:colOff>
      <xdr:row>2</xdr:row>
      <xdr:rowOff>47625</xdr:rowOff>
    </xdr:from>
    <xdr:to>
      <xdr:col>18</xdr:col>
      <xdr:colOff>561664</xdr:colOff>
      <xdr:row>3</xdr:row>
      <xdr:rowOff>148482</xdr:rowOff>
    </xdr:to>
    <xdr:sp macro="" textlink="">
      <xdr:nvSpPr>
        <xdr:cNvPr id="45062" name="Texto 327">
          <a:extLst>
            <a:ext uri="{FF2B5EF4-FFF2-40B4-BE49-F238E27FC236}">
              <a16:creationId xmlns:a16="http://schemas.microsoft.com/office/drawing/2014/main" id="{4B5123B7-F775-B766-B067-EBC8CDF250B0}"/>
            </a:ext>
          </a:extLst>
        </xdr:cNvPr>
        <xdr:cNvSpPr txBox="1">
          <a:spLocks noChangeArrowheads="1"/>
        </xdr:cNvSpPr>
      </xdr:nvSpPr>
      <xdr:spPr bwMode="auto">
        <a:xfrm>
          <a:off x="8342331" y="361390"/>
          <a:ext cx="1822774" cy="257739"/>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20</xdr:col>
      <xdr:colOff>280148</xdr:colOff>
      <xdr:row>2</xdr:row>
      <xdr:rowOff>25886</xdr:rowOff>
    </xdr:from>
    <xdr:to>
      <xdr:col>26</xdr:col>
      <xdr:colOff>83059</xdr:colOff>
      <xdr:row>5</xdr:row>
      <xdr:rowOff>20449</xdr:rowOff>
    </xdr:to>
    <xdr:sp macro="" textlink="">
      <xdr:nvSpPr>
        <xdr:cNvPr id="45063" name="Texto 327">
          <a:extLst>
            <a:ext uri="{FF2B5EF4-FFF2-40B4-BE49-F238E27FC236}">
              <a16:creationId xmlns:a16="http://schemas.microsoft.com/office/drawing/2014/main" id="{D1B5D4AC-3178-FA76-E73C-55FEA57B6402}"/>
            </a:ext>
          </a:extLst>
        </xdr:cNvPr>
        <xdr:cNvSpPr txBox="1">
          <a:spLocks noChangeArrowheads="1"/>
        </xdr:cNvSpPr>
      </xdr:nvSpPr>
      <xdr:spPr bwMode="auto">
        <a:xfrm>
          <a:off x="11586883" y="339651"/>
          <a:ext cx="1618264" cy="465210"/>
        </a:xfrm>
        <a:prstGeom prst="rect">
          <a:avLst/>
        </a:prstGeom>
        <a:noFill/>
        <a:ln>
          <a:noFill/>
        </a:ln>
      </xdr:spPr>
      <xdr:txBody>
        <a:bodyPr vertOverflow="clip" wrap="square" lIns="18288"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23</xdr:col>
      <xdr:colOff>0</xdr:colOff>
      <xdr:row>0</xdr:row>
      <xdr:rowOff>47625</xdr:rowOff>
    </xdr:from>
    <xdr:to>
      <xdr:col>23</xdr:col>
      <xdr:colOff>0</xdr:colOff>
      <xdr:row>1</xdr:row>
      <xdr:rowOff>40203</xdr:rowOff>
    </xdr:to>
    <xdr:sp macro="" textlink="">
      <xdr:nvSpPr>
        <xdr:cNvPr id="45064" name="Texto 327">
          <a:extLst>
            <a:ext uri="{FF2B5EF4-FFF2-40B4-BE49-F238E27FC236}">
              <a16:creationId xmlns:a16="http://schemas.microsoft.com/office/drawing/2014/main" id="{AC5F48BF-ECCE-9941-23F7-A7CD9FAC4C7B}"/>
            </a:ext>
          </a:extLst>
        </xdr:cNvPr>
        <xdr:cNvSpPr txBox="1">
          <a:spLocks noChangeArrowheads="1"/>
        </xdr:cNvSpPr>
      </xdr:nvSpPr>
      <xdr:spPr bwMode="auto">
        <a:xfrm>
          <a:off x="13477875" y="47625"/>
          <a:ext cx="819150" cy="161925"/>
        </a:xfrm>
        <a:prstGeom prst="rect">
          <a:avLst/>
        </a:prstGeom>
        <a:noFill/>
        <a:ln>
          <a:noFill/>
        </a:ln>
      </xdr:spPr>
      <xdr:txBody>
        <a:bodyPr vertOverflow="clip" wrap="square" lIns="0" tIns="18288" rIns="27432" bIns="0" anchor="t" upright="1"/>
        <a:lstStyle/>
        <a:p>
          <a:pPr algn="r"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2</xdr:col>
      <xdr:colOff>133350</xdr:colOff>
      <xdr:row>5</xdr:row>
      <xdr:rowOff>47625</xdr:rowOff>
    </xdr:to>
    <xdr:pic>
      <xdr:nvPicPr>
        <xdr:cNvPr id="1387923" name="Picture 52">
          <a:extLst>
            <a:ext uri="{FF2B5EF4-FFF2-40B4-BE49-F238E27FC236}">
              <a16:creationId xmlns:a16="http://schemas.microsoft.com/office/drawing/2014/main" id="{7D4D6B5D-CC6F-12D8-45E0-A008F8A7F5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1906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22</xdr:col>
      <xdr:colOff>22412</xdr:colOff>
      <xdr:row>0</xdr:row>
      <xdr:rowOff>33617</xdr:rowOff>
    </xdr:from>
    <xdr:to>
      <xdr:col>22</xdr:col>
      <xdr:colOff>523427</xdr:colOff>
      <xdr:row>0</xdr:row>
      <xdr:rowOff>131668</xdr:rowOff>
    </xdr:to>
    <xdr:sp macro="" textlink="">
      <xdr:nvSpPr>
        <xdr:cNvPr id="2" name="Texto 327">
          <a:extLst>
            <a:ext uri="{FF2B5EF4-FFF2-40B4-BE49-F238E27FC236}">
              <a16:creationId xmlns:a16="http://schemas.microsoft.com/office/drawing/2014/main" id="{7B27781C-A36D-4353-B5D7-C6652D6A7221}"/>
            </a:ext>
          </a:extLst>
        </xdr:cNvPr>
        <xdr:cNvSpPr txBox="1">
          <a:spLocks noChangeArrowheads="1"/>
        </xdr:cNvSpPr>
      </xdr:nvSpPr>
      <xdr:spPr bwMode="auto">
        <a:xfrm>
          <a:off x="12573000" y="33617"/>
          <a:ext cx="501015" cy="98051"/>
        </a:xfrm>
        <a:prstGeom prst="rect">
          <a:avLst/>
        </a:prstGeom>
        <a:noFill/>
        <a:ln>
          <a:noFill/>
        </a:ln>
      </xdr:spPr>
      <xdr:txBody>
        <a:bodyPr vertOverflow="clip" wrap="square" lIns="27432" tIns="18288" rIns="0" bIns="0" anchor="t" upright="1"/>
        <a:lstStyle/>
        <a:p>
          <a:pPr algn="l" rtl="0">
            <a:lnSpc>
              <a:spcPts val="700"/>
            </a:lnSpc>
            <a:defRPr sz="1000"/>
          </a:pPr>
          <a:r>
            <a:rPr lang="es-MX" sz="800" b="0" i="0" u="none" strike="noStrike" baseline="0">
              <a:solidFill>
                <a:srgbClr val="000000"/>
              </a:solidFill>
              <a:latin typeface="Arial"/>
              <a:cs typeface="Arial"/>
            </a:rPr>
            <a:t>REALIZA: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5</xdr:row>
      <xdr:rowOff>123825</xdr:rowOff>
    </xdr:from>
    <xdr:to>
      <xdr:col>17</xdr:col>
      <xdr:colOff>542925</xdr:colOff>
      <xdr:row>5</xdr:row>
      <xdr:rowOff>123825</xdr:rowOff>
    </xdr:to>
    <xdr:sp macro="" textlink="">
      <xdr:nvSpPr>
        <xdr:cNvPr id="1389966" name="Line 4">
          <a:extLst>
            <a:ext uri="{FF2B5EF4-FFF2-40B4-BE49-F238E27FC236}">
              <a16:creationId xmlns:a16="http://schemas.microsoft.com/office/drawing/2014/main" id="{09ED368D-A225-97A5-C1D0-1C96EB0271FB}"/>
            </a:ext>
          </a:extLst>
        </xdr:cNvPr>
        <xdr:cNvSpPr>
          <a:spLocks noChangeShapeType="1"/>
        </xdr:cNvSpPr>
      </xdr:nvSpPr>
      <xdr:spPr bwMode="auto">
        <a:xfrm>
          <a:off x="0" y="933450"/>
          <a:ext cx="115062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127635</xdr:colOff>
      <xdr:row>1</xdr:row>
      <xdr:rowOff>74295</xdr:rowOff>
    </xdr:from>
    <xdr:to>
      <xdr:col>17</xdr:col>
      <xdr:colOff>643919</xdr:colOff>
      <xdr:row>2</xdr:row>
      <xdr:rowOff>124030</xdr:rowOff>
    </xdr:to>
    <xdr:sp macro="" textlink="">
      <xdr:nvSpPr>
        <xdr:cNvPr id="41989" name="Texto 327">
          <a:extLst>
            <a:ext uri="{FF2B5EF4-FFF2-40B4-BE49-F238E27FC236}">
              <a16:creationId xmlns:a16="http://schemas.microsoft.com/office/drawing/2014/main" id="{8643C05F-F005-AA46-7210-106ADAE7604C}"/>
            </a:ext>
          </a:extLst>
        </xdr:cNvPr>
        <xdr:cNvSpPr txBox="1">
          <a:spLocks noChangeArrowheads="1"/>
        </xdr:cNvSpPr>
      </xdr:nvSpPr>
      <xdr:spPr bwMode="auto">
        <a:xfrm>
          <a:off x="6076950" y="228600"/>
          <a:ext cx="5153025" cy="219075"/>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10</xdr:col>
      <xdr:colOff>47625</xdr:colOff>
      <xdr:row>2</xdr:row>
      <xdr:rowOff>104775</xdr:rowOff>
    </xdr:from>
    <xdr:to>
      <xdr:col>13</xdr:col>
      <xdr:colOff>38100</xdr:colOff>
      <xdr:row>4</xdr:row>
      <xdr:rowOff>47625</xdr:rowOff>
    </xdr:to>
    <xdr:sp macro="" textlink="">
      <xdr:nvSpPr>
        <xdr:cNvPr id="41990" name="Texto 327">
          <a:extLst>
            <a:ext uri="{FF2B5EF4-FFF2-40B4-BE49-F238E27FC236}">
              <a16:creationId xmlns:a16="http://schemas.microsoft.com/office/drawing/2014/main" id="{5D1BE771-A806-2494-72F8-4F1818D42793}"/>
            </a:ext>
          </a:extLst>
        </xdr:cNvPr>
        <xdr:cNvSpPr txBox="1">
          <a:spLocks noChangeArrowheads="1"/>
        </xdr:cNvSpPr>
      </xdr:nvSpPr>
      <xdr:spPr bwMode="auto">
        <a:xfrm>
          <a:off x="6000750" y="428625"/>
          <a:ext cx="1257300" cy="266700"/>
        </a:xfrm>
        <a:prstGeom prst="rect">
          <a:avLst/>
        </a:prstGeom>
        <a:noFill/>
        <a:ln>
          <a:noFill/>
        </a:ln>
      </xdr:spPr>
      <xdr:txBody>
        <a:bodyPr vertOverflow="clip" wrap="square" lIns="27432" tIns="18288" rIns="27432"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15</xdr:col>
      <xdr:colOff>207645</xdr:colOff>
      <xdr:row>2</xdr:row>
      <xdr:rowOff>95250</xdr:rowOff>
    </xdr:from>
    <xdr:to>
      <xdr:col>17</xdr:col>
      <xdr:colOff>211505</xdr:colOff>
      <xdr:row>5</xdr:row>
      <xdr:rowOff>76383</xdr:rowOff>
    </xdr:to>
    <xdr:sp macro="" textlink="">
      <xdr:nvSpPr>
        <xdr:cNvPr id="41991" name="Texto 327">
          <a:extLst>
            <a:ext uri="{FF2B5EF4-FFF2-40B4-BE49-F238E27FC236}">
              <a16:creationId xmlns:a16="http://schemas.microsoft.com/office/drawing/2014/main" id="{4FBE16A4-D9BD-D910-F52A-C3A3FA6C9801}"/>
            </a:ext>
          </a:extLst>
        </xdr:cNvPr>
        <xdr:cNvSpPr txBox="1">
          <a:spLocks noChangeArrowheads="1"/>
        </xdr:cNvSpPr>
      </xdr:nvSpPr>
      <xdr:spPr bwMode="auto">
        <a:xfrm>
          <a:off x="9096375" y="409575"/>
          <a:ext cx="1695450" cy="476250"/>
        </a:xfrm>
        <a:prstGeom prst="rect">
          <a:avLst/>
        </a:prstGeom>
        <a:noFill/>
        <a:ln>
          <a:noFill/>
        </a:ln>
      </xdr:spPr>
      <xdr:txBody>
        <a:bodyPr vertOverflow="clip" wrap="square" lIns="27432" tIns="22860"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16</xdr:col>
      <xdr:colOff>299085</xdr:colOff>
      <xdr:row>0</xdr:row>
      <xdr:rowOff>66675</xdr:rowOff>
    </xdr:from>
    <xdr:to>
      <xdr:col>17</xdr:col>
      <xdr:colOff>160177</xdr:colOff>
      <xdr:row>1</xdr:row>
      <xdr:rowOff>74526</xdr:rowOff>
    </xdr:to>
    <xdr:sp macro="" textlink="">
      <xdr:nvSpPr>
        <xdr:cNvPr id="41992" name="Texto 327">
          <a:extLst>
            <a:ext uri="{FF2B5EF4-FFF2-40B4-BE49-F238E27FC236}">
              <a16:creationId xmlns:a16="http://schemas.microsoft.com/office/drawing/2014/main" id="{A403F6ED-BF87-874E-6A11-5C6D5EA7AD9B}"/>
            </a:ext>
          </a:extLst>
        </xdr:cNvPr>
        <xdr:cNvSpPr txBox="1">
          <a:spLocks noChangeArrowheads="1"/>
        </xdr:cNvSpPr>
      </xdr:nvSpPr>
      <xdr:spPr bwMode="auto">
        <a:xfrm>
          <a:off x="10029825" y="66675"/>
          <a:ext cx="695325" cy="161925"/>
        </a:xfrm>
        <a:prstGeom prst="rect">
          <a:avLst/>
        </a:prstGeom>
        <a:noFill/>
        <a:ln>
          <a:noFill/>
        </a:ln>
      </xdr:spPr>
      <xdr:txBody>
        <a:bodyPr vertOverflow="clip" wrap="square" lIns="0" tIns="18288" rIns="27432" bIns="0" anchor="t" upright="1"/>
        <a:lstStyle/>
        <a:p>
          <a:pPr algn="r"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2</xdr:col>
      <xdr:colOff>95250</xdr:colOff>
      <xdr:row>5</xdr:row>
      <xdr:rowOff>47625</xdr:rowOff>
    </xdr:to>
    <xdr:pic>
      <xdr:nvPicPr>
        <xdr:cNvPr id="1389971" name="Picture 52">
          <a:extLst>
            <a:ext uri="{FF2B5EF4-FFF2-40B4-BE49-F238E27FC236}">
              <a16:creationId xmlns:a16="http://schemas.microsoft.com/office/drawing/2014/main" id="{EE7463CC-677A-CA39-F7E1-1FE82D51F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1906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56</xdr:row>
      <xdr:rowOff>112395</xdr:rowOff>
    </xdr:from>
    <xdr:to>
      <xdr:col>7</xdr:col>
      <xdr:colOff>430538</xdr:colOff>
      <xdr:row>59</xdr:row>
      <xdr:rowOff>34379</xdr:rowOff>
    </xdr:to>
    <xdr:sp macro="" textlink="">
      <xdr:nvSpPr>
        <xdr:cNvPr id="17409" name="Text Box 1">
          <a:extLst>
            <a:ext uri="{FF2B5EF4-FFF2-40B4-BE49-F238E27FC236}">
              <a16:creationId xmlns:a16="http://schemas.microsoft.com/office/drawing/2014/main" id="{DD91F031-0BF5-75A4-4B74-623BC76B5B46}"/>
            </a:ext>
          </a:extLst>
        </xdr:cNvPr>
        <xdr:cNvSpPr txBox="1">
          <a:spLocks noChangeArrowheads="1"/>
        </xdr:cNvSpPr>
      </xdr:nvSpPr>
      <xdr:spPr bwMode="auto">
        <a:xfrm>
          <a:off x="0" y="11115675"/>
          <a:ext cx="7610475" cy="485775"/>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22860" rIns="0" bIns="0" anchor="t" upright="1"/>
        <a:lstStyle/>
        <a:p>
          <a:pPr algn="l" rtl="0">
            <a:defRPr sz="1000"/>
          </a:pPr>
          <a:r>
            <a:rPr lang="es-MX" sz="1200" b="0" i="0" u="none" strike="noStrike" baseline="0">
              <a:solidFill>
                <a:srgbClr val="000000"/>
              </a:solidFill>
              <a:latin typeface="Arial"/>
              <a:cs typeface="Arial"/>
            </a:rPr>
            <a:t>EL ESFUERZO DE DISEÑO PARA LA CIMENTACION, SERA EL QUE RESULTE MAS DESFAVORABLE DE LAS COMBINACIONES: (1.4 Ó 1.5)*(CV+CM) Ó (1.1)*(CV+CM).</a:t>
          </a:r>
        </a:p>
      </xdr:txBody>
    </xdr:sp>
    <xdr:clientData/>
  </xdr:twoCellAnchor>
  <xdr:twoCellAnchor>
    <xdr:from>
      <xdr:col>7</xdr:col>
      <xdr:colOff>95250</xdr:colOff>
      <xdr:row>72</xdr:row>
      <xdr:rowOff>123825</xdr:rowOff>
    </xdr:from>
    <xdr:to>
      <xdr:col>7</xdr:col>
      <xdr:colOff>457200</xdr:colOff>
      <xdr:row>73</xdr:row>
      <xdr:rowOff>114300</xdr:rowOff>
    </xdr:to>
    <xdr:sp macro="" textlink="">
      <xdr:nvSpPr>
        <xdr:cNvPr id="1405412" name="AutoShape 3">
          <a:hlinkClick xmlns:r="http://schemas.openxmlformats.org/officeDocument/2006/relationships" r:id="rId1"/>
          <a:extLst>
            <a:ext uri="{FF2B5EF4-FFF2-40B4-BE49-F238E27FC236}">
              <a16:creationId xmlns:a16="http://schemas.microsoft.com/office/drawing/2014/main" id="{4D4A6E5B-05A8-6991-3622-3A8C05475ACD}"/>
            </a:ext>
          </a:extLst>
        </xdr:cNvPr>
        <xdr:cNvSpPr>
          <a:spLocks noChangeArrowheads="1"/>
        </xdr:cNvSpPr>
      </xdr:nvSpPr>
      <xdr:spPr bwMode="auto">
        <a:xfrm>
          <a:off x="7267575" y="14173200"/>
          <a:ext cx="361950" cy="180975"/>
        </a:xfrm>
        <a:prstGeom prst="rightArrow">
          <a:avLst>
            <a:gd name="adj1" fmla="val 50000"/>
            <a:gd name="adj2" fmla="val 50000"/>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0</xdr:colOff>
      <xdr:row>5</xdr:row>
      <xdr:rowOff>123825</xdr:rowOff>
    </xdr:from>
    <xdr:to>
      <xdr:col>11</xdr:col>
      <xdr:colOff>114300</xdr:colOff>
      <xdr:row>5</xdr:row>
      <xdr:rowOff>123825</xdr:rowOff>
    </xdr:to>
    <xdr:sp macro="" textlink="">
      <xdr:nvSpPr>
        <xdr:cNvPr id="1405413" name="Line 5">
          <a:extLst>
            <a:ext uri="{FF2B5EF4-FFF2-40B4-BE49-F238E27FC236}">
              <a16:creationId xmlns:a16="http://schemas.microsoft.com/office/drawing/2014/main" id="{6483EF78-2772-EAAA-348B-5B97C5B39FC0}"/>
            </a:ext>
          </a:extLst>
        </xdr:cNvPr>
        <xdr:cNvSpPr>
          <a:spLocks noChangeShapeType="1"/>
        </xdr:cNvSpPr>
      </xdr:nvSpPr>
      <xdr:spPr bwMode="auto">
        <a:xfrm>
          <a:off x="0" y="933450"/>
          <a:ext cx="10401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531495</xdr:colOff>
      <xdr:row>1</xdr:row>
      <xdr:rowOff>81915</xdr:rowOff>
    </xdr:from>
    <xdr:to>
      <xdr:col>11</xdr:col>
      <xdr:colOff>762015</xdr:colOff>
      <xdr:row>2</xdr:row>
      <xdr:rowOff>122430</xdr:rowOff>
    </xdr:to>
    <xdr:sp macro="" textlink="">
      <xdr:nvSpPr>
        <xdr:cNvPr id="17414" name="Texto 327">
          <a:extLst>
            <a:ext uri="{FF2B5EF4-FFF2-40B4-BE49-F238E27FC236}">
              <a16:creationId xmlns:a16="http://schemas.microsoft.com/office/drawing/2014/main" id="{82D66B79-588F-59ED-8EFF-6326975BF622}"/>
            </a:ext>
          </a:extLst>
        </xdr:cNvPr>
        <xdr:cNvSpPr txBox="1">
          <a:spLocks noChangeArrowheads="1"/>
        </xdr:cNvSpPr>
      </xdr:nvSpPr>
      <xdr:spPr bwMode="auto">
        <a:xfrm>
          <a:off x="5953125" y="247650"/>
          <a:ext cx="5095875" cy="190500"/>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4</xdr:col>
      <xdr:colOff>882015</xdr:colOff>
      <xdr:row>2</xdr:row>
      <xdr:rowOff>123825</xdr:rowOff>
    </xdr:from>
    <xdr:to>
      <xdr:col>7</xdr:col>
      <xdr:colOff>472555</xdr:colOff>
      <xdr:row>4</xdr:row>
      <xdr:rowOff>74467</xdr:rowOff>
    </xdr:to>
    <xdr:sp macro="" textlink="">
      <xdr:nvSpPr>
        <xdr:cNvPr id="17415" name="Texto 327">
          <a:extLst>
            <a:ext uri="{FF2B5EF4-FFF2-40B4-BE49-F238E27FC236}">
              <a16:creationId xmlns:a16="http://schemas.microsoft.com/office/drawing/2014/main" id="{83637200-5434-1F23-3236-CCC62C8568AD}"/>
            </a:ext>
          </a:extLst>
        </xdr:cNvPr>
        <xdr:cNvSpPr txBox="1">
          <a:spLocks noChangeArrowheads="1"/>
        </xdr:cNvSpPr>
      </xdr:nvSpPr>
      <xdr:spPr bwMode="auto">
        <a:xfrm>
          <a:off x="5391150" y="447675"/>
          <a:ext cx="2257425" cy="266700"/>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9</xdr:col>
      <xdr:colOff>302895</xdr:colOff>
      <xdr:row>2</xdr:row>
      <xdr:rowOff>104775</xdr:rowOff>
    </xdr:from>
    <xdr:to>
      <xdr:col>11</xdr:col>
      <xdr:colOff>339112</xdr:colOff>
      <xdr:row>5</xdr:row>
      <xdr:rowOff>95250</xdr:rowOff>
    </xdr:to>
    <xdr:sp macro="" textlink="">
      <xdr:nvSpPr>
        <xdr:cNvPr id="17416" name="Texto 327">
          <a:extLst>
            <a:ext uri="{FF2B5EF4-FFF2-40B4-BE49-F238E27FC236}">
              <a16:creationId xmlns:a16="http://schemas.microsoft.com/office/drawing/2014/main" id="{8B218617-0955-F7C9-CDE7-949EF7B7A460}"/>
            </a:ext>
          </a:extLst>
        </xdr:cNvPr>
        <xdr:cNvSpPr txBox="1">
          <a:spLocks noChangeArrowheads="1"/>
        </xdr:cNvSpPr>
      </xdr:nvSpPr>
      <xdr:spPr bwMode="auto">
        <a:xfrm>
          <a:off x="8924925" y="428625"/>
          <a:ext cx="1695450" cy="476250"/>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10</xdr:col>
      <xdr:colOff>451485</xdr:colOff>
      <xdr:row>0</xdr:row>
      <xdr:rowOff>81915</xdr:rowOff>
    </xdr:from>
    <xdr:to>
      <xdr:col>11</xdr:col>
      <xdr:colOff>301171</xdr:colOff>
      <xdr:row>1</xdr:row>
      <xdr:rowOff>81915</xdr:rowOff>
    </xdr:to>
    <xdr:sp macro="" textlink="">
      <xdr:nvSpPr>
        <xdr:cNvPr id="17417" name="Texto 327">
          <a:extLst>
            <a:ext uri="{FF2B5EF4-FFF2-40B4-BE49-F238E27FC236}">
              <a16:creationId xmlns:a16="http://schemas.microsoft.com/office/drawing/2014/main" id="{1A9A3CE0-2FE2-98FB-382D-D3D86240DE2E}"/>
            </a:ext>
          </a:extLst>
        </xdr:cNvPr>
        <xdr:cNvSpPr txBox="1">
          <a:spLocks noChangeArrowheads="1"/>
        </xdr:cNvSpPr>
      </xdr:nvSpPr>
      <xdr:spPr bwMode="auto">
        <a:xfrm>
          <a:off x="9896475" y="85725"/>
          <a:ext cx="695325" cy="161925"/>
        </a:xfrm>
        <a:prstGeom prst="rect">
          <a:avLst/>
        </a:prstGeom>
        <a:noFill/>
        <a:ln>
          <a:noFill/>
        </a:ln>
      </xdr:spPr>
      <xdr:txBody>
        <a:bodyPr vertOverflow="clip" wrap="square" lIns="0" tIns="22860" rIns="27432" bIns="0" anchor="t" upright="1"/>
        <a:lstStyle/>
        <a:p>
          <a:pPr algn="r" rtl="0">
            <a:defRPr sz="1000"/>
          </a:pPr>
          <a:r>
            <a:rPr lang="es-MX" sz="800" b="0" i="0" u="none" strike="noStrike" baseline="0">
              <a:solidFill>
                <a:srgbClr val="000000"/>
              </a:solidFill>
              <a:latin typeface="Arial"/>
              <a:cs typeface="Arial"/>
            </a:rPr>
            <a:t>REALIZA:</a:t>
          </a:r>
        </a:p>
      </xdr:txBody>
    </xdr:sp>
    <xdr:clientData/>
  </xdr:twoCellAnchor>
  <xdr:twoCellAnchor>
    <xdr:from>
      <xdr:col>0</xdr:col>
      <xdr:colOff>57150</xdr:colOff>
      <xdr:row>0</xdr:row>
      <xdr:rowOff>47625</xdr:rowOff>
    </xdr:from>
    <xdr:to>
      <xdr:col>0</xdr:col>
      <xdr:colOff>1219200</xdr:colOff>
      <xdr:row>5</xdr:row>
      <xdr:rowOff>76200</xdr:rowOff>
    </xdr:to>
    <xdr:grpSp>
      <xdr:nvGrpSpPr>
        <xdr:cNvPr id="1405418" name="Group 10">
          <a:extLst>
            <a:ext uri="{FF2B5EF4-FFF2-40B4-BE49-F238E27FC236}">
              <a16:creationId xmlns:a16="http://schemas.microsoft.com/office/drawing/2014/main" id="{09DDD7C7-CDFB-EBD7-FB88-9061A47DE238}"/>
            </a:ext>
          </a:extLst>
        </xdr:cNvPr>
        <xdr:cNvGrpSpPr>
          <a:grpSpLocks/>
        </xdr:cNvGrpSpPr>
      </xdr:nvGrpSpPr>
      <xdr:grpSpPr bwMode="auto">
        <a:xfrm>
          <a:off x="0" y="47625"/>
          <a:ext cx="0" cy="854075"/>
          <a:chOff x="13" y="4"/>
          <a:chExt cx="70" cy="89"/>
        </a:xfrm>
      </xdr:grpSpPr>
      <xdr:sp macro="" textlink="">
        <xdr:nvSpPr>
          <xdr:cNvPr id="1405420" name="Freeform 11">
            <a:extLst>
              <a:ext uri="{FF2B5EF4-FFF2-40B4-BE49-F238E27FC236}">
                <a16:creationId xmlns:a16="http://schemas.microsoft.com/office/drawing/2014/main" id="{96ADC842-EA91-87D1-2BD9-5764C1D77520}"/>
              </a:ext>
            </a:extLst>
          </xdr:cNvPr>
          <xdr:cNvSpPr>
            <a:spLocks/>
          </xdr:cNvSpPr>
        </xdr:nvSpPr>
        <xdr:spPr bwMode="auto">
          <a:xfrm>
            <a:off x="13" y="4"/>
            <a:ext cx="67" cy="84"/>
          </a:xfrm>
          <a:custGeom>
            <a:avLst/>
            <a:gdLst>
              <a:gd name="T0" fmla="*/ 2147483646 w 28"/>
              <a:gd name="T1" fmla="*/ 2147483646 h 33"/>
              <a:gd name="T2" fmla="*/ 0 w 28"/>
              <a:gd name="T3" fmla="*/ 2147483646 h 33"/>
              <a:gd name="T4" fmla="*/ 0 w 28"/>
              <a:gd name="T5" fmla="*/ 0 h 33"/>
              <a:gd name="T6" fmla="*/ 2147483646 w 28"/>
              <a:gd name="T7" fmla="*/ 0 h 33"/>
              <a:gd name="T8" fmla="*/ 2147483646 w 28"/>
              <a:gd name="T9" fmla="*/ 2147483646 h 33"/>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8" h="33">
                <a:moveTo>
                  <a:pt x="1" y="33"/>
                </a:moveTo>
                <a:lnTo>
                  <a:pt x="0" y="33"/>
                </a:lnTo>
                <a:lnTo>
                  <a:pt x="0" y="0"/>
                </a:lnTo>
                <a:lnTo>
                  <a:pt x="28" y="0"/>
                </a:lnTo>
                <a:lnTo>
                  <a:pt x="28" y="1"/>
                </a:lnTo>
              </a:path>
            </a:pathLst>
          </a:custGeom>
          <a:noFill/>
          <a:ln w="0">
            <a:solidFill>
              <a:srgbClr val="2B0E72"/>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1405421" name="Rectangle 12">
            <a:extLst>
              <a:ext uri="{FF2B5EF4-FFF2-40B4-BE49-F238E27FC236}">
                <a16:creationId xmlns:a16="http://schemas.microsoft.com/office/drawing/2014/main" id="{9E0A90E2-8FAE-C1B3-B6C2-5925BF51A155}"/>
              </a:ext>
            </a:extLst>
          </xdr:cNvPr>
          <xdr:cNvSpPr>
            <a:spLocks noChangeArrowheads="1"/>
          </xdr:cNvSpPr>
        </xdr:nvSpPr>
        <xdr:spPr bwMode="auto">
          <a:xfrm>
            <a:off x="15" y="7"/>
            <a:ext cx="68" cy="86"/>
          </a:xfrm>
          <a:prstGeom prst="rect">
            <a:avLst/>
          </a:prstGeom>
          <a:noFill/>
          <a:ln w="0">
            <a:solidFill>
              <a:srgbClr val="2B0E72"/>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405422" name="Freeform 13">
            <a:extLst>
              <a:ext uri="{FF2B5EF4-FFF2-40B4-BE49-F238E27FC236}">
                <a16:creationId xmlns:a16="http://schemas.microsoft.com/office/drawing/2014/main" id="{6D1D9F3D-5EE2-8B74-0AD3-AD5DCC3CE041}"/>
              </a:ext>
            </a:extLst>
          </xdr:cNvPr>
          <xdr:cNvSpPr>
            <a:spLocks/>
          </xdr:cNvSpPr>
        </xdr:nvSpPr>
        <xdr:spPr bwMode="auto">
          <a:xfrm>
            <a:off x="29" y="16"/>
            <a:ext cx="31" cy="46"/>
          </a:xfrm>
          <a:custGeom>
            <a:avLst/>
            <a:gdLst>
              <a:gd name="T0" fmla="*/ 2147483646 w 13"/>
              <a:gd name="T1" fmla="*/ 2147483646 h 18"/>
              <a:gd name="T2" fmla="*/ 2147483646 w 13"/>
              <a:gd name="T3" fmla="*/ 2147483646 h 18"/>
              <a:gd name="T4" fmla="*/ 2147483646 w 13"/>
              <a:gd name="T5" fmla="*/ 2147483646 h 18"/>
              <a:gd name="T6" fmla="*/ 2147483646 w 13"/>
              <a:gd name="T7" fmla="*/ 2147483646 h 18"/>
              <a:gd name="T8" fmla="*/ 2147483646 w 13"/>
              <a:gd name="T9" fmla="*/ 2147483646 h 18"/>
              <a:gd name="T10" fmla="*/ 2147483646 w 13"/>
              <a:gd name="T11" fmla="*/ 2147483646 h 18"/>
              <a:gd name="T12" fmla="*/ 2147483646 w 13"/>
              <a:gd name="T13" fmla="*/ 2147483646 h 18"/>
              <a:gd name="T14" fmla="*/ 0 w 13"/>
              <a:gd name="T15" fmla="*/ 2147483646 h 18"/>
              <a:gd name="T16" fmla="*/ 0 w 13"/>
              <a:gd name="T17" fmla="*/ 2147483646 h 18"/>
              <a:gd name="T18" fmla="*/ 0 w 13"/>
              <a:gd name="T19" fmla="*/ 2147483646 h 18"/>
              <a:gd name="T20" fmla="*/ 2147483646 w 13"/>
              <a:gd name="T21" fmla="*/ 2147483646 h 18"/>
              <a:gd name="T22" fmla="*/ 2147483646 w 13"/>
              <a:gd name="T23" fmla="*/ 2147483646 h 18"/>
              <a:gd name="T24" fmla="*/ 2147483646 w 13"/>
              <a:gd name="T25" fmla="*/ 0 h 18"/>
              <a:gd name="T26" fmla="*/ 2147483646 w 13"/>
              <a:gd name="T27" fmla="*/ 0 h 18"/>
              <a:gd name="T28" fmla="*/ 2147483646 w 13"/>
              <a:gd name="T29" fmla="*/ 0 h 18"/>
              <a:gd name="T30" fmla="*/ 2147483646 w 13"/>
              <a:gd name="T31" fmla="*/ 2147483646 h 18"/>
              <a:gd name="T32" fmla="*/ 2147483646 w 13"/>
              <a:gd name="T33" fmla="*/ 2147483646 h 18"/>
              <a:gd name="T34" fmla="*/ 2147483646 w 13"/>
              <a:gd name="T35" fmla="*/ 2147483646 h 18"/>
              <a:gd name="T36" fmla="*/ 2147483646 w 13"/>
              <a:gd name="T37" fmla="*/ 2147483646 h 18"/>
              <a:gd name="T38" fmla="*/ 2147483646 w 13"/>
              <a:gd name="T39" fmla="*/ 2147483646 h 18"/>
              <a:gd name="T40" fmla="*/ 2147483646 w 13"/>
              <a:gd name="T41" fmla="*/ 2147483646 h 18"/>
              <a:gd name="T42" fmla="*/ 2147483646 w 13"/>
              <a:gd name="T43" fmla="*/ 0 h 18"/>
              <a:gd name="T44" fmla="*/ 2147483646 w 13"/>
              <a:gd name="T45" fmla="*/ 0 h 18"/>
              <a:gd name="T46" fmla="*/ 2147483646 w 13"/>
              <a:gd name="T47" fmla="*/ 2147483646 h 18"/>
              <a:gd name="T48" fmla="*/ 2147483646 w 13"/>
              <a:gd name="T49" fmla="*/ 2147483646 h 18"/>
              <a:gd name="T50" fmla="*/ 2147483646 w 13"/>
              <a:gd name="T51" fmla="*/ 2147483646 h 18"/>
              <a:gd name="T52" fmla="*/ 2147483646 w 13"/>
              <a:gd name="T53" fmla="*/ 2147483646 h 18"/>
              <a:gd name="T54" fmla="*/ 2147483646 w 13"/>
              <a:gd name="T55" fmla="*/ 2147483646 h 18"/>
              <a:gd name="T56" fmla="*/ 2147483646 w 13"/>
              <a:gd name="T57" fmla="*/ 2147483646 h 18"/>
              <a:gd name="T58" fmla="*/ 2147483646 w 13"/>
              <a:gd name="T59" fmla="*/ 2147483646 h 18"/>
              <a:gd name="T60" fmla="*/ 2147483646 w 13"/>
              <a:gd name="T61" fmla="*/ 2147483646 h 18"/>
              <a:gd name="T62" fmla="*/ 2147483646 w 13"/>
              <a:gd name="T63" fmla="*/ 2147483646 h 18"/>
              <a:gd name="T64" fmla="*/ 2147483646 w 13"/>
              <a:gd name="T65" fmla="*/ 2147483646 h 18"/>
              <a:gd name="T66" fmla="*/ 2147483646 w 13"/>
              <a:gd name="T67" fmla="*/ 2147483646 h 18"/>
              <a:gd name="T68" fmla="*/ 2147483646 w 13"/>
              <a:gd name="T69" fmla="*/ 2147483646 h 18"/>
              <a:gd name="T70" fmla="*/ 2147483646 w 13"/>
              <a:gd name="T71" fmla="*/ 2147483646 h 18"/>
              <a:gd name="T72" fmla="*/ 2147483646 w 13"/>
              <a:gd name="T73" fmla="*/ 2147483646 h 18"/>
              <a:gd name="T74" fmla="*/ 2147483646 w 13"/>
              <a:gd name="T75" fmla="*/ 2147483646 h 18"/>
              <a:gd name="T76" fmla="*/ 2147483646 w 13"/>
              <a:gd name="T77" fmla="*/ 2147483646 h 18"/>
              <a:gd name="T78" fmla="*/ 2147483646 w 13"/>
              <a:gd name="T79" fmla="*/ 2147483646 h 18"/>
              <a:gd name="T80" fmla="*/ 2147483646 w 13"/>
              <a:gd name="T81" fmla="*/ 2147483646 h 18"/>
              <a:gd name="T82" fmla="*/ 2147483646 w 13"/>
              <a:gd name="T83" fmla="*/ 2147483646 h 18"/>
              <a:gd name="T84" fmla="*/ 2147483646 w 13"/>
              <a:gd name="T85" fmla="*/ 2147483646 h 18"/>
              <a:gd name="T86" fmla="*/ 2147483646 w 13"/>
              <a:gd name="T87" fmla="*/ 2147483646 h 18"/>
              <a:gd name="T88" fmla="*/ 2147483646 w 13"/>
              <a:gd name="T89" fmla="*/ 2147483646 h 18"/>
              <a:gd name="T90" fmla="*/ 2147483646 w 13"/>
              <a:gd name="T91" fmla="*/ 2147483646 h 18"/>
              <a:gd name="T92" fmla="*/ 2147483646 w 13"/>
              <a:gd name="T93" fmla="*/ 2147483646 h 18"/>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0" t="0" r="r" b="b"/>
            <a:pathLst>
              <a:path w="13" h="18">
                <a:moveTo>
                  <a:pt x="12" y="14"/>
                </a:moveTo>
                <a:lnTo>
                  <a:pt x="11" y="16"/>
                </a:lnTo>
                <a:lnTo>
                  <a:pt x="9" y="18"/>
                </a:lnTo>
                <a:lnTo>
                  <a:pt x="7" y="18"/>
                </a:lnTo>
                <a:lnTo>
                  <a:pt x="4" y="18"/>
                </a:lnTo>
                <a:lnTo>
                  <a:pt x="2" y="17"/>
                </a:lnTo>
                <a:lnTo>
                  <a:pt x="1" y="15"/>
                </a:lnTo>
                <a:lnTo>
                  <a:pt x="0" y="12"/>
                </a:lnTo>
                <a:lnTo>
                  <a:pt x="0" y="9"/>
                </a:lnTo>
                <a:lnTo>
                  <a:pt x="0" y="6"/>
                </a:lnTo>
                <a:lnTo>
                  <a:pt x="1" y="4"/>
                </a:lnTo>
                <a:lnTo>
                  <a:pt x="2" y="2"/>
                </a:lnTo>
                <a:lnTo>
                  <a:pt x="4" y="0"/>
                </a:lnTo>
                <a:lnTo>
                  <a:pt x="6" y="0"/>
                </a:lnTo>
                <a:lnTo>
                  <a:pt x="9" y="0"/>
                </a:lnTo>
                <a:lnTo>
                  <a:pt x="11" y="2"/>
                </a:lnTo>
                <a:lnTo>
                  <a:pt x="12" y="4"/>
                </a:lnTo>
                <a:lnTo>
                  <a:pt x="10" y="4"/>
                </a:lnTo>
                <a:lnTo>
                  <a:pt x="10" y="2"/>
                </a:lnTo>
                <a:lnTo>
                  <a:pt x="9" y="1"/>
                </a:lnTo>
                <a:lnTo>
                  <a:pt x="8" y="1"/>
                </a:lnTo>
                <a:lnTo>
                  <a:pt x="7" y="0"/>
                </a:lnTo>
                <a:lnTo>
                  <a:pt x="6" y="0"/>
                </a:lnTo>
                <a:lnTo>
                  <a:pt x="5" y="1"/>
                </a:lnTo>
                <a:lnTo>
                  <a:pt x="4" y="1"/>
                </a:lnTo>
                <a:lnTo>
                  <a:pt x="3" y="2"/>
                </a:lnTo>
                <a:lnTo>
                  <a:pt x="2" y="3"/>
                </a:lnTo>
                <a:lnTo>
                  <a:pt x="2" y="5"/>
                </a:lnTo>
                <a:lnTo>
                  <a:pt x="1" y="6"/>
                </a:lnTo>
                <a:lnTo>
                  <a:pt x="1" y="8"/>
                </a:lnTo>
                <a:lnTo>
                  <a:pt x="1" y="10"/>
                </a:lnTo>
                <a:lnTo>
                  <a:pt x="1" y="11"/>
                </a:lnTo>
                <a:lnTo>
                  <a:pt x="2" y="13"/>
                </a:lnTo>
                <a:lnTo>
                  <a:pt x="2" y="15"/>
                </a:lnTo>
                <a:lnTo>
                  <a:pt x="3" y="16"/>
                </a:lnTo>
                <a:lnTo>
                  <a:pt x="4" y="17"/>
                </a:lnTo>
                <a:lnTo>
                  <a:pt x="5" y="18"/>
                </a:lnTo>
                <a:lnTo>
                  <a:pt x="6" y="18"/>
                </a:lnTo>
                <a:lnTo>
                  <a:pt x="7" y="18"/>
                </a:lnTo>
                <a:lnTo>
                  <a:pt x="8" y="18"/>
                </a:lnTo>
                <a:lnTo>
                  <a:pt x="9" y="17"/>
                </a:lnTo>
                <a:lnTo>
                  <a:pt x="9" y="16"/>
                </a:lnTo>
                <a:lnTo>
                  <a:pt x="10" y="15"/>
                </a:lnTo>
                <a:lnTo>
                  <a:pt x="11" y="14"/>
                </a:lnTo>
                <a:lnTo>
                  <a:pt x="11" y="12"/>
                </a:lnTo>
                <a:lnTo>
                  <a:pt x="13" y="12"/>
                </a:lnTo>
                <a:lnTo>
                  <a:pt x="12" y="14"/>
                </a:lnTo>
              </a:path>
            </a:pathLst>
          </a:custGeom>
          <a:solidFill>
            <a:srgbClr val="2C3A89"/>
          </a:solidFill>
          <a:ln w="0">
            <a:solidFill>
              <a:srgbClr val="2C3A89"/>
            </a:solidFill>
            <a:prstDash val="solid"/>
            <a:round/>
            <a:headEnd/>
            <a:tailEnd/>
          </a:ln>
        </xdr:spPr>
      </xdr:sp>
      <xdr:sp macro="" textlink="">
        <xdr:nvSpPr>
          <xdr:cNvPr id="1405423" name="Freeform 14">
            <a:extLst>
              <a:ext uri="{FF2B5EF4-FFF2-40B4-BE49-F238E27FC236}">
                <a16:creationId xmlns:a16="http://schemas.microsoft.com/office/drawing/2014/main" id="{210B140A-CF35-E200-D1B2-35D7790A13DD}"/>
              </a:ext>
            </a:extLst>
          </xdr:cNvPr>
          <xdr:cNvSpPr>
            <a:spLocks/>
          </xdr:cNvSpPr>
        </xdr:nvSpPr>
        <xdr:spPr bwMode="auto">
          <a:xfrm>
            <a:off x="43" y="39"/>
            <a:ext cx="17" cy="12"/>
          </a:xfrm>
          <a:custGeom>
            <a:avLst/>
            <a:gdLst>
              <a:gd name="T0" fmla="*/ 0 w 7"/>
              <a:gd name="T1" fmla="*/ 0 h 5"/>
              <a:gd name="T2" fmla="*/ 0 w 7"/>
              <a:gd name="T3" fmla="*/ 2147483646 h 5"/>
              <a:gd name="T4" fmla="*/ 2147483646 w 7"/>
              <a:gd name="T5" fmla="*/ 2147483646 h 5"/>
              <a:gd name="T6" fmla="*/ 2147483646 w 7"/>
              <a:gd name="T7" fmla="*/ 2147483646 h 5"/>
              <a:gd name="T8" fmla="*/ 2147483646 w 7"/>
              <a:gd name="T9" fmla="*/ 2147483646 h 5"/>
              <a:gd name="T10" fmla="*/ 2147483646 w 7"/>
              <a:gd name="T11" fmla="*/ 2147483646 h 5"/>
              <a:gd name="T12" fmla="*/ 2147483646 w 7"/>
              <a:gd name="T13" fmla="*/ 0 h 5"/>
              <a:gd name="T14" fmla="*/ 2147483646 w 7"/>
              <a:gd name="T15" fmla="*/ 0 h 5"/>
              <a:gd name="T16" fmla="*/ 0 w 7"/>
              <a:gd name="T17" fmla="*/ 0 h 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7" h="5">
                <a:moveTo>
                  <a:pt x="0" y="0"/>
                </a:moveTo>
                <a:lnTo>
                  <a:pt x="0" y="5"/>
                </a:lnTo>
                <a:lnTo>
                  <a:pt x="1" y="5"/>
                </a:lnTo>
                <a:lnTo>
                  <a:pt x="2" y="3"/>
                </a:lnTo>
                <a:lnTo>
                  <a:pt x="4" y="1"/>
                </a:lnTo>
                <a:lnTo>
                  <a:pt x="7" y="1"/>
                </a:lnTo>
                <a:lnTo>
                  <a:pt x="7" y="0"/>
                </a:lnTo>
                <a:lnTo>
                  <a:pt x="6" y="0"/>
                </a:lnTo>
                <a:lnTo>
                  <a:pt x="0" y="0"/>
                </a:lnTo>
              </a:path>
            </a:pathLst>
          </a:custGeom>
          <a:solidFill>
            <a:srgbClr val="2C3A89"/>
          </a:solidFill>
          <a:ln w="0">
            <a:solidFill>
              <a:srgbClr val="2C3A89"/>
            </a:solidFill>
            <a:prstDash val="solid"/>
            <a:round/>
            <a:headEnd/>
            <a:tailEnd/>
          </a:ln>
        </xdr:spPr>
      </xdr:sp>
      <xdr:sp macro="" textlink="">
        <xdr:nvSpPr>
          <xdr:cNvPr id="1405424" name="Freeform 15">
            <a:extLst>
              <a:ext uri="{FF2B5EF4-FFF2-40B4-BE49-F238E27FC236}">
                <a16:creationId xmlns:a16="http://schemas.microsoft.com/office/drawing/2014/main" id="{2F54A2E6-4217-5A1F-BB92-C64F8C42AEA9}"/>
              </a:ext>
            </a:extLst>
          </xdr:cNvPr>
          <xdr:cNvSpPr>
            <a:spLocks/>
          </xdr:cNvSpPr>
        </xdr:nvSpPr>
        <xdr:spPr bwMode="auto">
          <a:xfrm>
            <a:off x="48" y="41"/>
            <a:ext cx="24" cy="31"/>
          </a:xfrm>
          <a:custGeom>
            <a:avLst/>
            <a:gdLst>
              <a:gd name="T0" fmla="*/ 0 w 10"/>
              <a:gd name="T1" fmla="*/ 2147483646 h 12"/>
              <a:gd name="T2" fmla="*/ 0 w 10"/>
              <a:gd name="T3" fmla="*/ 2147483646 h 12"/>
              <a:gd name="T4" fmla="*/ 2147483646 w 10"/>
              <a:gd name="T5" fmla="*/ 2147483646 h 12"/>
              <a:gd name="T6" fmla="*/ 2147483646 w 10"/>
              <a:gd name="T7" fmla="*/ 2147483646 h 12"/>
              <a:gd name="T8" fmla="*/ 2147483646 w 10"/>
              <a:gd name="T9" fmla="*/ 2147483646 h 12"/>
              <a:gd name="T10" fmla="*/ 2147483646 w 10"/>
              <a:gd name="T11" fmla="*/ 2147483646 h 12"/>
              <a:gd name="T12" fmla="*/ 2147483646 w 10"/>
              <a:gd name="T13" fmla="*/ 2147483646 h 12"/>
              <a:gd name="T14" fmla="*/ 2147483646 w 10"/>
              <a:gd name="T15" fmla="*/ 2147483646 h 12"/>
              <a:gd name="T16" fmla="*/ 2147483646 w 10"/>
              <a:gd name="T17" fmla="*/ 2147483646 h 12"/>
              <a:gd name="T18" fmla="*/ 2147483646 w 10"/>
              <a:gd name="T19" fmla="*/ 0 h 12"/>
              <a:gd name="T20" fmla="*/ 2147483646 w 10"/>
              <a:gd name="T21" fmla="*/ 0 h 12"/>
              <a:gd name="T22" fmla="*/ 2147483646 w 10"/>
              <a:gd name="T23" fmla="*/ 0 h 12"/>
              <a:gd name="T24" fmla="*/ 2147483646 w 10"/>
              <a:gd name="T25" fmla="*/ 2147483646 h 12"/>
              <a:gd name="T26" fmla="*/ 2147483646 w 10"/>
              <a:gd name="T27" fmla="*/ 2147483646 h 12"/>
              <a:gd name="T28" fmla="*/ 2147483646 w 10"/>
              <a:gd name="T29" fmla="*/ 2147483646 h 12"/>
              <a:gd name="T30" fmla="*/ 2147483646 w 10"/>
              <a:gd name="T31" fmla="*/ 2147483646 h 12"/>
              <a:gd name="T32" fmla="*/ 2147483646 w 10"/>
              <a:gd name="T33" fmla="*/ 2147483646 h 12"/>
              <a:gd name="T34" fmla="*/ 2147483646 w 10"/>
              <a:gd name="T35" fmla="*/ 2147483646 h 12"/>
              <a:gd name="T36" fmla="*/ 2147483646 w 10"/>
              <a:gd name="T37" fmla="*/ 2147483646 h 12"/>
              <a:gd name="T38" fmla="*/ 2147483646 w 10"/>
              <a:gd name="T39" fmla="*/ 2147483646 h 12"/>
              <a:gd name="T40" fmla="*/ 2147483646 w 10"/>
              <a:gd name="T41" fmla="*/ 2147483646 h 12"/>
              <a:gd name="T42" fmla="*/ 2147483646 w 10"/>
              <a:gd name="T43" fmla="*/ 2147483646 h 12"/>
              <a:gd name="T44" fmla="*/ 2147483646 w 10"/>
              <a:gd name="T45" fmla="*/ 2147483646 h 12"/>
              <a:gd name="T46" fmla="*/ 2147483646 w 10"/>
              <a:gd name="T47" fmla="*/ 2147483646 h 12"/>
              <a:gd name="T48" fmla="*/ 2147483646 w 10"/>
              <a:gd name="T49" fmla="*/ 2147483646 h 12"/>
              <a:gd name="T50" fmla="*/ 2147483646 w 10"/>
              <a:gd name="T51" fmla="*/ 2147483646 h 12"/>
              <a:gd name="T52" fmla="*/ 2147483646 w 10"/>
              <a:gd name="T53" fmla="*/ 2147483646 h 12"/>
              <a:gd name="T54" fmla="*/ 2147483646 w 10"/>
              <a:gd name="T55" fmla="*/ 2147483646 h 12"/>
              <a:gd name="T56" fmla="*/ 2147483646 w 10"/>
              <a:gd name="T57" fmla="*/ 2147483646 h 12"/>
              <a:gd name="T58" fmla="*/ 2147483646 w 10"/>
              <a:gd name="T59" fmla="*/ 2147483646 h 12"/>
              <a:gd name="T60" fmla="*/ 2147483646 w 10"/>
              <a:gd name="T61" fmla="*/ 2147483646 h 12"/>
              <a:gd name="T62" fmla="*/ 2147483646 w 10"/>
              <a:gd name="T63" fmla="*/ 2147483646 h 12"/>
              <a:gd name="T64" fmla="*/ 2147483646 w 10"/>
              <a:gd name="T65" fmla="*/ 2147483646 h 12"/>
              <a:gd name="T66" fmla="*/ 2147483646 w 10"/>
              <a:gd name="T67" fmla="*/ 2147483646 h 12"/>
              <a:gd name="T68" fmla="*/ 2147483646 w 10"/>
              <a:gd name="T69" fmla="*/ 2147483646 h 12"/>
              <a:gd name="T70" fmla="*/ 2147483646 w 10"/>
              <a:gd name="T71" fmla="*/ 2147483646 h 12"/>
              <a:gd name="T72" fmla="*/ 2147483646 w 10"/>
              <a:gd name="T73" fmla="*/ 2147483646 h 12"/>
              <a:gd name="T74" fmla="*/ 2147483646 w 10"/>
              <a:gd name="T75" fmla="*/ 2147483646 h 12"/>
              <a:gd name="T76" fmla="*/ 2147483646 w 10"/>
              <a:gd name="T77" fmla="*/ 2147483646 h 12"/>
              <a:gd name="T78" fmla="*/ 2147483646 w 10"/>
              <a:gd name="T79" fmla="*/ 2147483646 h 12"/>
              <a:gd name="T80" fmla="*/ 2147483646 w 10"/>
              <a:gd name="T81" fmla="*/ 2147483646 h 12"/>
              <a:gd name="T82" fmla="*/ 2147483646 w 10"/>
              <a:gd name="T83" fmla="*/ 2147483646 h 12"/>
              <a:gd name="T84" fmla="*/ 2147483646 w 10"/>
              <a:gd name="T85" fmla="*/ 2147483646 h 12"/>
              <a:gd name="T86" fmla="*/ 2147483646 w 10"/>
              <a:gd name="T87" fmla="*/ 2147483646 h 12"/>
              <a:gd name="T88" fmla="*/ 2147483646 w 10"/>
              <a:gd name="T89" fmla="*/ 2147483646 h 12"/>
              <a:gd name="T90" fmla="*/ 2147483646 w 10"/>
              <a:gd name="T91" fmla="*/ 2147483646 h 12"/>
              <a:gd name="T92" fmla="*/ 2147483646 w 10"/>
              <a:gd name="T93" fmla="*/ 2147483646 h 12"/>
              <a:gd name="T94" fmla="*/ 2147483646 w 10"/>
              <a:gd name="T95" fmla="*/ 2147483646 h 12"/>
              <a:gd name="T96" fmla="*/ 2147483646 w 10"/>
              <a:gd name="T97" fmla="*/ 2147483646 h 12"/>
              <a:gd name="T98" fmla="*/ 2147483646 w 10"/>
              <a:gd name="T99" fmla="*/ 2147483646 h 12"/>
              <a:gd name="T100" fmla="*/ 0 w 10"/>
              <a:gd name="T101" fmla="*/ 2147483646 h 12"/>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0" t="0" r="r" b="b"/>
            <a:pathLst>
              <a:path w="10" h="12">
                <a:moveTo>
                  <a:pt x="0" y="11"/>
                </a:moveTo>
                <a:lnTo>
                  <a:pt x="0" y="10"/>
                </a:lnTo>
                <a:lnTo>
                  <a:pt x="3" y="11"/>
                </a:lnTo>
                <a:lnTo>
                  <a:pt x="5" y="11"/>
                </a:lnTo>
                <a:lnTo>
                  <a:pt x="8" y="10"/>
                </a:lnTo>
                <a:lnTo>
                  <a:pt x="9" y="7"/>
                </a:lnTo>
                <a:lnTo>
                  <a:pt x="9" y="5"/>
                </a:lnTo>
                <a:lnTo>
                  <a:pt x="8" y="2"/>
                </a:lnTo>
                <a:lnTo>
                  <a:pt x="6" y="1"/>
                </a:lnTo>
                <a:lnTo>
                  <a:pt x="7" y="0"/>
                </a:lnTo>
                <a:lnTo>
                  <a:pt x="8" y="0"/>
                </a:lnTo>
                <a:lnTo>
                  <a:pt x="8" y="1"/>
                </a:lnTo>
                <a:lnTo>
                  <a:pt x="9" y="1"/>
                </a:lnTo>
                <a:lnTo>
                  <a:pt x="9" y="2"/>
                </a:lnTo>
                <a:lnTo>
                  <a:pt x="10" y="3"/>
                </a:lnTo>
                <a:lnTo>
                  <a:pt x="10" y="4"/>
                </a:lnTo>
                <a:lnTo>
                  <a:pt x="10" y="5"/>
                </a:lnTo>
                <a:lnTo>
                  <a:pt x="10" y="6"/>
                </a:lnTo>
                <a:lnTo>
                  <a:pt x="10" y="7"/>
                </a:lnTo>
                <a:lnTo>
                  <a:pt x="10" y="8"/>
                </a:lnTo>
                <a:lnTo>
                  <a:pt x="10" y="9"/>
                </a:lnTo>
                <a:lnTo>
                  <a:pt x="9" y="9"/>
                </a:lnTo>
                <a:lnTo>
                  <a:pt x="9" y="10"/>
                </a:lnTo>
                <a:lnTo>
                  <a:pt x="8" y="11"/>
                </a:lnTo>
                <a:lnTo>
                  <a:pt x="7" y="11"/>
                </a:lnTo>
                <a:lnTo>
                  <a:pt x="6" y="12"/>
                </a:lnTo>
                <a:lnTo>
                  <a:pt x="5" y="12"/>
                </a:lnTo>
                <a:lnTo>
                  <a:pt x="4" y="12"/>
                </a:lnTo>
                <a:lnTo>
                  <a:pt x="3" y="12"/>
                </a:lnTo>
                <a:lnTo>
                  <a:pt x="2" y="12"/>
                </a:lnTo>
                <a:lnTo>
                  <a:pt x="1" y="11"/>
                </a:lnTo>
                <a:lnTo>
                  <a:pt x="0" y="11"/>
                </a:lnTo>
              </a:path>
            </a:pathLst>
          </a:custGeom>
          <a:solidFill>
            <a:srgbClr val="2C3A89"/>
          </a:solidFill>
          <a:ln w="0">
            <a:solidFill>
              <a:srgbClr val="2C3A89"/>
            </a:solidFill>
            <a:prstDash val="solid"/>
            <a:round/>
            <a:headEnd/>
            <a:tailEnd/>
          </a:ln>
        </xdr:spPr>
      </xdr:sp>
      <xdr:sp macro="" textlink="">
        <xdr:nvSpPr>
          <xdr:cNvPr id="1405425" name="Freeform 16">
            <a:extLst>
              <a:ext uri="{FF2B5EF4-FFF2-40B4-BE49-F238E27FC236}">
                <a16:creationId xmlns:a16="http://schemas.microsoft.com/office/drawing/2014/main" id="{C035AD38-7A7E-B079-7BB1-B2127D38B34A}"/>
              </a:ext>
            </a:extLst>
          </xdr:cNvPr>
          <xdr:cNvSpPr>
            <a:spLocks/>
          </xdr:cNvSpPr>
        </xdr:nvSpPr>
        <xdr:spPr bwMode="auto">
          <a:xfrm>
            <a:off x="41" y="67"/>
            <a:ext cx="7" cy="23"/>
          </a:xfrm>
          <a:custGeom>
            <a:avLst/>
            <a:gdLst>
              <a:gd name="T0" fmla="*/ 2147483646 w 3"/>
              <a:gd name="T1" fmla="*/ 2147483646 h 9"/>
              <a:gd name="T2" fmla="*/ 2147483646 w 3"/>
              <a:gd name="T3" fmla="*/ 2147483646 h 9"/>
              <a:gd name="T4" fmla="*/ 0 w 3"/>
              <a:gd name="T5" fmla="*/ 2147483646 h 9"/>
              <a:gd name="T6" fmla="*/ 0 w 3"/>
              <a:gd name="T7" fmla="*/ 2147483646 h 9"/>
              <a:gd name="T8" fmla="*/ 2147483646 w 3"/>
              <a:gd name="T9" fmla="*/ 2147483646 h 9"/>
              <a:gd name="T10" fmla="*/ 2147483646 w 3"/>
              <a:gd name="T11" fmla="*/ 2147483646 h 9"/>
              <a:gd name="T12" fmla="*/ 2147483646 w 3"/>
              <a:gd name="T13" fmla="*/ 2147483646 h 9"/>
              <a:gd name="T14" fmla="*/ 2147483646 w 3"/>
              <a:gd name="T15" fmla="*/ 2147483646 h 9"/>
              <a:gd name="T16" fmla="*/ 2147483646 w 3"/>
              <a:gd name="T17" fmla="*/ 2147483646 h 9"/>
              <a:gd name="T18" fmla="*/ 2147483646 w 3"/>
              <a:gd name="T19" fmla="*/ 0 h 9"/>
              <a:gd name="T20" fmla="*/ 2147483646 w 3"/>
              <a:gd name="T21" fmla="*/ 0 h 9"/>
              <a:gd name="T22" fmla="*/ 2147483646 w 3"/>
              <a:gd name="T23" fmla="*/ 0 h 9"/>
              <a:gd name="T24" fmla="*/ 2147483646 w 3"/>
              <a:gd name="T25" fmla="*/ 0 h 9"/>
              <a:gd name="T26" fmla="*/ 2147483646 w 3"/>
              <a:gd name="T27" fmla="*/ 0 h 9"/>
              <a:gd name="T28" fmla="*/ 0 w 3"/>
              <a:gd name="T29" fmla="*/ 0 h 9"/>
              <a:gd name="T30" fmla="*/ 0 w 3"/>
              <a:gd name="T31" fmla="*/ 0 h 9"/>
              <a:gd name="T32" fmla="*/ 2147483646 w 3"/>
              <a:gd name="T33" fmla="*/ 2147483646 h 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3" h="9">
                <a:moveTo>
                  <a:pt x="1" y="1"/>
                </a:moveTo>
                <a:lnTo>
                  <a:pt x="1" y="8"/>
                </a:lnTo>
                <a:lnTo>
                  <a:pt x="0" y="9"/>
                </a:lnTo>
                <a:lnTo>
                  <a:pt x="3" y="9"/>
                </a:lnTo>
                <a:lnTo>
                  <a:pt x="2" y="9"/>
                </a:lnTo>
                <a:lnTo>
                  <a:pt x="2" y="8"/>
                </a:lnTo>
                <a:lnTo>
                  <a:pt x="2" y="1"/>
                </a:lnTo>
                <a:lnTo>
                  <a:pt x="2" y="0"/>
                </a:lnTo>
                <a:lnTo>
                  <a:pt x="3" y="0"/>
                </a:lnTo>
                <a:lnTo>
                  <a:pt x="0" y="0"/>
                </a:lnTo>
                <a:lnTo>
                  <a:pt x="1" y="1"/>
                </a:lnTo>
              </a:path>
            </a:pathLst>
          </a:custGeom>
          <a:solidFill>
            <a:srgbClr val="2C3A89"/>
          </a:solidFill>
          <a:ln w="0">
            <a:solidFill>
              <a:srgbClr val="2C3A89"/>
            </a:solidFill>
            <a:prstDash val="solid"/>
            <a:round/>
            <a:headEnd/>
            <a:tailEnd/>
          </a:ln>
        </xdr:spPr>
      </xdr:sp>
    </xdr:grpSp>
    <xdr:clientData/>
  </xdr:twoCellAnchor>
  <xdr:twoCellAnchor editAs="oneCell">
    <xdr:from>
      <xdr:col>0</xdr:col>
      <xdr:colOff>0</xdr:colOff>
      <xdr:row>0</xdr:row>
      <xdr:rowOff>0</xdr:rowOff>
    </xdr:from>
    <xdr:to>
      <xdr:col>2</xdr:col>
      <xdr:colOff>28575</xdr:colOff>
      <xdr:row>5</xdr:row>
      <xdr:rowOff>66675</xdr:rowOff>
    </xdr:to>
    <xdr:pic>
      <xdr:nvPicPr>
        <xdr:cNvPr id="1405419" name="Picture 52">
          <a:extLst>
            <a:ext uri="{FF2B5EF4-FFF2-40B4-BE49-F238E27FC236}">
              <a16:creationId xmlns:a16="http://schemas.microsoft.com/office/drawing/2014/main" id="{DDD1602E-3C23-5161-FA52-BFE02D63D70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11426" t="16345" r="40158" b="20984"/>
        <a:stretch>
          <a:fillRect/>
        </a:stretch>
      </xdr:blipFill>
      <xdr:spPr bwMode="auto">
        <a:xfrm>
          <a:off x="0" y="0"/>
          <a:ext cx="11906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4</xdr:col>
      <xdr:colOff>579120</xdr:colOff>
      <xdr:row>51</xdr:row>
      <xdr:rowOff>1905</xdr:rowOff>
    </xdr:from>
    <xdr:to>
      <xdr:col>5</xdr:col>
      <xdr:colOff>9729</xdr:colOff>
      <xdr:row>52</xdr:row>
      <xdr:rowOff>618</xdr:rowOff>
    </xdr:to>
    <xdr:sp macro="" textlink="">
      <xdr:nvSpPr>
        <xdr:cNvPr id="4102" name="Texto 6">
          <a:extLst>
            <a:ext uri="{FF2B5EF4-FFF2-40B4-BE49-F238E27FC236}">
              <a16:creationId xmlns:a16="http://schemas.microsoft.com/office/drawing/2014/main" id="{787B7447-DA87-7613-0072-D3E3F4BFD91C}"/>
            </a:ext>
          </a:extLst>
        </xdr:cNvPr>
        <xdr:cNvSpPr txBox="1">
          <a:spLocks noChangeArrowheads="1"/>
        </xdr:cNvSpPr>
      </xdr:nvSpPr>
      <xdr:spPr bwMode="auto">
        <a:xfrm>
          <a:off x="3505200" y="9934575"/>
          <a:ext cx="266700" cy="180975"/>
        </a:xfrm>
        <a:prstGeom prst="rect">
          <a:avLst/>
        </a:prstGeom>
        <a:noFill/>
        <a:ln>
          <a:noFill/>
        </a:ln>
      </xdr:spPr>
      <xdr:txBody>
        <a:bodyPr vertOverflow="clip" wrap="square" lIns="27432" tIns="22860" rIns="0" bIns="0" anchor="t" upright="1"/>
        <a:lstStyle/>
        <a:p>
          <a:pPr algn="l" rtl="0">
            <a:defRPr sz="1000"/>
          </a:pPr>
          <a:r>
            <a:rPr lang="es-MX" sz="1000" b="1" i="0" u="none" strike="noStrike" baseline="0">
              <a:solidFill>
                <a:srgbClr val="000000"/>
              </a:solidFill>
              <a:latin typeface="Arial"/>
              <a:cs typeface="Arial"/>
            </a:rPr>
            <a:t>(</a:t>
          </a:r>
        </a:p>
      </xdr:txBody>
    </xdr:sp>
    <xdr:clientData/>
  </xdr:twoCellAnchor>
  <xdr:twoCellAnchor>
    <xdr:from>
      <xdr:col>3</xdr:col>
      <xdr:colOff>461010</xdr:colOff>
      <xdr:row>46</xdr:row>
      <xdr:rowOff>190500</xdr:rowOff>
    </xdr:from>
    <xdr:to>
      <xdr:col>3</xdr:col>
      <xdr:colOff>589361</xdr:colOff>
      <xdr:row>47</xdr:row>
      <xdr:rowOff>156280</xdr:rowOff>
    </xdr:to>
    <xdr:sp macro="" textlink="">
      <xdr:nvSpPr>
        <xdr:cNvPr id="4103" name="Text Box 7">
          <a:extLst>
            <a:ext uri="{FF2B5EF4-FFF2-40B4-BE49-F238E27FC236}">
              <a16:creationId xmlns:a16="http://schemas.microsoft.com/office/drawing/2014/main" id="{1A2F6C15-26D4-26E5-2A47-E2C9C203FA04}"/>
            </a:ext>
          </a:extLst>
        </xdr:cNvPr>
        <xdr:cNvSpPr txBox="1">
          <a:spLocks noChangeArrowheads="1"/>
        </xdr:cNvSpPr>
      </xdr:nvSpPr>
      <xdr:spPr bwMode="auto">
        <a:xfrm>
          <a:off x="2790825" y="9029700"/>
          <a:ext cx="142875" cy="171450"/>
        </a:xfrm>
        <a:prstGeom prst="rect">
          <a:avLst/>
        </a:prstGeom>
        <a:no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a:t>
          </a:r>
        </a:p>
      </xdr:txBody>
    </xdr:sp>
    <xdr:clientData/>
  </xdr:twoCellAnchor>
  <xdr:twoCellAnchor>
    <xdr:from>
      <xdr:col>9</xdr:col>
      <xdr:colOff>502920</xdr:colOff>
      <xdr:row>37</xdr:row>
      <xdr:rowOff>1905</xdr:rowOff>
    </xdr:from>
    <xdr:to>
      <xdr:col>9</xdr:col>
      <xdr:colOff>452120</xdr:colOff>
      <xdr:row>37</xdr:row>
      <xdr:rowOff>182880</xdr:rowOff>
    </xdr:to>
    <xdr:sp macro="" textlink="">
      <xdr:nvSpPr>
        <xdr:cNvPr id="4104" name="Text Box 8">
          <a:extLst>
            <a:ext uri="{FF2B5EF4-FFF2-40B4-BE49-F238E27FC236}">
              <a16:creationId xmlns:a16="http://schemas.microsoft.com/office/drawing/2014/main" id="{BB964593-9C76-6319-2E89-7D30F9F5E131}"/>
            </a:ext>
          </a:extLst>
        </xdr:cNvPr>
        <xdr:cNvSpPr txBox="1">
          <a:spLocks noChangeArrowheads="1"/>
        </xdr:cNvSpPr>
      </xdr:nvSpPr>
      <xdr:spPr bwMode="auto">
        <a:xfrm>
          <a:off x="7048500" y="7048500"/>
          <a:ext cx="0" cy="171450"/>
        </a:xfrm>
        <a:prstGeom prst="rect">
          <a:avLst/>
        </a:prstGeom>
        <a:no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a:t>
          </a:r>
        </a:p>
      </xdr:txBody>
    </xdr:sp>
    <xdr:clientData/>
  </xdr:twoCellAnchor>
  <xdr:twoCellAnchor>
    <xdr:from>
      <xdr:col>9</xdr:col>
      <xdr:colOff>502920</xdr:colOff>
      <xdr:row>38</xdr:row>
      <xdr:rowOff>20955</xdr:rowOff>
    </xdr:from>
    <xdr:to>
      <xdr:col>9</xdr:col>
      <xdr:colOff>452120</xdr:colOff>
      <xdr:row>38</xdr:row>
      <xdr:rowOff>184951</xdr:rowOff>
    </xdr:to>
    <xdr:sp macro="" textlink="">
      <xdr:nvSpPr>
        <xdr:cNvPr id="4105" name="Text Box 9">
          <a:extLst>
            <a:ext uri="{FF2B5EF4-FFF2-40B4-BE49-F238E27FC236}">
              <a16:creationId xmlns:a16="http://schemas.microsoft.com/office/drawing/2014/main" id="{288010EB-5584-EFBE-DD3B-E2B1E3E80EDC}"/>
            </a:ext>
          </a:extLst>
        </xdr:cNvPr>
        <xdr:cNvSpPr txBox="1">
          <a:spLocks noChangeArrowheads="1"/>
        </xdr:cNvSpPr>
      </xdr:nvSpPr>
      <xdr:spPr bwMode="auto">
        <a:xfrm>
          <a:off x="7048500" y="7258050"/>
          <a:ext cx="0" cy="171450"/>
        </a:xfrm>
        <a:prstGeom prst="rect">
          <a:avLst/>
        </a:prstGeom>
        <a:no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a:t>
          </a:r>
        </a:p>
      </xdr:txBody>
    </xdr:sp>
    <xdr:clientData/>
  </xdr:twoCellAnchor>
  <xdr:twoCellAnchor>
    <xdr:from>
      <xdr:col>9</xdr:col>
      <xdr:colOff>529590</xdr:colOff>
      <xdr:row>39</xdr:row>
      <xdr:rowOff>7620</xdr:rowOff>
    </xdr:from>
    <xdr:to>
      <xdr:col>9</xdr:col>
      <xdr:colOff>424815</xdr:colOff>
      <xdr:row>39</xdr:row>
      <xdr:rowOff>190500</xdr:rowOff>
    </xdr:to>
    <xdr:sp macro="" textlink="">
      <xdr:nvSpPr>
        <xdr:cNvPr id="1357400" name="Text Box 10">
          <a:extLst>
            <a:ext uri="{FF2B5EF4-FFF2-40B4-BE49-F238E27FC236}">
              <a16:creationId xmlns:a16="http://schemas.microsoft.com/office/drawing/2014/main" id="{85B4F09F-54F9-A958-CF15-686501E2D947}"/>
            </a:ext>
          </a:extLst>
        </xdr:cNvPr>
        <xdr:cNvSpPr txBox="1">
          <a:spLocks noChangeArrowheads="1"/>
        </xdr:cNvSpPr>
      </xdr:nvSpPr>
      <xdr:spPr bwMode="auto">
        <a:xfrm>
          <a:off x="6347460" y="7368540"/>
          <a:ext cx="0" cy="182880"/>
        </a:xfrm>
        <a:prstGeom prst="rect">
          <a:avLst/>
        </a:prstGeom>
        <a:no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a:t>
          </a:r>
        </a:p>
      </xdr:txBody>
    </xdr:sp>
    <xdr:clientData/>
  </xdr:twoCellAnchor>
  <xdr:twoCellAnchor>
    <xdr:from>
      <xdr:col>9</xdr:col>
      <xdr:colOff>502920</xdr:colOff>
      <xdr:row>40</xdr:row>
      <xdr:rowOff>1905</xdr:rowOff>
    </xdr:from>
    <xdr:to>
      <xdr:col>9</xdr:col>
      <xdr:colOff>452120</xdr:colOff>
      <xdr:row>40</xdr:row>
      <xdr:rowOff>190748</xdr:rowOff>
    </xdr:to>
    <xdr:sp macro="" textlink="">
      <xdr:nvSpPr>
        <xdr:cNvPr id="4107" name="Text Box 11">
          <a:extLst>
            <a:ext uri="{FF2B5EF4-FFF2-40B4-BE49-F238E27FC236}">
              <a16:creationId xmlns:a16="http://schemas.microsoft.com/office/drawing/2014/main" id="{4EB83F0F-57FB-DAD6-AFF0-637051C918B0}"/>
            </a:ext>
          </a:extLst>
        </xdr:cNvPr>
        <xdr:cNvSpPr txBox="1">
          <a:spLocks noChangeArrowheads="1"/>
        </xdr:cNvSpPr>
      </xdr:nvSpPr>
      <xdr:spPr bwMode="auto">
        <a:xfrm>
          <a:off x="7048500" y="7648575"/>
          <a:ext cx="0" cy="171450"/>
        </a:xfrm>
        <a:prstGeom prst="rect">
          <a:avLst/>
        </a:prstGeom>
        <a:no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a:t>
          </a:r>
        </a:p>
      </xdr:txBody>
    </xdr:sp>
    <xdr:clientData/>
  </xdr:twoCellAnchor>
  <xdr:twoCellAnchor>
    <xdr:from>
      <xdr:col>9</xdr:col>
      <xdr:colOff>529590</xdr:colOff>
      <xdr:row>41</xdr:row>
      <xdr:rowOff>24765</xdr:rowOff>
    </xdr:from>
    <xdr:to>
      <xdr:col>9</xdr:col>
      <xdr:colOff>424815</xdr:colOff>
      <xdr:row>41</xdr:row>
      <xdr:rowOff>184785</xdr:rowOff>
    </xdr:to>
    <xdr:sp macro="" textlink="">
      <xdr:nvSpPr>
        <xdr:cNvPr id="1357402" name="Text Box 12">
          <a:extLst>
            <a:ext uri="{FF2B5EF4-FFF2-40B4-BE49-F238E27FC236}">
              <a16:creationId xmlns:a16="http://schemas.microsoft.com/office/drawing/2014/main" id="{C6A1B602-3BC7-AD06-8055-87EAC46C9DF9}"/>
            </a:ext>
          </a:extLst>
        </xdr:cNvPr>
        <xdr:cNvSpPr txBox="1">
          <a:spLocks noChangeArrowheads="1"/>
        </xdr:cNvSpPr>
      </xdr:nvSpPr>
      <xdr:spPr bwMode="auto">
        <a:xfrm>
          <a:off x="6347460" y="7772400"/>
          <a:ext cx="0" cy="160020"/>
        </a:xfrm>
        <a:prstGeom prst="rect">
          <a:avLst/>
        </a:prstGeom>
        <a:no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a:t>
          </a:r>
        </a:p>
      </xdr:txBody>
    </xdr:sp>
    <xdr:clientData/>
  </xdr:twoCellAnchor>
  <xdr:twoCellAnchor>
    <xdr:from>
      <xdr:col>9</xdr:col>
      <xdr:colOff>502920</xdr:colOff>
      <xdr:row>42</xdr:row>
      <xdr:rowOff>0</xdr:rowOff>
    </xdr:from>
    <xdr:to>
      <xdr:col>9</xdr:col>
      <xdr:colOff>452120</xdr:colOff>
      <xdr:row>42</xdr:row>
      <xdr:rowOff>180975</xdr:rowOff>
    </xdr:to>
    <xdr:sp macro="" textlink="">
      <xdr:nvSpPr>
        <xdr:cNvPr id="4109" name="Text Box 13">
          <a:extLst>
            <a:ext uri="{FF2B5EF4-FFF2-40B4-BE49-F238E27FC236}">
              <a16:creationId xmlns:a16="http://schemas.microsoft.com/office/drawing/2014/main" id="{565E2AA7-2148-22A7-E47C-A5C68D75FAE8}"/>
            </a:ext>
          </a:extLst>
        </xdr:cNvPr>
        <xdr:cNvSpPr txBox="1">
          <a:spLocks noChangeArrowheads="1"/>
        </xdr:cNvSpPr>
      </xdr:nvSpPr>
      <xdr:spPr bwMode="auto">
        <a:xfrm>
          <a:off x="7048500" y="8039100"/>
          <a:ext cx="0" cy="171450"/>
        </a:xfrm>
        <a:prstGeom prst="rect">
          <a:avLst/>
        </a:prstGeom>
        <a:no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a:t>
          </a:r>
        </a:p>
      </xdr:txBody>
    </xdr:sp>
    <xdr:clientData/>
  </xdr:twoCellAnchor>
  <xdr:twoCellAnchor>
    <xdr:from>
      <xdr:col>9</xdr:col>
      <xdr:colOff>533400</xdr:colOff>
      <xdr:row>23</xdr:row>
      <xdr:rowOff>19050</xdr:rowOff>
    </xdr:from>
    <xdr:to>
      <xdr:col>9</xdr:col>
      <xdr:colOff>438150</xdr:colOff>
      <xdr:row>23</xdr:row>
      <xdr:rowOff>190500</xdr:rowOff>
    </xdr:to>
    <xdr:sp macro="" textlink="">
      <xdr:nvSpPr>
        <xdr:cNvPr id="1373968" name="Text Box 14">
          <a:extLst>
            <a:ext uri="{FF2B5EF4-FFF2-40B4-BE49-F238E27FC236}">
              <a16:creationId xmlns:a16="http://schemas.microsoft.com/office/drawing/2014/main" id="{6563AA30-B564-7917-65F8-60F8AFB36E09}"/>
            </a:ext>
          </a:extLst>
        </xdr:cNvPr>
        <xdr:cNvSpPr txBox="1">
          <a:spLocks noChangeArrowheads="1"/>
        </xdr:cNvSpPr>
      </xdr:nvSpPr>
      <xdr:spPr bwMode="auto">
        <a:xfrm>
          <a:off x="7067550" y="4257675"/>
          <a:ext cx="0" cy="171450"/>
        </a:xfrm>
        <a:prstGeom prst="rect">
          <a:avLst/>
        </a:prstGeom>
        <a:noFill/>
        <a:ln>
          <a:noFill/>
        </a:ln>
      </xdr:spPr>
      <xdr:txBody>
        <a:bodyPr vertOverflow="clip" wrap="square" lIns="27432" tIns="18288" rIns="0" bIns="0" anchor="t" upright="1"/>
        <a:lstStyle/>
        <a:p>
          <a:pPr algn="l" rtl="0">
            <a:defRPr sz="1000"/>
          </a:pPr>
          <a:r>
            <a:rPr lang="en-US" sz="1000" b="0" i="0" u="none" strike="noStrike" baseline="0">
              <a:solidFill>
                <a:srgbClr val="000000"/>
              </a:solidFill>
              <a:latin typeface="Courier"/>
            </a:rPr>
            <a:t>"</a:t>
          </a:r>
        </a:p>
      </xdr:txBody>
    </xdr:sp>
    <xdr:clientData/>
  </xdr:twoCellAnchor>
  <xdr:twoCellAnchor>
    <xdr:from>
      <xdr:col>9</xdr:col>
      <xdr:colOff>542925</xdr:colOff>
      <xdr:row>24</xdr:row>
      <xdr:rowOff>9525</xdr:rowOff>
    </xdr:from>
    <xdr:to>
      <xdr:col>9</xdr:col>
      <xdr:colOff>438150</xdr:colOff>
      <xdr:row>24</xdr:row>
      <xdr:rowOff>180975</xdr:rowOff>
    </xdr:to>
    <xdr:sp macro="" textlink="">
      <xdr:nvSpPr>
        <xdr:cNvPr id="1373969" name="Text Box 15">
          <a:extLst>
            <a:ext uri="{FF2B5EF4-FFF2-40B4-BE49-F238E27FC236}">
              <a16:creationId xmlns:a16="http://schemas.microsoft.com/office/drawing/2014/main" id="{94242BD9-F5DC-E2A7-7853-E6A259A56B66}"/>
            </a:ext>
          </a:extLst>
        </xdr:cNvPr>
        <xdr:cNvSpPr txBox="1">
          <a:spLocks noChangeArrowheads="1"/>
        </xdr:cNvSpPr>
      </xdr:nvSpPr>
      <xdr:spPr bwMode="auto">
        <a:xfrm>
          <a:off x="7067550" y="4448175"/>
          <a:ext cx="0" cy="171450"/>
        </a:xfrm>
        <a:prstGeom prst="rect">
          <a:avLst/>
        </a:prstGeom>
        <a:noFill/>
        <a:ln>
          <a:noFill/>
        </a:ln>
      </xdr:spPr>
      <xdr:txBody>
        <a:bodyPr vertOverflow="clip" wrap="square" lIns="27432" tIns="18288" rIns="0" bIns="0" anchor="t" upright="1"/>
        <a:lstStyle/>
        <a:p>
          <a:pPr algn="l" rtl="0">
            <a:defRPr sz="1000"/>
          </a:pPr>
          <a:r>
            <a:rPr lang="en-US" sz="1000" b="0" i="0" u="none" strike="noStrike" baseline="0">
              <a:solidFill>
                <a:srgbClr val="000000"/>
              </a:solidFill>
              <a:latin typeface="Courier"/>
            </a:rPr>
            <a:t>"</a:t>
          </a:r>
        </a:p>
      </xdr:txBody>
    </xdr:sp>
    <xdr:clientData/>
  </xdr:twoCellAnchor>
  <xdr:twoCellAnchor>
    <xdr:from>
      <xdr:col>10</xdr:col>
      <xdr:colOff>3499</xdr:colOff>
      <xdr:row>25</xdr:row>
      <xdr:rowOff>28575</xdr:rowOff>
    </xdr:from>
    <xdr:to>
      <xdr:col>10</xdr:col>
      <xdr:colOff>3499</xdr:colOff>
      <xdr:row>26</xdr:row>
      <xdr:rowOff>0</xdr:rowOff>
    </xdr:to>
    <xdr:sp macro="" textlink="">
      <xdr:nvSpPr>
        <xdr:cNvPr id="4112" name="Text Box 16">
          <a:extLst>
            <a:ext uri="{FF2B5EF4-FFF2-40B4-BE49-F238E27FC236}">
              <a16:creationId xmlns:a16="http://schemas.microsoft.com/office/drawing/2014/main" id="{93FEC791-80FD-6CB2-2A55-48D1F83B6D57}"/>
            </a:ext>
          </a:extLst>
        </xdr:cNvPr>
        <xdr:cNvSpPr txBox="1">
          <a:spLocks noChangeArrowheads="1"/>
        </xdr:cNvSpPr>
      </xdr:nvSpPr>
      <xdr:spPr bwMode="auto">
        <a:xfrm>
          <a:off x="7067550" y="4667250"/>
          <a:ext cx="0" cy="171450"/>
        </a:xfrm>
        <a:prstGeom prst="rect">
          <a:avLst/>
        </a:prstGeom>
        <a:no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a:t>
          </a:r>
        </a:p>
      </xdr:txBody>
    </xdr:sp>
    <xdr:clientData/>
  </xdr:twoCellAnchor>
  <xdr:twoCellAnchor>
    <xdr:from>
      <xdr:col>10</xdr:col>
      <xdr:colOff>1772</xdr:colOff>
      <xdr:row>26</xdr:row>
      <xdr:rowOff>19050</xdr:rowOff>
    </xdr:from>
    <xdr:to>
      <xdr:col>10</xdr:col>
      <xdr:colOff>5649</xdr:colOff>
      <xdr:row>26</xdr:row>
      <xdr:rowOff>181476</xdr:rowOff>
    </xdr:to>
    <xdr:sp macro="" textlink="">
      <xdr:nvSpPr>
        <xdr:cNvPr id="4113" name="Text Box 17">
          <a:extLst>
            <a:ext uri="{FF2B5EF4-FFF2-40B4-BE49-F238E27FC236}">
              <a16:creationId xmlns:a16="http://schemas.microsoft.com/office/drawing/2014/main" id="{215A868C-2F18-28C3-5625-AD3B0D1B7C76}"/>
            </a:ext>
          </a:extLst>
        </xdr:cNvPr>
        <xdr:cNvSpPr txBox="1">
          <a:spLocks noChangeArrowheads="1"/>
        </xdr:cNvSpPr>
      </xdr:nvSpPr>
      <xdr:spPr bwMode="auto">
        <a:xfrm>
          <a:off x="7067550" y="4848225"/>
          <a:ext cx="9525" cy="171450"/>
        </a:xfrm>
        <a:prstGeom prst="rect">
          <a:avLst/>
        </a:prstGeom>
        <a:no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a:t>
          </a:r>
        </a:p>
      </xdr:txBody>
    </xdr:sp>
    <xdr:clientData/>
  </xdr:twoCellAnchor>
  <xdr:twoCellAnchor>
    <xdr:from>
      <xdr:col>9</xdr:col>
      <xdr:colOff>533400</xdr:colOff>
      <xdr:row>27</xdr:row>
      <xdr:rowOff>0</xdr:rowOff>
    </xdr:from>
    <xdr:to>
      <xdr:col>9</xdr:col>
      <xdr:colOff>438150</xdr:colOff>
      <xdr:row>27</xdr:row>
      <xdr:rowOff>171450</xdr:rowOff>
    </xdr:to>
    <xdr:sp macro="" textlink="">
      <xdr:nvSpPr>
        <xdr:cNvPr id="1373972" name="Text Box 18">
          <a:extLst>
            <a:ext uri="{FF2B5EF4-FFF2-40B4-BE49-F238E27FC236}">
              <a16:creationId xmlns:a16="http://schemas.microsoft.com/office/drawing/2014/main" id="{7A603140-ADD1-5406-370B-B2E288795C9F}"/>
            </a:ext>
          </a:extLst>
        </xdr:cNvPr>
        <xdr:cNvSpPr txBox="1">
          <a:spLocks noChangeArrowheads="1"/>
        </xdr:cNvSpPr>
      </xdr:nvSpPr>
      <xdr:spPr bwMode="auto">
        <a:xfrm>
          <a:off x="7067550" y="5038725"/>
          <a:ext cx="0" cy="171450"/>
        </a:xfrm>
        <a:prstGeom prst="rect">
          <a:avLst/>
        </a:prstGeom>
        <a:noFill/>
        <a:ln>
          <a:noFill/>
        </a:ln>
      </xdr:spPr>
      <xdr:txBody>
        <a:bodyPr vertOverflow="clip" wrap="square" lIns="27432" tIns="18288" rIns="0" bIns="0" anchor="t" upright="1"/>
        <a:lstStyle/>
        <a:p>
          <a:pPr algn="l" rtl="0">
            <a:defRPr sz="1000"/>
          </a:pPr>
          <a:r>
            <a:rPr lang="en-US" sz="1000" b="0" i="0" u="none" strike="noStrike" baseline="0">
              <a:solidFill>
                <a:srgbClr val="000000"/>
              </a:solidFill>
              <a:latin typeface="Courier"/>
            </a:rPr>
            <a:t>"</a:t>
          </a:r>
        </a:p>
      </xdr:txBody>
    </xdr:sp>
    <xdr:clientData/>
  </xdr:twoCellAnchor>
  <xdr:twoCellAnchor>
    <xdr:from>
      <xdr:col>9</xdr:col>
      <xdr:colOff>542925</xdr:colOff>
      <xdr:row>28</xdr:row>
      <xdr:rowOff>19050</xdr:rowOff>
    </xdr:from>
    <xdr:to>
      <xdr:col>9</xdr:col>
      <xdr:colOff>438150</xdr:colOff>
      <xdr:row>28</xdr:row>
      <xdr:rowOff>190500</xdr:rowOff>
    </xdr:to>
    <xdr:sp macro="" textlink="">
      <xdr:nvSpPr>
        <xdr:cNvPr id="1373973" name="Text Box 19">
          <a:extLst>
            <a:ext uri="{FF2B5EF4-FFF2-40B4-BE49-F238E27FC236}">
              <a16:creationId xmlns:a16="http://schemas.microsoft.com/office/drawing/2014/main" id="{43293209-7B09-4EE1-AEC4-B51F130E7D88}"/>
            </a:ext>
          </a:extLst>
        </xdr:cNvPr>
        <xdr:cNvSpPr txBox="1">
          <a:spLocks noChangeArrowheads="1"/>
        </xdr:cNvSpPr>
      </xdr:nvSpPr>
      <xdr:spPr bwMode="auto">
        <a:xfrm>
          <a:off x="7067550" y="5257800"/>
          <a:ext cx="0" cy="171450"/>
        </a:xfrm>
        <a:prstGeom prst="rect">
          <a:avLst/>
        </a:prstGeom>
        <a:noFill/>
        <a:ln>
          <a:noFill/>
        </a:ln>
      </xdr:spPr>
      <xdr:txBody>
        <a:bodyPr vertOverflow="clip" wrap="square" lIns="27432" tIns="18288" rIns="0" bIns="0" anchor="t" upright="1"/>
        <a:lstStyle/>
        <a:p>
          <a:pPr algn="l" rtl="0">
            <a:defRPr sz="1000"/>
          </a:pPr>
          <a:r>
            <a:rPr lang="en-US" sz="1000" b="0" i="0" u="none" strike="noStrike" baseline="0">
              <a:solidFill>
                <a:srgbClr val="000000"/>
              </a:solidFill>
              <a:latin typeface="Courier"/>
            </a:rPr>
            <a:t>"</a:t>
          </a:r>
        </a:p>
      </xdr:txBody>
    </xdr:sp>
    <xdr:clientData/>
  </xdr:twoCellAnchor>
  <xdr:twoCellAnchor>
    <xdr:from>
      <xdr:col>9</xdr:col>
      <xdr:colOff>533400</xdr:colOff>
      <xdr:row>30</xdr:row>
      <xdr:rowOff>19050</xdr:rowOff>
    </xdr:from>
    <xdr:to>
      <xdr:col>9</xdr:col>
      <xdr:colOff>438150</xdr:colOff>
      <xdr:row>30</xdr:row>
      <xdr:rowOff>190500</xdr:rowOff>
    </xdr:to>
    <xdr:sp macro="" textlink="">
      <xdr:nvSpPr>
        <xdr:cNvPr id="1373974" name="Text Box 20">
          <a:extLst>
            <a:ext uri="{FF2B5EF4-FFF2-40B4-BE49-F238E27FC236}">
              <a16:creationId xmlns:a16="http://schemas.microsoft.com/office/drawing/2014/main" id="{3E024DC1-4403-6D64-7A5A-5AF2A595F253}"/>
            </a:ext>
          </a:extLst>
        </xdr:cNvPr>
        <xdr:cNvSpPr txBox="1">
          <a:spLocks noChangeArrowheads="1"/>
        </xdr:cNvSpPr>
      </xdr:nvSpPr>
      <xdr:spPr bwMode="auto">
        <a:xfrm>
          <a:off x="7067550" y="5657850"/>
          <a:ext cx="0" cy="171450"/>
        </a:xfrm>
        <a:prstGeom prst="rect">
          <a:avLst/>
        </a:prstGeom>
        <a:noFill/>
        <a:ln>
          <a:noFill/>
        </a:ln>
      </xdr:spPr>
      <xdr:txBody>
        <a:bodyPr vertOverflow="clip" wrap="square" lIns="27432" tIns="18288" rIns="0" bIns="0" anchor="t" upright="1"/>
        <a:lstStyle/>
        <a:p>
          <a:pPr algn="l" rtl="0">
            <a:defRPr sz="1000"/>
          </a:pPr>
          <a:r>
            <a:rPr lang="en-US" sz="1000" b="0" i="0" u="none" strike="noStrike" baseline="0">
              <a:solidFill>
                <a:srgbClr val="000000"/>
              </a:solidFill>
              <a:latin typeface="Courier"/>
            </a:rPr>
            <a:t>"</a:t>
          </a:r>
        </a:p>
      </xdr:txBody>
    </xdr:sp>
    <xdr:clientData/>
  </xdr:twoCellAnchor>
  <xdr:twoCellAnchor>
    <xdr:from>
      <xdr:col>10</xdr:col>
      <xdr:colOff>5582</xdr:colOff>
      <xdr:row>31</xdr:row>
      <xdr:rowOff>38100</xdr:rowOff>
    </xdr:from>
    <xdr:to>
      <xdr:col>10</xdr:col>
      <xdr:colOff>5582</xdr:colOff>
      <xdr:row>32</xdr:row>
      <xdr:rowOff>9525</xdr:rowOff>
    </xdr:to>
    <xdr:sp macro="" textlink="">
      <xdr:nvSpPr>
        <xdr:cNvPr id="4117" name="Text Box 21">
          <a:extLst>
            <a:ext uri="{FF2B5EF4-FFF2-40B4-BE49-F238E27FC236}">
              <a16:creationId xmlns:a16="http://schemas.microsoft.com/office/drawing/2014/main" id="{E4C7987B-B27C-DD18-0987-18FCD9C8D167}"/>
            </a:ext>
          </a:extLst>
        </xdr:cNvPr>
        <xdr:cNvSpPr txBox="1">
          <a:spLocks noChangeArrowheads="1"/>
        </xdr:cNvSpPr>
      </xdr:nvSpPr>
      <xdr:spPr bwMode="auto">
        <a:xfrm>
          <a:off x="7058025" y="5876925"/>
          <a:ext cx="9525" cy="171450"/>
        </a:xfrm>
        <a:prstGeom prst="rect">
          <a:avLst/>
        </a:prstGeom>
        <a:no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a:t>
          </a:r>
        </a:p>
      </xdr:txBody>
    </xdr:sp>
    <xdr:clientData/>
  </xdr:twoCellAnchor>
  <xdr:twoCellAnchor>
    <xdr:from>
      <xdr:col>9</xdr:col>
      <xdr:colOff>529590</xdr:colOff>
      <xdr:row>32</xdr:row>
      <xdr:rowOff>0</xdr:rowOff>
    </xdr:from>
    <xdr:to>
      <xdr:col>9</xdr:col>
      <xdr:colOff>424815</xdr:colOff>
      <xdr:row>32</xdr:row>
      <xdr:rowOff>160020</xdr:rowOff>
    </xdr:to>
    <xdr:sp macro="" textlink="">
      <xdr:nvSpPr>
        <xdr:cNvPr id="1357412" name="Text Box 22">
          <a:extLst>
            <a:ext uri="{FF2B5EF4-FFF2-40B4-BE49-F238E27FC236}">
              <a16:creationId xmlns:a16="http://schemas.microsoft.com/office/drawing/2014/main" id="{C4C94406-947C-1BEF-656F-1A76BE4EC48C}"/>
            </a:ext>
          </a:extLst>
        </xdr:cNvPr>
        <xdr:cNvSpPr txBox="1">
          <a:spLocks noChangeArrowheads="1"/>
        </xdr:cNvSpPr>
      </xdr:nvSpPr>
      <xdr:spPr bwMode="auto">
        <a:xfrm>
          <a:off x="6347460" y="5974080"/>
          <a:ext cx="0" cy="160020"/>
        </a:xfrm>
        <a:prstGeom prst="rect">
          <a:avLst/>
        </a:prstGeom>
        <a:no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a:t>
          </a:r>
        </a:p>
      </xdr:txBody>
    </xdr:sp>
    <xdr:clientData/>
  </xdr:twoCellAnchor>
  <xdr:twoCellAnchor>
    <xdr:from>
      <xdr:col>9</xdr:col>
      <xdr:colOff>542925</xdr:colOff>
      <xdr:row>33</xdr:row>
      <xdr:rowOff>0</xdr:rowOff>
    </xdr:from>
    <xdr:to>
      <xdr:col>9</xdr:col>
      <xdr:colOff>438150</xdr:colOff>
      <xdr:row>33</xdr:row>
      <xdr:rowOff>171450</xdr:rowOff>
    </xdr:to>
    <xdr:sp macro="" textlink="">
      <xdr:nvSpPr>
        <xdr:cNvPr id="1373977" name="Text Box 23">
          <a:extLst>
            <a:ext uri="{FF2B5EF4-FFF2-40B4-BE49-F238E27FC236}">
              <a16:creationId xmlns:a16="http://schemas.microsoft.com/office/drawing/2014/main" id="{017A14BB-7757-058F-DC21-B20B454CE7AA}"/>
            </a:ext>
          </a:extLst>
        </xdr:cNvPr>
        <xdr:cNvSpPr txBox="1">
          <a:spLocks noChangeArrowheads="1"/>
        </xdr:cNvSpPr>
      </xdr:nvSpPr>
      <xdr:spPr bwMode="auto">
        <a:xfrm>
          <a:off x="7067550" y="6238875"/>
          <a:ext cx="0" cy="171450"/>
        </a:xfrm>
        <a:prstGeom prst="rect">
          <a:avLst/>
        </a:prstGeom>
        <a:noFill/>
        <a:ln>
          <a:noFill/>
        </a:ln>
      </xdr:spPr>
      <xdr:txBody>
        <a:bodyPr vertOverflow="clip" wrap="square" lIns="27432" tIns="18288" rIns="0" bIns="0" anchor="t" upright="1"/>
        <a:lstStyle/>
        <a:p>
          <a:pPr algn="l" rtl="0">
            <a:defRPr sz="1000"/>
          </a:pPr>
          <a:r>
            <a:rPr lang="en-US" sz="1000" b="0" i="0" u="none" strike="noStrike" baseline="0">
              <a:solidFill>
                <a:srgbClr val="000000"/>
              </a:solidFill>
              <a:latin typeface="Courier"/>
            </a:rPr>
            <a:t>"</a:t>
          </a:r>
        </a:p>
      </xdr:txBody>
    </xdr:sp>
    <xdr:clientData/>
  </xdr:twoCellAnchor>
  <xdr:twoCellAnchor>
    <xdr:from>
      <xdr:col>10</xdr:col>
      <xdr:colOff>15875</xdr:colOff>
      <xdr:row>33</xdr:row>
      <xdr:rowOff>188595</xdr:rowOff>
    </xdr:from>
    <xdr:to>
      <xdr:col>10</xdr:col>
      <xdr:colOff>12065</xdr:colOff>
      <xdr:row>34</xdr:row>
      <xdr:rowOff>152428</xdr:rowOff>
    </xdr:to>
    <xdr:sp macro="" textlink="">
      <xdr:nvSpPr>
        <xdr:cNvPr id="4120" name="Text Box 24">
          <a:extLst>
            <a:ext uri="{FF2B5EF4-FFF2-40B4-BE49-F238E27FC236}">
              <a16:creationId xmlns:a16="http://schemas.microsoft.com/office/drawing/2014/main" id="{C1D46D58-686A-8C0B-4CBC-9278D1143E57}"/>
            </a:ext>
          </a:extLst>
        </xdr:cNvPr>
        <xdr:cNvSpPr txBox="1">
          <a:spLocks noChangeArrowheads="1"/>
        </xdr:cNvSpPr>
      </xdr:nvSpPr>
      <xdr:spPr bwMode="auto">
        <a:xfrm>
          <a:off x="7067550" y="6419850"/>
          <a:ext cx="0" cy="171450"/>
        </a:xfrm>
        <a:prstGeom prst="rect">
          <a:avLst/>
        </a:prstGeom>
        <a:no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a:t>
          </a:r>
        </a:p>
      </xdr:txBody>
    </xdr:sp>
    <xdr:clientData/>
  </xdr:twoCellAnchor>
  <xdr:twoCellAnchor>
    <xdr:from>
      <xdr:col>9</xdr:col>
      <xdr:colOff>542925</xdr:colOff>
      <xdr:row>35</xdr:row>
      <xdr:rowOff>9525</xdr:rowOff>
    </xdr:from>
    <xdr:to>
      <xdr:col>9</xdr:col>
      <xdr:colOff>438150</xdr:colOff>
      <xdr:row>35</xdr:row>
      <xdr:rowOff>180975</xdr:rowOff>
    </xdr:to>
    <xdr:sp macro="" textlink="">
      <xdr:nvSpPr>
        <xdr:cNvPr id="1373979" name="Text Box 25">
          <a:extLst>
            <a:ext uri="{FF2B5EF4-FFF2-40B4-BE49-F238E27FC236}">
              <a16:creationId xmlns:a16="http://schemas.microsoft.com/office/drawing/2014/main" id="{EE11BB1E-1848-7764-AA1B-48CB757FABFE}"/>
            </a:ext>
          </a:extLst>
        </xdr:cNvPr>
        <xdr:cNvSpPr txBox="1">
          <a:spLocks noChangeArrowheads="1"/>
        </xdr:cNvSpPr>
      </xdr:nvSpPr>
      <xdr:spPr bwMode="auto">
        <a:xfrm>
          <a:off x="7067550" y="6648450"/>
          <a:ext cx="0" cy="171450"/>
        </a:xfrm>
        <a:prstGeom prst="rect">
          <a:avLst/>
        </a:prstGeom>
        <a:noFill/>
        <a:ln>
          <a:noFill/>
        </a:ln>
      </xdr:spPr>
      <xdr:txBody>
        <a:bodyPr vertOverflow="clip" wrap="square" lIns="27432" tIns="18288" rIns="0" bIns="0" anchor="t" upright="1"/>
        <a:lstStyle/>
        <a:p>
          <a:pPr algn="l" rtl="0">
            <a:defRPr sz="1000"/>
          </a:pPr>
          <a:r>
            <a:rPr lang="en-US" sz="1000" b="0" i="0" u="none" strike="noStrike" baseline="0">
              <a:solidFill>
                <a:srgbClr val="000000"/>
              </a:solidFill>
              <a:latin typeface="Courier"/>
            </a:rPr>
            <a:t>"</a:t>
          </a:r>
        </a:p>
      </xdr:txBody>
    </xdr:sp>
    <xdr:clientData/>
  </xdr:twoCellAnchor>
  <xdr:twoCellAnchor>
    <xdr:from>
      <xdr:col>0</xdr:col>
      <xdr:colOff>541020</xdr:colOff>
      <xdr:row>20</xdr:row>
      <xdr:rowOff>146685</xdr:rowOff>
    </xdr:from>
    <xdr:to>
      <xdr:col>0</xdr:col>
      <xdr:colOff>989960</xdr:colOff>
      <xdr:row>21</xdr:row>
      <xdr:rowOff>164309</xdr:rowOff>
    </xdr:to>
    <xdr:sp macro="" textlink="">
      <xdr:nvSpPr>
        <xdr:cNvPr id="4122" name="Text Box 26">
          <a:extLst>
            <a:ext uri="{FF2B5EF4-FFF2-40B4-BE49-F238E27FC236}">
              <a16:creationId xmlns:a16="http://schemas.microsoft.com/office/drawing/2014/main" id="{1920BFF8-525A-FBD1-8F4B-D00665036AF7}"/>
            </a:ext>
          </a:extLst>
        </xdr:cNvPr>
        <xdr:cNvSpPr txBox="1">
          <a:spLocks noChangeArrowheads="1"/>
        </xdr:cNvSpPr>
      </xdr:nvSpPr>
      <xdr:spPr bwMode="auto">
        <a:xfrm>
          <a:off x="533400" y="3705225"/>
          <a:ext cx="457200" cy="266700"/>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36576" tIns="27432" rIns="0" bIns="0" anchor="t" upright="1"/>
        <a:lstStyle/>
        <a:p>
          <a:pPr algn="l" rtl="0">
            <a:defRPr sz="1000"/>
          </a:pPr>
          <a:r>
            <a:rPr lang="es-MX" sz="1200" b="1" i="0" u="none" strike="noStrike" baseline="0">
              <a:solidFill>
                <a:srgbClr val="000000"/>
              </a:solidFill>
              <a:latin typeface="Arial"/>
              <a:cs typeface="Arial"/>
            </a:rPr>
            <a:t>m =</a:t>
          </a:r>
        </a:p>
      </xdr:txBody>
    </xdr:sp>
    <xdr:clientData/>
  </xdr:twoCellAnchor>
  <xdr:twoCellAnchor>
    <xdr:from>
      <xdr:col>3</xdr:col>
      <xdr:colOff>432435</xdr:colOff>
      <xdr:row>55</xdr:row>
      <xdr:rowOff>190500</xdr:rowOff>
    </xdr:from>
    <xdr:to>
      <xdr:col>4</xdr:col>
      <xdr:colOff>158324</xdr:colOff>
      <xdr:row>57</xdr:row>
      <xdr:rowOff>36215</xdr:rowOff>
    </xdr:to>
    <xdr:sp macro="" textlink="">
      <xdr:nvSpPr>
        <xdr:cNvPr id="4123" name="Text Box 27">
          <a:extLst>
            <a:ext uri="{FF2B5EF4-FFF2-40B4-BE49-F238E27FC236}">
              <a16:creationId xmlns:a16="http://schemas.microsoft.com/office/drawing/2014/main" id="{5257305B-8F31-B251-BC39-8514E8B137E0}"/>
            </a:ext>
          </a:extLst>
        </xdr:cNvPr>
        <xdr:cNvSpPr txBox="1">
          <a:spLocks noChangeArrowheads="1"/>
        </xdr:cNvSpPr>
      </xdr:nvSpPr>
      <xdr:spPr bwMode="auto">
        <a:xfrm>
          <a:off x="2781300" y="10944225"/>
          <a:ext cx="295275" cy="238125"/>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36576" tIns="27432" rIns="0" bIns="0" anchor="t" upright="1"/>
        <a:lstStyle/>
        <a:p>
          <a:pPr algn="l" rtl="0">
            <a:defRPr sz="1000"/>
          </a:pPr>
          <a:r>
            <a:rPr lang="es-MX" sz="1200" b="1" i="0" u="none" strike="noStrike" baseline="0">
              <a:solidFill>
                <a:srgbClr val="000000"/>
              </a:solidFill>
              <a:latin typeface="Arial"/>
              <a:cs typeface="Arial"/>
            </a:rPr>
            <a:t> =</a:t>
          </a:r>
        </a:p>
      </xdr:txBody>
    </xdr:sp>
    <xdr:clientData/>
  </xdr:twoCellAnchor>
  <xdr:twoCellAnchor>
    <xdr:from>
      <xdr:col>0</xdr:col>
      <xdr:colOff>0</xdr:colOff>
      <xdr:row>5</xdr:row>
      <xdr:rowOff>123825</xdr:rowOff>
    </xdr:from>
    <xdr:to>
      <xdr:col>21</xdr:col>
      <xdr:colOff>114300</xdr:colOff>
      <xdr:row>5</xdr:row>
      <xdr:rowOff>123825</xdr:rowOff>
    </xdr:to>
    <xdr:sp macro="" textlink="">
      <xdr:nvSpPr>
        <xdr:cNvPr id="1406466" name="Line 44">
          <a:extLst>
            <a:ext uri="{FF2B5EF4-FFF2-40B4-BE49-F238E27FC236}">
              <a16:creationId xmlns:a16="http://schemas.microsoft.com/office/drawing/2014/main" id="{9310F523-CE09-5896-85B2-606F4620314C}"/>
            </a:ext>
          </a:extLst>
        </xdr:cNvPr>
        <xdr:cNvSpPr>
          <a:spLocks noChangeShapeType="1"/>
        </xdr:cNvSpPr>
      </xdr:nvSpPr>
      <xdr:spPr bwMode="auto">
        <a:xfrm>
          <a:off x="0" y="933450"/>
          <a:ext cx="13573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485775</xdr:colOff>
      <xdr:row>1</xdr:row>
      <xdr:rowOff>74295</xdr:rowOff>
    </xdr:from>
    <xdr:to>
      <xdr:col>21</xdr:col>
      <xdr:colOff>181053</xdr:colOff>
      <xdr:row>2</xdr:row>
      <xdr:rowOff>104866</xdr:rowOff>
    </xdr:to>
    <xdr:sp macro="" textlink="">
      <xdr:nvSpPr>
        <xdr:cNvPr id="4141" name="Texto 327">
          <a:extLst>
            <a:ext uri="{FF2B5EF4-FFF2-40B4-BE49-F238E27FC236}">
              <a16:creationId xmlns:a16="http://schemas.microsoft.com/office/drawing/2014/main" id="{1CDFEE75-532E-49BA-41BF-B75A5D1C2961}"/>
            </a:ext>
          </a:extLst>
        </xdr:cNvPr>
        <xdr:cNvSpPr txBox="1">
          <a:spLocks noChangeArrowheads="1"/>
        </xdr:cNvSpPr>
      </xdr:nvSpPr>
      <xdr:spPr bwMode="auto">
        <a:xfrm>
          <a:off x="8753475" y="228600"/>
          <a:ext cx="4886325" cy="200025"/>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12</xdr:col>
      <xdr:colOff>381000</xdr:colOff>
      <xdr:row>2</xdr:row>
      <xdr:rowOff>104775</xdr:rowOff>
    </xdr:from>
    <xdr:to>
      <xdr:col>14</xdr:col>
      <xdr:colOff>272434</xdr:colOff>
      <xdr:row>4</xdr:row>
      <xdr:rowOff>40070</xdr:rowOff>
    </xdr:to>
    <xdr:sp macro="" textlink="">
      <xdr:nvSpPr>
        <xdr:cNvPr id="4142" name="Texto 327">
          <a:extLst>
            <a:ext uri="{FF2B5EF4-FFF2-40B4-BE49-F238E27FC236}">
              <a16:creationId xmlns:a16="http://schemas.microsoft.com/office/drawing/2014/main" id="{2306C310-A1C2-EEA0-9154-CFB0E10E24D7}"/>
            </a:ext>
          </a:extLst>
        </xdr:cNvPr>
        <xdr:cNvSpPr txBox="1">
          <a:spLocks noChangeArrowheads="1"/>
        </xdr:cNvSpPr>
      </xdr:nvSpPr>
      <xdr:spPr bwMode="auto">
        <a:xfrm>
          <a:off x="8629650" y="428625"/>
          <a:ext cx="1333500" cy="266700"/>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17</xdr:col>
      <xdr:colOff>80010</xdr:colOff>
      <xdr:row>2</xdr:row>
      <xdr:rowOff>66675</xdr:rowOff>
    </xdr:from>
    <xdr:to>
      <xdr:col>21</xdr:col>
      <xdr:colOff>251568</xdr:colOff>
      <xdr:row>5</xdr:row>
      <xdr:rowOff>28575</xdr:rowOff>
    </xdr:to>
    <xdr:sp macro="" textlink="">
      <xdr:nvSpPr>
        <xdr:cNvPr id="4143" name="Texto 327">
          <a:extLst>
            <a:ext uri="{FF2B5EF4-FFF2-40B4-BE49-F238E27FC236}">
              <a16:creationId xmlns:a16="http://schemas.microsoft.com/office/drawing/2014/main" id="{E889CBCC-2FF3-79E3-459D-6D80CC6EC363}"/>
            </a:ext>
          </a:extLst>
        </xdr:cNvPr>
        <xdr:cNvSpPr txBox="1">
          <a:spLocks noChangeArrowheads="1"/>
        </xdr:cNvSpPr>
      </xdr:nvSpPr>
      <xdr:spPr bwMode="auto">
        <a:xfrm>
          <a:off x="11896725" y="390525"/>
          <a:ext cx="1809750" cy="447675"/>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20</xdr:col>
      <xdr:colOff>120015</xdr:colOff>
      <xdr:row>0</xdr:row>
      <xdr:rowOff>81915</xdr:rowOff>
    </xdr:from>
    <xdr:to>
      <xdr:col>21</xdr:col>
      <xdr:colOff>81763</xdr:colOff>
      <xdr:row>1</xdr:row>
      <xdr:rowOff>81915</xdr:rowOff>
    </xdr:to>
    <xdr:sp macro="" textlink="">
      <xdr:nvSpPr>
        <xdr:cNvPr id="4144" name="Texto 327">
          <a:extLst>
            <a:ext uri="{FF2B5EF4-FFF2-40B4-BE49-F238E27FC236}">
              <a16:creationId xmlns:a16="http://schemas.microsoft.com/office/drawing/2014/main" id="{7B12266F-E7C0-73B2-C8D8-B81FCFDCF631}"/>
            </a:ext>
          </a:extLst>
        </xdr:cNvPr>
        <xdr:cNvSpPr txBox="1">
          <a:spLocks noChangeArrowheads="1"/>
        </xdr:cNvSpPr>
      </xdr:nvSpPr>
      <xdr:spPr bwMode="auto">
        <a:xfrm>
          <a:off x="12849225" y="85725"/>
          <a:ext cx="695325" cy="161925"/>
        </a:xfrm>
        <a:prstGeom prst="rect">
          <a:avLst/>
        </a:prstGeom>
        <a:noFill/>
        <a:ln>
          <a:noFill/>
        </a:ln>
      </xdr:spPr>
      <xdr:txBody>
        <a:bodyPr vertOverflow="clip" wrap="square" lIns="0" tIns="18288" rIns="27432" bIns="0" anchor="t" upright="1"/>
        <a:lstStyle/>
        <a:p>
          <a:pPr algn="r"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1</xdr:col>
      <xdr:colOff>171450</xdr:colOff>
      <xdr:row>5</xdr:row>
      <xdr:rowOff>47625</xdr:rowOff>
    </xdr:to>
    <xdr:pic>
      <xdr:nvPicPr>
        <xdr:cNvPr id="1406471" name="Picture 52">
          <a:extLst>
            <a:ext uri="{FF2B5EF4-FFF2-40B4-BE49-F238E27FC236}">
              <a16:creationId xmlns:a16="http://schemas.microsoft.com/office/drawing/2014/main" id="{78D65281-ACD8-3F62-6D29-7B64A34D01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1906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123825</xdr:colOff>
      <xdr:row>32</xdr:row>
      <xdr:rowOff>66675</xdr:rowOff>
    </xdr:from>
    <xdr:to>
      <xdr:col>1</xdr:col>
      <xdr:colOff>123825</xdr:colOff>
      <xdr:row>33</xdr:row>
      <xdr:rowOff>57150</xdr:rowOff>
    </xdr:to>
    <xdr:sp macro="" textlink="">
      <xdr:nvSpPr>
        <xdr:cNvPr id="1410710" name="Line 2">
          <a:extLst>
            <a:ext uri="{FF2B5EF4-FFF2-40B4-BE49-F238E27FC236}">
              <a16:creationId xmlns:a16="http://schemas.microsoft.com/office/drawing/2014/main" id="{B815239F-E377-74F1-1400-B753FB30A9A8}"/>
            </a:ext>
          </a:extLst>
        </xdr:cNvPr>
        <xdr:cNvSpPr>
          <a:spLocks noChangeShapeType="1"/>
        </xdr:cNvSpPr>
      </xdr:nvSpPr>
      <xdr:spPr bwMode="auto">
        <a:xfrm rot="13748">
          <a:off x="1162050" y="582930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114300</xdr:colOff>
      <xdr:row>32</xdr:row>
      <xdr:rowOff>57150</xdr:rowOff>
    </xdr:from>
    <xdr:to>
      <xdr:col>4</xdr:col>
      <xdr:colOff>200025</xdr:colOff>
      <xdr:row>32</xdr:row>
      <xdr:rowOff>76200</xdr:rowOff>
    </xdr:to>
    <xdr:sp macro="" textlink="">
      <xdr:nvSpPr>
        <xdr:cNvPr id="1410711" name="Line 3">
          <a:extLst>
            <a:ext uri="{FF2B5EF4-FFF2-40B4-BE49-F238E27FC236}">
              <a16:creationId xmlns:a16="http://schemas.microsoft.com/office/drawing/2014/main" id="{20EC3C75-E390-0969-48F3-FCE0BDD1FD98}"/>
            </a:ext>
          </a:extLst>
        </xdr:cNvPr>
        <xdr:cNvSpPr>
          <a:spLocks noChangeShapeType="1"/>
        </xdr:cNvSpPr>
      </xdr:nvSpPr>
      <xdr:spPr bwMode="auto">
        <a:xfrm rot="13748" flipV="1">
          <a:off x="1152525" y="5819775"/>
          <a:ext cx="2266950" cy="19050"/>
        </a:xfrm>
        <a:prstGeom prst="line">
          <a:avLst/>
        </a:prstGeom>
        <a:noFill/>
        <a:ln w="381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161925</xdr:colOff>
      <xdr:row>32</xdr:row>
      <xdr:rowOff>66675</xdr:rowOff>
    </xdr:from>
    <xdr:to>
      <xdr:col>4</xdr:col>
      <xdr:colOff>161925</xdr:colOff>
      <xdr:row>33</xdr:row>
      <xdr:rowOff>57150</xdr:rowOff>
    </xdr:to>
    <xdr:sp macro="" textlink="">
      <xdr:nvSpPr>
        <xdr:cNvPr id="1410712" name="Line 4">
          <a:extLst>
            <a:ext uri="{FF2B5EF4-FFF2-40B4-BE49-F238E27FC236}">
              <a16:creationId xmlns:a16="http://schemas.microsoft.com/office/drawing/2014/main" id="{31B900EB-6356-9066-0FF7-9B3C561F3EE4}"/>
            </a:ext>
          </a:extLst>
        </xdr:cNvPr>
        <xdr:cNvSpPr>
          <a:spLocks noChangeShapeType="1"/>
        </xdr:cNvSpPr>
      </xdr:nvSpPr>
      <xdr:spPr bwMode="auto">
        <a:xfrm rot="13748" flipV="1">
          <a:off x="3381375" y="582930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285750</xdr:colOff>
      <xdr:row>31</xdr:row>
      <xdr:rowOff>180975</xdr:rowOff>
    </xdr:from>
    <xdr:to>
      <xdr:col>4</xdr:col>
      <xdr:colOff>676275</xdr:colOff>
      <xdr:row>32</xdr:row>
      <xdr:rowOff>0</xdr:rowOff>
    </xdr:to>
    <xdr:sp macro="" textlink="">
      <xdr:nvSpPr>
        <xdr:cNvPr id="1410713" name="Line 5">
          <a:extLst>
            <a:ext uri="{FF2B5EF4-FFF2-40B4-BE49-F238E27FC236}">
              <a16:creationId xmlns:a16="http://schemas.microsoft.com/office/drawing/2014/main" id="{FE155C8E-1C20-9AC6-5BDE-F1BCD91A1A96}"/>
            </a:ext>
          </a:extLst>
        </xdr:cNvPr>
        <xdr:cNvSpPr>
          <a:spLocks noChangeShapeType="1"/>
        </xdr:cNvSpPr>
      </xdr:nvSpPr>
      <xdr:spPr bwMode="auto">
        <a:xfrm rot="13748">
          <a:off x="3505200" y="5753100"/>
          <a:ext cx="390525" cy="9525"/>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323850</xdr:colOff>
      <xdr:row>35</xdr:row>
      <xdr:rowOff>57150</xdr:rowOff>
    </xdr:from>
    <xdr:to>
      <xdr:col>4</xdr:col>
      <xdr:colOff>504825</xdr:colOff>
      <xdr:row>35</xdr:row>
      <xdr:rowOff>57150</xdr:rowOff>
    </xdr:to>
    <xdr:sp macro="" textlink="">
      <xdr:nvSpPr>
        <xdr:cNvPr id="1410714" name="Line 6">
          <a:extLst>
            <a:ext uri="{FF2B5EF4-FFF2-40B4-BE49-F238E27FC236}">
              <a16:creationId xmlns:a16="http://schemas.microsoft.com/office/drawing/2014/main" id="{ACF8D41C-4FBB-CCC8-83C3-354D78269164}"/>
            </a:ext>
          </a:extLst>
        </xdr:cNvPr>
        <xdr:cNvSpPr>
          <a:spLocks noChangeShapeType="1"/>
        </xdr:cNvSpPr>
      </xdr:nvSpPr>
      <xdr:spPr bwMode="auto">
        <a:xfrm rot="13748">
          <a:off x="3543300" y="6391275"/>
          <a:ext cx="180975"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409575</xdr:colOff>
      <xdr:row>31</xdr:row>
      <xdr:rowOff>180975</xdr:rowOff>
    </xdr:from>
    <xdr:to>
      <xdr:col>4</xdr:col>
      <xdr:colOff>409575</xdr:colOff>
      <xdr:row>35</xdr:row>
      <xdr:rowOff>57150</xdr:rowOff>
    </xdr:to>
    <xdr:sp macro="" textlink="">
      <xdr:nvSpPr>
        <xdr:cNvPr id="1410715" name="Line 7">
          <a:extLst>
            <a:ext uri="{FF2B5EF4-FFF2-40B4-BE49-F238E27FC236}">
              <a16:creationId xmlns:a16="http://schemas.microsoft.com/office/drawing/2014/main" id="{8EDBF6A7-0F91-559D-094A-17DB44F574C2}"/>
            </a:ext>
          </a:extLst>
        </xdr:cNvPr>
        <xdr:cNvSpPr>
          <a:spLocks noChangeShapeType="1"/>
        </xdr:cNvSpPr>
      </xdr:nvSpPr>
      <xdr:spPr bwMode="auto">
        <a:xfrm rot="13748">
          <a:off x="3629025" y="5753100"/>
          <a:ext cx="0" cy="638175"/>
        </a:xfrm>
        <a:prstGeom prst="line">
          <a:avLst/>
        </a:prstGeom>
        <a:noFill/>
        <a:ln w="9525">
          <a:solidFill>
            <a:srgbClr xmlns:mc="http://schemas.openxmlformats.org/markup-compatibility/2006" xmlns:a14="http://schemas.microsoft.com/office/drawing/2010/main" val="FF00FF" mc:Ignorable="a14" a14:legacySpreadsheetColorIndex="1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1</xdr:col>
      <xdr:colOff>9525</xdr:colOff>
      <xdr:row>35</xdr:row>
      <xdr:rowOff>85725</xdr:rowOff>
    </xdr:from>
    <xdr:to>
      <xdr:col>1</xdr:col>
      <xdr:colOff>9525</xdr:colOff>
      <xdr:row>36</xdr:row>
      <xdr:rowOff>57150</xdr:rowOff>
    </xdr:to>
    <xdr:sp macro="" textlink="">
      <xdr:nvSpPr>
        <xdr:cNvPr id="1410716" name="Line 8">
          <a:extLst>
            <a:ext uri="{FF2B5EF4-FFF2-40B4-BE49-F238E27FC236}">
              <a16:creationId xmlns:a16="http://schemas.microsoft.com/office/drawing/2014/main" id="{8F47C5D2-DF7B-B45D-CCD2-EFF92BA6CF86}"/>
            </a:ext>
          </a:extLst>
        </xdr:cNvPr>
        <xdr:cNvSpPr>
          <a:spLocks noChangeShapeType="1"/>
        </xdr:cNvSpPr>
      </xdr:nvSpPr>
      <xdr:spPr bwMode="auto">
        <a:xfrm rot="13748">
          <a:off x="1047750" y="6419850"/>
          <a:ext cx="0" cy="161925"/>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752475</xdr:colOff>
      <xdr:row>35</xdr:row>
      <xdr:rowOff>104775</xdr:rowOff>
    </xdr:from>
    <xdr:to>
      <xdr:col>2</xdr:col>
      <xdr:colOff>752475</xdr:colOff>
      <xdr:row>36</xdr:row>
      <xdr:rowOff>76200</xdr:rowOff>
    </xdr:to>
    <xdr:sp macro="" textlink="">
      <xdr:nvSpPr>
        <xdr:cNvPr id="1410717" name="Line 9">
          <a:extLst>
            <a:ext uri="{FF2B5EF4-FFF2-40B4-BE49-F238E27FC236}">
              <a16:creationId xmlns:a16="http://schemas.microsoft.com/office/drawing/2014/main" id="{AAC98DFD-9A83-DECA-B5D9-66FDCBC28A77}"/>
            </a:ext>
          </a:extLst>
        </xdr:cNvPr>
        <xdr:cNvSpPr>
          <a:spLocks noChangeShapeType="1"/>
        </xdr:cNvSpPr>
      </xdr:nvSpPr>
      <xdr:spPr bwMode="auto">
        <a:xfrm rot="13748">
          <a:off x="2552700" y="6438900"/>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209550</xdr:colOff>
      <xdr:row>35</xdr:row>
      <xdr:rowOff>104775</xdr:rowOff>
    </xdr:from>
    <xdr:to>
      <xdr:col>4</xdr:col>
      <xdr:colOff>209550</xdr:colOff>
      <xdr:row>37</xdr:row>
      <xdr:rowOff>76200</xdr:rowOff>
    </xdr:to>
    <xdr:sp macro="" textlink="">
      <xdr:nvSpPr>
        <xdr:cNvPr id="1410718" name="Line 10">
          <a:extLst>
            <a:ext uri="{FF2B5EF4-FFF2-40B4-BE49-F238E27FC236}">
              <a16:creationId xmlns:a16="http://schemas.microsoft.com/office/drawing/2014/main" id="{A30BBE11-4997-C1E5-38F6-8EFD13BCADB7}"/>
            </a:ext>
          </a:extLst>
        </xdr:cNvPr>
        <xdr:cNvSpPr>
          <a:spLocks noChangeShapeType="1"/>
        </xdr:cNvSpPr>
      </xdr:nvSpPr>
      <xdr:spPr bwMode="auto">
        <a:xfrm rot="13748">
          <a:off x="3429000" y="6438900"/>
          <a:ext cx="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9525</xdr:colOff>
      <xdr:row>36</xdr:row>
      <xdr:rowOff>0</xdr:rowOff>
    </xdr:from>
    <xdr:to>
      <xdr:col>2</xdr:col>
      <xdr:colOff>752475</xdr:colOff>
      <xdr:row>36</xdr:row>
      <xdr:rowOff>0</xdr:rowOff>
    </xdr:to>
    <xdr:sp macro="" textlink="">
      <xdr:nvSpPr>
        <xdr:cNvPr id="1410719" name="Line 11">
          <a:extLst>
            <a:ext uri="{FF2B5EF4-FFF2-40B4-BE49-F238E27FC236}">
              <a16:creationId xmlns:a16="http://schemas.microsoft.com/office/drawing/2014/main" id="{F3DE9279-6AF0-950C-5522-089F8B519FEF}"/>
            </a:ext>
          </a:extLst>
        </xdr:cNvPr>
        <xdr:cNvSpPr>
          <a:spLocks noChangeShapeType="1"/>
        </xdr:cNvSpPr>
      </xdr:nvSpPr>
      <xdr:spPr bwMode="auto">
        <a:xfrm rot="13748">
          <a:off x="1047750" y="6524625"/>
          <a:ext cx="150495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2</xdr:col>
      <xdr:colOff>752475</xdr:colOff>
      <xdr:row>36</xdr:row>
      <xdr:rowOff>9525</xdr:rowOff>
    </xdr:from>
    <xdr:to>
      <xdr:col>4</xdr:col>
      <xdr:colOff>209550</xdr:colOff>
      <xdr:row>36</xdr:row>
      <xdr:rowOff>9525</xdr:rowOff>
    </xdr:to>
    <xdr:sp macro="" textlink="">
      <xdr:nvSpPr>
        <xdr:cNvPr id="1410720" name="Line 12">
          <a:extLst>
            <a:ext uri="{FF2B5EF4-FFF2-40B4-BE49-F238E27FC236}">
              <a16:creationId xmlns:a16="http://schemas.microsoft.com/office/drawing/2014/main" id="{E289C078-9D8E-CCF2-7CFD-CCF9350221F1}"/>
            </a:ext>
          </a:extLst>
        </xdr:cNvPr>
        <xdr:cNvSpPr>
          <a:spLocks noChangeShapeType="1"/>
        </xdr:cNvSpPr>
      </xdr:nvSpPr>
      <xdr:spPr bwMode="auto">
        <a:xfrm rot="13748">
          <a:off x="2552700" y="6534150"/>
          <a:ext cx="87630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0</xdr:col>
      <xdr:colOff>561975</xdr:colOff>
      <xdr:row>34</xdr:row>
      <xdr:rowOff>104775</xdr:rowOff>
    </xdr:from>
    <xdr:to>
      <xdr:col>0</xdr:col>
      <xdr:colOff>781050</xdr:colOff>
      <xdr:row>34</xdr:row>
      <xdr:rowOff>104775</xdr:rowOff>
    </xdr:to>
    <xdr:sp macro="" textlink="">
      <xdr:nvSpPr>
        <xdr:cNvPr id="1410721" name="Line 13">
          <a:extLst>
            <a:ext uri="{FF2B5EF4-FFF2-40B4-BE49-F238E27FC236}">
              <a16:creationId xmlns:a16="http://schemas.microsoft.com/office/drawing/2014/main" id="{A08EDF2F-B0BB-6700-F00C-9C91C625D718}"/>
            </a:ext>
          </a:extLst>
        </xdr:cNvPr>
        <xdr:cNvSpPr>
          <a:spLocks noChangeShapeType="1"/>
        </xdr:cNvSpPr>
      </xdr:nvSpPr>
      <xdr:spPr bwMode="auto">
        <a:xfrm rot="13748">
          <a:off x="561975" y="6248400"/>
          <a:ext cx="219075"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533400</xdr:colOff>
      <xdr:row>35</xdr:row>
      <xdr:rowOff>9525</xdr:rowOff>
    </xdr:from>
    <xdr:to>
      <xdr:col>0</xdr:col>
      <xdr:colOff>742950</xdr:colOff>
      <xdr:row>35</xdr:row>
      <xdr:rowOff>9525</xdr:rowOff>
    </xdr:to>
    <xdr:sp macro="" textlink="">
      <xdr:nvSpPr>
        <xdr:cNvPr id="1410722" name="Line 14">
          <a:extLst>
            <a:ext uri="{FF2B5EF4-FFF2-40B4-BE49-F238E27FC236}">
              <a16:creationId xmlns:a16="http://schemas.microsoft.com/office/drawing/2014/main" id="{45861DC8-91EF-8863-FF89-DFE1F987CA8C}"/>
            </a:ext>
          </a:extLst>
        </xdr:cNvPr>
        <xdr:cNvSpPr>
          <a:spLocks noChangeShapeType="1"/>
        </xdr:cNvSpPr>
      </xdr:nvSpPr>
      <xdr:spPr bwMode="auto">
        <a:xfrm rot="13748">
          <a:off x="533400" y="6343650"/>
          <a:ext cx="20955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638175</xdr:colOff>
      <xdr:row>34</xdr:row>
      <xdr:rowOff>38100</xdr:rowOff>
    </xdr:from>
    <xdr:to>
      <xdr:col>0</xdr:col>
      <xdr:colOff>638175</xdr:colOff>
      <xdr:row>35</xdr:row>
      <xdr:rowOff>19050</xdr:rowOff>
    </xdr:to>
    <xdr:sp macro="" textlink="">
      <xdr:nvSpPr>
        <xdr:cNvPr id="1410723" name="Line 15">
          <a:extLst>
            <a:ext uri="{FF2B5EF4-FFF2-40B4-BE49-F238E27FC236}">
              <a16:creationId xmlns:a16="http://schemas.microsoft.com/office/drawing/2014/main" id="{8B423A9D-740C-E9F9-BCC1-3424CC83EEDE}"/>
            </a:ext>
          </a:extLst>
        </xdr:cNvPr>
        <xdr:cNvSpPr>
          <a:spLocks noChangeShapeType="1"/>
        </xdr:cNvSpPr>
      </xdr:nvSpPr>
      <xdr:spPr bwMode="auto">
        <a:xfrm rot="13748">
          <a:off x="638175" y="6181725"/>
          <a:ext cx="0" cy="171450"/>
        </a:xfrm>
        <a:prstGeom prst="line">
          <a:avLst/>
        </a:prstGeom>
        <a:noFill/>
        <a:ln w="9525">
          <a:solidFill>
            <a:srgbClr xmlns:mc="http://schemas.openxmlformats.org/markup-compatibility/2006" xmlns:a14="http://schemas.microsoft.com/office/drawing/2010/main" val="FF00FF" mc:Ignorable="a14" a14:legacySpreadsheetColorIndex="14"/>
          </a:solidFill>
          <a:round/>
          <a:headEnd type="triangle" w="sm" len="sm"/>
          <a:tailEnd type="triangle" w="sm" len="sm"/>
        </a:ln>
        <a:extLst>
          <a:ext uri="{909E8E84-426E-40DD-AFC4-6F175D3DCCD1}">
            <a14:hiddenFill xmlns:a14="http://schemas.microsoft.com/office/drawing/2010/main">
              <a:noFill/>
            </a14:hiddenFill>
          </a:ext>
        </a:extLst>
      </xdr:spPr>
    </xdr:sp>
    <xdr:clientData/>
  </xdr:twoCellAnchor>
  <xdr:twoCellAnchor>
    <xdr:from>
      <xdr:col>3</xdr:col>
      <xdr:colOff>47625</xdr:colOff>
      <xdr:row>32</xdr:row>
      <xdr:rowOff>57150</xdr:rowOff>
    </xdr:from>
    <xdr:to>
      <xdr:col>4</xdr:col>
      <xdr:colOff>171450</xdr:colOff>
      <xdr:row>37</xdr:row>
      <xdr:rowOff>133350</xdr:rowOff>
    </xdr:to>
    <xdr:sp macro="" textlink="">
      <xdr:nvSpPr>
        <xdr:cNvPr id="1410724" name="Rectangle 16">
          <a:extLst>
            <a:ext uri="{FF2B5EF4-FFF2-40B4-BE49-F238E27FC236}">
              <a16:creationId xmlns:a16="http://schemas.microsoft.com/office/drawing/2014/main" id="{5882F732-9C1B-97BA-611F-FC86E113AF09}"/>
            </a:ext>
          </a:extLst>
        </xdr:cNvPr>
        <xdr:cNvSpPr>
          <a:spLocks noChangeArrowheads="1"/>
        </xdr:cNvSpPr>
      </xdr:nvSpPr>
      <xdr:spPr bwMode="auto">
        <a:xfrm rot="13748">
          <a:off x="2609850" y="5819775"/>
          <a:ext cx="781050" cy="10287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28575</xdr:colOff>
      <xdr:row>38</xdr:row>
      <xdr:rowOff>57150</xdr:rowOff>
    </xdr:from>
    <xdr:to>
      <xdr:col>4</xdr:col>
      <xdr:colOff>200025</xdr:colOff>
      <xdr:row>39</xdr:row>
      <xdr:rowOff>123825</xdr:rowOff>
    </xdr:to>
    <xdr:sp macro="" textlink="">
      <xdr:nvSpPr>
        <xdr:cNvPr id="1410725" name="Rectangle 18">
          <a:extLst>
            <a:ext uri="{FF2B5EF4-FFF2-40B4-BE49-F238E27FC236}">
              <a16:creationId xmlns:a16="http://schemas.microsoft.com/office/drawing/2014/main" id="{F5D43751-2973-8F52-8119-E918A99881A4}"/>
            </a:ext>
          </a:extLst>
        </xdr:cNvPr>
        <xdr:cNvSpPr>
          <a:spLocks noChangeArrowheads="1"/>
        </xdr:cNvSpPr>
      </xdr:nvSpPr>
      <xdr:spPr bwMode="auto">
        <a:xfrm rot="13748">
          <a:off x="2590800" y="6962775"/>
          <a:ext cx="828675" cy="257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28575</xdr:colOff>
      <xdr:row>39</xdr:row>
      <xdr:rowOff>142875</xdr:rowOff>
    </xdr:from>
    <xdr:to>
      <xdr:col>4</xdr:col>
      <xdr:colOff>200025</xdr:colOff>
      <xdr:row>41</xdr:row>
      <xdr:rowOff>47625</xdr:rowOff>
    </xdr:to>
    <xdr:sp macro="" textlink="">
      <xdr:nvSpPr>
        <xdr:cNvPr id="1410726" name="Rectangle 19">
          <a:extLst>
            <a:ext uri="{FF2B5EF4-FFF2-40B4-BE49-F238E27FC236}">
              <a16:creationId xmlns:a16="http://schemas.microsoft.com/office/drawing/2014/main" id="{7C47B958-912E-EBD1-CEB1-6E1D5510A098}"/>
            </a:ext>
          </a:extLst>
        </xdr:cNvPr>
        <xdr:cNvSpPr>
          <a:spLocks noChangeArrowheads="1"/>
        </xdr:cNvSpPr>
      </xdr:nvSpPr>
      <xdr:spPr bwMode="auto">
        <a:xfrm rot="13748">
          <a:off x="2590800" y="7239000"/>
          <a:ext cx="828675" cy="2857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0</xdr:col>
      <xdr:colOff>552450</xdr:colOff>
      <xdr:row>32</xdr:row>
      <xdr:rowOff>47625</xdr:rowOff>
    </xdr:from>
    <xdr:to>
      <xdr:col>0</xdr:col>
      <xdr:colOff>742950</xdr:colOff>
      <xdr:row>32</xdr:row>
      <xdr:rowOff>47625</xdr:rowOff>
    </xdr:to>
    <xdr:sp macro="" textlink="">
      <xdr:nvSpPr>
        <xdr:cNvPr id="1410727" name="Line 23">
          <a:extLst>
            <a:ext uri="{FF2B5EF4-FFF2-40B4-BE49-F238E27FC236}">
              <a16:creationId xmlns:a16="http://schemas.microsoft.com/office/drawing/2014/main" id="{B993BDFE-32ED-B99B-E7D7-9F4C39B08E4A}"/>
            </a:ext>
          </a:extLst>
        </xdr:cNvPr>
        <xdr:cNvSpPr>
          <a:spLocks noChangeShapeType="1"/>
        </xdr:cNvSpPr>
      </xdr:nvSpPr>
      <xdr:spPr bwMode="auto">
        <a:xfrm rot="13748">
          <a:off x="552450" y="5810250"/>
          <a:ext cx="19050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type="none" w="sm" len="med"/>
        </a:ln>
        <a:extLst>
          <a:ext uri="{909E8E84-426E-40DD-AFC4-6F175D3DCCD1}">
            <a14:hiddenFill xmlns:a14="http://schemas.microsoft.com/office/drawing/2010/main">
              <a:noFill/>
            </a14:hiddenFill>
          </a:ext>
        </a:extLst>
      </xdr:spPr>
    </xdr:sp>
    <xdr:clientData/>
  </xdr:twoCellAnchor>
  <xdr:twoCellAnchor>
    <xdr:from>
      <xdr:col>1</xdr:col>
      <xdr:colOff>9525</xdr:colOff>
      <xdr:row>36</xdr:row>
      <xdr:rowOff>85725</xdr:rowOff>
    </xdr:from>
    <xdr:to>
      <xdr:col>1</xdr:col>
      <xdr:colOff>9525</xdr:colOff>
      <xdr:row>37</xdr:row>
      <xdr:rowOff>47625</xdr:rowOff>
    </xdr:to>
    <xdr:sp macro="" textlink="">
      <xdr:nvSpPr>
        <xdr:cNvPr id="1410728" name="Line 24">
          <a:extLst>
            <a:ext uri="{FF2B5EF4-FFF2-40B4-BE49-F238E27FC236}">
              <a16:creationId xmlns:a16="http://schemas.microsoft.com/office/drawing/2014/main" id="{3D5D1301-4A1A-4D9D-2DAA-568776D5A922}"/>
            </a:ext>
          </a:extLst>
        </xdr:cNvPr>
        <xdr:cNvSpPr>
          <a:spLocks noChangeShapeType="1"/>
        </xdr:cNvSpPr>
      </xdr:nvSpPr>
      <xdr:spPr bwMode="auto">
        <a:xfrm rot="13748">
          <a:off x="1047750" y="6610350"/>
          <a:ext cx="0" cy="15240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9525</xdr:colOff>
      <xdr:row>37</xdr:row>
      <xdr:rowOff>9525</xdr:rowOff>
    </xdr:from>
    <xdr:to>
      <xdr:col>4</xdr:col>
      <xdr:colOff>190500</xdr:colOff>
      <xdr:row>37</xdr:row>
      <xdr:rowOff>9525</xdr:rowOff>
    </xdr:to>
    <xdr:sp macro="" textlink="">
      <xdr:nvSpPr>
        <xdr:cNvPr id="1410729" name="Line 25">
          <a:extLst>
            <a:ext uri="{FF2B5EF4-FFF2-40B4-BE49-F238E27FC236}">
              <a16:creationId xmlns:a16="http://schemas.microsoft.com/office/drawing/2014/main" id="{DF807CBD-5E64-C617-2BAB-1CC49830EA69}"/>
            </a:ext>
          </a:extLst>
        </xdr:cNvPr>
        <xdr:cNvSpPr>
          <a:spLocks noChangeShapeType="1"/>
        </xdr:cNvSpPr>
      </xdr:nvSpPr>
      <xdr:spPr bwMode="auto">
        <a:xfrm rot="13748">
          <a:off x="1047750" y="6724650"/>
          <a:ext cx="236220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0</xdr:col>
      <xdr:colOff>628650</xdr:colOff>
      <xdr:row>32</xdr:row>
      <xdr:rowOff>38100</xdr:rowOff>
    </xdr:from>
    <xdr:to>
      <xdr:col>0</xdr:col>
      <xdr:colOff>628650</xdr:colOff>
      <xdr:row>34</xdr:row>
      <xdr:rowOff>133350</xdr:rowOff>
    </xdr:to>
    <xdr:sp macro="" textlink="">
      <xdr:nvSpPr>
        <xdr:cNvPr id="1410730" name="Line 26">
          <a:extLst>
            <a:ext uri="{FF2B5EF4-FFF2-40B4-BE49-F238E27FC236}">
              <a16:creationId xmlns:a16="http://schemas.microsoft.com/office/drawing/2014/main" id="{293BF4F6-ACC3-5DA5-E31A-99A228DD8132}"/>
            </a:ext>
          </a:extLst>
        </xdr:cNvPr>
        <xdr:cNvSpPr>
          <a:spLocks noChangeShapeType="1"/>
        </xdr:cNvSpPr>
      </xdr:nvSpPr>
      <xdr:spPr bwMode="auto">
        <a:xfrm rot="13748" flipV="1">
          <a:off x="628650" y="5800725"/>
          <a:ext cx="0" cy="476250"/>
        </a:xfrm>
        <a:prstGeom prst="line">
          <a:avLst/>
        </a:prstGeom>
        <a:noFill/>
        <a:ln w="9525">
          <a:solidFill>
            <a:srgbClr xmlns:mc="http://schemas.openxmlformats.org/markup-compatibility/2006" xmlns:a14="http://schemas.microsoft.com/office/drawing/2010/main" val="FF00FF" mc:Ignorable="a14" a14:legacySpreadsheetColorIndex="14"/>
          </a:solidFill>
          <a:round/>
          <a:headEnd type="triangle" w="sm" len="sm"/>
          <a:tailEnd type="triangle" w="sm" len="sm"/>
        </a:ln>
        <a:extLst>
          <a:ext uri="{909E8E84-426E-40DD-AFC4-6F175D3DCCD1}">
            <a14:hiddenFill xmlns:a14="http://schemas.microsoft.com/office/drawing/2010/main">
              <a:noFill/>
            </a14:hiddenFill>
          </a:ext>
        </a:extLst>
      </xdr:spPr>
    </xdr:sp>
    <xdr:clientData/>
  </xdr:twoCellAnchor>
  <xdr:twoCellAnchor>
    <xdr:from>
      <xdr:col>4</xdr:col>
      <xdr:colOff>200025</xdr:colOff>
      <xdr:row>32</xdr:row>
      <xdr:rowOff>0</xdr:rowOff>
    </xdr:from>
    <xdr:to>
      <xdr:col>4</xdr:col>
      <xdr:colOff>209550</xdr:colOff>
      <xdr:row>38</xdr:row>
      <xdr:rowOff>28575</xdr:rowOff>
    </xdr:to>
    <xdr:sp macro="" textlink="">
      <xdr:nvSpPr>
        <xdr:cNvPr id="1410731" name="Line 28">
          <a:extLst>
            <a:ext uri="{FF2B5EF4-FFF2-40B4-BE49-F238E27FC236}">
              <a16:creationId xmlns:a16="http://schemas.microsoft.com/office/drawing/2014/main" id="{A801EF49-5EE8-C873-72BD-9DA7F8E778FD}"/>
            </a:ext>
          </a:extLst>
        </xdr:cNvPr>
        <xdr:cNvSpPr>
          <a:spLocks noChangeShapeType="1"/>
        </xdr:cNvSpPr>
      </xdr:nvSpPr>
      <xdr:spPr bwMode="auto">
        <a:xfrm rot="13748">
          <a:off x="3419475" y="5762625"/>
          <a:ext cx="9525" cy="1171575"/>
        </a:xfrm>
        <a:prstGeom prst="line">
          <a:avLst/>
        </a:prstGeom>
        <a:noFill/>
        <a:ln w="1714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9525</xdr:colOff>
      <xdr:row>35</xdr:row>
      <xdr:rowOff>9525</xdr:rowOff>
    </xdr:from>
    <xdr:to>
      <xdr:col>3</xdr:col>
      <xdr:colOff>0</xdr:colOff>
      <xdr:row>35</xdr:row>
      <xdr:rowOff>9525</xdr:rowOff>
    </xdr:to>
    <xdr:sp macro="" textlink="">
      <xdr:nvSpPr>
        <xdr:cNvPr id="1410732" name="Line 29">
          <a:extLst>
            <a:ext uri="{FF2B5EF4-FFF2-40B4-BE49-F238E27FC236}">
              <a16:creationId xmlns:a16="http://schemas.microsoft.com/office/drawing/2014/main" id="{372BC585-D55E-8458-F951-325B60A41854}"/>
            </a:ext>
          </a:extLst>
        </xdr:cNvPr>
        <xdr:cNvSpPr>
          <a:spLocks noChangeShapeType="1"/>
        </xdr:cNvSpPr>
      </xdr:nvSpPr>
      <xdr:spPr bwMode="auto">
        <a:xfrm rot="13748" flipH="1">
          <a:off x="1047750" y="6343650"/>
          <a:ext cx="1514475" cy="0"/>
        </a:xfrm>
        <a:prstGeom prst="line">
          <a:avLst/>
        </a:prstGeom>
        <a:noFill/>
        <a:ln w="1714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9525</xdr:colOff>
      <xdr:row>31</xdr:row>
      <xdr:rowOff>180975</xdr:rowOff>
    </xdr:from>
    <xdr:to>
      <xdr:col>1</xdr:col>
      <xdr:colOff>9525</xdr:colOff>
      <xdr:row>35</xdr:row>
      <xdr:rowOff>19050</xdr:rowOff>
    </xdr:to>
    <xdr:sp macro="" textlink="">
      <xdr:nvSpPr>
        <xdr:cNvPr id="1410733" name="Line 30">
          <a:extLst>
            <a:ext uri="{FF2B5EF4-FFF2-40B4-BE49-F238E27FC236}">
              <a16:creationId xmlns:a16="http://schemas.microsoft.com/office/drawing/2014/main" id="{C23D0418-CFF3-E467-457A-40377B7D40D1}"/>
            </a:ext>
          </a:extLst>
        </xdr:cNvPr>
        <xdr:cNvSpPr>
          <a:spLocks noChangeShapeType="1"/>
        </xdr:cNvSpPr>
      </xdr:nvSpPr>
      <xdr:spPr bwMode="auto">
        <a:xfrm rot="13748" flipV="1">
          <a:off x="1047750" y="5753100"/>
          <a:ext cx="0" cy="600075"/>
        </a:xfrm>
        <a:prstGeom prst="line">
          <a:avLst/>
        </a:prstGeom>
        <a:noFill/>
        <a:ln w="1714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1019175</xdr:colOff>
      <xdr:row>32</xdr:row>
      <xdr:rowOff>0</xdr:rowOff>
    </xdr:from>
    <xdr:to>
      <xdr:col>4</xdr:col>
      <xdr:colOff>190500</xdr:colOff>
      <xdr:row>32</xdr:row>
      <xdr:rowOff>9525</xdr:rowOff>
    </xdr:to>
    <xdr:sp macro="" textlink="">
      <xdr:nvSpPr>
        <xdr:cNvPr id="1410734" name="Line 31">
          <a:extLst>
            <a:ext uri="{FF2B5EF4-FFF2-40B4-BE49-F238E27FC236}">
              <a16:creationId xmlns:a16="http://schemas.microsoft.com/office/drawing/2014/main" id="{33BE106E-857C-29C9-C1D8-559228146542}"/>
            </a:ext>
          </a:extLst>
        </xdr:cNvPr>
        <xdr:cNvSpPr>
          <a:spLocks noChangeShapeType="1"/>
        </xdr:cNvSpPr>
      </xdr:nvSpPr>
      <xdr:spPr bwMode="auto">
        <a:xfrm rot="13748" flipV="1">
          <a:off x="1019175" y="5762625"/>
          <a:ext cx="2390775" cy="9525"/>
        </a:xfrm>
        <a:prstGeom prst="line">
          <a:avLst/>
        </a:prstGeom>
        <a:noFill/>
        <a:ln w="1714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9525</xdr:colOff>
      <xdr:row>30</xdr:row>
      <xdr:rowOff>104775</xdr:rowOff>
    </xdr:from>
    <xdr:to>
      <xdr:col>2</xdr:col>
      <xdr:colOff>28575</xdr:colOff>
      <xdr:row>31</xdr:row>
      <xdr:rowOff>152400</xdr:rowOff>
    </xdr:to>
    <xdr:sp macro="" textlink="">
      <xdr:nvSpPr>
        <xdr:cNvPr id="1410735" name="Rectangle 34">
          <a:extLst>
            <a:ext uri="{FF2B5EF4-FFF2-40B4-BE49-F238E27FC236}">
              <a16:creationId xmlns:a16="http://schemas.microsoft.com/office/drawing/2014/main" id="{F0E46B85-839C-C358-7090-2CB32825489E}"/>
            </a:ext>
          </a:extLst>
        </xdr:cNvPr>
        <xdr:cNvSpPr>
          <a:spLocks noChangeArrowheads="1"/>
        </xdr:cNvSpPr>
      </xdr:nvSpPr>
      <xdr:spPr bwMode="auto">
        <a:xfrm rot="13748">
          <a:off x="1047750" y="5486400"/>
          <a:ext cx="781050" cy="2381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xdr:col>
      <xdr:colOff>28575</xdr:colOff>
      <xdr:row>25</xdr:row>
      <xdr:rowOff>142875</xdr:rowOff>
    </xdr:from>
    <xdr:to>
      <xdr:col>2</xdr:col>
      <xdr:colOff>38100</xdr:colOff>
      <xdr:row>27</xdr:row>
      <xdr:rowOff>19050</xdr:rowOff>
    </xdr:to>
    <xdr:sp macro="" textlink="">
      <xdr:nvSpPr>
        <xdr:cNvPr id="1410736" name="Rectangle 35">
          <a:extLst>
            <a:ext uri="{FF2B5EF4-FFF2-40B4-BE49-F238E27FC236}">
              <a16:creationId xmlns:a16="http://schemas.microsoft.com/office/drawing/2014/main" id="{53EBC4A5-FAF9-43D3-B13B-D0A3AB2B2E49}"/>
            </a:ext>
          </a:extLst>
        </xdr:cNvPr>
        <xdr:cNvSpPr>
          <a:spLocks noChangeArrowheads="1"/>
        </xdr:cNvSpPr>
      </xdr:nvSpPr>
      <xdr:spPr bwMode="auto">
        <a:xfrm rot="13748">
          <a:off x="1066800" y="4572000"/>
          <a:ext cx="771525" cy="257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xdr:col>
      <xdr:colOff>28575</xdr:colOff>
      <xdr:row>27</xdr:row>
      <xdr:rowOff>47625</xdr:rowOff>
    </xdr:from>
    <xdr:to>
      <xdr:col>2</xdr:col>
      <xdr:colOff>38100</xdr:colOff>
      <xdr:row>28</xdr:row>
      <xdr:rowOff>133350</xdr:rowOff>
    </xdr:to>
    <xdr:sp macro="" textlink="">
      <xdr:nvSpPr>
        <xdr:cNvPr id="1410737" name="Rectangle 36">
          <a:extLst>
            <a:ext uri="{FF2B5EF4-FFF2-40B4-BE49-F238E27FC236}">
              <a16:creationId xmlns:a16="http://schemas.microsoft.com/office/drawing/2014/main" id="{5E2530B6-F41A-9356-952C-DB9FFBBCDA7A}"/>
            </a:ext>
          </a:extLst>
        </xdr:cNvPr>
        <xdr:cNvSpPr>
          <a:spLocks noChangeArrowheads="1"/>
        </xdr:cNvSpPr>
      </xdr:nvSpPr>
      <xdr:spPr bwMode="auto">
        <a:xfrm rot="13748">
          <a:off x="1066800" y="4857750"/>
          <a:ext cx="771525" cy="2762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xdr:col>
      <xdr:colOff>9525</xdr:colOff>
      <xdr:row>28</xdr:row>
      <xdr:rowOff>180975</xdr:rowOff>
    </xdr:from>
    <xdr:to>
      <xdr:col>2</xdr:col>
      <xdr:colOff>19050</xdr:colOff>
      <xdr:row>30</xdr:row>
      <xdr:rowOff>76200</xdr:rowOff>
    </xdr:to>
    <xdr:sp macro="" textlink="">
      <xdr:nvSpPr>
        <xdr:cNvPr id="1410738" name="Rectangle 37">
          <a:extLst>
            <a:ext uri="{FF2B5EF4-FFF2-40B4-BE49-F238E27FC236}">
              <a16:creationId xmlns:a16="http://schemas.microsoft.com/office/drawing/2014/main" id="{2B5B248E-4D33-5B96-07C5-CD9B78DA7752}"/>
            </a:ext>
          </a:extLst>
        </xdr:cNvPr>
        <xdr:cNvSpPr>
          <a:spLocks noChangeArrowheads="1"/>
        </xdr:cNvSpPr>
      </xdr:nvSpPr>
      <xdr:spPr bwMode="auto">
        <a:xfrm rot="13748">
          <a:off x="1047750" y="5181600"/>
          <a:ext cx="771525" cy="2762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0</xdr:colOff>
      <xdr:row>35</xdr:row>
      <xdr:rowOff>28575</xdr:rowOff>
    </xdr:from>
    <xdr:to>
      <xdr:col>3</xdr:col>
      <xdr:colOff>9525</xdr:colOff>
      <xdr:row>38</xdr:row>
      <xdr:rowOff>66675</xdr:rowOff>
    </xdr:to>
    <xdr:sp macro="" textlink="">
      <xdr:nvSpPr>
        <xdr:cNvPr id="1410739" name="Line 38">
          <a:extLst>
            <a:ext uri="{FF2B5EF4-FFF2-40B4-BE49-F238E27FC236}">
              <a16:creationId xmlns:a16="http://schemas.microsoft.com/office/drawing/2014/main" id="{805220AF-6E8D-D3D5-5F15-2B296AF96EAD}"/>
            </a:ext>
          </a:extLst>
        </xdr:cNvPr>
        <xdr:cNvSpPr>
          <a:spLocks noChangeShapeType="1"/>
        </xdr:cNvSpPr>
      </xdr:nvSpPr>
      <xdr:spPr bwMode="auto">
        <a:xfrm rot="13748">
          <a:off x="2562225" y="6362700"/>
          <a:ext cx="9525" cy="609600"/>
        </a:xfrm>
        <a:prstGeom prst="line">
          <a:avLst/>
        </a:prstGeom>
        <a:noFill/>
        <a:ln w="1714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38</xdr:row>
      <xdr:rowOff>9525</xdr:rowOff>
    </xdr:from>
    <xdr:to>
      <xdr:col>4</xdr:col>
      <xdr:colOff>209550</xdr:colOff>
      <xdr:row>38</xdr:row>
      <xdr:rowOff>9525</xdr:rowOff>
    </xdr:to>
    <xdr:sp macro="" textlink="">
      <xdr:nvSpPr>
        <xdr:cNvPr id="1410740" name="Line 39">
          <a:extLst>
            <a:ext uri="{FF2B5EF4-FFF2-40B4-BE49-F238E27FC236}">
              <a16:creationId xmlns:a16="http://schemas.microsoft.com/office/drawing/2014/main" id="{B22E9D46-1D0D-37F0-6D11-A6DE1731BC32}"/>
            </a:ext>
          </a:extLst>
        </xdr:cNvPr>
        <xdr:cNvSpPr>
          <a:spLocks noChangeShapeType="1"/>
        </xdr:cNvSpPr>
      </xdr:nvSpPr>
      <xdr:spPr bwMode="auto">
        <a:xfrm rot="13748" flipV="1">
          <a:off x="2562225" y="6915150"/>
          <a:ext cx="866775" cy="0"/>
        </a:xfrm>
        <a:prstGeom prst="line">
          <a:avLst/>
        </a:prstGeom>
        <a:noFill/>
        <a:ln w="1714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47625</xdr:colOff>
      <xdr:row>32</xdr:row>
      <xdr:rowOff>85725</xdr:rowOff>
    </xdr:from>
    <xdr:to>
      <xdr:col>3</xdr:col>
      <xdr:colOff>123825</xdr:colOff>
      <xdr:row>32</xdr:row>
      <xdr:rowOff>161925</xdr:rowOff>
    </xdr:to>
    <xdr:sp macro="" textlink="">
      <xdr:nvSpPr>
        <xdr:cNvPr id="1410741" name="Oval 41">
          <a:extLst>
            <a:ext uri="{FF2B5EF4-FFF2-40B4-BE49-F238E27FC236}">
              <a16:creationId xmlns:a16="http://schemas.microsoft.com/office/drawing/2014/main" id="{A65283F6-3340-D623-A993-AD3198783101}"/>
            </a:ext>
          </a:extLst>
        </xdr:cNvPr>
        <xdr:cNvSpPr>
          <a:spLocks noChangeArrowheads="1"/>
        </xdr:cNvSpPr>
      </xdr:nvSpPr>
      <xdr:spPr bwMode="auto">
        <a:xfrm>
          <a:off x="2609850" y="5848350"/>
          <a:ext cx="76200" cy="762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85725</xdr:colOff>
      <xdr:row>32</xdr:row>
      <xdr:rowOff>76200</xdr:rowOff>
    </xdr:from>
    <xdr:to>
      <xdr:col>4</xdr:col>
      <xdr:colOff>161925</xdr:colOff>
      <xdr:row>32</xdr:row>
      <xdr:rowOff>152400</xdr:rowOff>
    </xdr:to>
    <xdr:sp macro="" textlink="">
      <xdr:nvSpPr>
        <xdr:cNvPr id="1410742" name="Oval 42">
          <a:extLst>
            <a:ext uri="{FF2B5EF4-FFF2-40B4-BE49-F238E27FC236}">
              <a16:creationId xmlns:a16="http://schemas.microsoft.com/office/drawing/2014/main" id="{D8EC1106-ACF6-9424-F231-8A0DD3AC1B12}"/>
            </a:ext>
          </a:extLst>
        </xdr:cNvPr>
        <xdr:cNvSpPr>
          <a:spLocks noChangeArrowheads="1"/>
        </xdr:cNvSpPr>
      </xdr:nvSpPr>
      <xdr:spPr bwMode="auto">
        <a:xfrm>
          <a:off x="3305175" y="5838825"/>
          <a:ext cx="76200" cy="762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66675</xdr:colOff>
      <xdr:row>37</xdr:row>
      <xdr:rowOff>38100</xdr:rowOff>
    </xdr:from>
    <xdr:to>
      <xdr:col>3</xdr:col>
      <xdr:colOff>142875</xdr:colOff>
      <xdr:row>37</xdr:row>
      <xdr:rowOff>114300</xdr:rowOff>
    </xdr:to>
    <xdr:sp macro="" textlink="">
      <xdr:nvSpPr>
        <xdr:cNvPr id="1410743" name="Oval 43">
          <a:extLst>
            <a:ext uri="{FF2B5EF4-FFF2-40B4-BE49-F238E27FC236}">
              <a16:creationId xmlns:a16="http://schemas.microsoft.com/office/drawing/2014/main" id="{D3BBC9C0-4DBC-B6FA-588A-40F7807301D5}"/>
            </a:ext>
          </a:extLst>
        </xdr:cNvPr>
        <xdr:cNvSpPr>
          <a:spLocks noChangeArrowheads="1"/>
        </xdr:cNvSpPr>
      </xdr:nvSpPr>
      <xdr:spPr bwMode="auto">
        <a:xfrm>
          <a:off x="2628900" y="6753225"/>
          <a:ext cx="76200" cy="762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76200</xdr:colOff>
      <xdr:row>37</xdr:row>
      <xdr:rowOff>47625</xdr:rowOff>
    </xdr:from>
    <xdr:to>
      <xdr:col>4</xdr:col>
      <xdr:colOff>152400</xdr:colOff>
      <xdr:row>37</xdr:row>
      <xdr:rowOff>123825</xdr:rowOff>
    </xdr:to>
    <xdr:sp macro="" textlink="">
      <xdr:nvSpPr>
        <xdr:cNvPr id="1410744" name="Oval 44">
          <a:extLst>
            <a:ext uri="{FF2B5EF4-FFF2-40B4-BE49-F238E27FC236}">
              <a16:creationId xmlns:a16="http://schemas.microsoft.com/office/drawing/2014/main" id="{60BC6786-6AD6-F1A8-C8F5-6F93D7B92B32}"/>
            </a:ext>
          </a:extLst>
        </xdr:cNvPr>
        <xdr:cNvSpPr>
          <a:spLocks noChangeArrowheads="1"/>
        </xdr:cNvSpPr>
      </xdr:nvSpPr>
      <xdr:spPr bwMode="auto">
        <a:xfrm>
          <a:off x="3295650" y="6762750"/>
          <a:ext cx="76200" cy="762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47625</xdr:colOff>
      <xdr:row>32</xdr:row>
      <xdr:rowOff>152400</xdr:rowOff>
    </xdr:from>
    <xdr:to>
      <xdr:col>3</xdr:col>
      <xdr:colOff>152400</xdr:colOff>
      <xdr:row>33</xdr:row>
      <xdr:rowOff>114300</xdr:rowOff>
    </xdr:to>
    <xdr:sp macro="" textlink="">
      <xdr:nvSpPr>
        <xdr:cNvPr id="1410745" name="Line 45">
          <a:extLst>
            <a:ext uri="{FF2B5EF4-FFF2-40B4-BE49-F238E27FC236}">
              <a16:creationId xmlns:a16="http://schemas.microsoft.com/office/drawing/2014/main" id="{BC0D35E0-130A-75E3-6DB5-F3AE5774E711}"/>
            </a:ext>
          </a:extLst>
        </xdr:cNvPr>
        <xdr:cNvSpPr>
          <a:spLocks noChangeShapeType="1"/>
        </xdr:cNvSpPr>
      </xdr:nvSpPr>
      <xdr:spPr bwMode="auto">
        <a:xfrm>
          <a:off x="2609850" y="5915025"/>
          <a:ext cx="104775"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114300</xdr:colOff>
      <xdr:row>32</xdr:row>
      <xdr:rowOff>76200</xdr:rowOff>
    </xdr:from>
    <xdr:to>
      <xdr:col>3</xdr:col>
      <xdr:colOff>219075</xdr:colOff>
      <xdr:row>33</xdr:row>
      <xdr:rowOff>66675</xdr:rowOff>
    </xdr:to>
    <xdr:sp macro="" textlink="">
      <xdr:nvSpPr>
        <xdr:cNvPr id="1410746" name="Line 46">
          <a:extLst>
            <a:ext uri="{FF2B5EF4-FFF2-40B4-BE49-F238E27FC236}">
              <a16:creationId xmlns:a16="http://schemas.microsoft.com/office/drawing/2014/main" id="{67A2F346-7E43-0D99-DD4B-D1630D8EC4B3}"/>
            </a:ext>
          </a:extLst>
        </xdr:cNvPr>
        <xdr:cNvSpPr>
          <a:spLocks noChangeShapeType="1"/>
        </xdr:cNvSpPr>
      </xdr:nvSpPr>
      <xdr:spPr bwMode="auto">
        <a:xfrm>
          <a:off x="2676525" y="5838825"/>
          <a:ext cx="104775"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104775</xdr:colOff>
      <xdr:row>34</xdr:row>
      <xdr:rowOff>104775</xdr:rowOff>
    </xdr:from>
    <xdr:to>
      <xdr:col>4</xdr:col>
      <xdr:colOff>95250</xdr:colOff>
      <xdr:row>34</xdr:row>
      <xdr:rowOff>104775</xdr:rowOff>
    </xdr:to>
    <xdr:sp macro="" textlink="">
      <xdr:nvSpPr>
        <xdr:cNvPr id="1410747" name="Line 47">
          <a:extLst>
            <a:ext uri="{FF2B5EF4-FFF2-40B4-BE49-F238E27FC236}">
              <a16:creationId xmlns:a16="http://schemas.microsoft.com/office/drawing/2014/main" id="{68B59B92-8E16-9CD5-F694-F94B6CC643E9}"/>
            </a:ext>
          </a:extLst>
        </xdr:cNvPr>
        <xdr:cNvSpPr>
          <a:spLocks noChangeShapeType="1"/>
        </xdr:cNvSpPr>
      </xdr:nvSpPr>
      <xdr:spPr bwMode="auto">
        <a:xfrm rot="13748" flipV="1">
          <a:off x="1143000" y="6248400"/>
          <a:ext cx="2171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485775</xdr:colOff>
      <xdr:row>32</xdr:row>
      <xdr:rowOff>76200</xdr:rowOff>
    </xdr:from>
    <xdr:to>
      <xdr:col>4</xdr:col>
      <xdr:colOff>723900</xdr:colOff>
      <xdr:row>32</xdr:row>
      <xdr:rowOff>76200</xdr:rowOff>
    </xdr:to>
    <xdr:sp macro="" textlink="">
      <xdr:nvSpPr>
        <xdr:cNvPr id="1410748" name="Line 48">
          <a:extLst>
            <a:ext uri="{FF2B5EF4-FFF2-40B4-BE49-F238E27FC236}">
              <a16:creationId xmlns:a16="http://schemas.microsoft.com/office/drawing/2014/main" id="{2C34E0EC-EA0A-2373-B863-71DFF7F8942A}"/>
            </a:ext>
          </a:extLst>
        </xdr:cNvPr>
        <xdr:cNvSpPr>
          <a:spLocks noChangeShapeType="1"/>
        </xdr:cNvSpPr>
      </xdr:nvSpPr>
      <xdr:spPr bwMode="auto">
        <a:xfrm rot="13748">
          <a:off x="3705225" y="5838825"/>
          <a:ext cx="238125"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561975</xdr:colOff>
      <xdr:row>31</xdr:row>
      <xdr:rowOff>85725</xdr:rowOff>
    </xdr:from>
    <xdr:to>
      <xdr:col>4</xdr:col>
      <xdr:colOff>561975</xdr:colOff>
      <xdr:row>32</xdr:row>
      <xdr:rowOff>123825</xdr:rowOff>
    </xdr:to>
    <xdr:sp macro="" textlink="">
      <xdr:nvSpPr>
        <xdr:cNvPr id="1410749" name="Line 49">
          <a:extLst>
            <a:ext uri="{FF2B5EF4-FFF2-40B4-BE49-F238E27FC236}">
              <a16:creationId xmlns:a16="http://schemas.microsoft.com/office/drawing/2014/main" id="{AA2CB7AB-414E-4102-572E-C1DCA6A89731}"/>
            </a:ext>
          </a:extLst>
        </xdr:cNvPr>
        <xdr:cNvSpPr>
          <a:spLocks noChangeShapeType="1"/>
        </xdr:cNvSpPr>
      </xdr:nvSpPr>
      <xdr:spPr bwMode="auto">
        <a:xfrm>
          <a:off x="3781425" y="5657850"/>
          <a:ext cx="0" cy="22860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5</xdr:row>
      <xdr:rowOff>123825</xdr:rowOff>
    </xdr:from>
    <xdr:to>
      <xdr:col>13</xdr:col>
      <xdr:colOff>504825</xdr:colOff>
      <xdr:row>5</xdr:row>
      <xdr:rowOff>123825</xdr:rowOff>
    </xdr:to>
    <xdr:sp macro="" textlink="">
      <xdr:nvSpPr>
        <xdr:cNvPr id="1410750" name="Line 52">
          <a:extLst>
            <a:ext uri="{FF2B5EF4-FFF2-40B4-BE49-F238E27FC236}">
              <a16:creationId xmlns:a16="http://schemas.microsoft.com/office/drawing/2014/main" id="{FF90E517-F680-247B-ABE8-CEFFAE821CFC}"/>
            </a:ext>
          </a:extLst>
        </xdr:cNvPr>
        <xdr:cNvSpPr>
          <a:spLocks noChangeShapeType="1"/>
        </xdr:cNvSpPr>
      </xdr:nvSpPr>
      <xdr:spPr bwMode="auto">
        <a:xfrm>
          <a:off x="0" y="933450"/>
          <a:ext cx="105822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390525</xdr:colOff>
      <xdr:row>1</xdr:row>
      <xdr:rowOff>81915</xdr:rowOff>
    </xdr:from>
    <xdr:to>
      <xdr:col>15</xdr:col>
      <xdr:colOff>70424</xdr:colOff>
      <xdr:row>2</xdr:row>
      <xdr:rowOff>110490</xdr:rowOff>
    </xdr:to>
    <xdr:sp macro="" textlink="">
      <xdr:nvSpPr>
        <xdr:cNvPr id="54325" name="Texto 327">
          <a:extLst>
            <a:ext uri="{FF2B5EF4-FFF2-40B4-BE49-F238E27FC236}">
              <a16:creationId xmlns:a16="http://schemas.microsoft.com/office/drawing/2014/main" id="{3F54561E-5618-F1C2-9D6A-C8BC5EF86268}"/>
            </a:ext>
          </a:extLst>
        </xdr:cNvPr>
        <xdr:cNvSpPr txBox="1">
          <a:spLocks noChangeArrowheads="1"/>
        </xdr:cNvSpPr>
      </xdr:nvSpPr>
      <xdr:spPr bwMode="auto">
        <a:xfrm>
          <a:off x="5895975" y="247650"/>
          <a:ext cx="5772150" cy="190500"/>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6</xdr:col>
      <xdr:colOff>691515</xdr:colOff>
      <xdr:row>2</xdr:row>
      <xdr:rowOff>110490</xdr:rowOff>
    </xdr:from>
    <xdr:to>
      <xdr:col>9</xdr:col>
      <xdr:colOff>451347</xdr:colOff>
      <xdr:row>4</xdr:row>
      <xdr:rowOff>57523</xdr:rowOff>
    </xdr:to>
    <xdr:sp macro="" textlink="">
      <xdr:nvSpPr>
        <xdr:cNvPr id="54326" name="Texto 327">
          <a:extLst>
            <a:ext uri="{FF2B5EF4-FFF2-40B4-BE49-F238E27FC236}">
              <a16:creationId xmlns:a16="http://schemas.microsoft.com/office/drawing/2014/main" id="{5166BE57-EA33-3629-31F5-427E512F4A09}"/>
            </a:ext>
          </a:extLst>
        </xdr:cNvPr>
        <xdr:cNvSpPr txBox="1">
          <a:spLocks noChangeArrowheads="1"/>
        </xdr:cNvSpPr>
      </xdr:nvSpPr>
      <xdr:spPr bwMode="auto">
        <a:xfrm>
          <a:off x="5438775" y="438150"/>
          <a:ext cx="2038350" cy="266700"/>
        </a:xfrm>
        <a:prstGeom prst="rect">
          <a:avLst/>
        </a:prstGeom>
        <a:noFill/>
        <a:ln>
          <a:noFill/>
        </a:ln>
      </xdr:spPr>
      <xdr:txBody>
        <a:bodyPr vertOverflow="clip" wrap="square" lIns="27432" tIns="18288" rIns="27432"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11</xdr:col>
      <xdr:colOff>348615</xdr:colOff>
      <xdr:row>2</xdr:row>
      <xdr:rowOff>120015</xdr:rowOff>
    </xdr:from>
    <xdr:to>
      <xdr:col>13</xdr:col>
      <xdr:colOff>663406</xdr:colOff>
      <xdr:row>5</xdr:row>
      <xdr:rowOff>110490</xdr:rowOff>
    </xdr:to>
    <xdr:sp macro="" textlink="">
      <xdr:nvSpPr>
        <xdr:cNvPr id="54327" name="Texto 327">
          <a:extLst>
            <a:ext uri="{FF2B5EF4-FFF2-40B4-BE49-F238E27FC236}">
              <a16:creationId xmlns:a16="http://schemas.microsoft.com/office/drawing/2014/main" id="{A66D2D4B-9E88-C9EB-FC66-9DB1B6E2AD6E}"/>
            </a:ext>
          </a:extLst>
        </xdr:cNvPr>
        <xdr:cNvSpPr txBox="1">
          <a:spLocks noChangeArrowheads="1"/>
        </xdr:cNvSpPr>
      </xdr:nvSpPr>
      <xdr:spPr bwMode="auto">
        <a:xfrm>
          <a:off x="8905875" y="447675"/>
          <a:ext cx="1838325" cy="476250"/>
        </a:xfrm>
        <a:prstGeom prst="rect">
          <a:avLst/>
        </a:prstGeom>
        <a:noFill/>
        <a:ln>
          <a:noFill/>
        </a:ln>
      </xdr:spPr>
      <xdr:txBody>
        <a:bodyPr vertOverflow="clip" wrap="square" lIns="27432" tIns="22860"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12</xdr:col>
      <xdr:colOff>348615</xdr:colOff>
      <xdr:row>0</xdr:row>
      <xdr:rowOff>110490</xdr:rowOff>
    </xdr:from>
    <xdr:to>
      <xdr:col>13</xdr:col>
      <xdr:colOff>470504</xdr:colOff>
      <xdr:row>1</xdr:row>
      <xdr:rowOff>110490</xdr:rowOff>
    </xdr:to>
    <xdr:sp macro="" textlink="">
      <xdr:nvSpPr>
        <xdr:cNvPr id="54328" name="Texto 327">
          <a:extLst>
            <a:ext uri="{FF2B5EF4-FFF2-40B4-BE49-F238E27FC236}">
              <a16:creationId xmlns:a16="http://schemas.microsoft.com/office/drawing/2014/main" id="{ABC24640-C808-0D5F-CBA1-9FA2EC688616}"/>
            </a:ext>
          </a:extLst>
        </xdr:cNvPr>
        <xdr:cNvSpPr txBox="1">
          <a:spLocks noChangeArrowheads="1"/>
        </xdr:cNvSpPr>
      </xdr:nvSpPr>
      <xdr:spPr bwMode="auto">
        <a:xfrm>
          <a:off x="9667875" y="114300"/>
          <a:ext cx="876300" cy="161925"/>
        </a:xfrm>
        <a:prstGeom prst="rect">
          <a:avLst/>
        </a:prstGeom>
        <a:noFill/>
        <a:ln>
          <a:noFill/>
        </a:ln>
      </xdr:spPr>
      <xdr:txBody>
        <a:bodyPr vertOverflow="clip" wrap="square" lIns="0" tIns="18288" rIns="27432" bIns="0" anchor="t" upright="1"/>
        <a:lstStyle/>
        <a:p>
          <a:pPr algn="r"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1</xdr:col>
      <xdr:colOff>152400</xdr:colOff>
      <xdr:row>5</xdr:row>
      <xdr:rowOff>47625</xdr:rowOff>
    </xdr:to>
    <xdr:pic>
      <xdr:nvPicPr>
        <xdr:cNvPr id="1410755" name="Picture 52">
          <a:extLst>
            <a:ext uri="{FF2B5EF4-FFF2-40B4-BE49-F238E27FC236}">
              <a16:creationId xmlns:a16="http://schemas.microsoft.com/office/drawing/2014/main" id="{71F8EB60-0969-1E14-604F-4D69A64222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1906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123825</xdr:colOff>
      <xdr:row>32</xdr:row>
      <xdr:rowOff>66675</xdr:rowOff>
    </xdr:from>
    <xdr:to>
      <xdr:col>1</xdr:col>
      <xdr:colOff>123825</xdr:colOff>
      <xdr:row>33</xdr:row>
      <xdr:rowOff>57150</xdr:rowOff>
    </xdr:to>
    <xdr:sp macro="" textlink="">
      <xdr:nvSpPr>
        <xdr:cNvPr id="1411734" name="Line 2">
          <a:extLst>
            <a:ext uri="{FF2B5EF4-FFF2-40B4-BE49-F238E27FC236}">
              <a16:creationId xmlns:a16="http://schemas.microsoft.com/office/drawing/2014/main" id="{C082616D-FF16-41A1-0697-65DDEF41DC07}"/>
            </a:ext>
          </a:extLst>
        </xdr:cNvPr>
        <xdr:cNvSpPr>
          <a:spLocks noChangeShapeType="1"/>
        </xdr:cNvSpPr>
      </xdr:nvSpPr>
      <xdr:spPr bwMode="auto">
        <a:xfrm rot="13748">
          <a:off x="1162050" y="586740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114300</xdr:colOff>
      <xdr:row>32</xdr:row>
      <xdr:rowOff>57150</xdr:rowOff>
    </xdr:from>
    <xdr:to>
      <xdr:col>4</xdr:col>
      <xdr:colOff>200025</xdr:colOff>
      <xdr:row>32</xdr:row>
      <xdr:rowOff>76200</xdr:rowOff>
    </xdr:to>
    <xdr:sp macro="" textlink="">
      <xdr:nvSpPr>
        <xdr:cNvPr id="1411735" name="Line 3">
          <a:extLst>
            <a:ext uri="{FF2B5EF4-FFF2-40B4-BE49-F238E27FC236}">
              <a16:creationId xmlns:a16="http://schemas.microsoft.com/office/drawing/2014/main" id="{69C2A2C7-A89C-F236-D3F6-98429095D3F2}"/>
            </a:ext>
          </a:extLst>
        </xdr:cNvPr>
        <xdr:cNvSpPr>
          <a:spLocks noChangeShapeType="1"/>
        </xdr:cNvSpPr>
      </xdr:nvSpPr>
      <xdr:spPr bwMode="auto">
        <a:xfrm rot="13748" flipV="1">
          <a:off x="1152525" y="5857875"/>
          <a:ext cx="2266950" cy="19050"/>
        </a:xfrm>
        <a:prstGeom prst="line">
          <a:avLst/>
        </a:prstGeom>
        <a:noFill/>
        <a:ln w="381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161925</xdr:colOff>
      <xdr:row>32</xdr:row>
      <xdr:rowOff>66675</xdr:rowOff>
    </xdr:from>
    <xdr:to>
      <xdr:col>4</xdr:col>
      <xdr:colOff>161925</xdr:colOff>
      <xdr:row>33</xdr:row>
      <xdr:rowOff>57150</xdr:rowOff>
    </xdr:to>
    <xdr:sp macro="" textlink="">
      <xdr:nvSpPr>
        <xdr:cNvPr id="1411736" name="Line 4">
          <a:extLst>
            <a:ext uri="{FF2B5EF4-FFF2-40B4-BE49-F238E27FC236}">
              <a16:creationId xmlns:a16="http://schemas.microsoft.com/office/drawing/2014/main" id="{F1F4DB9B-5CF1-BA08-7990-A838E1894A47}"/>
            </a:ext>
          </a:extLst>
        </xdr:cNvPr>
        <xdr:cNvSpPr>
          <a:spLocks noChangeShapeType="1"/>
        </xdr:cNvSpPr>
      </xdr:nvSpPr>
      <xdr:spPr bwMode="auto">
        <a:xfrm rot="13748" flipV="1">
          <a:off x="3381375" y="586740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285750</xdr:colOff>
      <xdr:row>31</xdr:row>
      <xdr:rowOff>180975</xdr:rowOff>
    </xdr:from>
    <xdr:to>
      <xdr:col>4</xdr:col>
      <xdr:colOff>676275</xdr:colOff>
      <xdr:row>32</xdr:row>
      <xdr:rowOff>0</xdr:rowOff>
    </xdr:to>
    <xdr:sp macro="" textlink="">
      <xdr:nvSpPr>
        <xdr:cNvPr id="1411737" name="Line 5">
          <a:extLst>
            <a:ext uri="{FF2B5EF4-FFF2-40B4-BE49-F238E27FC236}">
              <a16:creationId xmlns:a16="http://schemas.microsoft.com/office/drawing/2014/main" id="{55A9DB67-DF3E-BDC9-736C-24CA1ACA5EEE}"/>
            </a:ext>
          </a:extLst>
        </xdr:cNvPr>
        <xdr:cNvSpPr>
          <a:spLocks noChangeShapeType="1"/>
        </xdr:cNvSpPr>
      </xdr:nvSpPr>
      <xdr:spPr bwMode="auto">
        <a:xfrm rot="13748">
          <a:off x="3505200" y="5791200"/>
          <a:ext cx="390525" cy="9525"/>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323850</xdr:colOff>
      <xdr:row>35</xdr:row>
      <xdr:rowOff>57150</xdr:rowOff>
    </xdr:from>
    <xdr:to>
      <xdr:col>4</xdr:col>
      <xdr:colOff>504825</xdr:colOff>
      <xdr:row>35</xdr:row>
      <xdr:rowOff>57150</xdr:rowOff>
    </xdr:to>
    <xdr:sp macro="" textlink="">
      <xdr:nvSpPr>
        <xdr:cNvPr id="1411738" name="Line 6">
          <a:extLst>
            <a:ext uri="{FF2B5EF4-FFF2-40B4-BE49-F238E27FC236}">
              <a16:creationId xmlns:a16="http://schemas.microsoft.com/office/drawing/2014/main" id="{348E017F-F860-629E-40D8-77F14BB601BD}"/>
            </a:ext>
          </a:extLst>
        </xdr:cNvPr>
        <xdr:cNvSpPr>
          <a:spLocks noChangeShapeType="1"/>
        </xdr:cNvSpPr>
      </xdr:nvSpPr>
      <xdr:spPr bwMode="auto">
        <a:xfrm rot="13748">
          <a:off x="3543300" y="6429375"/>
          <a:ext cx="180975"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409575</xdr:colOff>
      <xdr:row>31</xdr:row>
      <xdr:rowOff>180975</xdr:rowOff>
    </xdr:from>
    <xdr:to>
      <xdr:col>4</xdr:col>
      <xdr:colOff>409575</xdr:colOff>
      <xdr:row>35</xdr:row>
      <xdr:rowOff>57150</xdr:rowOff>
    </xdr:to>
    <xdr:sp macro="" textlink="">
      <xdr:nvSpPr>
        <xdr:cNvPr id="1411739" name="Line 7">
          <a:extLst>
            <a:ext uri="{FF2B5EF4-FFF2-40B4-BE49-F238E27FC236}">
              <a16:creationId xmlns:a16="http://schemas.microsoft.com/office/drawing/2014/main" id="{C74F342F-D60D-3B0D-CAE2-0F404BB065A3}"/>
            </a:ext>
          </a:extLst>
        </xdr:cNvPr>
        <xdr:cNvSpPr>
          <a:spLocks noChangeShapeType="1"/>
        </xdr:cNvSpPr>
      </xdr:nvSpPr>
      <xdr:spPr bwMode="auto">
        <a:xfrm rot="13748">
          <a:off x="3629025" y="5791200"/>
          <a:ext cx="0" cy="638175"/>
        </a:xfrm>
        <a:prstGeom prst="line">
          <a:avLst/>
        </a:prstGeom>
        <a:noFill/>
        <a:ln w="9525">
          <a:solidFill>
            <a:srgbClr xmlns:mc="http://schemas.openxmlformats.org/markup-compatibility/2006" xmlns:a14="http://schemas.microsoft.com/office/drawing/2010/main" val="FF00FF" mc:Ignorable="a14" a14:legacySpreadsheetColorIndex="1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1</xdr:col>
      <xdr:colOff>9525</xdr:colOff>
      <xdr:row>35</xdr:row>
      <xdr:rowOff>85725</xdr:rowOff>
    </xdr:from>
    <xdr:to>
      <xdr:col>1</xdr:col>
      <xdr:colOff>9525</xdr:colOff>
      <xdr:row>36</xdr:row>
      <xdr:rowOff>57150</xdr:rowOff>
    </xdr:to>
    <xdr:sp macro="" textlink="">
      <xdr:nvSpPr>
        <xdr:cNvPr id="1411740" name="Line 8">
          <a:extLst>
            <a:ext uri="{FF2B5EF4-FFF2-40B4-BE49-F238E27FC236}">
              <a16:creationId xmlns:a16="http://schemas.microsoft.com/office/drawing/2014/main" id="{DA70F4FD-6BB4-0551-B461-ADC38F449AD6}"/>
            </a:ext>
          </a:extLst>
        </xdr:cNvPr>
        <xdr:cNvSpPr>
          <a:spLocks noChangeShapeType="1"/>
        </xdr:cNvSpPr>
      </xdr:nvSpPr>
      <xdr:spPr bwMode="auto">
        <a:xfrm rot="13748">
          <a:off x="1047750" y="6457950"/>
          <a:ext cx="0" cy="161925"/>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752475</xdr:colOff>
      <xdr:row>35</xdr:row>
      <xdr:rowOff>104775</xdr:rowOff>
    </xdr:from>
    <xdr:to>
      <xdr:col>2</xdr:col>
      <xdr:colOff>752475</xdr:colOff>
      <xdr:row>36</xdr:row>
      <xdr:rowOff>76200</xdr:rowOff>
    </xdr:to>
    <xdr:sp macro="" textlink="">
      <xdr:nvSpPr>
        <xdr:cNvPr id="1411741" name="Line 9">
          <a:extLst>
            <a:ext uri="{FF2B5EF4-FFF2-40B4-BE49-F238E27FC236}">
              <a16:creationId xmlns:a16="http://schemas.microsoft.com/office/drawing/2014/main" id="{32F07F8B-4450-5615-AB9F-6C2CE296AEC7}"/>
            </a:ext>
          </a:extLst>
        </xdr:cNvPr>
        <xdr:cNvSpPr>
          <a:spLocks noChangeShapeType="1"/>
        </xdr:cNvSpPr>
      </xdr:nvSpPr>
      <xdr:spPr bwMode="auto">
        <a:xfrm rot="13748">
          <a:off x="2552700" y="6477000"/>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209550</xdr:colOff>
      <xdr:row>35</xdr:row>
      <xdr:rowOff>104775</xdr:rowOff>
    </xdr:from>
    <xdr:to>
      <xdr:col>4</xdr:col>
      <xdr:colOff>209550</xdr:colOff>
      <xdr:row>37</xdr:row>
      <xdr:rowOff>76200</xdr:rowOff>
    </xdr:to>
    <xdr:sp macro="" textlink="">
      <xdr:nvSpPr>
        <xdr:cNvPr id="1411742" name="Line 10">
          <a:extLst>
            <a:ext uri="{FF2B5EF4-FFF2-40B4-BE49-F238E27FC236}">
              <a16:creationId xmlns:a16="http://schemas.microsoft.com/office/drawing/2014/main" id="{2472417D-08F7-AD60-05E8-BCE33FCB58A1}"/>
            </a:ext>
          </a:extLst>
        </xdr:cNvPr>
        <xdr:cNvSpPr>
          <a:spLocks noChangeShapeType="1"/>
        </xdr:cNvSpPr>
      </xdr:nvSpPr>
      <xdr:spPr bwMode="auto">
        <a:xfrm rot="13748">
          <a:off x="3429000" y="6477000"/>
          <a:ext cx="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9525</xdr:colOff>
      <xdr:row>36</xdr:row>
      <xdr:rowOff>0</xdr:rowOff>
    </xdr:from>
    <xdr:to>
      <xdr:col>2</xdr:col>
      <xdr:colOff>752475</xdr:colOff>
      <xdr:row>36</xdr:row>
      <xdr:rowOff>0</xdr:rowOff>
    </xdr:to>
    <xdr:sp macro="" textlink="">
      <xdr:nvSpPr>
        <xdr:cNvPr id="1411743" name="Line 11">
          <a:extLst>
            <a:ext uri="{FF2B5EF4-FFF2-40B4-BE49-F238E27FC236}">
              <a16:creationId xmlns:a16="http://schemas.microsoft.com/office/drawing/2014/main" id="{1A244D6A-7044-B218-A932-6CBB55F3C26A}"/>
            </a:ext>
          </a:extLst>
        </xdr:cNvPr>
        <xdr:cNvSpPr>
          <a:spLocks noChangeShapeType="1"/>
        </xdr:cNvSpPr>
      </xdr:nvSpPr>
      <xdr:spPr bwMode="auto">
        <a:xfrm rot="13748">
          <a:off x="1047750" y="6562725"/>
          <a:ext cx="150495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2</xdr:col>
      <xdr:colOff>752475</xdr:colOff>
      <xdr:row>36</xdr:row>
      <xdr:rowOff>9525</xdr:rowOff>
    </xdr:from>
    <xdr:to>
      <xdr:col>4</xdr:col>
      <xdr:colOff>209550</xdr:colOff>
      <xdr:row>36</xdr:row>
      <xdr:rowOff>9525</xdr:rowOff>
    </xdr:to>
    <xdr:sp macro="" textlink="">
      <xdr:nvSpPr>
        <xdr:cNvPr id="1411744" name="Line 12">
          <a:extLst>
            <a:ext uri="{FF2B5EF4-FFF2-40B4-BE49-F238E27FC236}">
              <a16:creationId xmlns:a16="http://schemas.microsoft.com/office/drawing/2014/main" id="{AAA9AADA-CAD9-79B5-9437-0F14D6502454}"/>
            </a:ext>
          </a:extLst>
        </xdr:cNvPr>
        <xdr:cNvSpPr>
          <a:spLocks noChangeShapeType="1"/>
        </xdr:cNvSpPr>
      </xdr:nvSpPr>
      <xdr:spPr bwMode="auto">
        <a:xfrm rot="13748">
          <a:off x="2552700" y="6572250"/>
          <a:ext cx="87630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0</xdr:col>
      <xdr:colOff>561975</xdr:colOff>
      <xdr:row>34</xdr:row>
      <xdr:rowOff>104775</xdr:rowOff>
    </xdr:from>
    <xdr:to>
      <xdr:col>0</xdr:col>
      <xdr:colOff>781050</xdr:colOff>
      <xdr:row>34</xdr:row>
      <xdr:rowOff>104775</xdr:rowOff>
    </xdr:to>
    <xdr:sp macro="" textlink="">
      <xdr:nvSpPr>
        <xdr:cNvPr id="1411745" name="Line 13">
          <a:extLst>
            <a:ext uri="{FF2B5EF4-FFF2-40B4-BE49-F238E27FC236}">
              <a16:creationId xmlns:a16="http://schemas.microsoft.com/office/drawing/2014/main" id="{88C80E28-B101-5FFA-EC89-66641D3D63D7}"/>
            </a:ext>
          </a:extLst>
        </xdr:cNvPr>
        <xdr:cNvSpPr>
          <a:spLocks noChangeShapeType="1"/>
        </xdr:cNvSpPr>
      </xdr:nvSpPr>
      <xdr:spPr bwMode="auto">
        <a:xfrm rot="13748">
          <a:off x="561975" y="6286500"/>
          <a:ext cx="219075"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533400</xdr:colOff>
      <xdr:row>35</xdr:row>
      <xdr:rowOff>9525</xdr:rowOff>
    </xdr:from>
    <xdr:to>
      <xdr:col>0</xdr:col>
      <xdr:colOff>742950</xdr:colOff>
      <xdr:row>35</xdr:row>
      <xdr:rowOff>9525</xdr:rowOff>
    </xdr:to>
    <xdr:sp macro="" textlink="">
      <xdr:nvSpPr>
        <xdr:cNvPr id="1411746" name="Line 14">
          <a:extLst>
            <a:ext uri="{FF2B5EF4-FFF2-40B4-BE49-F238E27FC236}">
              <a16:creationId xmlns:a16="http://schemas.microsoft.com/office/drawing/2014/main" id="{E641877A-980A-E4C9-1F9A-43B3E8584441}"/>
            </a:ext>
          </a:extLst>
        </xdr:cNvPr>
        <xdr:cNvSpPr>
          <a:spLocks noChangeShapeType="1"/>
        </xdr:cNvSpPr>
      </xdr:nvSpPr>
      <xdr:spPr bwMode="auto">
        <a:xfrm rot="13748">
          <a:off x="533400" y="6381750"/>
          <a:ext cx="20955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638175</xdr:colOff>
      <xdr:row>34</xdr:row>
      <xdr:rowOff>38100</xdr:rowOff>
    </xdr:from>
    <xdr:to>
      <xdr:col>0</xdr:col>
      <xdr:colOff>638175</xdr:colOff>
      <xdr:row>35</xdr:row>
      <xdr:rowOff>19050</xdr:rowOff>
    </xdr:to>
    <xdr:sp macro="" textlink="">
      <xdr:nvSpPr>
        <xdr:cNvPr id="1411747" name="Line 15">
          <a:extLst>
            <a:ext uri="{FF2B5EF4-FFF2-40B4-BE49-F238E27FC236}">
              <a16:creationId xmlns:a16="http://schemas.microsoft.com/office/drawing/2014/main" id="{77995805-4929-D878-8E6E-836079EE6CA4}"/>
            </a:ext>
          </a:extLst>
        </xdr:cNvPr>
        <xdr:cNvSpPr>
          <a:spLocks noChangeShapeType="1"/>
        </xdr:cNvSpPr>
      </xdr:nvSpPr>
      <xdr:spPr bwMode="auto">
        <a:xfrm rot="13748">
          <a:off x="638175" y="6219825"/>
          <a:ext cx="0" cy="171450"/>
        </a:xfrm>
        <a:prstGeom prst="line">
          <a:avLst/>
        </a:prstGeom>
        <a:noFill/>
        <a:ln w="9525">
          <a:solidFill>
            <a:srgbClr xmlns:mc="http://schemas.openxmlformats.org/markup-compatibility/2006" xmlns:a14="http://schemas.microsoft.com/office/drawing/2010/main" val="FF00FF" mc:Ignorable="a14" a14:legacySpreadsheetColorIndex="14"/>
          </a:solidFill>
          <a:round/>
          <a:headEnd type="triangle" w="sm" len="sm"/>
          <a:tailEnd type="triangle" w="sm" len="sm"/>
        </a:ln>
        <a:extLst>
          <a:ext uri="{909E8E84-426E-40DD-AFC4-6F175D3DCCD1}">
            <a14:hiddenFill xmlns:a14="http://schemas.microsoft.com/office/drawing/2010/main">
              <a:noFill/>
            </a14:hiddenFill>
          </a:ext>
        </a:extLst>
      </xdr:spPr>
    </xdr:sp>
    <xdr:clientData/>
  </xdr:twoCellAnchor>
  <xdr:twoCellAnchor>
    <xdr:from>
      <xdr:col>3</xdr:col>
      <xdr:colOff>47625</xdr:colOff>
      <xdr:row>32</xdr:row>
      <xdr:rowOff>57150</xdr:rowOff>
    </xdr:from>
    <xdr:to>
      <xdr:col>4</xdr:col>
      <xdr:colOff>171450</xdr:colOff>
      <xdr:row>37</xdr:row>
      <xdr:rowOff>133350</xdr:rowOff>
    </xdr:to>
    <xdr:sp macro="" textlink="">
      <xdr:nvSpPr>
        <xdr:cNvPr id="1411748" name="Rectangle 16">
          <a:extLst>
            <a:ext uri="{FF2B5EF4-FFF2-40B4-BE49-F238E27FC236}">
              <a16:creationId xmlns:a16="http://schemas.microsoft.com/office/drawing/2014/main" id="{ADA49444-8046-0CD9-CA10-A1B9933C2615}"/>
            </a:ext>
          </a:extLst>
        </xdr:cNvPr>
        <xdr:cNvSpPr>
          <a:spLocks noChangeArrowheads="1"/>
        </xdr:cNvSpPr>
      </xdr:nvSpPr>
      <xdr:spPr bwMode="auto">
        <a:xfrm rot="13748">
          <a:off x="2609850" y="5857875"/>
          <a:ext cx="781050" cy="10287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28575</xdr:colOff>
      <xdr:row>38</xdr:row>
      <xdr:rowOff>57150</xdr:rowOff>
    </xdr:from>
    <xdr:to>
      <xdr:col>4</xdr:col>
      <xdr:colOff>200025</xdr:colOff>
      <xdr:row>39</xdr:row>
      <xdr:rowOff>123825</xdr:rowOff>
    </xdr:to>
    <xdr:sp macro="" textlink="">
      <xdr:nvSpPr>
        <xdr:cNvPr id="1411749" name="Rectangle 18">
          <a:extLst>
            <a:ext uri="{FF2B5EF4-FFF2-40B4-BE49-F238E27FC236}">
              <a16:creationId xmlns:a16="http://schemas.microsoft.com/office/drawing/2014/main" id="{56C70C3B-62C1-AE88-3DC0-B299A877CF45}"/>
            </a:ext>
          </a:extLst>
        </xdr:cNvPr>
        <xdr:cNvSpPr>
          <a:spLocks noChangeArrowheads="1"/>
        </xdr:cNvSpPr>
      </xdr:nvSpPr>
      <xdr:spPr bwMode="auto">
        <a:xfrm rot="13748">
          <a:off x="2590800" y="7000875"/>
          <a:ext cx="828675" cy="257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28575</xdr:colOff>
      <xdr:row>39</xdr:row>
      <xdr:rowOff>142875</xdr:rowOff>
    </xdr:from>
    <xdr:to>
      <xdr:col>4</xdr:col>
      <xdr:colOff>200025</xdr:colOff>
      <xdr:row>41</xdr:row>
      <xdr:rowOff>47625</xdr:rowOff>
    </xdr:to>
    <xdr:sp macro="" textlink="">
      <xdr:nvSpPr>
        <xdr:cNvPr id="1411750" name="Rectangle 19">
          <a:extLst>
            <a:ext uri="{FF2B5EF4-FFF2-40B4-BE49-F238E27FC236}">
              <a16:creationId xmlns:a16="http://schemas.microsoft.com/office/drawing/2014/main" id="{21E9C7C8-9637-96E7-1208-3A3B88B3A7E8}"/>
            </a:ext>
          </a:extLst>
        </xdr:cNvPr>
        <xdr:cNvSpPr>
          <a:spLocks noChangeArrowheads="1"/>
        </xdr:cNvSpPr>
      </xdr:nvSpPr>
      <xdr:spPr bwMode="auto">
        <a:xfrm rot="13748">
          <a:off x="2590800" y="7277100"/>
          <a:ext cx="828675" cy="2857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0</xdr:col>
      <xdr:colOff>552450</xdr:colOff>
      <xdr:row>32</xdr:row>
      <xdr:rowOff>47625</xdr:rowOff>
    </xdr:from>
    <xdr:to>
      <xdr:col>0</xdr:col>
      <xdr:colOff>742950</xdr:colOff>
      <xdr:row>32</xdr:row>
      <xdr:rowOff>47625</xdr:rowOff>
    </xdr:to>
    <xdr:sp macro="" textlink="">
      <xdr:nvSpPr>
        <xdr:cNvPr id="1411751" name="Line 23">
          <a:extLst>
            <a:ext uri="{FF2B5EF4-FFF2-40B4-BE49-F238E27FC236}">
              <a16:creationId xmlns:a16="http://schemas.microsoft.com/office/drawing/2014/main" id="{FADEF736-62A6-3540-26A9-DBCF7364C1BD}"/>
            </a:ext>
          </a:extLst>
        </xdr:cNvPr>
        <xdr:cNvSpPr>
          <a:spLocks noChangeShapeType="1"/>
        </xdr:cNvSpPr>
      </xdr:nvSpPr>
      <xdr:spPr bwMode="auto">
        <a:xfrm rot="13748">
          <a:off x="552450" y="5848350"/>
          <a:ext cx="19050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type="none" w="sm" len="med"/>
        </a:ln>
        <a:extLst>
          <a:ext uri="{909E8E84-426E-40DD-AFC4-6F175D3DCCD1}">
            <a14:hiddenFill xmlns:a14="http://schemas.microsoft.com/office/drawing/2010/main">
              <a:noFill/>
            </a14:hiddenFill>
          </a:ext>
        </a:extLst>
      </xdr:spPr>
    </xdr:sp>
    <xdr:clientData/>
  </xdr:twoCellAnchor>
  <xdr:twoCellAnchor>
    <xdr:from>
      <xdr:col>1</xdr:col>
      <xdr:colOff>9525</xdr:colOff>
      <xdr:row>36</xdr:row>
      <xdr:rowOff>85725</xdr:rowOff>
    </xdr:from>
    <xdr:to>
      <xdr:col>1</xdr:col>
      <xdr:colOff>9525</xdr:colOff>
      <xdr:row>37</xdr:row>
      <xdr:rowOff>47625</xdr:rowOff>
    </xdr:to>
    <xdr:sp macro="" textlink="">
      <xdr:nvSpPr>
        <xdr:cNvPr id="1411752" name="Line 24">
          <a:extLst>
            <a:ext uri="{FF2B5EF4-FFF2-40B4-BE49-F238E27FC236}">
              <a16:creationId xmlns:a16="http://schemas.microsoft.com/office/drawing/2014/main" id="{DE440F6B-991F-AAD2-BB77-56AF54056B4A}"/>
            </a:ext>
          </a:extLst>
        </xdr:cNvPr>
        <xdr:cNvSpPr>
          <a:spLocks noChangeShapeType="1"/>
        </xdr:cNvSpPr>
      </xdr:nvSpPr>
      <xdr:spPr bwMode="auto">
        <a:xfrm rot="13748">
          <a:off x="1047750" y="6648450"/>
          <a:ext cx="0" cy="15240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9525</xdr:colOff>
      <xdr:row>37</xdr:row>
      <xdr:rowOff>9525</xdr:rowOff>
    </xdr:from>
    <xdr:to>
      <xdr:col>4</xdr:col>
      <xdr:colOff>190500</xdr:colOff>
      <xdr:row>37</xdr:row>
      <xdr:rowOff>9525</xdr:rowOff>
    </xdr:to>
    <xdr:sp macro="" textlink="">
      <xdr:nvSpPr>
        <xdr:cNvPr id="1411753" name="Line 25">
          <a:extLst>
            <a:ext uri="{FF2B5EF4-FFF2-40B4-BE49-F238E27FC236}">
              <a16:creationId xmlns:a16="http://schemas.microsoft.com/office/drawing/2014/main" id="{E96C8A28-0F50-4447-02AE-DB8AD34C6653}"/>
            </a:ext>
          </a:extLst>
        </xdr:cNvPr>
        <xdr:cNvSpPr>
          <a:spLocks noChangeShapeType="1"/>
        </xdr:cNvSpPr>
      </xdr:nvSpPr>
      <xdr:spPr bwMode="auto">
        <a:xfrm rot="13748">
          <a:off x="1047750" y="6762750"/>
          <a:ext cx="236220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0</xdr:col>
      <xdr:colOff>628650</xdr:colOff>
      <xdr:row>32</xdr:row>
      <xdr:rowOff>38100</xdr:rowOff>
    </xdr:from>
    <xdr:to>
      <xdr:col>0</xdr:col>
      <xdr:colOff>628650</xdr:colOff>
      <xdr:row>34</xdr:row>
      <xdr:rowOff>133350</xdr:rowOff>
    </xdr:to>
    <xdr:sp macro="" textlink="">
      <xdr:nvSpPr>
        <xdr:cNvPr id="1411754" name="Line 26">
          <a:extLst>
            <a:ext uri="{FF2B5EF4-FFF2-40B4-BE49-F238E27FC236}">
              <a16:creationId xmlns:a16="http://schemas.microsoft.com/office/drawing/2014/main" id="{7DEDCB96-AC08-36BB-441D-43C0FB5A5760}"/>
            </a:ext>
          </a:extLst>
        </xdr:cNvPr>
        <xdr:cNvSpPr>
          <a:spLocks noChangeShapeType="1"/>
        </xdr:cNvSpPr>
      </xdr:nvSpPr>
      <xdr:spPr bwMode="auto">
        <a:xfrm rot="13748" flipV="1">
          <a:off x="628650" y="5838825"/>
          <a:ext cx="0" cy="476250"/>
        </a:xfrm>
        <a:prstGeom prst="line">
          <a:avLst/>
        </a:prstGeom>
        <a:noFill/>
        <a:ln w="9525">
          <a:solidFill>
            <a:srgbClr xmlns:mc="http://schemas.openxmlformats.org/markup-compatibility/2006" xmlns:a14="http://schemas.microsoft.com/office/drawing/2010/main" val="FF00FF" mc:Ignorable="a14" a14:legacySpreadsheetColorIndex="14"/>
          </a:solidFill>
          <a:round/>
          <a:headEnd type="triangle" w="sm" len="sm"/>
          <a:tailEnd type="triangle" w="sm" len="sm"/>
        </a:ln>
        <a:extLst>
          <a:ext uri="{909E8E84-426E-40DD-AFC4-6F175D3DCCD1}">
            <a14:hiddenFill xmlns:a14="http://schemas.microsoft.com/office/drawing/2010/main">
              <a:noFill/>
            </a14:hiddenFill>
          </a:ext>
        </a:extLst>
      </xdr:spPr>
    </xdr:sp>
    <xdr:clientData/>
  </xdr:twoCellAnchor>
  <xdr:twoCellAnchor>
    <xdr:from>
      <xdr:col>4</xdr:col>
      <xdr:colOff>200025</xdr:colOff>
      <xdr:row>32</xdr:row>
      <xdr:rowOff>0</xdr:rowOff>
    </xdr:from>
    <xdr:to>
      <xdr:col>4</xdr:col>
      <xdr:colOff>209550</xdr:colOff>
      <xdr:row>38</xdr:row>
      <xdr:rowOff>28575</xdr:rowOff>
    </xdr:to>
    <xdr:sp macro="" textlink="">
      <xdr:nvSpPr>
        <xdr:cNvPr id="1411755" name="Line 28">
          <a:extLst>
            <a:ext uri="{FF2B5EF4-FFF2-40B4-BE49-F238E27FC236}">
              <a16:creationId xmlns:a16="http://schemas.microsoft.com/office/drawing/2014/main" id="{91CD489C-92AF-126B-7757-8FD265686741}"/>
            </a:ext>
          </a:extLst>
        </xdr:cNvPr>
        <xdr:cNvSpPr>
          <a:spLocks noChangeShapeType="1"/>
        </xdr:cNvSpPr>
      </xdr:nvSpPr>
      <xdr:spPr bwMode="auto">
        <a:xfrm rot="13748">
          <a:off x="3419475" y="5800725"/>
          <a:ext cx="9525" cy="1171575"/>
        </a:xfrm>
        <a:prstGeom prst="line">
          <a:avLst/>
        </a:prstGeom>
        <a:noFill/>
        <a:ln w="1714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9525</xdr:colOff>
      <xdr:row>35</xdr:row>
      <xdr:rowOff>9525</xdr:rowOff>
    </xdr:from>
    <xdr:to>
      <xdr:col>3</xdr:col>
      <xdr:colOff>0</xdr:colOff>
      <xdr:row>35</xdr:row>
      <xdr:rowOff>9525</xdr:rowOff>
    </xdr:to>
    <xdr:sp macro="" textlink="">
      <xdr:nvSpPr>
        <xdr:cNvPr id="1411756" name="Line 29">
          <a:extLst>
            <a:ext uri="{FF2B5EF4-FFF2-40B4-BE49-F238E27FC236}">
              <a16:creationId xmlns:a16="http://schemas.microsoft.com/office/drawing/2014/main" id="{17DF7DA2-9321-C4EF-1427-9DD06C919A07}"/>
            </a:ext>
          </a:extLst>
        </xdr:cNvPr>
        <xdr:cNvSpPr>
          <a:spLocks noChangeShapeType="1"/>
        </xdr:cNvSpPr>
      </xdr:nvSpPr>
      <xdr:spPr bwMode="auto">
        <a:xfrm rot="13748" flipH="1">
          <a:off x="1047750" y="6381750"/>
          <a:ext cx="1514475" cy="0"/>
        </a:xfrm>
        <a:prstGeom prst="line">
          <a:avLst/>
        </a:prstGeom>
        <a:noFill/>
        <a:ln w="1714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9525</xdr:colOff>
      <xdr:row>31</xdr:row>
      <xdr:rowOff>180975</xdr:rowOff>
    </xdr:from>
    <xdr:to>
      <xdr:col>1</xdr:col>
      <xdr:colOff>9525</xdr:colOff>
      <xdr:row>35</xdr:row>
      <xdr:rowOff>19050</xdr:rowOff>
    </xdr:to>
    <xdr:sp macro="" textlink="">
      <xdr:nvSpPr>
        <xdr:cNvPr id="1411757" name="Line 30">
          <a:extLst>
            <a:ext uri="{FF2B5EF4-FFF2-40B4-BE49-F238E27FC236}">
              <a16:creationId xmlns:a16="http://schemas.microsoft.com/office/drawing/2014/main" id="{1021853E-F8F6-50DA-AFB0-F911BF89A4DC}"/>
            </a:ext>
          </a:extLst>
        </xdr:cNvPr>
        <xdr:cNvSpPr>
          <a:spLocks noChangeShapeType="1"/>
        </xdr:cNvSpPr>
      </xdr:nvSpPr>
      <xdr:spPr bwMode="auto">
        <a:xfrm rot="13748" flipV="1">
          <a:off x="1047750" y="5791200"/>
          <a:ext cx="0" cy="600075"/>
        </a:xfrm>
        <a:prstGeom prst="line">
          <a:avLst/>
        </a:prstGeom>
        <a:noFill/>
        <a:ln w="1714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1019175</xdr:colOff>
      <xdr:row>32</xdr:row>
      <xdr:rowOff>0</xdr:rowOff>
    </xdr:from>
    <xdr:to>
      <xdr:col>4</xdr:col>
      <xdr:colOff>190500</xdr:colOff>
      <xdr:row>32</xdr:row>
      <xdr:rowOff>9525</xdr:rowOff>
    </xdr:to>
    <xdr:sp macro="" textlink="">
      <xdr:nvSpPr>
        <xdr:cNvPr id="1411758" name="Line 31">
          <a:extLst>
            <a:ext uri="{FF2B5EF4-FFF2-40B4-BE49-F238E27FC236}">
              <a16:creationId xmlns:a16="http://schemas.microsoft.com/office/drawing/2014/main" id="{698A66C3-1C58-1915-4175-97198BB6F18C}"/>
            </a:ext>
          </a:extLst>
        </xdr:cNvPr>
        <xdr:cNvSpPr>
          <a:spLocks noChangeShapeType="1"/>
        </xdr:cNvSpPr>
      </xdr:nvSpPr>
      <xdr:spPr bwMode="auto">
        <a:xfrm rot="13748" flipV="1">
          <a:off x="1019175" y="5800725"/>
          <a:ext cx="2390775" cy="9525"/>
        </a:xfrm>
        <a:prstGeom prst="line">
          <a:avLst/>
        </a:prstGeom>
        <a:noFill/>
        <a:ln w="1714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9525</xdr:colOff>
      <xdr:row>30</xdr:row>
      <xdr:rowOff>104775</xdr:rowOff>
    </xdr:from>
    <xdr:to>
      <xdr:col>2</xdr:col>
      <xdr:colOff>28575</xdr:colOff>
      <xdr:row>31</xdr:row>
      <xdr:rowOff>152400</xdr:rowOff>
    </xdr:to>
    <xdr:sp macro="" textlink="">
      <xdr:nvSpPr>
        <xdr:cNvPr id="1411759" name="Rectangle 34">
          <a:extLst>
            <a:ext uri="{FF2B5EF4-FFF2-40B4-BE49-F238E27FC236}">
              <a16:creationId xmlns:a16="http://schemas.microsoft.com/office/drawing/2014/main" id="{BFCDA164-A8FA-8AE6-F113-B65C7EDC3021}"/>
            </a:ext>
          </a:extLst>
        </xdr:cNvPr>
        <xdr:cNvSpPr>
          <a:spLocks noChangeArrowheads="1"/>
        </xdr:cNvSpPr>
      </xdr:nvSpPr>
      <xdr:spPr bwMode="auto">
        <a:xfrm rot="13748">
          <a:off x="1047750" y="5524500"/>
          <a:ext cx="781050" cy="2381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xdr:col>
      <xdr:colOff>28575</xdr:colOff>
      <xdr:row>25</xdr:row>
      <xdr:rowOff>142875</xdr:rowOff>
    </xdr:from>
    <xdr:to>
      <xdr:col>2</xdr:col>
      <xdr:colOff>38100</xdr:colOff>
      <xdr:row>27</xdr:row>
      <xdr:rowOff>19050</xdr:rowOff>
    </xdr:to>
    <xdr:sp macro="" textlink="">
      <xdr:nvSpPr>
        <xdr:cNvPr id="1411760" name="Rectangle 35">
          <a:extLst>
            <a:ext uri="{FF2B5EF4-FFF2-40B4-BE49-F238E27FC236}">
              <a16:creationId xmlns:a16="http://schemas.microsoft.com/office/drawing/2014/main" id="{59BCA7C9-EDB2-98BF-8709-C6452E5B7747}"/>
            </a:ext>
          </a:extLst>
        </xdr:cNvPr>
        <xdr:cNvSpPr>
          <a:spLocks noChangeArrowheads="1"/>
        </xdr:cNvSpPr>
      </xdr:nvSpPr>
      <xdr:spPr bwMode="auto">
        <a:xfrm rot="13748">
          <a:off x="1066800" y="4610100"/>
          <a:ext cx="771525" cy="257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xdr:col>
      <xdr:colOff>28575</xdr:colOff>
      <xdr:row>27</xdr:row>
      <xdr:rowOff>47625</xdr:rowOff>
    </xdr:from>
    <xdr:to>
      <xdr:col>2</xdr:col>
      <xdr:colOff>38100</xdr:colOff>
      <xdr:row>28</xdr:row>
      <xdr:rowOff>133350</xdr:rowOff>
    </xdr:to>
    <xdr:sp macro="" textlink="">
      <xdr:nvSpPr>
        <xdr:cNvPr id="1411761" name="Rectangle 36">
          <a:extLst>
            <a:ext uri="{FF2B5EF4-FFF2-40B4-BE49-F238E27FC236}">
              <a16:creationId xmlns:a16="http://schemas.microsoft.com/office/drawing/2014/main" id="{253C0930-9745-5DD6-3090-44E352C34663}"/>
            </a:ext>
          </a:extLst>
        </xdr:cNvPr>
        <xdr:cNvSpPr>
          <a:spLocks noChangeArrowheads="1"/>
        </xdr:cNvSpPr>
      </xdr:nvSpPr>
      <xdr:spPr bwMode="auto">
        <a:xfrm rot="13748">
          <a:off x="1066800" y="4895850"/>
          <a:ext cx="771525" cy="2762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xdr:col>
      <xdr:colOff>9525</xdr:colOff>
      <xdr:row>28</xdr:row>
      <xdr:rowOff>180975</xdr:rowOff>
    </xdr:from>
    <xdr:to>
      <xdr:col>2</xdr:col>
      <xdr:colOff>19050</xdr:colOff>
      <xdr:row>30</xdr:row>
      <xdr:rowOff>76200</xdr:rowOff>
    </xdr:to>
    <xdr:sp macro="" textlink="">
      <xdr:nvSpPr>
        <xdr:cNvPr id="1411762" name="Rectangle 37">
          <a:extLst>
            <a:ext uri="{FF2B5EF4-FFF2-40B4-BE49-F238E27FC236}">
              <a16:creationId xmlns:a16="http://schemas.microsoft.com/office/drawing/2014/main" id="{B35DCE02-C159-01F3-9948-593D5CF9EF77}"/>
            </a:ext>
          </a:extLst>
        </xdr:cNvPr>
        <xdr:cNvSpPr>
          <a:spLocks noChangeArrowheads="1"/>
        </xdr:cNvSpPr>
      </xdr:nvSpPr>
      <xdr:spPr bwMode="auto">
        <a:xfrm rot="13748">
          <a:off x="1047750" y="5219700"/>
          <a:ext cx="771525" cy="2762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0</xdr:colOff>
      <xdr:row>35</xdr:row>
      <xdr:rowOff>28575</xdr:rowOff>
    </xdr:from>
    <xdr:to>
      <xdr:col>3</xdr:col>
      <xdr:colOff>9525</xdr:colOff>
      <xdr:row>38</xdr:row>
      <xdr:rowOff>66675</xdr:rowOff>
    </xdr:to>
    <xdr:sp macro="" textlink="">
      <xdr:nvSpPr>
        <xdr:cNvPr id="1411763" name="Line 38">
          <a:extLst>
            <a:ext uri="{FF2B5EF4-FFF2-40B4-BE49-F238E27FC236}">
              <a16:creationId xmlns:a16="http://schemas.microsoft.com/office/drawing/2014/main" id="{DC8980E9-F369-0ACC-418B-B0C737282919}"/>
            </a:ext>
          </a:extLst>
        </xdr:cNvPr>
        <xdr:cNvSpPr>
          <a:spLocks noChangeShapeType="1"/>
        </xdr:cNvSpPr>
      </xdr:nvSpPr>
      <xdr:spPr bwMode="auto">
        <a:xfrm rot="13748">
          <a:off x="2562225" y="6400800"/>
          <a:ext cx="9525" cy="609600"/>
        </a:xfrm>
        <a:prstGeom prst="line">
          <a:avLst/>
        </a:prstGeom>
        <a:noFill/>
        <a:ln w="1714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38</xdr:row>
      <xdr:rowOff>9525</xdr:rowOff>
    </xdr:from>
    <xdr:to>
      <xdr:col>4</xdr:col>
      <xdr:colOff>209550</xdr:colOff>
      <xdr:row>38</xdr:row>
      <xdr:rowOff>9525</xdr:rowOff>
    </xdr:to>
    <xdr:sp macro="" textlink="">
      <xdr:nvSpPr>
        <xdr:cNvPr id="1411764" name="Line 39">
          <a:extLst>
            <a:ext uri="{FF2B5EF4-FFF2-40B4-BE49-F238E27FC236}">
              <a16:creationId xmlns:a16="http://schemas.microsoft.com/office/drawing/2014/main" id="{C8BD50BA-8512-DF2C-EB16-07474C8BAD06}"/>
            </a:ext>
          </a:extLst>
        </xdr:cNvPr>
        <xdr:cNvSpPr>
          <a:spLocks noChangeShapeType="1"/>
        </xdr:cNvSpPr>
      </xdr:nvSpPr>
      <xdr:spPr bwMode="auto">
        <a:xfrm rot="13748" flipV="1">
          <a:off x="2562225" y="6953250"/>
          <a:ext cx="866775" cy="0"/>
        </a:xfrm>
        <a:prstGeom prst="line">
          <a:avLst/>
        </a:prstGeom>
        <a:noFill/>
        <a:ln w="1714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47625</xdr:colOff>
      <xdr:row>32</xdr:row>
      <xdr:rowOff>85725</xdr:rowOff>
    </xdr:from>
    <xdr:to>
      <xdr:col>3</xdr:col>
      <xdr:colOff>123825</xdr:colOff>
      <xdr:row>32</xdr:row>
      <xdr:rowOff>161925</xdr:rowOff>
    </xdr:to>
    <xdr:sp macro="" textlink="">
      <xdr:nvSpPr>
        <xdr:cNvPr id="1411765" name="Oval 41">
          <a:extLst>
            <a:ext uri="{FF2B5EF4-FFF2-40B4-BE49-F238E27FC236}">
              <a16:creationId xmlns:a16="http://schemas.microsoft.com/office/drawing/2014/main" id="{83E1C848-02B0-4EB9-09CE-3ECDB6D7847A}"/>
            </a:ext>
          </a:extLst>
        </xdr:cNvPr>
        <xdr:cNvSpPr>
          <a:spLocks noChangeArrowheads="1"/>
        </xdr:cNvSpPr>
      </xdr:nvSpPr>
      <xdr:spPr bwMode="auto">
        <a:xfrm>
          <a:off x="2609850" y="5886450"/>
          <a:ext cx="76200" cy="762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85725</xdr:colOff>
      <xdr:row>32</xdr:row>
      <xdr:rowOff>76200</xdr:rowOff>
    </xdr:from>
    <xdr:to>
      <xdr:col>4</xdr:col>
      <xdr:colOff>161925</xdr:colOff>
      <xdr:row>32</xdr:row>
      <xdr:rowOff>152400</xdr:rowOff>
    </xdr:to>
    <xdr:sp macro="" textlink="">
      <xdr:nvSpPr>
        <xdr:cNvPr id="1411766" name="Oval 42">
          <a:extLst>
            <a:ext uri="{FF2B5EF4-FFF2-40B4-BE49-F238E27FC236}">
              <a16:creationId xmlns:a16="http://schemas.microsoft.com/office/drawing/2014/main" id="{693BC2FC-49B4-E240-F4CF-CCE127DEA9E5}"/>
            </a:ext>
          </a:extLst>
        </xdr:cNvPr>
        <xdr:cNvSpPr>
          <a:spLocks noChangeArrowheads="1"/>
        </xdr:cNvSpPr>
      </xdr:nvSpPr>
      <xdr:spPr bwMode="auto">
        <a:xfrm>
          <a:off x="3305175" y="5876925"/>
          <a:ext cx="76200" cy="762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66675</xdr:colOff>
      <xdr:row>37</xdr:row>
      <xdr:rowOff>38100</xdr:rowOff>
    </xdr:from>
    <xdr:to>
      <xdr:col>3</xdr:col>
      <xdr:colOff>142875</xdr:colOff>
      <xdr:row>37</xdr:row>
      <xdr:rowOff>114300</xdr:rowOff>
    </xdr:to>
    <xdr:sp macro="" textlink="">
      <xdr:nvSpPr>
        <xdr:cNvPr id="1411767" name="Oval 43">
          <a:extLst>
            <a:ext uri="{FF2B5EF4-FFF2-40B4-BE49-F238E27FC236}">
              <a16:creationId xmlns:a16="http://schemas.microsoft.com/office/drawing/2014/main" id="{2D773EED-BE5A-D9AA-2C28-77A8A78F953E}"/>
            </a:ext>
          </a:extLst>
        </xdr:cNvPr>
        <xdr:cNvSpPr>
          <a:spLocks noChangeArrowheads="1"/>
        </xdr:cNvSpPr>
      </xdr:nvSpPr>
      <xdr:spPr bwMode="auto">
        <a:xfrm>
          <a:off x="2628900" y="6791325"/>
          <a:ext cx="76200" cy="762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76200</xdr:colOff>
      <xdr:row>37</xdr:row>
      <xdr:rowOff>47625</xdr:rowOff>
    </xdr:from>
    <xdr:to>
      <xdr:col>4</xdr:col>
      <xdr:colOff>152400</xdr:colOff>
      <xdr:row>37</xdr:row>
      <xdr:rowOff>123825</xdr:rowOff>
    </xdr:to>
    <xdr:sp macro="" textlink="">
      <xdr:nvSpPr>
        <xdr:cNvPr id="1411768" name="Oval 44">
          <a:extLst>
            <a:ext uri="{FF2B5EF4-FFF2-40B4-BE49-F238E27FC236}">
              <a16:creationId xmlns:a16="http://schemas.microsoft.com/office/drawing/2014/main" id="{74060EA9-B038-45A8-C121-44F2EE8064D8}"/>
            </a:ext>
          </a:extLst>
        </xdr:cNvPr>
        <xdr:cNvSpPr>
          <a:spLocks noChangeArrowheads="1"/>
        </xdr:cNvSpPr>
      </xdr:nvSpPr>
      <xdr:spPr bwMode="auto">
        <a:xfrm>
          <a:off x="3295650" y="6800850"/>
          <a:ext cx="76200" cy="762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47625</xdr:colOff>
      <xdr:row>32</xdr:row>
      <xdr:rowOff>152400</xdr:rowOff>
    </xdr:from>
    <xdr:to>
      <xdr:col>3</xdr:col>
      <xdr:colOff>152400</xdr:colOff>
      <xdr:row>33</xdr:row>
      <xdr:rowOff>114300</xdr:rowOff>
    </xdr:to>
    <xdr:sp macro="" textlink="">
      <xdr:nvSpPr>
        <xdr:cNvPr id="1411769" name="Line 45">
          <a:extLst>
            <a:ext uri="{FF2B5EF4-FFF2-40B4-BE49-F238E27FC236}">
              <a16:creationId xmlns:a16="http://schemas.microsoft.com/office/drawing/2014/main" id="{4BA22C14-4EFB-C5FE-AB7D-B7EADA8B409F}"/>
            </a:ext>
          </a:extLst>
        </xdr:cNvPr>
        <xdr:cNvSpPr>
          <a:spLocks noChangeShapeType="1"/>
        </xdr:cNvSpPr>
      </xdr:nvSpPr>
      <xdr:spPr bwMode="auto">
        <a:xfrm>
          <a:off x="2609850" y="5953125"/>
          <a:ext cx="104775"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114300</xdr:colOff>
      <xdr:row>32</xdr:row>
      <xdr:rowOff>76200</xdr:rowOff>
    </xdr:from>
    <xdr:to>
      <xdr:col>3</xdr:col>
      <xdr:colOff>219075</xdr:colOff>
      <xdr:row>33</xdr:row>
      <xdr:rowOff>66675</xdr:rowOff>
    </xdr:to>
    <xdr:sp macro="" textlink="">
      <xdr:nvSpPr>
        <xdr:cNvPr id="1411770" name="Line 46">
          <a:extLst>
            <a:ext uri="{FF2B5EF4-FFF2-40B4-BE49-F238E27FC236}">
              <a16:creationId xmlns:a16="http://schemas.microsoft.com/office/drawing/2014/main" id="{035B21DE-366F-6103-C030-52F23A1D18B8}"/>
            </a:ext>
          </a:extLst>
        </xdr:cNvPr>
        <xdr:cNvSpPr>
          <a:spLocks noChangeShapeType="1"/>
        </xdr:cNvSpPr>
      </xdr:nvSpPr>
      <xdr:spPr bwMode="auto">
        <a:xfrm>
          <a:off x="2676525" y="5876925"/>
          <a:ext cx="104775"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104775</xdr:colOff>
      <xdr:row>34</xdr:row>
      <xdr:rowOff>104775</xdr:rowOff>
    </xdr:from>
    <xdr:to>
      <xdr:col>4</xdr:col>
      <xdr:colOff>95250</xdr:colOff>
      <xdr:row>34</xdr:row>
      <xdr:rowOff>104775</xdr:rowOff>
    </xdr:to>
    <xdr:sp macro="" textlink="">
      <xdr:nvSpPr>
        <xdr:cNvPr id="1411771" name="Line 47">
          <a:extLst>
            <a:ext uri="{FF2B5EF4-FFF2-40B4-BE49-F238E27FC236}">
              <a16:creationId xmlns:a16="http://schemas.microsoft.com/office/drawing/2014/main" id="{2DF3FCD9-6BFD-E446-4EDF-45882D259C2D}"/>
            </a:ext>
          </a:extLst>
        </xdr:cNvPr>
        <xdr:cNvSpPr>
          <a:spLocks noChangeShapeType="1"/>
        </xdr:cNvSpPr>
      </xdr:nvSpPr>
      <xdr:spPr bwMode="auto">
        <a:xfrm rot="13748" flipV="1">
          <a:off x="1143000" y="6286500"/>
          <a:ext cx="2171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485775</xdr:colOff>
      <xdr:row>32</xdr:row>
      <xdr:rowOff>76200</xdr:rowOff>
    </xdr:from>
    <xdr:to>
      <xdr:col>4</xdr:col>
      <xdr:colOff>723900</xdr:colOff>
      <xdr:row>32</xdr:row>
      <xdr:rowOff>76200</xdr:rowOff>
    </xdr:to>
    <xdr:sp macro="" textlink="">
      <xdr:nvSpPr>
        <xdr:cNvPr id="1411772" name="Line 48">
          <a:extLst>
            <a:ext uri="{FF2B5EF4-FFF2-40B4-BE49-F238E27FC236}">
              <a16:creationId xmlns:a16="http://schemas.microsoft.com/office/drawing/2014/main" id="{BD1B2E51-6AB7-B166-EE89-09B61116CEE5}"/>
            </a:ext>
          </a:extLst>
        </xdr:cNvPr>
        <xdr:cNvSpPr>
          <a:spLocks noChangeShapeType="1"/>
        </xdr:cNvSpPr>
      </xdr:nvSpPr>
      <xdr:spPr bwMode="auto">
        <a:xfrm rot="13748">
          <a:off x="3705225" y="5876925"/>
          <a:ext cx="238125"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561975</xdr:colOff>
      <xdr:row>31</xdr:row>
      <xdr:rowOff>85725</xdr:rowOff>
    </xdr:from>
    <xdr:to>
      <xdr:col>4</xdr:col>
      <xdr:colOff>561975</xdr:colOff>
      <xdr:row>32</xdr:row>
      <xdr:rowOff>123825</xdr:rowOff>
    </xdr:to>
    <xdr:sp macro="" textlink="">
      <xdr:nvSpPr>
        <xdr:cNvPr id="1411773" name="Line 49">
          <a:extLst>
            <a:ext uri="{FF2B5EF4-FFF2-40B4-BE49-F238E27FC236}">
              <a16:creationId xmlns:a16="http://schemas.microsoft.com/office/drawing/2014/main" id="{4BE4F313-3511-0BC6-1C53-4C2F78C8272A}"/>
            </a:ext>
          </a:extLst>
        </xdr:cNvPr>
        <xdr:cNvSpPr>
          <a:spLocks noChangeShapeType="1"/>
        </xdr:cNvSpPr>
      </xdr:nvSpPr>
      <xdr:spPr bwMode="auto">
        <a:xfrm>
          <a:off x="3781425" y="5695950"/>
          <a:ext cx="0" cy="22860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5</xdr:row>
      <xdr:rowOff>123825</xdr:rowOff>
    </xdr:from>
    <xdr:to>
      <xdr:col>13</xdr:col>
      <xdr:colOff>504825</xdr:colOff>
      <xdr:row>5</xdr:row>
      <xdr:rowOff>123825</xdr:rowOff>
    </xdr:to>
    <xdr:sp macro="" textlink="">
      <xdr:nvSpPr>
        <xdr:cNvPr id="1411774" name="Line 52">
          <a:extLst>
            <a:ext uri="{FF2B5EF4-FFF2-40B4-BE49-F238E27FC236}">
              <a16:creationId xmlns:a16="http://schemas.microsoft.com/office/drawing/2014/main" id="{D16C2C93-B4F0-C3FD-57CE-63869B6248FA}"/>
            </a:ext>
          </a:extLst>
        </xdr:cNvPr>
        <xdr:cNvSpPr>
          <a:spLocks noChangeShapeType="1"/>
        </xdr:cNvSpPr>
      </xdr:nvSpPr>
      <xdr:spPr bwMode="auto">
        <a:xfrm>
          <a:off x="0" y="933450"/>
          <a:ext cx="105822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390525</xdr:colOff>
      <xdr:row>1</xdr:row>
      <xdr:rowOff>81915</xdr:rowOff>
    </xdr:from>
    <xdr:to>
      <xdr:col>15</xdr:col>
      <xdr:colOff>70424</xdr:colOff>
      <xdr:row>2</xdr:row>
      <xdr:rowOff>110490</xdr:rowOff>
    </xdr:to>
    <xdr:sp macro="" textlink="">
      <xdr:nvSpPr>
        <xdr:cNvPr id="43" name="Texto 327">
          <a:extLst>
            <a:ext uri="{FF2B5EF4-FFF2-40B4-BE49-F238E27FC236}">
              <a16:creationId xmlns:a16="http://schemas.microsoft.com/office/drawing/2014/main" id="{4627CC28-A6E3-14F4-DB01-7CEF628DED42}"/>
            </a:ext>
          </a:extLst>
        </xdr:cNvPr>
        <xdr:cNvSpPr txBox="1">
          <a:spLocks noChangeArrowheads="1"/>
        </xdr:cNvSpPr>
      </xdr:nvSpPr>
      <xdr:spPr bwMode="auto">
        <a:xfrm>
          <a:off x="5895975" y="247650"/>
          <a:ext cx="5772150" cy="190500"/>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6</xdr:col>
      <xdr:colOff>691515</xdr:colOff>
      <xdr:row>2</xdr:row>
      <xdr:rowOff>110490</xdr:rowOff>
    </xdr:from>
    <xdr:to>
      <xdr:col>9</xdr:col>
      <xdr:colOff>451347</xdr:colOff>
      <xdr:row>4</xdr:row>
      <xdr:rowOff>57523</xdr:rowOff>
    </xdr:to>
    <xdr:sp macro="" textlink="">
      <xdr:nvSpPr>
        <xdr:cNvPr id="44" name="Texto 327">
          <a:extLst>
            <a:ext uri="{FF2B5EF4-FFF2-40B4-BE49-F238E27FC236}">
              <a16:creationId xmlns:a16="http://schemas.microsoft.com/office/drawing/2014/main" id="{B352237E-7DF1-578A-70B3-E73520EE7F12}"/>
            </a:ext>
          </a:extLst>
        </xdr:cNvPr>
        <xdr:cNvSpPr txBox="1">
          <a:spLocks noChangeArrowheads="1"/>
        </xdr:cNvSpPr>
      </xdr:nvSpPr>
      <xdr:spPr bwMode="auto">
        <a:xfrm>
          <a:off x="5438775" y="438150"/>
          <a:ext cx="2038350" cy="266700"/>
        </a:xfrm>
        <a:prstGeom prst="rect">
          <a:avLst/>
        </a:prstGeom>
        <a:noFill/>
        <a:ln>
          <a:noFill/>
        </a:ln>
      </xdr:spPr>
      <xdr:txBody>
        <a:bodyPr vertOverflow="clip" wrap="square" lIns="27432" tIns="18288" rIns="27432"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11</xdr:col>
      <xdr:colOff>348615</xdr:colOff>
      <xdr:row>2</xdr:row>
      <xdr:rowOff>120015</xdr:rowOff>
    </xdr:from>
    <xdr:to>
      <xdr:col>13</xdr:col>
      <xdr:colOff>663406</xdr:colOff>
      <xdr:row>5</xdr:row>
      <xdr:rowOff>110490</xdr:rowOff>
    </xdr:to>
    <xdr:sp macro="" textlink="">
      <xdr:nvSpPr>
        <xdr:cNvPr id="45" name="Texto 327">
          <a:extLst>
            <a:ext uri="{FF2B5EF4-FFF2-40B4-BE49-F238E27FC236}">
              <a16:creationId xmlns:a16="http://schemas.microsoft.com/office/drawing/2014/main" id="{A5D16B06-6908-3CE9-4E7E-8472C60BC301}"/>
            </a:ext>
          </a:extLst>
        </xdr:cNvPr>
        <xdr:cNvSpPr txBox="1">
          <a:spLocks noChangeArrowheads="1"/>
        </xdr:cNvSpPr>
      </xdr:nvSpPr>
      <xdr:spPr bwMode="auto">
        <a:xfrm>
          <a:off x="8905875" y="447675"/>
          <a:ext cx="1838325" cy="476250"/>
        </a:xfrm>
        <a:prstGeom prst="rect">
          <a:avLst/>
        </a:prstGeom>
        <a:noFill/>
        <a:ln>
          <a:noFill/>
        </a:ln>
      </xdr:spPr>
      <xdr:txBody>
        <a:bodyPr vertOverflow="clip" wrap="square" lIns="27432" tIns="22860"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12</xdr:col>
      <xdr:colOff>348615</xdr:colOff>
      <xdr:row>0</xdr:row>
      <xdr:rowOff>110490</xdr:rowOff>
    </xdr:from>
    <xdr:to>
      <xdr:col>13</xdr:col>
      <xdr:colOff>470504</xdr:colOff>
      <xdr:row>1</xdr:row>
      <xdr:rowOff>110490</xdr:rowOff>
    </xdr:to>
    <xdr:sp macro="" textlink="">
      <xdr:nvSpPr>
        <xdr:cNvPr id="46" name="Texto 327">
          <a:extLst>
            <a:ext uri="{FF2B5EF4-FFF2-40B4-BE49-F238E27FC236}">
              <a16:creationId xmlns:a16="http://schemas.microsoft.com/office/drawing/2014/main" id="{DB84C7DE-535D-9087-C6B3-B3EC54C200FD}"/>
            </a:ext>
          </a:extLst>
        </xdr:cNvPr>
        <xdr:cNvSpPr txBox="1">
          <a:spLocks noChangeArrowheads="1"/>
        </xdr:cNvSpPr>
      </xdr:nvSpPr>
      <xdr:spPr bwMode="auto">
        <a:xfrm>
          <a:off x="9667875" y="114300"/>
          <a:ext cx="876300" cy="161925"/>
        </a:xfrm>
        <a:prstGeom prst="rect">
          <a:avLst/>
        </a:prstGeom>
        <a:noFill/>
        <a:ln>
          <a:noFill/>
        </a:ln>
      </xdr:spPr>
      <xdr:txBody>
        <a:bodyPr vertOverflow="clip" wrap="square" lIns="0" tIns="18288" rIns="27432" bIns="0" anchor="t" upright="1"/>
        <a:lstStyle/>
        <a:p>
          <a:pPr algn="r"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1</xdr:col>
      <xdr:colOff>152400</xdr:colOff>
      <xdr:row>5</xdr:row>
      <xdr:rowOff>47625</xdr:rowOff>
    </xdr:to>
    <xdr:pic>
      <xdr:nvPicPr>
        <xdr:cNvPr id="1411779" name="Picture 52">
          <a:extLst>
            <a:ext uri="{FF2B5EF4-FFF2-40B4-BE49-F238E27FC236}">
              <a16:creationId xmlns:a16="http://schemas.microsoft.com/office/drawing/2014/main" id="{999EBEEC-A100-8849-5DD6-92583C3943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1906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33</xdr:col>
      <xdr:colOff>0</xdr:colOff>
      <xdr:row>25</xdr:row>
      <xdr:rowOff>0</xdr:rowOff>
    </xdr:from>
    <xdr:to>
      <xdr:col>33</xdr:col>
      <xdr:colOff>152400</xdr:colOff>
      <xdr:row>26</xdr:row>
      <xdr:rowOff>0</xdr:rowOff>
    </xdr:to>
    <xdr:pic>
      <xdr:nvPicPr>
        <xdr:cNvPr id="1396271" name="Picture 1">
          <a:extLst>
            <a:ext uri="{FF2B5EF4-FFF2-40B4-BE49-F238E27FC236}">
              <a16:creationId xmlns:a16="http://schemas.microsoft.com/office/drawing/2014/main" id="{B821315E-2097-842B-38B2-E9016819C6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049750" y="4257675"/>
          <a:ext cx="15240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0</xdr:col>
      <xdr:colOff>262890</xdr:colOff>
      <xdr:row>33</xdr:row>
      <xdr:rowOff>0</xdr:rowOff>
    </xdr:from>
    <xdr:to>
      <xdr:col>3</xdr:col>
      <xdr:colOff>83818</xdr:colOff>
      <xdr:row>33</xdr:row>
      <xdr:rowOff>0</xdr:rowOff>
    </xdr:to>
    <xdr:sp macro="" textlink="">
      <xdr:nvSpPr>
        <xdr:cNvPr id="64584" name="Text Box 72">
          <a:extLst>
            <a:ext uri="{FF2B5EF4-FFF2-40B4-BE49-F238E27FC236}">
              <a16:creationId xmlns:a16="http://schemas.microsoft.com/office/drawing/2014/main" id="{24D5CDA5-B74A-2A70-974F-7893853734EE}"/>
            </a:ext>
          </a:extLst>
        </xdr:cNvPr>
        <xdr:cNvSpPr txBox="1">
          <a:spLocks noChangeArrowheads="1"/>
        </xdr:cNvSpPr>
      </xdr:nvSpPr>
      <xdr:spPr bwMode="auto">
        <a:xfrm>
          <a:off x="266700" y="5981700"/>
          <a:ext cx="685800" cy="0"/>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EST # 2 </a:t>
          </a:r>
        </a:p>
      </xdr:txBody>
    </xdr:sp>
    <xdr:clientData/>
  </xdr:twoCellAnchor>
  <xdr:twoCellAnchor>
    <xdr:from>
      <xdr:col>0</xdr:col>
      <xdr:colOff>241935</xdr:colOff>
      <xdr:row>33</xdr:row>
      <xdr:rowOff>0</xdr:rowOff>
    </xdr:from>
    <xdr:to>
      <xdr:col>3</xdr:col>
      <xdr:colOff>71112</xdr:colOff>
      <xdr:row>33</xdr:row>
      <xdr:rowOff>0</xdr:rowOff>
    </xdr:to>
    <xdr:sp macro="" textlink="">
      <xdr:nvSpPr>
        <xdr:cNvPr id="64588" name="Text Box 76">
          <a:extLst>
            <a:ext uri="{FF2B5EF4-FFF2-40B4-BE49-F238E27FC236}">
              <a16:creationId xmlns:a16="http://schemas.microsoft.com/office/drawing/2014/main" id="{76347477-4C38-61E6-0A73-05797A796EEC}"/>
            </a:ext>
          </a:extLst>
        </xdr:cNvPr>
        <xdr:cNvSpPr txBox="1">
          <a:spLocks noChangeArrowheads="1"/>
        </xdr:cNvSpPr>
      </xdr:nvSpPr>
      <xdr:spPr bwMode="auto">
        <a:xfrm>
          <a:off x="238125" y="5981700"/>
          <a:ext cx="685800" cy="0"/>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EST # 3 </a:t>
          </a:r>
        </a:p>
      </xdr:txBody>
    </xdr:sp>
    <xdr:clientData/>
  </xdr:twoCellAnchor>
  <xdr:twoCellAnchor>
    <xdr:from>
      <xdr:col>0</xdr:col>
      <xdr:colOff>241935</xdr:colOff>
      <xdr:row>33</xdr:row>
      <xdr:rowOff>0</xdr:rowOff>
    </xdr:from>
    <xdr:to>
      <xdr:col>3</xdr:col>
      <xdr:colOff>71112</xdr:colOff>
      <xdr:row>33</xdr:row>
      <xdr:rowOff>0</xdr:rowOff>
    </xdr:to>
    <xdr:sp macro="" textlink="">
      <xdr:nvSpPr>
        <xdr:cNvPr id="64656" name="Text Box 144">
          <a:extLst>
            <a:ext uri="{FF2B5EF4-FFF2-40B4-BE49-F238E27FC236}">
              <a16:creationId xmlns:a16="http://schemas.microsoft.com/office/drawing/2014/main" id="{3C7DC972-D236-35CA-810A-55FA230E604F}"/>
            </a:ext>
          </a:extLst>
        </xdr:cNvPr>
        <xdr:cNvSpPr txBox="1">
          <a:spLocks noChangeArrowheads="1"/>
        </xdr:cNvSpPr>
      </xdr:nvSpPr>
      <xdr:spPr bwMode="auto">
        <a:xfrm>
          <a:off x="238125" y="5981700"/>
          <a:ext cx="685800" cy="0"/>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EST # 2 </a:t>
          </a:r>
        </a:p>
      </xdr:txBody>
    </xdr:sp>
    <xdr:clientData/>
  </xdr:twoCellAnchor>
  <xdr:twoCellAnchor editAs="oneCell">
    <xdr:from>
      <xdr:col>33</xdr:col>
      <xdr:colOff>0</xdr:colOff>
      <xdr:row>25</xdr:row>
      <xdr:rowOff>0</xdr:rowOff>
    </xdr:from>
    <xdr:to>
      <xdr:col>33</xdr:col>
      <xdr:colOff>152400</xdr:colOff>
      <xdr:row>25</xdr:row>
      <xdr:rowOff>152400</xdr:rowOff>
    </xdr:to>
    <xdr:pic>
      <xdr:nvPicPr>
        <xdr:cNvPr id="1396275" name="Picture 160">
          <a:extLst>
            <a:ext uri="{FF2B5EF4-FFF2-40B4-BE49-F238E27FC236}">
              <a16:creationId xmlns:a16="http://schemas.microsoft.com/office/drawing/2014/main" id="{E6EFF3A0-8028-3C8C-9577-658F6B2C87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049750" y="425767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0</xdr:col>
      <xdr:colOff>0</xdr:colOff>
      <xdr:row>5</xdr:row>
      <xdr:rowOff>123825</xdr:rowOff>
    </xdr:from>
    <xdr:to>
      <xdr:col>33</xdr:col>
      <xdr:colOff>76200</xdr:colOff>
      <xdr:row>5</xdr:row>
      <xdr:rowOff>123825</xdr:rowOff>
    </xdr:to>
    <xdr:sp macro="" textlink="">
      <xdr:nvSpPr>
        <xdr:cNvPr id="1396276" name="Line 163">
          <a:extLst>
            <a:ext uri="{FF2B5EF4-FFF2-40B4-BE49-F238E27FC236}">
              <a16:creationId xmlns:a16="http://schemas.microsoft.com/office/drawing/2014/main" id="{BFF91987-EE87-3C0B-28F0-702DC4245784}"/>
            </a:ext>
          </a:extLst>
        </xdr:cNvPr>
        <xdr:cNvSpPr>
          <a:spLocks noChangeShapeType="1"/>
        </xdr:cNvSpPr>
      </xdr:nvSpPr>
      <xdr:spPr bwMode="auto">
        <a:xfrm>
          <a:off x="0" y="933450"/>
          <a:ext cx="171259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563880</xdr:colOff>
      <xdr:row>1</xdr:row>
      <xdr:rowOff>81915</xdr:rowOff>
    </xdr:from>
    <xdr:to>
      <xdr:col>34</xdr:col>
      <xdr:colOff>535337</xdr:colOff>
      <xdr:row>2</xdr:row>
      <xdr:rowOff>163370</xdr:rowOff>
    </xdr:to>
    <xdr:sp macro="" textlink="">
      <xdr:nvSpPr>
        <xdr:cNvPr id="64676" name="Texto 327">
          <a:extLst>
            <a:ext uri="{FF2B5EF4-FFF2-40B4-BE49-F238E27FC236}">
              <a16:creationId xmlns:a16="http://schemas.microsoft.com/office/drawing/2014/main" id="{8AE1F0B3-0BE6-7587-AF59-B1106463852A}"/>
            </a:ext>
          </a:extLst>
        </xdr:cNvPr>
        <xdr:cNvSpPr txBox="1">
          <a:spLocks noChangeArrowheads="1"/>
        </xdr:cNvSpPr>
      </xdr:nvSpPr>
      <xdr:spPr bwMode="auto">
        <a:xfrm>
          <a:off x="9582150" y="247650"/>
          <a:ext cx="5715000" cy="238125"/>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24</xdr:col>
      <xdr:colOff>535305</xdr:colOff>
      <xdr:row>2</xdr:row>
      <xdr:rowOff>123825</xdr:rowOff>
    </xdr:from>
    <xdr:to>
      <xdr:col>26</xdr:col>
      <xdr:colOff>502981</xdr:colOff>
      <xdr:row>4</xdr:row>
      <xdr:rowOff>74467</xdr:rowOff>
    </xdr:to>
    <xdr:sp macro="" textlink="">
      <xdr:nvSpPr>
        <xdr:cNvPr id="64677" name="Texto 327">
          <a:extLst>
            <a:ext uri="{FF2B5EF4-FFF2-40B4-BE49-F238E27FC236}">
              <a16:creationId xmlns:a16="http://schemas.microsoft.com/office/drawing/2014/main" id="{8DB5D2DA-3913-F697-5033-CC4BE6A56901}"/>
            </a:ext>
          </a:extLst>
        </xdr:cNvPr>
        <xdr:cNvSpPr txBox="1">
          <a:spLocks noChangeArrowheads="1"/>
        </xdr:cNvSpPr>
      </xdr:nvSpPr>
      <xdr:spPr bwMode="auto">
        <a:xfrm>
          <a:off x="9563100" y="447675"/>
          <a:ext cx="1104900" cy="266700"/>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30</xdr:col>
      <xdr:colOff>38100</xdr:colOff>
      <xdr:row>2</xdr:row>
      <xdr:rowOff>133350</xdr:rowOff>
    </xdr:from>
    <xdr:to>
      <xdr:col>33</xdr:col>
      <xdr:colOff>511944</xdr:colOff>
      <xdr:row>5</xdr:row>
      <xdr:rowOff>95250</xdr:rowOff>
    </xdr:to>
    <xdr:sp macro="" textlink="">
      <xdr:nvSpPr>
        <xdr:cNvPr id="64678" name="Texto 327">
          <a:extLst>
            <a:ext uri="{FF2B5EF4-FFF2-40B4-BE49-F238E27FC236}">
              <a16:creationId xmlns:a16="http://schemas.microsoft.com/office/drawing/2014/main" id="{68FBF5EC-A00C-FA97-CFBF-234F6530010A}"/>
            </a:ext>
          </a:extLst>
        </xdr:cNvPr>
        <xdr:cNvSpPr txBox="1">
          <a:spLocks noChangeArrowheads="1"/>
        </xdr:cNvSpPr>
      </xdr:nvSpPr>
      <xdr:spPr bwMode="auto">
        <a:xfrm>
          <a:off x="12553950" y="457200"/>
          <a:ext cx="1905000" cy="447675"/>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32</xdr:col>
      <xdr:colOff>440055</xdr:colOff>
      <xdr:row>0</xdr:row>
      <xdr:rowOff>110490</xdr:rowOff>
    </xdr:from>
    <xdr:to>
      <xdr:col>33</xdr:col>
      <xdr:colOff>289628</xdr:colOff>
      <xdr:row>1</xdr:row>
      <xdr:rowOff>110490</xdr:rowOff>
    </xdr:to>
    <xdr:sp macro="" textlink="">
      <xdr:nvSpPr>
        <xdr:cNvPr id="64679" name="Texto 327">
          <a:extLst>
            <a:ext uri="{FF2B5EF4-FFF2-40B4-BE49-F238E27FC236}">
              <a16:creationId xmlns:a16="http://schemas.microsoft.com/office/drawing/2014/main" id="{44BBF2CF-6106-2DF2-78B0-6213167A89B1}"/>
            </a:ext>
          </a:extLst>
        </xdr:cNvPr>
        <xdr:cNvSpPr txBox="1">
          <a:spLocks noChangeArrowheads="1"/>
        </xdr:cNvSpPr>
      </xdr:nvSpPr>
      <xdr:spPr bwMode="auto">
        <a:xfrm>
          <a:off x="13620750" y="114300"/>
          <a:ext cx="609600" cy="161925"/>
        </a:xfrm>
        <a:prstGeom prst="rect">
          <a:avLst/>
        </a:prstGeom>
        <a:noFill/>
        <a:ln>
          <a:noFill/>
        </a:ln>
      </xdr:spPr>
      <xdr:txBody>
        <a:bodyPr vertOverflow="clip" wrap="square" lIns="0" tIns="22860" rIns="27432" bIns="0" anchor="t" upright="1"/>
        <a:lstStyle/>
        <a:p>
          <a:pPr algn="r"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3</xdr:col>
      <xdr:colOff>333375</xdr:colOff>
      <xdr:row>5</xdr:row>
      <xdr:rowOff>66675</xdr:rowOff>
    </xdr:to>
    <xdr:pic>
      <xdr:nvPicPr>
        <xdr:cNvPr id="1396281" name="Picture 52">
          <a:extLst>
            <a:ext uri="{FF2B5EF4-FFF2-40B4-BE49-F238E27FC236}">
              <a16:creationId xmlns:a16="http://schemas.microsoft.com/office/drawing/2014/main" id="{71852B32-A2E9-2F9C-4939-F29D41066EE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11426" t="16345" r="40158" b="20984"/>
        <a:stretch>
          <a:fillRect/>
        </a:stretch>
      </xdr:blipFill>
      <xdr:spPr bwMode="auto">
        <a:xfrm>
          <a:off x="0" y="0"/>
          <a:ext cx="11906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7</xdr:col>
      <xdr:colOff>28575</xdr:colOff>
      <xdr:row>42</xdr:row>
      <xdr:rowOff>180975</xdr:rowOff>
    </xdr:from>
    <xdr:to>
      <xdr:col>17</xdr:col>
      <xdr:colOff>118139</xdr:colOff>
      <xdr:row>49</xdr:row>
      <xdr:rowOff>38100</xdr:rowOff>
    </xdr:to>
    <xdr:sp macro="" textlink="">
      <xdr:nvSpPr>
        <xdr:cNvPr id="6155" name="Text Box 11">
          <a:extLst>
            <a:ext uri="{FF2B5EF4-FFF2-40B4-BE49-F238E27FC236}">
              <a16:creationId xmlns:a16="http://schemas.microsoft.com/office/drawing/2014/main" id="{F6EDB632-20B3-36C0-1F9B-59612283AB70}"/>
            </a:ext>
          </a:extLst>
        </xdr:cNvPr>
        <xdr:cNvSpPr txBox="1">
          <a:spLocks noChangeArrowheads="1"/>
        </xdr:cNvSpPr>
      </xdr:nvSpPr>
      <xdr:spPr bwMode="auto">
        <a:xfrm>
          <a:off x="2314575" y="8077200"/>
          <a:ext cx="4133850" cy="619125"/>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22860" rIns="0" bIns="0" anchor="t" upright="1"/>
        <a:lstStyle/>
        <a:p>
          <a:pPr algn="l" rtl="0">
            <a:defRPr sz="1000"/>
          </a:pPr>
          <a:r>
            <a:rPr lang="es-MX" sz="1000" b="0" i="0" u="none" strike="noStrike" baseline="0">
              <a:solidFill>
                <a:srgbClr val="000000"/>
              </a:solidFill>
              <a:latin typeface="UNIVERS CD [WN]"/>
            </a:rPr>
            <a:t>LAS SEMI VIGUETAS V-1, V-2 y V-4 SE LES COLOCARA UNA VARILLA DE 3/8" CON ESFUERZO DE FLUENCIA 4200 KG/CM</a:t>
          </a:r>
          <a:r>
            <a:rPr lang="es-MX" sz="1000" b="0" i="0" u="none" strike="noStrike" baseline="30000">
              <a:solidFill>
                <a:srgbClr val="000000"/>
              </a:solidFill>
              <a:latin typeface="UNIVERS CD [WN]"/>
            </a:rPr>
            <a:t>2</a:t>
          </a:r>
          <a:r>
            <a:rPr lang="es-MX" sz="1000" b="0" i="0" u="none" strike="noStrike" baseline="0">
              <a:solidFill>
                <a:srgbClr val="000000"/>
              </a:solidFill>
              <a:latin typeface="UNIVERS CD [WN]"/>
            </a:rPr>
            <a:t>, EN EL LECHO INFERIOR</a:t>
          </a:r>
        </a:p>
      </xdr:txBody>
    </xdr:sp>
    <xdr:clientData/>
  </xdr:twoCellAnchor>
  <xdr:twoCellAnchor>
    <xdr:from>
      <xdr:col>17</xdr:col>
      <xdr:colOff>323850</xdr:colOff>
      <xdr:row>37</xdr:row>
      <xdr:rowOff>76200</xdr:rowOff>
    </xdr:from>
    <xdr:to>
      <xdr:col>31</xdr:col>
      <xdr:colOff>390555</xdr:colOff>
      <xdr:row>49</xdr:row>
      <xdr:rowOff>66675</xdr:rowOff>
    </xdr:to>
    <xdr:sp macro="" textlink="">
      <xdr:nvSpPr>
        <xdr:cNvPr id="6156" name="Text Box 12">
          <a:extLst>
            <a:ext uri="{FF2B5EF4-FFF2-40B4-BE49-F238E27FC236}">
              <a16:creationId xmlns:a16="http://schemas.microsoft.com/office/drawing/2014/main" id="{A0A74B4A-673A-10CE-780A-5D99A6BB31E3}"/>
            </a:ext>
          </a:extLst>
        </xdr:cNvPr>
        <xdr:cNvSpPr txBox="1">
          <a:spLocks noChangeArrowheads="1"/>
        </xdr:cNvSpPr>
      </xdr:nvSpPr>
      <xdr:spPr bwMode="auto">
        <a:xfrm>
          <a:off x="6657975" y="7019925"/>
          <a:ext cx="6543675" cy="1704975"/>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22860" rIns="0" bIns="0" anchor="t" upright="1"/>
        <a:lstStyle/>
        <a:p>
          <a:pPr algn="l" rtl="0">
            <a:defRPr sz="1000"/>
          </a:pPr>
          <a:r>
            <a:rPr lang="es-MX" sz="1000" b="1" i="0" u="none" strike="noStrike" baseline="0">
              <a:solidFill>
                <a:srgbClr val="000000"/>
              </a:solidFill>
              <a:latin typeface="UNIVERS CD [WN]"/>
            </a:rPr>
            <a:t>UBICACION DE LAS VIGUETAS:</a:t>
          </a:r>
        </a:p>
        <a:p>
          <a:pPr algn="l" rtl="0">
            <a:defRPr sz="1000"/>
          </a:pPr>
          <a:endParaRPr lang="es-MX" sz="1000" b="1" i="0" u="none" strike="noStrike" baseline="0">
            <a:solidFill>
              <a:srgbClr val="000000"/>
            </a:solidFill>
            <a:latin typeface="UNIVERS CD [WN]"/>
          </a:endParaRPr>
        </a:p>
        <a:p>
          <a:pPr algn="l" rtl="0">
            <a:defRPr sz="1000"/>
          </a:pPr>
          <a:r>
            <a:rPr lang="es-MX" sz="1000" b="1" i="0" u="none" strike="noStrike" baseline="0">
              <a:solidFill>
                <a:srgbClr val="000000"/>
              </a:solidFill>
              <a:latin typeface="UNIVERS CD [WN]"/>
            </a:rPr>
            <a:t>EN PLANTA BAJA:</a:t>
          </a:r>
          <a:endParaRPr lang="es-MX" sz="1000" b="0" i="0" u="none" strike="noStrike" baseline="0">
            <a:solidFill>
              <a:srgbClr val="000000"/>
            </a:solidFill>
            <a:latin typeface="UNIVERS CD [WN]"/>
          </a:endParaRPr>
        </a:p>
        <a:p>
          <a:pPr algn="l" rtl="0">
            <a:defRPr sz="1000"/>
          </a:pPr>
          <a:r>
            <a:rPr lang="es-MX" sz="1000" b="0" i="0" u="none" strike="noStrike" baseline="0">
              <a:solidFill>
                <a:srgbClr val="000000"/>
              </a:solidFill>
              <a:latin typeface="UNIVERS CD [WN]"/>
            </a:rPr>
            <a:t>LA SEMI VIGUETA V-1, SE UTILIZARA EN LA RECAMARA 1 Y EN LA ESTANCIA</a:t>
          </a:r>
        </a:p>
        <a:p>
          <a:pPr algn="l" rtl="0">
            <a:defRPr sz="1000"/>
          </a:pPr>
          <a:r>
            <a:rPr lang="es-MX" sz="1000" b="0" i="0" u="none" strike="noStrike" baseline="0">
              <a:solidFill>
                <a:srgbClr val="000000"/>
              </a:solidFill>
              <a:latin typeface="UNIVERS CD [WN]"/>
            </a:rPr>
            <a:t>LA SEMI VIGUETA V-2, SE UTILIZARA EN LA COCINETA.</a:t>
          </a:r>
        </a:p>
        <a:p>
          <a:pPr algn="l" rtl="0">
            <a:defRPr sz="1000"/>
          </a:pPr>
          <a:r>
            <a:rPr lang="es-MX" sz="1000" b="0" i="0" u="none" strike="noStrike" baseline="0">
              <a:solidFill>
                <a:srgbClr val="000000"/>
              </a:solidFill>
              <a:latin typeface="UNIVERS CD [WN]"/>
            </a:rPr>
            <a:t>LA SEMI VIGUETA V-3, SE UTILIZARA EN EL CLOSET DE LA RECAMARA 1</a:t>
          </a:r>
        </a:p>
        <a:p>
          <a:pPr algn="l" rtl="0">
            <a:defRPr sz="1000"/>
          </a:pPr>
          <a:r>
            <a:rPr lang="es-MX" sz="1000" b="1" i="0" u="none" strike="noStrike" baseline="0">
              <a:solidFill>
                <a:srgbClr val="000000"/>
              </a:solidFill>
              <a:latin typeface="UNIVERS CD [WN]"/>
            </a:rPr>
            <a:t>EN PLANTA ALTA:</a:t>
          </a:r>
          <a:endParaRPr lang="es-MX" sz="1000" b="0" i="0" u="none" strike="noStrike" baseline="0">
            <a:solidFill>
              <a:srgbClr val="000000"/>
            </a:solidFill>
            <a:latin typeface="UNIVERS CD [WN]"/>
          </a:endParaRPr>
        </a:p>
        <a:p>
          <a:pPr algn="l" rtl="0">
            <a:defRPr sz="1000"/>
          </a:pPr>
          <a:r>
            <a:rPr lang="es-MX" sz="1000" b="0" i="0" u="none" strike="noStrike" baseline="0">
              <a:solidFill>
                <a:srgbClr val="000000"/>
              </a:solidFill>
              <a:latin typeface="UNIVERS CD [WN]"/>
            </a:rPr>
            <a:t>LA SEMI VIGUETA V-4, SE UTILIZARA EN LA RECAMARA 2.</a:t>
          </a:r>
        </a:p>
        <a:p>
          <a:pPr algn="l" rtl="0">
            <a:defRPr sz="1000"/>
          </a:pPr>
          <a:r>
            <a:rPr lang="es-MX" sz="1000" b="0" i="0" u="none" strike="noStrike" baseline="0">
              <a:solidFill>
                <a:srgbClr val="000000"/>
              </a:solidFill>
              <a:latin typeface="UNIVERS CD [WN]"/>
            </a:rPr>
            <a:t>LA SEMI VIGUETA V-5, SE UTILIZARA EN EL BAÑO.</a:t>
          </a:r>
        </a:p>
        <a:p>
          <a:pPr algn="l" rtl="0">
            <a:defRPr sz="1000"/>
          </a:pPr>
          <a:r>
            <a:rPr lang="es-MX" sz="1000" b="0" i="0" u="none" strike="noStrike" baseline="0">
              <a:solidFill>
                <a:srgbClr val="000000"/>
              </a:solidFill>
              <a:latin typeface="UNIVERS CD [WN]"/>
            </a:rPr>
            <a:t>LA SEMI VIGUETA V-6, SE UTILIZARA EN EL VESTIBULO.</a:t>
          </a:r>
        </a:p>
      </xdr:txBody>
    </xdr:sp>
    <xdr:clientData/>
  </xdr:twoCellAnchor>
  <xdr:twoCellAnchor>
    <xdr:from>
      <xdr:col>5</xdr:col>
      <xdr:colOff>160020</xdr:colOff>
      <xdr:row>37</xdr:row>
      <xdr:rowOff>57150</xdr:rowOff>
    </xdr:from>
    <xdr:to>
      <xdr:col>15</xdr:col>
      <xdr:colOff>542985</xdr:colOff>
      <xdr:row>40</xdr:row>
      <xdr:rowOff>142875</xdr:rowOff>
    </xdr:to>
    <xdr:sp macro="" textlink="">
      <xdr:nvSpPr>
        <xdr:cNvPr id="6166" name="Text Box 22">
          <a:extLst>
            <a:ext uri="{FF2B5EF4-FFF2-40B4-BE49-F238E27FC236}">
              <a16:creationId xmlns:a16="http://schemas.microsoft.com/office/drawing/2014/main" id="{EEC07D8D-710F-2E2A-0EE0-F4DF75021B4B}"/>
            </a:ext>
          </a:extLst>
        </xdr:cNvPr>
        <xdr:cNvSpPr txBox="1">
          <a:spLocks noChangeArrowheads="1"/>
        </xdr:cNvSpPr>
      </xdr:nvSpPr>
      <xdr:spPr bwMode="auto">
        <a:xfrm>
          <a:off x="1581150" y="7000875"/>
          <a:ext cx="4200525" cy="657225"/>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22860" rIns="0" bIns="0" anchor="t" upright="1"/>
        <a:lstStyle/>
        <a:p>
          <a:pPr algn="l" rtl="0">
            <a:defRPr sz="1000"/>
          </a:pPr>
          <a:r>
            <a:rPr lang="es-MX" sz="1000" b="0" i="0" u="none" strike="noStrike" baseline="0">
              <a:solidFill>
                <a:srgbClr val="000000"/>
              </a:solidFill>
              <a:latin typeface="UNIVERS CD [WN]"/>
            </a:rPr>
            <a:t>LAS SEMI VIGUETAS SE ARMARAN CON </a:t>
          </a:r>
          <a:r>
            <a:rPr lang="es-MX" sz="1000" b="1" i="0" u="none" strike="noStrike" baseline="0">
              <a:solidFill>
                <a:srgbClr val="000000"/>
              </a:solidFill>
              <a:latin typeface="UNIVERS CD [WN]"/>
            </a:rPr>
            <a:t>VIGARMEX 10-36, </a:t>
          </a:r>
          <a:r>
            <a:rPr lang="es-MX" sz="1000" b="0" i="0" u="none" strike="noStrike" baseline="0">
              <a:solidFill>
                <a:srgbClr val="000000"/>
              </a:solidFill>
              <a:latin typeface="UNIVERS CD [WN]"/>
            </a:rPr>
            <a:t>EL 10 INDICA LA ALTURA DE LA ARMADURA EN CM. Y EL 36 EL AREA DEL ACERO</a:t>
          </a:r>
          <a:r>
            <a:rPr lang="es-MX" sz="1000" b="1" i="0" u="none" strike="noStrike" baseline="0">
              <a:solidFill>
                <a:srgbClr val="000000"/>
              </a:solidFill>
              <a:latin typeface="UNIVERS CD [WN]"/>
            </a:rPr>
            <a:t> </a:t>
          </a:r>
          <a:r>
            <a:rPr lang="es-MX" sz="1000" b="0" i="0" u="none" strike="noStrike" baseline="0">
              <a:solidFill>
                <a:srgbClr val="000000"/>
              </a:solidFill>
              <a:latin typeface="UNIVERS CD [WN]"/>
            </a:rPr>
            <a:t>DE LAS VARILLAS INFERIORES EN MM</a:t>
          </a:r>
          <a:r>
            <a:rPr lang="es-MX" sz="1000" b="0" i="0" u="none" strike="noStrike" baseline="30000">
              <a:solidFill>
                <a:srgbClr val="000000"/>
              </a:solidFill>
              <a:latin typeface="UNIVERS CD [WN]"/>
            </a:rPr>
            <a:t>2</a:t>
          </a:r>
          <a:r>
            <a:rPr lang="es-MX" sz="1000" b="0" i="0" u="none" strike="noStrike" baseline="0">
              <a:solidFill>
                <a:srgbClr val="000000"/>
              </a:solidFill>
              <a:latin typeface="UNIVERS CD [WN]"/>
            </a:rPr>
            <a:t>.</a:t>
          </a:r>
        </a:p>
      </xdr:txBody>
    </xdr:sp>
    <xdr:clientData/>
  </xdr:twoCellAnchor>
  <xdr:twoCellAnchor>
    <xdr:from>
      <xdr:col>3</xdr:col>
      <xdr:colOff>85725</xdr:colOff>
      <xdr:row>41</xdr:row>
      <xdr:rowOff>57150</xdr:rowOff>
    </xdr:from>
    <xdr:to>
      <xdr:col>6</xdr:col>
      <xdr:colOff>200025</xdr:colOff>
      <xdr:row>49</xdr:row>
      <xdr:rowOff>123825</xdr:rowOff>
    </xdr:to>
    <xdr:grpSp>
      <xdr:nvGrpSpPr>
        <xdr:cNvPr id="1412354" name="Group 46">
          <a:extLst>
            <a:ext uri="{FF2B5EF4-FFF2-40B4-BE49-F238E27FC236}">
              <a16:creationId xmlns:a16="http://schemas.microsoft.com/office/drawing/2014/main" id="{52ABCDD5-F62F-C4C8-B75A-96285DAD2296}"/>
            </a:ext>
          </a:extLst>
        </xdr:cNvPr>
        <xdr:cNvGrpSpPr>
          <a:grpSpLocks/>
        </xdr:cNvGrpSpPr>
      </xdr:nvGrpSpPr>
      <xdr:grpSpPr bwMode="auto">
        <a:xfrm>
          <a:off x="1063625" y="7791450"/>
          <a:ext cx="1066800" cy="1019175"/>
          <a:chOff x="103" y="712"/>
          <a:chExt cx="112" cy="107"/>
        </a:xfrm>
      </xdr:grpSpPr>
      <xdr:sp macro="" textlink="">
        <xdr:nvSpPr>
          <xdr:cNvPr id="1412361" name="Rectangle 1">
            <a:extLst>
              <a:ext uri="{FF2B5EF4-FFF2-40B4-BE49-F238E27FC236}">
                <a16:creationId xmlns:a16="http://schemas.microsoft.com/office/drawing/2014/main" id="{E1E8F328-F5FC-B609-434E-1180F7FDD208}"/>
              </a:ext>
            </a:extLst>
          </xdr:cNvPr>
          <xdr:cNvSpPr>
            <a:spLocks noChangeArrowheads="1"/>
          </xdr:cNvSpPr>
        </xdr:nvSpPr>
        <xdr:spPr bwMode="auto">
          <a:xfrm>
            <a:off x="109" y="767"/>
            <a:ext cx="46" cy="2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412362" name="Line 3">
            <a:extLst>
              <a:ext uri="{FF2B5EF4-FFF2-40B4-BE49-F238E27FC236}">
                <a16:creationId xmlns:a16="http://schemas.microsoft.com/office/drawing/2014/main" id="{F1D29740-C881-0D14-2B31-65C9A28F9FD1}"/>
              </a:ext>
            </a:extLst>
          </xdr:cNvPr>
          <xdr:cNvSpPr>
            <a:spLocks noChangeShapeType="1"/>
          </xdr:cNvSpPr>
        </xdr:nvSpPr>
        <xdr:spPr bwMode="auto">
          <a:xfrm flipH="1">
            <a:off x="115" y="728"/>
            <a:ext cx="26" cy="5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412363" name="Line 5">
            <a:extLst>
              <a:ext uri="{FF2B5EF4-FFF2-40B4-BE49-F238E27FC236}">
                <a16:creationId xmlns:a16="http://schemas.microsoft.com/office/drawing/2014/main" id="{153A4445-0A9F-0BDB-1690-EA637ECE5C67}"/>
              </a:ext>
            </a:extLst>
          </xdr:cNvPr>
          <xdr:cNvSpPr>
            <a:spLocks noChangeShapeType="1"/>
          </xdr:cNvSpPr>
        </xdr:nvSpPr>
        <xdr:spPr bwMode="auto">
          <a:xfrm flipH="1" flipV="1">
            <a:off x="140" y="728"/>
            <a:ext cx="10" cy="5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412364" name="Oval 6">
            <a:extLst>
              <a:ext uri="{FF2B5EF4-FFF2-40B4-BE49-F238E27FC236}">
                <a16:creationId xmlns:a16="http://schemas.microsoft.com/office/drawing/2014/main" id="{B99638BA-22F8-77E9-DE1A-7ED359572F65}"/>
              </a:ext>
            </a:extLst>
          </xdr:cNvPr>
          <xdr:cNvSpPr>
            <a:spLocks noChangeArrowheads="1"/>
          </xdr:cNvSpPr>
        </xdr:nvSpPr>
        <xdr:spPr bwMode="auto">
          <a:xfrm>
            <a:off x="126" y="769"/>
            <a:ext cx="11" cy="8"/>
          </a:xfrm>
          <a:prstGeom prst="ellipse">
            <a:avLst/>
          </a:prstGeom>
          <a:solidFill>
            <a:srgbClr xmlns:mc="http://schemas.openxmlformats.org/markup-compatibility/2006" xmlns:a14="http://schemas.microsoft.com/office/drawing/2010/main" val="FFFF00" mc:Ignorable="a14" a14:legacySpreadsheetColorIndex="13"/>
          </a:solidFill>
          <a:ln w="19050">
            <a:solidFill>
              <a:srgbClr xmlns:mc="http://schemas.openxmlformats.org/markup-compatibility/2006" xmlns:a14="http://schemas.microsoft.com/office/drawing/2010/main" val="800000" mc:Ignorable="a14" a14:legacySpreadsheetColorIndex="16"/>
            </a:solidFill>
            <a:round/>
            <a:headEnd/>
            <a:tailEnd/>
          </a:ln>
        </xdr:spPr>
      </xdr:sp>
      <xdr:sp macro="" textlink="">
        <xdr:nvSpPr>
          <xdr:cNvPr id="1412365" name="Oval 7">
            <a:extLst>
              <a:ext uri="{FF2B5EF4-FFF2-40B4-BE49-F238E27FC236}">
                <a16:creationId xmlns:a16="http://schemas.microsoft.com/office/drawing/2014/main" id="{CBCAB8F1-5008-1E11-4217-304679AA1D5B}"/>
              </a:ext>
            </a:extLst>
          </xdr:cNvPr>
          <xdr:cNvSpPr>
            <a:spLocks noChangeArrowheads="1"/>
          </xdr:cNvSpPr>
        </xdr:nvSpPr>
        <xdr:spPr bwMode="auto">
          <a:xfrm>
            <a:off x="119" y="773"/>
            <a:ext cx="8" cy="8"/>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412366" name="Oval 8">
            <a:extLst>
              <a:ext uri="{FF2B5EF4-FFF2-40B4-BE49-F238E27FC236}">
                <a16:creationId xmlns:a16="http://schemas.microsoft.com/office/drawing/2014/main" id="{BCFEEE7A-A9D1-B9C9-C05C-048E383B8FD4}"/>
              </a:ext>
            </a:extLst>
          </xdr:cNvPr>
          <xdr:cNvSpPr>
            <a:spLocks noChangeArrowheads="1"/>
          </xdr:cNvSpPr>
        </xdr:nvSpPr>
        <xdr:spPr bwMode="auto">
          <a:xfrm>
            <a:off x="150" y="773"/>
            <a:ext cx="0" cy="8"/>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412367" name="Oval 9">
            <a:extLst>
              <a:ext uri="{FF2B5EF4-FFF2-40B4-BE49-F238E27FC236}">
                <a16:creationId xmlns:a16="http://schemas.microsoft.com/office/drawing/2014/main" id="{A0FF9DB5-C500-8045-C9D9-1B5A06E5F6E2}"/>
              </a:ext>
            </a:extLst>
          </xdr:cNvPr>
          <xdr:cNvSpPr>
            <a:spLocks noChangeArrowheads="1"/>
          </xdr:cNvSpPr>
        </xdr:nvSpPr>
        <xdr:spPr bwMode="auto">
          <a:xfrm>
            <a:off x="135" y="735"/>
            <a:ext cx="8" cy="8"/>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412368" name="Line 35">
            <a:extLst>
              <a:ext uri="{FF2B5EF4-FFF2-40B4-BE49-F238E27FC236}">
                <a16:creationId xmlns:a16="http://schemas.microsoft.com/office/drawing/2014/main" id="{D4117A69-A395-D0B0-DA39-D9B74061C3BD}"/>
              </a:ext>
            </a:extLst>
          </xdr:cNvPr>
          <xdr:cNvSpPr>
            <a:spLocks noChangeShapeType="1"/>
          </xdr:cNvSpPr>
        </xdr:nvSpPr>
        <xdr:spPr bwMode="auto">
          <a:xfrm>
            <a:off x="181" y="712"/>
            <a:ext cx="0" cy="8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412369" name="Line 36">
            <a:extLst>
              <a:ext uri="{FF2B5EF4-FFF2-40B4-BE49-F238E27FC236}">
                <a16:creationId xmlns:a16="http://schemas.microsoft.com/office/drawing/2014/main" id="{6A77C45E-B71D-FD53-67B6-EC19C9DC79EC}"/>
              </a:ext>
            </a:extLst>
          </xdr:cNvPr>
          <xdr:cNvSpPr>
            <a:spLocks noChangeShapeType="1"/>
          </xdr:cNvSpPr>
        </xdr:nvSpPr>
        <xdr:spPr bwMode="auto">
          <a:xfrm flipV="1">
            <a:off x="171" y="767"/>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412370" name="Line 37">
            <a:extLst>
              <a:ext uri="{FF2B5EF4-FFF2-40B4-BE49-F238E27FC236}">
                <a16:creationId xmlns:a16="http://schemas.microsoft.com/office/drawing/2014/main" id="{DAD22904-8E5D-131D-2EAF-0F4B1685E1CA}"/>
              </a:ext>
            </a:extLst>
          </xdr:cNvPr>
          <xdr:cNvSpPr>
            <a:spLocks noChangeShapeType="1"/>
          </xdr:cNvSpPr>
        </xdr:nvSpPr>
        <xdr:spPr bwMode="auto">
          <a:xfrm>
            <a:off x="171" y="727"/>
            <a:ext cx="2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412371" name="Line 38">
            <a:extLst>
              <a:ext uri="{FF2B5EF4-FFF2-40B4-BE49-F238E27FC236}">
                <a16:creationId xmlns:a16="http://schemas.microsoft.com/office/drawing/2014/main" id="{8CD55408-073A-2E16-6919-A090F2760EAB}"/>
              </a:ext>
            </a:extLst>
          </xdr:cNvPr>
          <xdr:cNvSpPr>
            <a:spLocks noChangeShapeType="1"/>
          </xdr:cNvSpPr>
        </xdr:nvSpPr>
        <xdr:spPr bwMode="auto">
          <a:xfrm flipV="1">
            <a:off x="173" y="786"/>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83" name="Text Box 39">
            <a:extLst>
              <a:ext uri="{FF2B5EF4-FFF2-40B4-BE49-F238E27FC236}">
                <a16:creationId xmlns:a16="http://schemas.microsoft.com/office/drawing/2014/main" id="{45F9C1C2-32C6-51ED-66BB-CBB9FA361574}"/>
              </a:ext>
            </a:extLst>
          </xdr:cNvPr>
          <xdr:cNvSpPr txBox="1">
            <a:spLocks noChangeArrowheads="1"/>
          </xdr:cNvSpPr>
        </xdr:nvSpPr>
        <xdr:spPr bwMode="auto">
          <a:xfrm>
            <a:off x="191" y="768"/>
            <a:ext cx="21" cy="23"/>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5</a:t>
            </a:r>
          </a:p>
        </xdr:txBody>
      </xdr:sp>
      <xdr:sp macro="" textlink="">
        <xdr:nvSpPr>
          <xdr:cNvPr id="6184" name="Text Box 40">
            <a:extLst>
              <a:ext uri="{FF2B5EF4-FFF2-40B4-BE49-F238E27FC236}">
                <a16:creationId xmlns:a16="http://schemas.microsoft.com/office/drawing/2014/main" id="{4636C101-514F-7DF9-BB64-811E513BF9D2}"/>
              </a:ext>
            </a:extLst>
          </xdr:cNvPr>
          <xdr:cNvSpPr txBox="1">
            <a:spLocks noChangeArrowheads="1"/>
          </xdr:cNvSpPr>
        </xdr:nvSpPr>
        <xdr:spPr bwMode="auto">
          <a:xfrm>
            <a:off x="192" y="737"/>
            <a:ext cx="23" cy="23"/>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5</a:t>
            </a:r>
          </a:p>
        </xdr:txBody>
      </xdr:sp>
      <xdr:sp macro="" textlink="">
        <xdr:nvSpPr>
          <xdr:cNvPr id="1412374" name="Line 41">
            <a:extLst>
              <a:ext uri="{FF2B5EF4-FFF2-40B4-BE49-F238E27FC236}">
                <a16:creationId xmlns:a16="http://schemas.microsoft.com/office/drawing/2014/main" id="{054BB5E0-1508-AE9C-5933-10062B3F0254}"/>
              </a:ext>
            </a:extLst>
          </xdr:cNvPr>
          <xdr:cNvSpPr>
            <a:spLocks noChangeShapeType="1"/>
          </xdr:cNvSpPr>
        </xdr:nvSpPr>
        <xdr:spPr bwMode="auto">
          <a:xfrm>
            <a:off x="103" y="813"/>
            <a:ext cx="5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412375" name="Line 42">
            <a:extLst>
              <a:ext uri="{FF2B5EF4-FFF2-40B4-BE49-F238E27FC236}">
                <a16:creationId xmlns:a16="http://schemas.microsoft.com/office/drawing/2014/main" id="{6E7ABD1F-E49B-2EA6-7A34-86A792172A6D}"/>
              </a:ext>
            </a:extLst>
          </xdr:cNvPr>
          <xdr:cNvSpPr>
            <a:spLocks noChangeShapeType="1"/>
          </xdr:cNvSpPr>
        </xdr:nvSpPr>
        <xdr:spPr bwMode="auto">
          <a:xfrm>
            <a:off x="110" y="804"/>
            <a:ext cx="0" cy="1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412376" name="Line 43">
            <a:extLst>
              <a:ext uri="{FF2B5EF4-FFF2-40B4-BE49-F238E27FC236}">
                <a16:creationId xmlns:a16="http://schemas.microsoft.com/office/drawing/2014/main" id="{0D0B36AF-1139-D40E-5B2C-04CDA5B5EFBF}"/>
              </a:ext>
            </a:extLst>
          </xdr:cNvPr>
          <xdr:cNvSpPr>
            <a:spLocks noChangeShapeType="1"/>
          </xdr:cNvSpPr>
        </xdr:nvSpPr>
        <xdr:spPr bwMode="auto">
          <a:xfrm>
            <a:off x="155" y="803"/>
            <a:ext cx="0" cy="1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88" name="Text Box 44">
            <a:extLst>
              <a:ext uri="{FF2B5EF4-FFF2-40B4-BE49-F238E27FC236}">
                <a16:creationId xmlns:a16="http://schemas.microsoft.com/office/drawing/2014/main" id="{C191226B-A77B-283E-6DFB-385627FBC888}"/>
              </a:ext>
            </a:extLst>
          </xdr:cNvPr>
          <xdr:cNvSpPr txBox="1">
            <a:spLocks noChangeArrowheads="1"/>
          </xdr:cNvSpPr>
        </xdr:nvSpPr>
        <xdr:spPr bwMode="auto">
          <a:xfrm>
            <a:off x="117" y="790"/>
            <a:ext cx="33" cy="21"/>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18288" rIns="0" bIns="0" anchor="t" upright="1"/>
          <a:lstStyle/>
          <a:p>
            <a:pPr algn="l" rtl="0">
              <a:defRPr sz="1000"/>
            </a:pPr>
            <a:r>
              <a:rPr lang="es-MX" sz="1000" b="0" i="0" u="none" strike="noStrike" baseline="0">
                <a:solidFill>
                  <a:srgbClr val="000000"/>
                </a:solidFill>
                <a:latin typeface="Courier"/>
              </a:rPr>
              <a:t>12</a:t>
            </a:r>
          </a:p>
        </xdr:txBody>
      </xdr:sp>
    </xdr:grpSp>
    <xdr:clientData/>
  </xdr:twoCellAnchor>
  <xdr:twoCellAnchor>
    <xdr:from>
      <xdr:col>0</xdr:col>
      <xdr:colOff>0</xdr:colOff>
      <xdr:row>5</xdr:row>
      <xdr:rowOff>123825</xdr:rowOff>
    </xdr:from>
    <xdr:to>
      <xdr:col>35</xdr:col>
      <xdr:colOff>180975</xdr:colOff>
      <xdr:row>5</xdr:row>
      <xdr:rowOff>123825</xdr:rowOff>
    </xdr:to>
    <xdr:sp macro="" textlink="">
      <xdr:nvSpPr>
        <xdr:cNvPr id="1412355" name="Line 51">
          <a:extLst>
            <a:ext uri="{FF2B5EF4-FFF2-40B4-BE49-F238E27FC236}">
              <a16:creationId xmlns:a16="http://schemas.microsoft.com/office/drawing/2014/main" id="{3B072F35-2F04-ADA0-B63D-AC714BC99816}"/>
            </a:ext>
          </a:extLst>
        </xdr:cNvPr>
        <xdr:cNvSpPr>
          <a:spLocks noChangeShapeType="1"/>
        </xdr:cNvSpPr>
      </xdr:nvSpPr>
      <xdr:spPr bwMode="auto">
        <a:xfrm>
          <a:off x="0" y="933450"/>
          <a:ext cx="157257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361950</xdr:colOff>
      <xdr:row>1</xdr:row>
      <xdr:rowOff>81915</xdr:rowOff>
    </xdr:from>
    <xdr:to>
      <xdr:col>36</xdr:col>
      <xdr:colOff>323850</xdr:colOff>
      <xdr:row>2</xdr:row>
      <xdr:rowOff>163370</xdr:rowOff>
    </xdr:to>
    <xdr:sp macro="" textlink="">
      <xdr:nvSpPr>
        <xdr:cNvPr id="6196" name="Texto 327">
          <a:extLst>
            <a:ext uri="{FF2B5EF4-FFF2-40B4-BE49-F238E27FC236}">
              <a16:creationId xmlns:a16="http://schemas.microsoft.com/office/drawing/2014/main" id="{8D3F2D77-4AB9-6846-553C-B4EA2C5CD22D}"/>
            </a:ext>
          </a:extLst>
        </xdr:cNvPr>
        <xdr:cNvSpPr txBox="1">
          <a:spLocks noChangeArrowheads="1"/>
        </xdr:cNvSpPr>
      </xdr:nvSpPr>
      <xdr:spPr bwMode="auto">
        <a:xfrm>
          <a:off x="9620250" y="247650"/>
          <a:ext cx="5753100" cy="238125"/>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23</xdr:col>
      <xdr:colOff>321945</xdr:colOff>
      <xdr:row>2</xdr:row>
      <xdr:rowOff>121920</xdr:rowOff>
    </xdr:from>
    <xdr:to>
      <xdr:col>26</xdr:col>
      <xdr:colOff>90089</xdr:colOff>
      <xdr:row>4</xdr:row>
      <xdr:rowOff>54054</xdr:rowOff>
    </xdr:to>
    <xdr:sp macro="" textlink="">
      <xdr:nvSpPr>
        <xdr:cNvPr id="6197" name="Texto 327">
          <a:extLst>
            <a:ext uri="{FF2B5EF4-FFF2-40B4-BE49-F238E27FC236}">
              <a16:creationId xmlns:a16="http://schemas.microsoft.com/office/drawing/2014/main" id="{2FB17DB5-918A-85BF-3D7E-A655A47182D7}"/>
            </a:ext>
          </a:extLst>
        </xdr:cNvPr>
        <xdr:cNvSpPr txBox="1">
          <a:spLocks noChangeArrowheads="1"/>
        </xdr:cNvSpPr>
      </xdr:nvSpPr>
      <xdr:spPr bwMode="auto">
        <a:xfrm>
          <a:off x="9572625" y="438150"/>
          <a:ext cx="1228725" cy="266700"/>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30</xdr:col>
      <xdr:colOff>211455</xdr:colOff>
      <xdr:row>2</xdr:row>
      <xdr:rowOff>121920</xdr:rowOff>
    </xdr:from>
    <xdr:to>
      <xdr:col>34</xdr:col>
      <xdr:colOff>188657</xdr:colOff>
      <xdr:row>5</xdr:row>
      <xdr:rowOff>76200</xdr:rowOff>
    </xdr:to>
    <xdr:sp macro="" textlink="">
      <xdr:nvSpPr>
        <xdr:cNvPr id="6198" name="Texto 327">
          <a:extLst>
            <a:ext uri="{FF2B5EF4-FFF2-40B4-BE49-F238E27FC236}">
              <a16:creationId xmlns:a16="http://schemas.microsoft.com/office/drawing/2014/main" id="{1A1D14B5-9503-D68A-2417-0EA9139F32D6}"/>
            </a:ext>
          </a:extLst>
        </xdr:cNvPr>
        <xdr:cNvSpPr txBox="1">
          <a:spLocks noChangeArrowheads="1"/>
        </xdr:cNvSpPr>
      </xdr:nvSpPr>
      <xdr:spPr bwMode="auto">
        <a:xfrm>
          <a:off x="12573000" y="438150"/>
          <a:ext cx="1733550" cy="447675"/>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32</xdr:col>
      <xdr:colOff>184785</xdr:colOff>
      <xdr:row>0</xdr:row>
      <xdr:rowOff>95250</xdr:rowOff>
    </xdr:from>
    <xdr:to>
      <xdr:col>34</xdr:col>
      <xdr:colOff>76479</xdr:colOff>
      <xdr:row>1</xdr:row>
      <xdr:rowOff>76200</xdr:rowOff>
    </xdr:to>
    <xdr:sp macro="" textlink="">
      <xdr:nvSpPr>
        <xdr:cNvPr id="6199" name="Texto 327">
          <a:extLst>
            <a:ext uri="{FF2B5EF4-FFF2-40B4-BE49-F238E27FC236}">
              <a16:creationId xmlns:a16="http://schemas.microsoft.com/office/drawing/2014/main" id="{E2C278C6-EB87-BFE7-5B61-8200E19D54D9}"/>
            </a:ext>
          </a:extLst>
        </xdr:cNvPr>
        <xdr:cNvSpPr txBox="1">
          <a:spLocks noChangeArrowheads="1"/>
        </xdr:cNvSpPr>
      </xdr:nvSpPr>
      <xdr:spPr bwMode="auto">
        <a:xfrm>
          <a:off x="13430250" y="95250"/>
          <a:ext cx="752475" cy="142875"/>
        </a:xfrm>
        <a:prstGeom prst="rect">
          <a:avLst/>
        </a:prstGeom>
        <a:noFill/>
        <a:ln>
          <a:noFill/>
        </a:ln>
      </xdr:spPr>
      <xdr:txBody>
        <a:bodyPr vertOverflow="clip" wrap="square" lIns="0" tIns="22860" rIns="27432" bIns="0" anchor="t" upright="1"/>
        <a:lstStyle/>
        <a:p>
          <a:pPr algn="r"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3</xdr:col>
      <xdr:colOff>219075</xdr:colOff>
      <xdr:row>5</xdr:row>
      <xdr:rowOff>66675</xdr:rowOff>
    </xdr:to>
    <xdr:pic>
      <xdr:nvPicPr>
        <xdr:cNvPr id="1412360" name="Picture 52">
          <a:extLst>
            <a:ext uri="{FF2B5EF4-FFF2-40B4-BE49-F238E27FC236}">
              <a16:creationId xmlns:a16="http://schemas.microsoft.com/office/drawing/2014/main" id="{06ED0EC0-603D-37DA-0F71-4256E6E6AA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1906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428625</xdr:colOff>
      <xdr:row>31</xdr:row>
      <xdr:rowOff>142875</xdr:rowOff>
    </xdr:from>
    <xdr:to>
      <xdr:col>2</xdr:col>
      <xdr:colOff>228600</xdr:colOff>
      <xdr:row>38</xdr:row>
      <xdr:rowOff>142875</xdr:rowOff>
    </xdr:to>
    <xdr:grpSp>
      <xdr:nvGrpSpPr>
        <xdr:cNvPr id="1409601" name="Group 18">
          <a:extLst>
            <a:ext uri="{FF2B5EF4-FFF2-40B4-BE49-F238E27FC236}">
              <a16:creationId xmlns:a16="http://schemas.microsoft.com/office/drawing/2014/main" id="{8894F8B0-C022-510A-EA9E-C724F5FC543F}"/>
            </a:ext>
          </a:extLst>
        </xdr:cNvPr>
        <xdr:cNvGrpSpPr>
          <a:grpSpLocks/>
        </xdr:cNvGrpSpPr>
      </xdr:nvGrpSpPr>
      <xdr:grpSpPr bwMode="auto">
        <a:xfrm>
          <a:off x="428625" y="6338840"/>
          <a:ext cx="1563515" cy="1461758"/>
          <a:chOff x="45" y="559"/>
          <a:chExt cx="164" cy="151"/>
        </a:xfrm>
      </xdr:grpSpPr>
      <xdr:sp macro="" textlink="">
        <xdr:nvSpPr>
          <xdr:cNvPr id="1409624" name="Line 1">
            <a:extLst>
              <a:ext uri="{FF2B5EF4-FFF2-40B4-BE49-F238E27FC236}">
                <a16:creationId xmlns:a16="http://schemas.microsoft.com/office/drawing/2014/main" id="{8A188148-97A2-1336-7659-0D9171D1A770}"/>
              </a:ext>
            </a:extLst>
          </xdr:cNvPr>
          <xdr:cNvSpPr>
            <a:spLocks noChangeShapeType="1"/>
          </xdr:cNvSpPr>
        </xdr:nvSpPr>
        <xdr:spPr bwMode="auto">
          <a:xfrm>
            <a:off x="45" y="576"/>
            <a:ext cx="83" cy="0"/>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a:ln>
          <a:extLst>
            <a:ext uri="{909E8E84-426E-40DD-AFC4-6F175D3DCCD1}">
              <a14:hiddenFill xmlns:a14="http://schemas.microsoft.com/office/drawing/2010/main">
                <a:noFill/>
              </a14:hiddenFill>
            </a:ext>
          </a:extLst>
        </xdr:spPr>
      </xdr:sp>
      <xdr:sp macro="" textlink="">
        <xdr:nvSpPr>
          <xdr:cNvPr id="1409625" name="Line 2">
            <a:extLst>
              <a:ext uri="{FF2B5EF4-FFF2-40B4-BE49-F238E27FC236}">
                <a16:creationId xmlns:a16="http://schemas.microsoft.com/office/drawing/2014/main" id="{09D5110C-D93C-6A75-B4D5-9C7B248AB560}"/>
              </a:ext>
            </a:extLst>
          </xdr:cNvPr>
          <xdr:cNvSpPr>
            <a:spLocks noChangeShapeType="1"/>
          </xdr:cNvSpPr>
        </xdr:nvSpPr>
        <xdr:spPr bwMode="auto">
          <a:xfrm>
            <a:off x="128" y="576"/>
            <a:ext cx="0" cy="47"/>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a:ln>
          <a:extLst>
            <a:ext uri="{909E8E84-426E-40DD-AFC4-6F175D3DCCD1}">
              <a14:hiddenFill xmlns:a14="http://schemas.microsoft.com/office/drawing/2010/main">
                <a:noFill/>
              </a14:hiddenFill>
            </a:ext>
          </a:extLst>
        </xdr:spPr>
      </xdr:sp>
      <xdr:sp macro="" textlink="">
        <xdr:nvSpPr>
          <xdr:cNvPr id="1409626" name="Line 3">
            <a:extLst>
              <a:ext uri="{FF2B5EF4-FFF2-40B4-BE49-F238E27FC236}">
                <a16:creationId xmlns:a16="http://schemas.microsoft.com/office/drawing/2014/main" id="{8E6AE50C-F5B2-FD7A-1631-8B0C6158A8F8}"/>
              </a:ext>
            </a:extLst>
          </xdr:cNvPr>
          <xdr:cNvSpPr>
            <a:spLocks noChangeShapeType="1"/>
          </xdr:cNvSpPr>
        </xdr:nvSpPr>
        <xdr:spPr bwMode="auto">
          <a:xfrm>
            <a:off x="128" y="623"/>
            <a:ext cx="43" cy="0"/>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a:ln>
          <a:extLst>
            <a:ext uri="{909E8E84-426E-40DD-AFC4-6F175D3DCCD1}">
              <a14:hiddenFill xmlns:a14="http://schemas.microsoft.com/office/drawing/2010/main">
                <a:noFill/>
              </a14:hiddenFill>
            </a:ext>
          </a:extLst>
        </xdr:spPr>
      </xdr:sp>
      <xdr:sp macro="" textlink="">
        <xdr:nvSpPr>
          <xdr:cNvPr id="1409627" name="Line 4">
            <a:extLst>
              <a:ext uri="{FF2B5EF4-FFF2-40B4-BE49-F238E27FC236}">
                <a16:creationId xmlns:a16="http://schemas.microsoft.com/office/drawing/2014/main" id="{4BAD098F-38BB-A813-6983-7E988842BB65}"/>
              </a:ext>
            </a:extLst>
          </xdr:cNvPr>
          <xdr:cNvSpPr>
            <a:spLocks noChangeShapeType="1"/>
          </xdr:cNvSpPr>
        </xdr:nvSpPr>
        <xdr:spPr bwMode="auto">
          <a:xfrm flipV="1">
            <a:off x="171" y="559"/>
            <a:ext cx="0" cy="64"/>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a:ln>
          <a:extLst>
            <a:ext uri="{909E8E84-426E-40DD-AFC4-6F175D3DCCD1}">
              <a14:hiddenFill xmlns:a14="http://schemas.microsoft.com/office/drawing/2010/main">
                <a:noFill/>
              </a14:hiddenFill>
            </a:ext>
          </a:extLst>
        </xdr:spPr>
      </xdr:sp>
      <xdr:sp macro="" textlink="">
        <xdr:nvSpPr>
          <xdr:cNvPr id="1409628" name="Line 5">
            <a:extLst>
              <a:ext uri="{FF2B5EF4-FFF2-40B4-BE49-F238E27FC236}">
                <a16:creationId xmlns:a16="http://schemas.microsoft.com/office/drawing/2014/main" id="{A50879F5-4277-A4DD-AF7C-C39A75733814}"/>
              </a:ext>
            </a:extLst>
          </xdr:cNvPr>
          <xdr:cNvSpPr>
            <a:spLocks noChangeShapeType="1"/>
          </xdr:cNvSpPr>
        </xdr:nvSpPr>
        <xdr:spPr bwMode="auto">
          <a:xfrm flipH="1">
            <a:off x="45" y="559"/>
            <a:ext cx="126" cy="0"/>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a:ln>
          <a:extLst>
            <a:ext uri="{909E8E84-426E-40DD-AFC4-6F175D3DCCD1}">
              <a14:hiddenFill xmlns:a14="http://schemas.microsoft.com/office/drawing/2010/main">
                <a:noFill/>
              </a14:hiddenFill>
            </a:ext>
          </a:extLst>
        </xdr:spPr>
      </xdr:sp>
      <xdr:sp macro="" textlink="">
        <xdr:nvSpPr>
          <xdr:cNvPr id="1409629" name="Rectangle 6">
            <a:extLst>
              <a:ext uri="{FF2B5EF4-FFF2-40B4-BE49-F238E27FC236}">
                <a16:creationId xmlns:a16="http://schemas.microsoft.com/office/drawing/2014/main" id="{841438FD-4D93-1698-003E-F781E689A89E}"/>
              </a:ext>
            </a:extLst>
          </xdr:cNvPr>
          <xdr:cNvSpPr>
            <a:spLocks noChangeArrowheads="1"/>
          </xdr:cNvSpPr>
        </xdr:nvSpPr>
        <xdr:spPr bwMode="auto">
          <a:xfrm>
            <a:off x="129" y="629"/>
            <a:ext cx="40" cy="14"/>
          </a:xfrm>
          <a:prstGeom prst="rect">
            <a:avLst/>
          </a:prstGeom>
          <a:solidFill>
            <a:srgbClr xmlns:mc="http://schemas.openxmlformats.org/markup-compatibility/2006" xmlns:a14="http://schemas.microsoft.com/office/drawing/2010/main" val="FFFFFF" mc:Ignorable="a14" a14:legacySpreadsheetColorIndex="9"/>
          </a:solidFill>
          <a:ln w="28575">
            <a:solidFill>
              <a:srgbClr xmlns:mc="http://schemas.openxmlformats.org/markup-compatibility/2006" xmlns:a14="http://schemas.microsoft.com/office/drawing/2010/main" val="800080" mc:Ignorable="a14" a14:legacySpreadsheetColorIndex="20"/>
            </a:solidFill>
            <a:miter lim="800000"/>
            <a:headEnd/>
            <a:tailEnd/>
          </a:ln>
        </xdr:spPr>
      </xdr:sp>
      <xdr:sp macro="" textlink="">
        <xdr:nvSpPr>
          <xdr:cNvPr id="1409630" name="Rectangle 7">
            <a:extLst>
              <a:ext uri="{FF2B5EF4-FFF2-40B4-BE49-F238E27FC236}">
                <a16:creationId xmlns:a16="http://schemas.microsoft.com/office/drawing/2014/main" id="{A7958197-CBBD-8ED2-7B23-0A76830D7B23}"/>
              </a:ext>
            </a:extLst>
          </xdr:cNvPr>
          <xdr:cNvSpPr>
            <a:spLocks noChangeArrowheads="1"/>
          </xdr:cNvSpPr>
        </xdr:nvSpPr>
        <xdr:spPr bwMode="auto">
          <a:xfrm>
            <a:off x="129" y="647"/>
            <a:ext cx="40" cy="14"/>
          </a:xfrm>
          <a:prstGeom prst="rect">
            <a:avLst/>
          </a:prstGeom>
          <a:solidFill>
            <a:srgbClr xmlns:mc="http://schemas.openxmlformats.org/markup-compatibility/2006" xmlns:a14="http://schemas.microsoft.com/office/drawing/2010/main" val="FFFFFF" mc:Ignorable="a14" a14:legacySpreadsheetColorIndex="9"/>
          </a:solidFill>
          <a:ln w="28575">
            <a:solidFill>
              <a:srgbClr xmlns:mc="http://schemas.openxmlformats.org/markup-compatibility/2006" xmlns:a14="http://schemas.microsoft.com/office/drawing/2010/main" val="800080" mc:Ignorable="a14" a14:legacySpreadsheetColorIndex="20"/>
            </a:solidFill>
            <a:miter lim="800000"/>
            <a:headEnd/>
            <a:tailEnd/>
          </a:ln>
        </xdr:spPr>
      </xdr:sp>
      <xdr:sp macro="" textlink="">
        <xdr:nvSpPr>
          <xdr:cNvPr id="1409631" name="Rectangle 8">
            <a:extLst>
              <a:ext uri="{FF2B5EF4-FFF2-40B4-BE49-F238E27FC236}">
                <a16:creationId xmlns:a16="http://schemas.microsoft.com/office/drawing/2014/main" id="{AE67B5E5-47CB-B8BA-7F71-92EEA4E68D1F}"/>
              </a:ext>
            </a:extLst>
          </xdr:cNvPr>
          <xdr:cNvSpPr>
            <a:spLocks noChangeArrowheads="1"/>
          </xdr:cNvSpPr>
        </xdr:nvSpPr>
        <xdr:spPr bwMode="auto">
          <a:xfrm>
            <a:off x="129" y="665"/>
            <a:ext cx="40" cy="14"/>
          </a:xfrm>
          <a:prstGeom prst="rect">
            <a:avLst/>
          </a:prstGeom>
          <a:solidFill>
            <a:srgbClr xmlns:mc="http://schemas.openxmlformats.org/markup-compatibility/2006" xmlns:a14="http://schemas.microsoft.com/office/drawing/2010/main" val="FFFFFF" mc:Ignorable="a14" a14:legacySpreadsheetColorIndex="9"/>
          </a:solidFill>
          <a:ln w="28575">
            <a:solidFill>
              <a:srgbClr xmlns:mc="http://schemas.openxmlformats.org/markup-compatibility/2006" xmlns:a14="http://schemas.microsoft.com/office/drawing/2010/main" val="800080" mc:Ignorable="a14" a14:legacySpreadsheetColorIndex="20"/>
            </a:solidFill>
            <a:miter lim="800000"/>
            <a:headEnd/>
            <a:tailEnd/>
          </a:ln>
        </xdr:spPr>
      </xdr:sp>
      <xdr:sp macro="" textlink="">
        <xdr:nvSpPr>
          <xdr:cNvPr id="69641" name="Text Box 9">
            <a:extLst>
              <a:ext uri="{FF2B5EF4-FFF2-40B4-BE49-F238E27FC236}">
                <a16:creationId xmlns:a16="http://schemas.microsoft.com/office/drawing/2014/main" id="{8989DE1D-DDC8-6D22-0D83-32BA44648D48}"/>
              </a:ext>
            </a:extLst>
          </xdr:cNvPr>
          <xdr:cNvSpPr txBox="1">
            <a:spLocks noChangeArrowheads="1"/>
          </xdr:cNvSpPr>
        </xdr:nvSpPr>
        <xdr:spPr bwMode="auto">
          <a:xfrm>
            <a:off x="129" y="689"/>
            <a:ext cx="42" cy="21"/>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22860" rIns="27432" bIns="0" anchor="t" upright="1"/>
          <a:lstStyle/>
          <a:p>
            <a:pPr algn="ctr" rtl="0">
              <a:defRPr sz="1000"/>
            </a:pPr>
            <a:r>
              <a:rPr lang="es-MX" sz="1200" b="0" i="0" u="none" strike="noStrike" baseline="0">
                <a:solidFill>
                  <a:srgbClr val="000000"/>
                </a:solidFill>
                <a:latin typeface="Arial"/>
                <a:cs typeface="Arial"/>
              </a:rPr>
              <a:t>t</a:t>
            </a:r>
          </a:p>
        </xdr:txBody>
      </xdr:sp>
      <xdr:sp macro="" textlink="">
        <xdr:nvSpPr>
          <xdr:cNvPr id="1409633" name="Line 11">
            <a:extLst>
              <a:ext uri="{FF2B5EF4-FFF2-40B4-BE49-F238E27FC236}">
                <a16:creationId xmlns:a16="http://schemas.microsoft.com/office/drawing/2014/main" id="{838D6877-F50B-5BC9-55A1-B164B42B00D4}"/>
              </a:ext>
            </a:extLst>
          </xdr:cNvPr>
          <xdr:cNvSpPr>
            <a:spLocks noChangeShapeType="1"/>
          </xdr:cNvSpPr>
        </xdr:nvSpPr>
        <xdr:spPr bwMode="auto">
          <a:xfrm flipH="1">
            <a:off x="172" y="701"/>
            <a:ext cx="29" cy="0"/>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type="triangle" w="med" len="med"/>
          </a:ln>
          <a:extLst>
            <a:ext uri="{909E8E84-426E-40DD-AFC4-6F175D3DCCD1}">
              <a14:hiddenFill xmlns:a14="http://schemas.microsoft.com/office/drawing/2010/main">
                <a:noFill/>
              </a14:hiddenFill>
            </a:ext>
          </a:extLst>
        </xdr:spPr>
      </xdr:sp>
      <xdr:sp macro="" textlink="">
        <xdr:nvSpPr>
          <xdr:cNvPr id="1409634" name="Line 12">
            <a:extLst>
              <a:ext uri="{FF2B5EF4-FFF2-40B4-BE49-F238E27FC236}">
                <a16:creationId xmlns:a16="http://schemas.microsoft.com/office/drawing/2014/main" id="{CC536862-B2C0-8388-A008-468D6853491F}"/>
              </a:ext>
            </a:extLst>
          </xdr:cNvPr>
          <xdr:cNvSpPr>
            <a:spLocks noChangeShapeType="1"/>
          </xdr:cNvSpPr>
        </xdr:nvSpPr>
        <xdr:spPr bwMode="auto">
          <a:xfrm>
            <a:off x="106" y="701"/>
            <a:ext cx="22" cy="0"/>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type="triangle" w="med" len="med"/>
          </a:ln>
          <a:extLst>
            <a:ext uri="{909E8E84-426E-40DD-AFC4-6F175D3DCCD1}">
              <a14:hiddenFill xmlns:a14="http://schemas.microsoft.com/office/drawing/2010/main">
                <a:noFill/>
              </a14:hiddenFill>
            </a:ext>
          </a:extLst>
        </xdr:spPr>
      </xdr:sp>
      <xdr:sp macro="" textlink="">
        <xdr:nvSpPr>
          <xdr:cNvPr id="1409635" name="Line 13">
            <a:extLst>
              <a:ext uri="{FF2B5EF4-FFF2-40B4-BE49-F238E27FC236}">
                <a16:creationId xmlns:a16="http://schemas.microsoft.com/office/drawing/2014/main" id="{32492051-88E5-B469-51E6-4DD75328904A}"/>
              </a:ext>
            </a:extLst>
          </xdr:cNvPr>
          <xdr:cNvSpPr>
            <a:spLocks noChangeShapeType="1"/>
          </xdr:cNvSpPr>
        </xdr:nvSpPr>
        <xdr:spPr bwMode="auto">
          <a:xfrm>
            <a:off x="181" y="623"/>
            <a:ext cx="28" cy="0"/>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a:ln>
          <a:extLst>
            <a:ext uri="{909E8E84-426E-40DD-AFC4-6F175D3DCCD1}">
              <a14:hiddenFill xmlns:a14="http://schemas.microsoft.com/office/drawing/2010/main">
                <a:noFill/>
              </a14:hiddenFill>
            </a:ext>
          </a:extLst>
        </xdr:spPr>
      </xdr:sp>
      <xdr:sp macro="" textlink="">
        <xdr:nvSpPr>
          <xdr:cNvPr id="1409636" name="Line 14">
            <a:extLst>
              <a:ext uri="{FF2B5EF4-FFF2-40B4-BE49-F238E27FC236}">
                <a16:creationId xmlns:a16="http://schemas.microsoft.com/office/drawing/2014/main" id="{16BA182A-5BCE-563A-12B3-343ED4F0C7B9}"/>
              </a:ext>
            </a:extLst>
          </xdr:cNvPr>
          <xdr:cNvSpPr>
            <a:spLocks noChangeShapeType="1"/>
          </xdr:cNvSpPr>
        </xdr:nvSpPr>
        <xdr:spPr bwMode="auto">
          <a:xfrm>
            <a:off x="181" y="560"/>
            <a:ext cx="27" cy="0"/>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a:ln>
          <a:extLst>
            <a:ext uri="{909E8E84-426E-40DD-AFC4-6F175D3DCCD1}">
              <a14:hiddenFill xmlns:a14="http://schemas.microsoft.com/office/drawing/2010/main">
                <a:noFill/>
              </a14:hiddenFill>
            </a:ext>
          </a:extLst>
        </xdr:spPr>
      </xdr:sp>
      <xdr:sp macro="" textlink="">
        <xdr:nvSpPr>
          <xdr:cNvPr id="1409637" name="Line 15">
            <a:extLst>
              <a:ext uri="{FF2B5EF4-FFF2-40B4-BE49-F238E27FC236}">
                <a16:creationId xmlns:a16="http://schemas.microsoft.com/office/drawing/2014/main" id="{7C4BE41D-71E7-B065-AEB3-7725059AA133}"/>
              </a:ext>
            </a:extLst>
          </xdr:cNvPr>
          <xdr:cNvSpPr>
            <a:spLocks noChangeShapeType="1"/>
          </xdr:cNvSpPr>
        </xdr:nvSpPr>
        <xdr:spPr bwMode="auto">
          <a:xfrm>
            <a:off x="195" y="560"/>
            <a:ext cx="0" cy="63"/>
          </a:xfrm>
          <a:prstGeom prst="line">
            <a:avLst/>
          </a:prstGeom>
          <a:noFill/>
          <a:ln w="28575">
            <a:solidFill>
              <a:srgbClr xmlns:mc="http://schemas.openxmlformats.org/markup-compatibility/2006" xmlns:a14="http://schemas.microsoft.com/office/drawing/2010/main" val="800080" mc:Ignorable="a14" a14:legacySpreadsheetColorIndex="20"/>
            </a:solidFill>
            <a:round/>
            <a:headEnd type="triangle" w="med" len="me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882015</xdr:colOff>
      <xdr:row>32</xdr:row>
      <xdr:rowOff>154305</xdr:rowOff>
    </xdr:from>
    <xdr:to>
      <xdr:col>2</xdr:col>
      <xdr:colOff>371195</xdr:colOff>
      <xdr:row>33</xdr:row>
      <xdr:rowOff>156212</xdr:rowOff>
    </xdr:to>
    <xdr:sp macro="" textlink="">
      <xdr:nvSpPr>
        <xdr:cNvPr id="69648" name="Text Box 16">
          <a:extLst>
            <a:ext uri="{FF2B5EF4-FFF2-40B4-BE49-F238E27FC236}">
              <a16:creationId xmlns:a16="http://schemas.microsoft.com/office/drawing/2014/main" id="{5A66D228-63BE-66CD-C5FB-051DF800C502}"/>
            </a:ext>
          </a:extLst>
        </xdr:cNvPr>
        <xdr:cNvSpPr txBox="1">
          <a:spLocks noChangeArrowheads="1"/>
        </xdr:cNvSpPr>
      </xdr:nvSpPr>
      <xdr:spPr bwMode="auto">
        <a:xfrm>
          <a:off x="1724025" y="6505575"/>
          <a:ext cx="409575" cy="200025"/>
        </a:xfrm>
        <a:prstGeom prst="rect">
          <a:avLst/>
        </a:prstGeom>
        <a:noFill/>
        <a:ln>
          <a:noFill/>
        </a:ln>
      </xdr:spPr>
      <xdr:txBody>
        <a:bodyPr vertOverflow="clip" wrap="square" lIns="27432" tIns="22860" rIns="27432" bIns="0" anchor="t" upright="1"/>
        <a:lstStyle/>
        <a:p>
          <a:pPr algn="ctr" rtl="0">
            <a:defRPr sz="1000"/>
          </a:pPr>
          <a:r>
            <a:rPr lang="es-MX" sz="1200" b="0" i="0" u="none" strike="noStrike" baseline="0">
              <a:solidFill>
                <a:srgbClr val="000000"/>
              </a:solidFill>
              <a:latin typeface="Arial"/>
              <a:cs typeface="Arial"/>
            </a:rPr>
            <a:t>h</a:t>
          </a:r>
        </a:p>
      </xdr:txBody>
    </xdr:sp>
    <xdr:clientData/>
  </xdr:twoCellAnchor>
  <xdr:twoCellAnchor>
    <xdr:from>
      <xdr:col>1</xdr:col>
      <xdr:colOff>180975</xdr:colOff>
      <xdr:row>10</xdr:row>
      <xdr:rowOff>76200</xdr:rowOff>
    </xdr:from>
    <xdr:to>
      <xdr:col>2</xdr:col>
      <xdr:colOff>428625</xdr:colOff>
      <xdr:row>17</xdr:row>
      <xdr:rowOff>76200</xdr:rowOff>
    </xdr:to>
    <xdr:grpSp>
      <xdr:nvGrpSpPr>
        <xdr:cNvPr id="1409603" name="Group 35">
          <a:extLst>
            <a:ext uri="{FF2B5EF4-FFF2-40B4-BE49-F238E27FC236}">
              <a16:creationId xmlns:a16="http://schemas.microsoft.com/office/drawing/2014/main" id="{024F4D03-F801-2C22-0E3C-AE7E26390384}"/>
            </a:ext>
          </a:extLst>
        </xdr:cNvPr>
        <xdr:cNvGrpSpPr>
          <a:grpSpLocks/>
        </xdr:cNvGrpSpPr>
      </xdr:nvGrpSpPr>
      <xdr:grpSpPr bwMode="auto">
        <a:xfrm>
          <a:off x="1020307" y="1868032"/>
          <a:ext cx="1171858" cy="1424034"/>
          <a:chOff x="1147" y="251"/>
          <a:chExt cx="123" cy="151"/>
        </a:xfrm>
      </xdr:grpSpPr>
      <xdr:sp macro="" textlink="">
        <xdr:nvSpPr>
          <xdr:cNvPr id="1409610" name="Line 21">
            <a:extLst>
              <a:ext uri="{FF2B5EF4-FFF2-40B4-BE49-F238E27FC236}">
                <a16:creationId xmlns:a16="http://schemas.microsoft.com/office/drawing/2014/main" id="{AFE9E4A9-CCFD-2E38-09F1-0F707B9748B3}"/>
              </a:ext>
            </a:extLst>
          </xdr:cNvPr>
          <xdr:cNvSpPr>
            <a:spLocks noChangeShapeType="1"/>
          </xdr:cNvSpPr>
        </xdr:nvSpPr>
        <xdr:spPr bwMode="auto">
          <a:xfrm>
            <a:off x="1169" y="251"/>
            <a:ext cx="0" cy="64"/>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a:ln>
          <a:extLst>
            <a:ext uri="{909E8E84-426E-40DD-AFC4-6F175D3DCCD1}">
              <a14:hiddenFill xmlns:a14="http://schemas.microsoft.com/office/drawing/2010/main">
                <a:noFill/>
              </a14:hiddenFill>
            </a:ext>
          </a:extLst>
        </xdr:spPr>
      </xdr:sp>
      <xdr:sp macro="" textlink="">
        <xdr:nvSpPr>
          <xdr:cNvPr id="1409611" name="Line 22">
            <a:extLst>
              <a:ext uri="{FF2B5EF4-FFF2-40B4-BE49-F238E27FC236}">
                <a16:creationId xmlns:a16="http://schemas.microsoft.com/office/drawing/2014/main" id="{4FA64C4E-9945-A9E6-4BD0-63FEC3C06298}"/>
              </a:ext>
            </a:extLst>
          </xdr:cNvPr>
          <xdr:cNvSpPr>
            <a:spLocks noChangeShapeType="1"/>
          </xdr:cNvSpPr>
        </xdr:nvSpPr>
        <xdr:spPr bwMode="auto">
          <a:xfrm>
            <a:off x="1169" y="315"/>
            <a:ext cx="43" cy="0"/>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a:ln>
          <a:extLst>
            <a:ext uri="{909E8E84-426E-40DD-AFC4-6F175D3DCCD1}">
              <a14:hiddenFill xmlns:a14="http://schemas.microsoft.com/office/drawing/2010/main">
                <a:noFill/>
              </a14:hiddenFill>
            </a:ext>
          </a:extLst>
        </xdr:spPr>
      </xdr:sp>
      <xdr:sp macro="" textlink="">
        <xdr:nvSpPr>
          <xdr:cNvPr id="1409612" name="Line 23">
            <a:extLst>
              <a:ext uri="{FF2B5EF4-FFF2-40B4-BE49-F238E27FC236}">
                <a16:creationId xmlns:a16="http://schemas.microsoft.com/office/drawing/2014/main" id="{88320675-B3FD-8948-665E-379776F3B84A}"/>
              </a:ext>
            </a:extLst>
          </xdr:cNvPr>
          <xdr:cNvSpPr>
            <a:spLocks noChangeShapeType="1"/>
          </xdr:cNvSpPr>
        </xdr:nvSpPr>
        <xdr:spPr bwMode="auto">
          <a:xfrm flipV="1">
            <a:off x="1212" y="251"/>
            <a:ext cx="0" cy="64"/>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a:ln>
          <a:extLst>
            <a:ext uri="{909E8E84-426E-40DD-AFC4-6F175D3DCCD1}">
              <a14:hiddenFill xmlns:a14="http://schemas.microsoft.com/office/drawing/2010/main">
                <a:noFill/>
              </a14:hiddenFill>
            </a:ext>
          </a:extLst>
        </xdr:spPr>
      </xdr:sp>
      <xdr:sp macro="" textlink="">
        <xdr:nvSpPr>
          <xdr:cNvPr id="1409613" name="Line 24">
            <a:extLst>
              <a:ext uri="{FF2B5EF4-FFF2-40B4-BE49-F238E27FC236}">
                <a16:creationId xmlns:a16="http://schemas.microsoft.com/office/drawing/2014/main" id="{224E74CE-A223-6BA2-EE1C-A96970C37031}"/>
              </a:ext>
            </a:extLst>
          </xdr:cNvPr>
          <xdr:cNvSpPr>
            <a:spLocks noChangeShapeType="1"/>
          </xdr:cNvSpPr>
        </xdr:nvSpPr>
        <xdr:spPr bwMode="auto">
          <a:xfrm flipH="1">
            <a:off x="1170" y="251"/>
            <a:ext cx="42" cy="0"/>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a:ln>
          <a:extLst>
            <a:ext uri="{909E8E84-426E-40DD-AFC4-6F175D3DCCD1}">
              <a14:hiddenFill xmlns:a14="http://schemas.microsoft.com/office/drawing/2010/main">
                <a:noFill/>
              </a14:hiddenFill>
            </a:ext>
          </a:extLst>
        </xdr:spPr>
      </xdr:sp>
      <xdr:sp macro="" textlink="">
        <xdr:nvSpPr>
          <xdr:cNvPr id="1409614" name="Rectangle 25">
            <a:extLst>
              <a:ext uri="{FF2B5EF4-FFF2-40B4-BE49-F238E27FC236}">
                <a16:creationId xmlns:a16="http://schemas.microsoft.com/office/drawing/2014/main" id="{B338F10A-84C4-4612-F26D-48EF2F33CDAB}"/>
              </a:ext>
            </a:extLst>
          </xdr:cNvPr>
          <xdr:cNvSpPr>
            <a:spLocks noChangeArrowheads="1"/>
          </xdr:cNvSpPr>
        </xdr:nvSpPr>
        <xdr:spPr bwMode="auto">
          <a:xfrm>
            <a:off x="1170" y="321"/>
            <a:ext cx="40" cy="14"/>
          </a:xfrm>
          <a:prstGeom prst="rect">
            <a:avLst/>
          </a:prstGeom>
          <a:solidFill>
            <a:srgbClr xmlns:mc="http://schemas.openxmlformats.org/markup-compatibility/2006" xmlns:a14="http://schemas.microsoft.com/office/drawing/2010/main" val="FFFFFF" mc:Ignorable="a14" a14:legacySpreadsheetColorIndex="9"/>
          </a:solidFill>
          <a:ln w="28575">
            <a:solidFill>
              <a:srgbClr xmlns:mc="http://schemas.openxmlformats.org/markup-compatibility/2006" xmlns:a14="http://schemas.microsoft.com/office/drawing/2010/main" val="800080" mc:Ignorable="a14" a14:legacySpreadsheetColorIndex="20"/>
            </a:solidFill>
            <a:miter lim="800000"/>
            <a:headEnd/>
            <a:tailEnd/>
          </a:ln>
        </xdr:spPr>
      </xdr:sp>
      <xdr:sp macro="" textlink="">
        <xdr:nvSpPr>
          <xdr:cNvPr id="1409615" name="Rectangle 26">
            <a:extLst>
              <a:ext uri="{FF2B5EF4-FFF2-40B4-BE49-F238E27FC236}">
                <a16:creationId xmlns:a16="http://schemas.microsoft.com/office/drawing/2014/main" id="{EA162CC7-D010-EEBB-AB2B-E2DF627B2E45}"/>
              </a:ext>
            </a:extLst>
          </xdr:cNvPr>
          <xdr:cNvSpPr>
            <a:spLocks noChangeArrowheads="1"/>
          </xdr:cNvSpPr>
        </xdr:nvSpPr>
        <xdr:spPr bwMode="auto">
          <a:xfrm>
            <a:off x="1170" y="339"/>
            <a:ext cx="40" cy="14"/>
          </a:xfrm>
          <a:prstGeom prst="rect">
            <a:avLst/>
          </a:prstGeom>
          <a:solidFill>
            <a:srgbClr xmlns:mc="http://schemas.openxmlformats.org/markup-compatibility/2006" xmlns:a14="http://schemas.microsoft.com/office/drawing/2010/main" val="FFFFFF" mc:Ignorable="a14" a14:legacySpreadsheetColorIndex="9"/>
          </a:solidFill>
          <a:ln w="28575">
            <a:solidFill>
              <a:srgbClr xmlns:mc="http://schemas.openxmlformats.org/markup-compatibility/2006" xmlns:a14="http://schemas.microsoft.com/office/drawing/2010/main" val="800080" mc:Ignorable="a14" a14:legacySpreadsheetColorIndex="20"/>
            </a:solidFill>
            <a:miter lim="800000"/>
            <a:headEnd/>
            <a:tailEnd/>
          </a:ln>
        </xdr:spPr>
      </xdr:sp>
      <xdr:sp macro="" textlink="">
        <xdr:nvSpPr>
          <xdr:cNvPr id="1409616" name="Rectangle 27">
            <a:extLst>
              <a:ext uri="{FF2B5EF4-FFF2-40B4-BE49-F238E27FC236}">
                <a16:creationId xmlns:a16="http://schemas.microsoft.com/office/drawing/2014/main" id="{21231762-90DE-5056-E76F-ADF4838CCB87}"/>
              </a:ext>
            </a:extLst>
          </xdr:cNvPr>
          <xdr:cNvSpPr>
            <a:spLocks noChangeArrowheads="1"/>
          </xdr:cNvSpPr>
        </xdr:nvSpPr>
        <xdr:spPr bwMode="auto">
          <a:xfrm>
            <a:off x="1170" y="357"/>
            <a:ext cx="40" cy="14"/>
          </a:xfrm>
          <a:prstGeom prst="rect">
            <a:avLst/>
          </a:prstGeom>
          <a:solidFill>
            <a:srgbClr xmlns:mc="http://schemas.openxmlformats.org/markup-compatibility/2006" xmlns:a14="http://schemas.microsoft.com/office/drawing/2010/main" val="FFFFFF" mc:Ignorable="a14" a14:legacySpreadsheetColorIndex="9"/>
          </a:solidFill>
          <a:ln w="28575">
            <a:solidFill>
              <a:srgbClr xmlns:mc="http://schemas.openxmlformats.org/markup-compatibility/2006" xmlns:a14="http://schemas.microsoft.com/office/drawing/2010/main" val="800080" mc:Ignorable="a14" a14:legacySpreadsheetColorIndex="20"/>
            </a:solidFill>
            <a:miter lim="800000"/>
            <a:headEnd/>
            <a:tailEnd/>
          </a:ln>
        </xdr:spPr>
      </xdr:sp>
      <xdr:sp macro="" textlink="">
        <xdr:nvSpPr>
          <xdr:cNvPr id="69660" name="Text Box 28">
            <a:extLst>
              <a:ext uri="{FF2B5EF4-FFF2-40B4-BE49-F238E27FC236}">
                <a16:creationId xmlns:a16="http://schemas.microsoft.com/office/drawing/2014/main" id="{29837BFE-E465-6851-70C6-57C1E037B468}"/>
              </a:ext>
            </a:extLst>
          </xdr:cNvPr>
          <xdr:cNvSpPr txBox="1">
            <a:spLocks noChangeArrowheads="1"/>
          </xdr:cNvSpPr>
        </xdr:nvSpPr>
        <xdr:spPr bwMode="auto">
          <a:xfrm>
            <a:off x="1170" y="381"/>
            <a:ext cx="42" cy="21"/>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22860" rIns="27432" bIns="0" anchor="t" upright="1"/>
          <a:lstStyle/>
          <a:p>
            <a:pPr algn="ctr" rtl="0">
              <a:defRPr sz="1000"/>
            </a:pPr>
            <a:r>
              <a:rPr lang="es-MX" sz="1200" b="0" i="0" u="none" strike="noStrike" baseline="0">
                <a:solidFill>
                  <a:srgbClr val="000000"/>
                </a:solidFill>
                <a:latin typeface="Arial"/>
                <a:cs typeface="Arial"/>
              </a:rPr>
              <a:t>t</a:t>
            </a:r>
          </a:p>
        </xdr:txBody>
      </xdr:sp>
      <xdr:sp macro="" textlink="">
        <xdr:nvSpPr>
          <xdr:cNvPr id="1409618" name="Line 29">
            <a:extLst>
              <a:ext uri="{FF2B5EF4-FFF2-40B4-BE49-F238E27FC236}">
                <a16:creationId xmlns:a16="http://schemas.microsoft.com/office/drawing/2014/main" id="{60DF23CE-4A93-9482-C832-8DF603B3FDD6}"/>
              </a:ext>
            </a:extLst>
          </xdr:cNvPr>
          <xdr:cNvSpPr>
            <a:spLocks noChangeShapeType="1"/>
          </xdr:cNvSpPr>
        </xdr:nvSpPr>
        <xdr:spPr bwMode="auto">
          <a:xfrm flipH="1">
            <a:off x="1213" y="393"/>
            <a:ext cx="29" cy="0"/>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type="triangle" w="med" len="med"/>
          </a:ln>
          <a:extLst>
            <a:ext uri="{909E8E84-426E-40DD-AFC4-6F175D3DCCD1}">
              <a14:hiddenFill xmlns:a14="http://schemas.microsoft.com/office/drawing/2010/main">
                <a:noFill/>
              </a14:hiddenFill>
            </a:ext>
          </a:extLst>
        </xdr:spPr>
      </xdr:sp>
      <xdr:sp macro="" textlink="">
        <xdr:nvSpPr>
          <xdr:cNvPr id="1409619" name="Line 30">
            <a:extLst>
              <a:ext uri="{FF2B5EF4-FFF2-40B4-BE49-F238E27FC236}">
                <a16:creationId xmlns:a16="http://schemas.microsoft.com/office/drawing/2014/main" id="{990A55B7-86DC-46E3-8593-0234C27917F9}"/>
              </a:ext>
            </a:extLst>
          </xdr:cNvPr>
          <xdr:cNvSpPr>
            <a:spLocks noChangeShapeType="1"/>
          </xdr:cNvSpPr>
        </xdr:nvSpPr>
        <xdr:spPr bwMode="auto">
          <a:xfrm>
            <a:off x="1147" y="393"/>
            <a:ext cx="22" cy="0"/>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type="triangle" w="med" len="med"/>
          </a:ln>
          <a:extLst>
            <a:ext uri="{909E8E84-426E-40DD-AFC4-6F175D3DCCD1}">
              <a14:hiddenFill xmlns:a14="http://schemas.microsoft.com/office/drawing/2010/main">
                <a:noFill/>
              </a14:hiddenFill>
            </a:ext>
          </a:extLst>
        </xdr:spPr>
      </xdr:sp>
      <xdr:sp macro="" textlink="">
        <xdr:nvSpPr>
          <xdr:cNvPr id="1409620" name="Line 31">
            <a:extLst>
              <a:ext uri="{FF2B5EF4-FFF2-40B4-BE49-F238E27FC236}">
                <a16:creationId xmlns:a16="http://schemas.microsoft.com/office/drawing/2014/main" id="{8DCB0AAC-1A26-40A4-6E02-7CE43D999C7F}"/>
              </a:ext>
            </a:extLst>
          </xdr:cNvPr>
          <xdr:cNvSpPr>
            <a:spLocks noChangeShapeType="1"/>
          </xdr:cNvSpPr>
        </xdr:nvSpPr>
        <xdr:spPr bwMode="auto">
          <a:xfrm>
            <a:off x="1222" y="315"/>
            <a:ext cx="28" cy="0"/>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a:ln>
          <a:extLst>
            <a:ext uri="{909E8E84-426E-40DD-AFC4-6F175D3DCCD1}">
              <a14:hiddenFill xmlns:a14="http://schemas.microsoft.com/office/drawing/2010/main">
                <a:noFill/>
              </a14:hiddenFill>
            </a:ext>
          </a:extLst>
        </xdr:spPr>
      </xdr:sp>
      <xdr:sp macro="" textlink="">
        <xdr:nvSpPr>
          <xdr:cNvPr id="1409621" name="Line 32">
            <a:extLst>
              <a:ext uri="{FF2B5EF4-FFF2-40B4-BE49-F238E27FC236}">
                <a16:creationId xmlns:a16="http://schemas.microsoft.com/office/drawing/2014/main" id="{565C9C82-0990-E757-9437-1654E7CB1850}"/>
              </a:ext>
            </a:extLst>
          </xdr:cNvPr>
          <xdr:cNvSpPr>
            <a:spLocks noChangeShapeType="1"/>
          </xdr:cNvSpPr>
        </xdr:nvSpPr>
        <xdr:spPr bwMode="auto">
          <a:xfrm>
            <a:off x="1222" y="252"/>
            <a:ext cx="27" cy="0"/>
          </a:xfrm>
          <a:prstGeom prst="line">
            <a:avLst/>
          </a:prstGeom>
          <a:noFill/>
          <a:ln w="28575">
            <a:solidFill>
              <a:srgbClr xmlns:mc="http://schemas.openxmlformats.org/markup-compatibility/2006" xmlns:a14="http://schemas.microsoft.com/office/drawing/2010/main" val="800080" mc:Ignorable="a14" a14:legacySpreadsheetColorIndex="20"/>
            </a:solidFill>
            <a:round/>
            <a:headEnd/>
            <a:tailEnd/>
          </a:ln>
          <a:extLst>
            <a:ext uri="{909E8E84-426E-40DD-AFC4-6F175D3DCCD1}">
              <a14:hiddenFill xmlns:a14="http://schemas.microsoft.com/office/drawing/2010/main">
                <a:noFill/>
              </a14:hiddenFill>
            </a:ext>
          </a:extLst>
        </xdr:spPr>
      </xdr:sp>
      <xdr:sp macro="" textlink="">
        <xdr:nvSpPr>
          <xdr:cNvPr id="1409622" name="Line 33">
            <a:extLst>
              <a:ext uri="{FF2B5EF4-FFF2-40B4-BE49-F238E27FC236}">
                <a16:creationId xmlns:a16="http://schemas.microsoft.com/office/drawing/2014/main" id="{09C16AC7-587C-4E16-7884-DC01488848C8}"/>
              </a:ext>
            </a:extLst>
          </xdr:cNvPr>
          <xdr:cNvSpPr>
            <a:spLocks noChangeShapeType="1"/>
          </xdr:cNvSpPr>
        </xdr:nvSpPr>
        <xdr:spPr bwMode="auto">
          <a:xfrm>
            <a:off x="1236" y="252"/>
            <a:ext cx="0" cy="63"/>
          </a:xfrm>
          <a:prstGeom prst="line">
            <a:avLst/>
          </a:prstGeom>
          <a:noFill/>
          <a:ln w="28575">
            <a:solidFill>
              <a:srgbClr xmlns:mc="http://schemas.openxmlformats.org/markup-compatibility/2006" xmlns:a14="http://schemas.microsoft.com/office/drawing/2010/main" val="800080" mc:Ignorable="a14" a14:legacySpreadsheetColorIndex="2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69666" name="Text Box 34">
            <a:extLst>
              <a:ext uri="{FF2B5EF4-FFF2-40B4-BE49-F238E27FC236}">
                <a16:creationId xmlns:a16="http://schemas.microsoft.com/office/drawing/2014/main" id="{C83420F3-5E45-A7A3-8347-E949EBCB1C55}"/>
              </a:ext>
            </a:extLst>
          </xdr:cNvPr>
          <xdr:cNvSpPr txBox="1">
            <a:spLocks noChangeArrowheads="1"/>
          </xdr:cNvSpPr>
        </xdr:nvSpPr>
        <xdr:spPr bwMode="auto">
          <a:xfrm>
            <a:off x="1228" y="271"/>
            <a:ext cx="42" cy="21"/>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27432" tIns="22860" rIns="27432" bIns="0" anchor="t" upright="1"/>
          <a:lstStyle/>
          <a:p>
            <a:pPr algn="ctr" rtl="0">
              <a:defRPr sz="1000"/>
            </a:pPr>
            <a:r>
              <a:rPr lang="es-MX" sz="1200" b="0" i="0" u="none" strike="noStrike" baseline="0">
                <a:solidFill>
                  <a:srgbClr val="000000"/>
                </a:solidFill>
                <a:latin typeface="Arial"/>
                <a:cs typeface="Arial"/>
              </a:rPr>
              <a:t>h</a:t>
            </a:r>
          </a:p>
        </xdr:txBody>
      </xdr:sp>
    </xdr:grpSp>
    <xdr:clientData/>
  </xdr:twoCellAnchor>
  <xdr:twoCellAnchor>
    <xdr:from>
      <xdr:col>0</xdr:col>
      <xdr:colOff>0</xdr:colOff>
      <xdr:row>5</xdr:row>
      <xdr:rowOff>123825</xdr:rowOff>
    </xdr:from>
    <xdr:to>
      <xdr:col>15</xdr:col>
      <xdr:colOff>809625</xdr:colOff>
      <xdr:row>5</xdr:row>
      <xdr:rowOff>123825</xdr:rowOff>
    </xdr:to>
    <xdr:sp macro="" textlink="">
      <xdr:nvSpPr>
        <xdr:cNvPr id="1409604" name="Line 36">
          <a:extLst>
            <a:ext uri="{FF2B5EF4-FFF2-40B4-BE49-F238E27FC236}">
              <a16:creationId xmlns:a16="http://schemas.microsoft.com/office/drawing/2014/main" id="{D5869FE5-CE1A-74EC-46A9-405D274EED66}"/>
            </a:ext>
          </a:extLst>
        </xdr:cNvPr>
        <xdr:cNvSpPr>
          <a:spLocks noChangeShapeType="1"/>
        </xdr:cNvSpPr>
      </xdr:nvSpPr>
      <xdr:spPr bwMode="auto">
        <a:xfrm>
          <a:off x="0" y="933450"/>
          <a:ext cx="10668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118110</xdr:colOff>
      <xdr:row>1</xdr:row>
      <xdr:rowOff>100965</xdr:rowOff>
    </xdr:from>
    <xdr:to>
      <xdr:col>16</xdr:col>
      <xdr:colOff>419038</xdr:colOff>
      <xdr:row>2</xdr:row>
      <xdr:rowOff>129540</xdr:rowOff>
    </xdr:to>
    <xdr:sp macro="" textlink="">
      <xdr:nvSpPr>
        <xdr:cNvPr id="69669" name="Texto 327">
          <a:extLst>
            <a:ext uri="{FF2B5EF4-FFF2-40B4-BE49-F238E27FC236}">
              <a16:creationId xmlns:a16="http://schemas.microsoft.com/office/drawing/2014/main" id="{10372E9F-5EBC-0DCE-B4A5-BBC0A169B2A0}"/>
            </a:ext>
          </a:extLst>
        </xdr:cNvPr>
        <xdr:cNvSpPr txBox="1">
          <a:spLocks noChangeArrowheads="1"/>
        </xdr:cNvSpPr>
      </xdr:nvSpPr>
      <xdr:spPr bwMode="auto">
        <a:xfrm>
          <a:off x="5953125" y="247650"/>
          <a:ext cx="5162550" cy="190500"/>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8</xdr:col>
      <xdr:colOff>419100</xdr:colOff>
      <xdr:row>2</xdr:row>
      <xdr:rowOff>131445</xdr:rowOff>
    </xdr:from>
    <xdr:to>
      <xdr:col>11</xdr:col>
      <xdr:colOff>298991</xdr:colOff>
      <xdr:row>4</xdr:row>
      <xdr:rowOff>74449</xdr:rowOff>
    </xdr:to>
    <xdr:sp macro="" textlink="">
      <xdr:nvSpPr>
        <xdr:cNvPr id="69670" name="Texto 327">
          <a:extLst>
            <a:ext uri="{FF2B5EF4-FFF2-40B4-BE49-F238E27FC236}">
              <a16:creationId xmlns:a16="http://schemas.microsoft.com/office/drawing/2014/main" id="{E5FF2CE4-2679-F933-D077-491068752A96}"/>
            </a:ext>
          </a:extLst>
        </xdr:cNvPr>
        <xdr:cNvSpPr txBox="1">
          <a:spLocks noChangeArrowheads="1"/>
        </xdr:cNvSpPr>
      </xdr:nvSpPr>
      <xdr:spPr bwMode="auto">
        <a:xfrm>
          <a:off x="5524500" y="447675"/>
          <a:ext cx="1914525" cy="266700"/>
        </a:xfrm>
        <a:prstGeom prst="rect">
          <a:avLst/>
        </a:prstGeom>
        <a:noFill/>
        <a:ln>
          <a:noFill/>
        </a:ln>
      </xdr:spPr>
      <xdr:txBody>
        <a:bodyPr vertOverflow="clip" wrap="square" lIns="27432" tIns="18288" rIns="27432"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13</xdr:col>
      <xdr:colOff>552450</xdr:colOff>
      <xdr:row>2</xdr:row>
      <xdr:rowOff>129540</xdr:rowOff>
    </xdr:from>
    <xdr:to>
      <xdr:col>16</xdr:col>
      <xdr:colOff>70353</xdr:colOff>
      <xdr:row>5</xdr:row>
      <xdr:rowOff>104791</xdr:rowOff>
    </xdr:to>
    <xdr:sp macro="" textlink="">
      <xdr:nvSpPr>
        <xdr:cNvPr id="69671" name="Texto 327">
          <a:extLst>
            <a:ext uri="{FF2B5EF4-FFF2-40B4-BE49-F238E27FC236}">
              <a16:creationId xmlns:a16="http://schemas.microsoft.com/office/drawing/2014/main" id="{C9338C07-F11B-F5A1-2AF6-2D414BCE946F}"/>
            </a:ext>
          </a:extLst>
        </xdr:cNvPr>
        <xdr:cNvSpPr txBox="1">
          <a:spLocks noChangeArrowheads="1"/>
        </xdr:cNvSpPr>
      </xdr:nvSpPr>
      <xdr:spPr bwMode="auto">
        <a:xfrm>
          <a:off x="8905875" y="438150"/>
          <a:ext cx="1857375" cy="476250"/>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14</xdr:col>
      <xdr:colOff>723900</xdr:colOff>
      <xdr:row>0</xdr:row>
      <xdr:rowOff>120015</xdr:rowOff>
    </xdr:from>
    <xdr:to>
      <xdr:col>15</xdr:col>
      <xdr:colOff>672725</xdr:colOff>
      <xdr:row>1</xdr:row>
      <xdr:rowOff>140055</xdr:rowOff>
    </xdr:to>
    <xdr:sp macro="" textlink="">
      <xdr:nvSpPr>
        <xdr:cNvPr id="69672" name="Texto 327">
          <a:extLst>
            <a:ext uri="{FF2B5EF4-FFF2-40B4-BE49-F238E27FC236}">
              <a16:creationId xmlns:a16="http://schemas.microsoft.com/office/drawing/2014/main" id="{6BADC91C-A234-6E92-367F-F90A01C76906}"/>
            </a:ext>
          </a:extLst>
        </xdr:cNvPr>
        <xdr:cNvSpPr txBox="1">
          <a:spLocks noChangeArrowheads="1"/>
        </xdr:cNvSpPr>
      </xdr:nvSpPr>
      <xdr:spPr bwMode="auto">
        <a:xfrm>
          <a:off x="9744075" y="123825"/>
          <a:ext cx="790575" cy="161925"/>
        </a:xfrm>
        <a:prstGeom prst="rect">
          <a:avLst/>
        </a:prstGeom>
        <a:noFill/>
        <a:ln>
          <a:noFill/>
        </a:ln>
      </xdr:spPr>
      <xdr:txBody>
        <a:bodyPr vertOverflow="clip" wrap="square" lIns="0" tIns="18288" rIns="27432" bIns="0" anchor="t" upright="1"/>
        <a:lstStyle/>
        <a:p>
          <a:pPr algn="r"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1</xdr:col>
      <xdr:colOff>352425</xdr:colOff>
      <xdr:row>5</xdr:row>
      <xdr:rowOff>47625</xdr:rowOff>
    </xdr:to>
    <xdr:pic>
      <xdr:nvPicPr>
        <xdr:cNvPr id="1409609" name="Picture 52">
          <a:extLst>
            <a:ext uri="{FF2B5EF4-FFF2-40B4-BE49-F238E27FC236}">
              <a16:creationId xmlns:a16="http://schemas.microsoft.com/office/drawing/2014/main" id="{F4C180B5-A3E2-7CBB-B324-3015AB0835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1906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3</xdr:col>
      <xdr:colOff>0</xdr:colOff>
      <xdr:row>24</xdr:row>
      <xdr:rowOff>0</xdr:rowOff>
    </xdr:from>
    <xdr:to>
      <xdr:col>4</xdr:col>
      <xdr:colOff>0</xdr:colOff>
      <xdr:row>24</xdr:row>
      <xdr:rowOff>0</xdr:rowOff>
    </xdr:to>
    <xdr:sp macro="" textlink="">
      <xdr:nvSpPr>
        <xdr:cNvPr id="1408823" name="Line 1">
          <a:extLst>
            <a:ext uri="{FF2B5EF4-FFF2-40B4-BE49-F238E27FC236}">
              <a16:creationId xmlns:a16="http://schemas.microsoft.com/office/drawing/2014/main" id="{ED50B12D-4128-3FAE-7F07-0F76465E3AB7}"/>
            </a:ext>
          </a:extLst>
        </xdr:cNvPr>
        <xdr:cNvSpPr>
          <a:spLocks noChangeShapeType="1"/>
        </xdr:cNvSpPr>
      </xdr:nvSpPr>
      <xdr:spPr bwMode="auto">
        <a:xfrm>
          <a:off x="2628900" y="4533900"/>
          <a:ext cx="885825" cy="0"/>
        </a:xfrm>
        <a:prstGeom prst="line">
          <a:avLst/>
        </a:prstGeom>
        <a:noFill/>
        <a:ln w="1714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24</xdr:row>
      <xdr:rowOff>0</xdr:rowOff>
    </xdr:from>
    <xdr:to>
      <xdr:col>4</xdr:col>
      <xdr:colOff>0</xdr:colOff>
      <xdr:row>41</xdr:row>
      <xdr:rowOff>9525</xdr:rowOff>
    </xdr:to>
    <xdr:sp macro="" textlink="">
      <xdr:nvSpPr>
        <xdr:cNvPr id="1408824" name="Line 2">
          <a:extLst>
            <a:ext uri="{FF2B5EF4-FFF2-40B4-BE49-F238E27FC236}">
              <a16:creationId xmlns:a16="http://schemas.microsoft.com/office/drawing/2014/main" id="{88371268-5404-5DE3-5E8E-47F0BD8FD37C}"/>
            </a:ext>
          </a:extLst>
        </xdr:cNvPr>
        <xdr:cNvSpPr>
          <a:spLocks noChangeShapeType="1"/>
        </xdr:cNvSpPr>
      </xdr:nvSpPr>
      <xdr:spPr bwMode="auto">
        <a:xfrm>
          <a:off x="3514725" y="4533900"/>
          <a:ext cx="0" cy="3086100"/>
        </a:xfrm>
        <a:prstGeom prst="line">
          <a:avLst/>
        </a:prstGeom>
        <a:noFill/>
        <a:ln w="1714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41</xdr:row>
      <xdr:rowOff>9525</xdr:rowOff>
    </xdr:from>
    <xdr:to>
      <xdr:col>3</xdr:col>
      <xdr:colOff>876300</xdr:colOff>
      <xdr:row>41</xdr:row>
      <xdr:rowOff>9525</xdr:rowOff>
    </xdr:to>
    <xdr:sp macro="" textlink="">
      <xdr:nvSpPr>
        <xdr:cNvPr id="1408825" name="Line 5">
          <a:extLst>
            <a:ext uri="{FF2B5EF4-FFF2-40B4-BE49-F238E27FC236}">
              <a16:creationId xmlns:a16="http://schemas.microsoft.com/office/drawing/2014/main" id="{1D951CC7-E5A5-9FCE-544D-9D50A15D14F8}"/>
            </a:ext>
          </a:extLst>
        </xdr:cNvPr>
        <xdr:cNvSpPr>
          <a:spLocks noChangeShapeType="1"/>
        </xdr:cNvSpPr>
      </xdr:nvSpPr>
      <xdr:spPr bwMode="auto">
        <a:xfrm flipH="1">
          <a:off x="1038225" y="7620000"/>
          <a:ext cx="2466975" cy="0"/>
        </a:xfrm>
        <a:prstGeom prst="line">
          <a:avLst/>
        </a:prstGeom>
        <a:noFill/>
        <a:ln w="1714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38</xdr:row>
      <xdr:rowOff>0</xdr:rowOff>
    </xdr:from>
    <xdr:to>
      <xdr:col>1</xdr:col>
      <xdr:colOff>0</xdr:colOff>
      <xdr:row>41</xdr:row>
      <xdr:rowOff>9525</xdr:rowOff>
    </xdr:to>
    <xdr:sp macro="" textlink="">
      <xdr:nvSpPr>
        <xdr:cNvPr id="1408826" name="Line 6">
          <a:extLst>
            <a:ext uri="{FF2B5EF4-FFF2-40B4-BE49-F238E27FC236}">
              <a16:creationId xmlns:a16="http://schemas.microsoft.com/office/drawing/2014/main" id="{4B24CB8C-D693-CEBE-DD10-8022C240869C}"/>
            </a:ext>
          </a:extLst>
        </xdr:cNvPr>
        <xdr:cNvSpPr>
          <a:spLocks noChangeShapeType="1"/>
        </xdr:cNvSpPr>
      </xdr:nvSpPr>
      <xdr:spPr bwMode="auto">
        <a:xfrm flipV="1">
          <a:off x="1038225" y="7067550"/>
          <a:ext cx="0" cy="552450"/>
        </a:xfrm>
        <a:prstGeom prst="line">
          <a:avLst/>
        </a:prstGeom>
        <a:noFill/>
        <a:ln w="1714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38</xdr:row>
      <xdr:rowOff>0</xdr:rowOff>
    </xdr:from>
    <xdr:to>
      <xdr:col>3</xdr:col>
      <xdr:colOff>0</xdr:colOff>
      <xdr:row>38</xdr:row>
      <xdr:rowOff>0</xdr:rowOff>
    </xdr:to>
    <xdr:sp macro="" textlink="">
      <xdr:nvSpPr>
        <xdr:cNvPr id="1408827" name="Line 7">
          <a:extLst>
            <a:ext uri="{FF2B5EF4-FFF2-40B4-BE49-F238E27FC236}">
              <a16:creationId xmlns:a16="http://schemas.microsoft.com/office/drawing/2014/main" id="{2E04502B-C07C-2BF7-AE0B-8A8862322CD1}"/>
            </a:ext>
          </a:extLst>
        </xdr:cNvPr>
        <xdr:cNvSpPr>
          <a:spLocks noChangeShapeType="1"/>
        </xdr:cNvSpPr>
      </xdr:nvSpPr>
      <xdr:spPr bwMode="auto">
        <a:xfrm>
          <a:off x="1038225" y="7067550"/>
          <a:ext cx="1590675" cy="0"/>
        </a:xfrm>
        <a:prstGeom prst="line">
          <a:avLst/>
        </a:prstGeom>
        <a:noFill/>
        <a:ln w="1714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24</xdr:row>
      <xdr:rowOff>0</xdr:rowOff>
    </xdr:from>
    <xdr:to>
      <xdr:col>3</xdr:col>
      <xdr:colOff>0</xdr:colOff>
      <xdr:row>38</xdr:row>
      <xdr:rowOff>0</xdr:rowOff>
    </xdr:to>
    <xdr:sp macro="" textlink="">
      <xdr:nvSpPr>
        <xdr:cNvPr id="1408828" name="Line 8">
          <a:extLst>
            <a:ext uri="{FF2B5EF4-FFF2-40B4-BE49-F238E27FC236}">
              <a16:creationId xmlns:a16="http://schemas.microsoft.com/office/drawing/2014/main" id="{189DCCFE-244E-3E0F-D27A-0FE8CE701ACA}"/>
            </a:ext>
          </a:extLst>
        </xdr:cNvPr>
        <xdr:cNvSpPr>
          <a:spLocks noChangeShapeType="1"/>
        </xdr:cNvSpPr>
      </xdr:nvSpPr>
      <xdr:spPr bwMode="auto">
        <a:xfrm>
          <a:off x="2628900" y="4533900"/>
          <a:ext cx="0" cy="2533650"/>
        </a:xfrm>
        <a:prstGeom prst="line">
          <a:avLst/>
        </a:prstGeom>
        <a:noFill/>
        <a:ln w="1714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123825</xdr:colOff>
      <xdr:row>39</xdr:row>
      <xdr:rowOff>0</xdr:rowOff>
    </xdr:from>
    <xdr:to>
      <xdr:col>1</xdr:col>
      <xdr:colOff>123825</xdr:colOff>
      <xdr:row>40</xdr:row>
      <xdr:rowOff>0</xdr:rowOff>
    </xdr:to>
    <xdr:sp macro="" textlink="">
      <xdr:nvSpPr>
        <xdr:cNvPr id="1408829" name="Line 9">
          <a:extLst>
            <a:ext uri="{FF2B5EF4-FFF2-40B4-BE49-F238E27FC236}">
              <a16:creationId xmlns:a16="http://schemas.microsoft.com/office/drawing/2014/main" id="{B7663766-D766-EE77-CAD7-F08E4616BBB2}"/>
            </a:ext>
          </a:extLst>
        </xdr:cNvPr>
        <xdr:cNvSpPr>
          <a:spLocks noChangeShapeType="1"/>
        </xdr:cNvSpPr>
      </xdr:nvSpPr>
      <xdr:spPr bwMode="auto">
        <a:xfrm>
          <a:off x="1162050" y="7248525"/>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123825</xdr:colOff>
      <xdr:row>40</xdr:row>
      <xdr:rowOff>0</xdr:rowOff>
    </xdr:from>
    <xdr:to>
      <xdr:col>3</xdr:col>
      <xdr:colOff>828675</xdr:colOff>
      <xdr:row>40</xdr:row>
      <xdr:rowOff>0</xdr:rowOff>
    </xdr:to>
    <xdr:sp macro="" textlink="">
      <xdr:nvSpPr>
        <xdr:cNvPr id="1408830" name="Line 10">
          <a:extLst>
            <a:ext uri="{FF2B5EF4-FFF2-40B4-BE49-F238E27FC236}">
              <a16:creationId xmlns:a16="http://schemas.microsoft.com/office/drawing/2014/main" id="{7BE793F0-767B-B946-8B4D-B05B16229745}"/>
            </a:ext>
          </a:extLst>
        </xdr:cNvPr>
        <xdr:cNvSpPr>
          <a:spLocks noChangeShapeType="1"/>
        </xdr:cNvSpPr>
      </xdr:nvSpPr>
      <xdr:spPr bwMode="auto">
        <a:xfrm>
          <a:off x="1162050" y="7429500"/>
          <a:ext cx="22955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838200</xdr:colOff>
      <xdr:row>38</xdr:row>
      <xdr:rowOff>152400</xdr:rowOff>
    </xdr:from>
    <xdr:to>
      <xdr:col>3</xdr:col>
      <xdr:colOff>838200</xdr:colOff>
      <xdr:row>39</xdr:row>
      <xdr:rowOff>152400</xdr:rowOff>
    </xdr:to>
    <xdr:sp macro="" textlink="">
      <xdr:nvSpPr>
        <xdr:cNvPr id="1408831" name="Line 11">
          <a:extLst>
            <a:ext uri="{FF2B5EF4-FFF2-40B4-BE49-F238E27FC236}">
              <a16:creationId xmlns:a16="http://schemas.microsoft.com/office/drawing/2014/main" id="{B4D36523-F7AF-5DDC-5425-A7389D5B95DC}"/>
            </a:ext>
          </a:extLst>
        </xdr:cNvPr>
        <xdr:cNvSpPr>
          <a:spLocks noChangeShapeType="1"/>
        </xdr:cNvSpPr>
      </xdr:nvSpPr>
      <xdr:spPr bwMode="auto">
        <a:xfrm flipV="1">
          <a:off x="3467100" y="721995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66675</xdr:colOff>
      <xdr:row>38</xdr:row>
      <xdr:rowOff>9525</xdr:rowOff>
    </xdr:from>
    <xdr:to>
      <xdr:col>4</xdr:col>
      <xdr:colOff>247650</xdr:colOff>
      <xdr:row>38</xdr:row>
      <xdr:rowOff>9525</xdr:rowOff>
    </xdr:to>
    <xdr:sp macro="" textlink="">
      <xdr:nvSpPr>
        <xdr:cNvPr id="1408832" name="Line 12">
          <a:extLst>
            <a:ext uri="{FF2B5EF4-FFF2-40B4-BE49-F238E27FC236}">
              <a16:creationId xmlns:a16="http://schemas.microsoft.com/office/drawing/2014/main" id="{26DDDD58-9622-C49D-1B64-18786695E02B}"/>
            </a:ext>
          </a:extLst>
        </xdr:cNvPr>
        <xdr:cNvSpPr>
          <a:spLocks noChangeShapeType="1"/>
        </xdr:cNvSpPr>
      </xdr:nvSpPr>
      <xdr:spPr bwMode="auto">
        <a:xfrm>
          <a:off x="3581400" y="7077075"/>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66675</xdr:colOff>
      <xdr:row>41</xdr:row>
      <xdr:rowOff>28575</xdr:rowOff>
    </xdr:from>
    <xdr:to>
      <xdr:col>4</xdr:col>
      <xdr:colOff>247650</xdr:colOff>
      <xdr:row>41</xdr:row>
      <xdr:rowOff>28575</xdr:rowOff>
    </xdr:to>
    <xdr:sp macro="" textlink="">
      <xdr:nvSpPr>
        <xdr:cNvPr id="1408833" name="Line 13">
          <a:extLst>
            <a:ext uri="{FF2B5EF4-FFF2-40B4-BE49-F238E27FC236}">
              <a16:creationId xmlns:a16="http://schemas.microsoft.com/office/drawing/2014/main" id="{5A345723-892F-3625-28CD-891D74D1C9A6}"/>
            </a:ext>
          </a:extLst>
        </xdr:cNvPr>
        <xdr:cNvSpPr>
          <a:spLocks noChangeShapeType="1"/>
        </xdr:cNvSpPr>
      </xdr:nvSpPr>
      <xdr:spPr bwMode="auto">
        <a:xfrm>
          <a:off x="3581400" y="7639050"/>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152400</xdr:colOff>
      <xdr:row>38</xdr:row>
      <xdr:rowOff>9525</xdr:rowOff>
    </xdr:from>
    <xdr:to>
      <xdr:col>4</xdr:col>
      <xdr:colOff>152400</xdr:colOff>
      <xdr:row>41</xdr:row>
      <xdr:rowOff>19050</xdr:rowOff>
    </xdr:to>
    <xdr:sp macro="" textlink="">
      <xdr:nvSpPr>
        <xdr:cNvPr id="1408834" name="Line 14">
          <a:extLst>
            <a:ext uri="{FF2B5EF4-FFF2-40B4-BE49-F238E27FC236}">
              <a16:creationId xmlns:a16="http://schemas.microsoft.com/office/drawing/2014/main" id="{3E21DF73-8BDB-1E95-B3F3-5D56DC484510}"/>
            </a:ext>
          </a:extLst>
        </xdr:cNvPr>
        <xdr:cNvSpPr>
          <a:spLocks noChangeShapeType="1"/>
        </xdr:cNvSpPr>
      </xdr:nvSpPr>
      <xdr:spPr bwMode="auto">
        <a:xfrm>
          <a:off x="3667125" y="7077075"/>
          <a:ext cx="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1</xdr:col>
      <xdr:colOff>0</xdr:colOff>
      <xdr:row>41</xdr:row>
      <xdr:rowOff>76200</xdr:rowOff>
    </xdr:from>
    <xdr:to>
      <xdr:col>1</xdr:col>
      <xdr:colOff>0</xdr:colOff>
      <xdr:row>42</xdr:row>
      <xdr:rowOff>66675</xdr:rowOff>
    </xdr:to>
    <xdr:sp macro="" textlink="">
      <xdr:nvSpPr>
        <xdr:cNvPr id="1408835" name="Line 15">
          <a:extLst>
            <a:ext uri="{FF2B5EF4-FFF2-40B4-BE49-F238E27FC236}">
              <a16:creationId xmlns:a16="http://schemas.microsoft.com/office/drawing/2014/main" id="{E3D0E3A8-256E-C4EE-12B2-D0376AF1770C}"/>
            </a:ext>
          </a:extLst>
        </xdr:cNvPr>
        <xdr:cNvSpPr>
          <a:spLocks noChangeShapeType="1"/>
        </xdr:cNvSpPr>
      </xdr:nvSpPr>
      <xdr:spPr bwMode="auto">
        <a:xfrm>
          <a:off x="1038225" y="7686675"/>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41</xdr:row>
      <xdr:rowOff>85725</xdr:rowOff>
    </xdr:from>
    <xdr:to>
      <xdr:col>3</xdr:col>
      <xdr:colOff>0</xdr:colOff>
      <xdr:row>42</xdr:row>
      <xdr:rowOff>76200</xdr:rowOff>
    </xdr:to>
    <xdr:sp macro="" textlink="">
      <xdr:nvSpPr>
        <xdr:cNvPr id="1408836" name="Line 16">
          <a:extLst>
            <a:ext uri="{FF2B5EF4-FFF2-40B4-BE49-F238E27FC236}">
              <a16:creationId xmlns:a16="http://schemas.microsoft.com/office/drawing/2014/main" id="{B0E2E444-7124-C45A-BA79-FAF4FE166667}"/>
            </a:ext>
          </a:extLst>
        </xdr:cNvPr>
        <xdr:cNvSpPr>
          <a:spLocks noChangeShapeType="1"/>
        </xdr:cNvSpPr>
      </xdr:nvSpPr>
      <xdr:spPr bwMode="auto">
        <a:xfrm>
          <a:off x="2628900" y="7696200"/>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41</xdr:row>
      <xdr:rowOff>85725</xdr:rowOff>
    </xdr:from>
    <xdr:to>
      <xdr:col>4</xdr:col>
      <xdr:colOff>0</xdr:colOff>
      <xdr:row>43</xdr:row>
      <xdr:rowOff>28575</xdr:rowOff>
    </xdr:to>
    <xdr:sp macro="" textlink="">
      <xdr:nvSpPr>
        <xdr:cNvPr id="1408837" name="Line 17">
          <a:extLst>
            <a:ext uri="{FF2B5EF4-FFF2-40B4-BE49-F238E27FC236}">
              <a16:creationId xmlns:a16="http://schemas.microsoft.com/office/drawing/2014/main" id="{E967A99C-8EE9-E036-7D61-CD4DE3668504}"/>
            </a:ext>
          </a:extLst>
        </xdr:cNvPr>
        <xdr:cNvSpPr>
          <a:spLocks noChangeShapeType="1"/>
        </xdr:cNvSpPr>
      </xdr:nvSpPr>
      <xdr:spPr bwMode="auto">
        <a:xfrm>
          <a:off x="3514725" y="769620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42</xdr:row>
      <xdr:rowOff>0</xdr:rowOff>
    </xdr:from>
    <xdr:to>
      <xdr:col>3</xdr:col>
      <xdr:colOff>0</xdr:colOff>
      <xdr:row>42</xdr:row>
      <xdr:rowOff>0</xdr:rowOff>
    </xdr:to>
    <xdr:sp macro="" textlink="">
      <xdr:nvSpPr>
        <xdr:cNvPr id="1408838" name="Line 19">
          <a:extLst>
            <a:ext uri="{FF2B5EF4-FFF2-40B4-BE49-F238E27FC236}">
              <a16:creationId xmlns:a16="http://schemas.microsoft.com/office/drawing/2014/main" id="{170BA691-C5AB-EEDB-56B9-30740F9EBB55}"/>
            </a:ext>
          </a:extLst>
        </xdr:cNvPr>
        <xdr:cNvSpPr>
          <a:spLocks noChangeShapeType="1"/>
        </xdr:cNvSpPr>
      </xdr:nvSpPr>
      <xdr:spPr bwMode="auto">
        <a:xfrm>
          <a:off x="1038225" y="7791450"/>
          <a:ext cx="15906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3</xdr:col>
      <xdr:colOff>0</xdr:colOff>
      <xdr:row>42</xdr:row>
      <xdr:rowOff>0</xdr:rowOff>
    </xdr:from>
    <xdr:to>
      <xdr:col>4</xdr:col>
      <xdr:colOff>0</xdr:colOff>
      <xdr:row>42</xdr:row>
      <xdr:rowOff>0</xdr:rowOff>
    </xdr:to>
    <xdr:sp macro="" textlink="">
      <xdr:nvSpPr>
        <xdr:cNvPr id="1408839" name="Line 20">
          <a:extLst>
            <a:ext uri="{FF2B5EF4-FFF2-40B4-BE49-F238E27FC236}">
              <a16:creationId xmlns:a16="http://schemas.microsoft.com/office/drawing/2014/main" id="{CCA8AB05-1985-07BF-19BC-B7FFDCE1C475}"/>
            </a:ext>
          </a:extLst>
        </xdr:cNvPr>
        <xdr:cNvSpPr>
          <a:spLocks noChangeShapeType="1"/>
        </xdr:cNvSpPr>
      </xdr:nvSpPr>
      <xdr:spPr bwMode="auto">
        <a:xfrm>
          <a:off x="2628900" y="7791450"/>
          <a:ext cx="885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0</xdr:col>
      <xdr:colOff>523875</xdr:colOff>
      <xdr:row>40</xdr:row>
      <xdr:rowOff>0</xdr:rowOff>
    </xdr:from>
    <xdr:to>
      <xdr:col>0</xdr:col>
      <xdr:colOff>742950</xdr:colOff>
      <xdr:row>40</xdr:row>
      <xdr:rowOff>0</xdr:rowOff>
    </xdr:to>
    <xdr:sp macro="" textlink="">
      <xdr:nvSpPr>
        <xdr:cNvPr id="1408840" name="Line 22">
          <a:extLst>
            <a:ext uri="{FF2B5EF4-FFF2-40B4-BE49-F238E27FC236}">
              <a16:creationId xmlns:a16="http://schemas.microsoft.com/office/drawing/2014/main" id="{98E90169-B336-193E-134C-E8BA1A68B9C2}"/>
            </a:ext>
          </a:extLst>
        </xdr:cNvPr>
        <xdr:cNvSpPr>
          <a:spLocks noChangeShapeType="1"/>
        </xdr:cNvSpPr>
      </xdr:nvSpPr>
      <xdr:spPr bwMode="auto">
        <a:xfrm>
          <a:off x="523875" y="7429500"/>
          <a:ext cx="219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523875</xdr:colOff>
      <xdr:row>41</xdr:row>
      <xdr:rowOff>0</xdr:rowOff>
    </xdr:from>
    <xdr:to>
      <xdr:col>0</xdr:col>
      <xdr:colOff>733425</xdr:colOff>
      <xdr:row>41</xdr:row>
      <xdr:rowOff>0</xdr:rowOff>
    </xdr:to>
    <xdr:sp macro="" textlink="">
      <xdr:nvSpPr>
        <xdr:cNvPr id="1408841" name="Line 23">
          <a:extLst>
            <a:ext uri="{FF2B5EF4-FFF2-40B4-BE49-F238E27FC236}">
              <a16:creationId xmlns:a16="http://schemas.microsoft.com/office/drawing/2014/main" id="{2FDE89C0-FCA6-E95F-4681-D4A12820955D}"/>
            </a:ext>
          </a:extLst>
        </xdr:cNvPr>
        <xdr:cNvSpPr>
          <a:spLocks noChangeShapeType="1"/>
        </xdr:cNvSpPr>
      </xdr:nvSpPr>
      <xdr:spPr bwMode="auto">
        <a:xfrm>
          <a:off x="523875" y="7610475"/>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628650</xdr:colOff>
      <xdr:row>40</xdr:row>
      <xdr:rowOff>19050</xdr:rowOff>
    </xdr:from>
    <xdr:to>
      <xdr:col>0</xdr:col>
      <xdr:colOff>628650</xdr:colOff>
      <xdr:row>41</xdr:row>
      <xdr:rowOff>9525</xdr:rowOff>
    </xdr:to>
    <xdr:sp macro="" textlink="">
      <xdr:nvSpPr>
        <xdr:cNvPr id="1408842" name="Line 24">
          <a:extLst>
            <a:ext uri="{FF2B5EF4-FFF2-40B4-BE49-F238E27FC236}">
              <a16:creationId xmlns:a16="http://schemas.microsoft.com/office/drawing/2014/main" id="{91501E0F-DD91-C2F2-5D3A-18818E585245}"/>
            </a:ext>
          </a:extLst>
        </xdr:cNvPr>
        <xdr:cNvSpPr>
          <a:spLocks noChangeShapeType="1"/>
        </xdr:cNvSpPr>
      </xdr:nvSpPr>
      <xdr:spPr bwMode="auto">
        <a:xfrm>
          <a:off x="628650" y="7448550"/>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sm"/>
          <a:tailEnd type="triangle" w="sm" len="sm"/>
        </a:ln>
        <a:extLst>
          <a:ext uri="{909E8E84-426E-40DD-AFC4-6F175D3DCCD1}">
            <a14:hiddenFill xmlns:a14="http://schemas.microsoft.com/office/drawing/2010/main">
              <a:noFill/>
            </a14:hiddenFill>
          </a:ext>
        </a:extLst>
      </xdr:spPr>
    </xdr:sp>
    <xdr:clientData/>
  </xdr:twoCellAnchor>
  <xdr:twoCellAnchor>
    <xdr:from>
      <xdr:col>3</xdr:col>
      <xdr:colOff>66675</xdr:colOff>
      <xdr:row>24</xdr:row>
      <xdr:rowOff>57150</xdr:rowOff>
    </xdr:from>
    <xdr:to>
      <xdr:col>3</xdr:col>
      <xdr:colOff>828675</xdr:colOff>
      <xdr:row>28</xdr:row>
      <xdr:rowOff>28575</xdr:rowOff>
    </xdr:to>
    <xdr:sp macro="" textlink="">
      <xdr:nvSpPr>
        <xdr:cNvPr id="1408843" name="Rectangle 25">
          <a:extLst>
            <a:ext uri="{FF2B5EF4-FFF2-40B4-BE49-F238E27FC236}">
              <a16:creationId xmlns:a16="http://schemas.microsoft.com/office/drawing/2014/main" id="{489A3562-0615-0846-EB1E-D970BB9D1DD5}"/>
            </a:ext>
          </a:extLst>
        </xdr:cNvPr>
        <xdr:cNvSpPr>
          <a:spLocks noChangeArrowheads="1"/>
        </xdr:cNvSpPr>
      </xdr:nvSpPr>
      <xdr:spPr bwMode="auto">
        <a:xfrm>
          <a:off x="2695575" y="4591050"/>
          <a:ext cx="762000" cy="6953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47625</xdr:colOff>
      <xdr:row>33</xdr:row>
      <xdr:rowOff>104775</xdr:rowOff>
    </xdr:from>
    <xdr:to>
      <xdr:col>3</xdr:col>
      <xdr:colOff>838200</xdr:colOff>
      <xdr:row>34</xdr:row>
      <xdr:rowOff>171450</xdr:rowOff>
    </xdr:to>
    <xdr:sp macro="" textlink="">
      <xdr:nvSpPr>
        <xdr:cNvPr id="1408844" name="Rectangle 26">
          <a:extLst>
            <a:ext uri="{FF2B5EF4-FFF2-40B4-BE49-F238E27FC236}">
              <a16:creationId xmlns:a16="http://schemas.microsoft.com/office/drawing/2014/main" id="{5EAEF046-C47C-77F4-A07E-25FAF87B4B97}"/>
            </a:ext>
          </a:extLst>
        </xdr:cNvPr>
        <xdr:cNvSpPr>
          <a:spLocks noChangeArrowheads="1"/>
        </xdr:cNvSpPr>
      </xdr:nvSpPr>
      <xdr:spPr bwMode="auto">
        <a:xfrm>
          <a:off x="2676525" y="6267450"/>
          <a:ext cx="790575" cy="2476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47625</xdr:colOff>
      <xdr:row>28</xdr:row>
      <xdr:rowOff>76200</xdr:rowOff>
    </xdr:from>
    <xdr:to>
      <xdr:col>3</xdr:col>
      <xdr:colOff>828675</xdr:colOff>
      <xdr:row>29</xdr:row>
      <xdr:rowOff>161925</xdr:rowOff>
    </xdr:to>
    <xdr:sp macro="" textlink="">
      <xdr:nvSpPr>
        <xdr:cNvPr id="1408845" name="Rectangle 27">
          <a:extLst>
            <a:ext uri="{FF2B5EF4-FFF2-40B4-BE49-F238E27FC236}">
              <a16:creationId xmlns:a16="http://schemas.microsoft.com/office/drawing/2014/main" id="{24957496-81D8-C099-2810-DB31206F95B2}"/>
            </a:ext>
          </a:extLst>
        </xdr:cNvPr>
        <xdr:cNvSpPr>
          <a:spLocks noChangeArrowheads="1"/>
        </xdr:cNvSpPr>
      </xdr:nvSpPr>
      <xdr:spPr bwMode="auto">
        <a:xfrm>
          <a:off x="2676525" y="5334000"/>
          <a:ext cx="781050" cy="2667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47625</xdr:colOff>
      <xdr:row>30</xdr:row>
      <xdr:rowOff>28575</xdr:rowOff>
    </xdr:from>
    <xdr:to>
      <xdr:col>3</xdr:col>
      <xdr:colOff>828675</xdr:colOff>
      <xdr:row>31</xdr:row>
      <xdr:rowOff>123825</xdr:rowOff>
    </xdr:to>
    <xdr:sp macro="" textlink="">
      <xdr:nvSpPr>
        <xdr:cNvPr id="1408846" name="Rectangle 28">
          <a:extLst>
            <a:ext uri="{FF2B5EF4-FFF2-40B4-BE49-F238E27FC236}">
              <a16:creationId xmlns:a16="http://schemas.microsoft.com/office/drawing/2014/main" id="{B7A9D13B-F5FC-69D5-2B32-EF8046E71FCE}"/>
            </a:ext>
          </a:extLst>
        </xdr:cNvPr>
        <xdr:cNvSpPr>
          <a:spLocks noChangeArrowheads="1"/>
        </xdr:cNvSpPr>
      </xdr:nvSpPr>
      <xdr:spPr bwMode="auto">
        <a:xfrm>
          <a:off x="2676525" y="5648325"/>
          <a:ext cx="781050" cy="2762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47625</xdr:colOff>
      <xdr:row>31</xdr:row>
      <xdr:rowOff>152400</xdr:rowOff>
    </xdr:from>
    <xdr:to>
      <xdr:col>3</xdr:col>
      <xdr:colOff>828675</xdr:colOff>
      <xdr:row>33</xdr:row>
      <xdr:rowOff>66675</xdr:rowOff>
    </xdr:to>
    <xdr:sp macro="" textlink="">
      <xdr:nvSpPr>
        <xdr:cNvPr id="1408847" name="Rectangle 29">
          <a:extLst>
            <a:ext uri="{FF2B5EF4-FFF2-40B4-BE49-F238E27FC236}">
              <a16:creationId xmlns:a16="http://schemas.microsoft.com/office/drawing/2014/main" id="{6F6CE3BB-76BE-2834-AB5E-B2D83F1D79A3}"/>
            </a:ext>
          </a:extLst>
        </xdr:cNvPr>
        <xdr:cNvSpPr>
          <a:spLocks noChangeArrowheads="1"/>
        </xdr:cNvSpPr>
      </xdr:nvSpPr>
      <xdr:spPr bwMode="auto">
        <a:xfrm>
          <a:off x="2676525" y="5953125"/>
          <a:ext cx="781050" cy="2762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0</xdr:col>
      <xdr:colOff>523875</xdr:colOff>
      <xdr:row>24</xdr:row>
      <xdr:rowOff>0</xdr:rowOff>
    </xdr:from>
    <xdr:to>
      <xdr:col>0</xdr:col>
      <xdr:colOff>742950</xdr:colOff>
      <xdr:row>24</xdr:row>
      <xdr:rowOff>0</xdr:rowOff>
    </xdr:to>
    <xdr:sp macro="" textlink="">
      <xdr:nvSpPr>
        <xdr:cNvPr id="1408848" name="Line 30">
          <a:extLst>
            <a:ext uri="{FF2B5EF4-FFF2-40B4-BE49-F238E27FC236}">
              <a16:creationId xmlns:a16="http://schemas.microsoft.com/office/drawing/2014/main" id="{B03D16FE-AF18-4B1B-64F7-DD717A2840E7}"/>
            </a:ext>
          </a:extLst>
        </xdr:cNvPr>
        <xdr:cNvSpPr>
          <a:spLocks noChangeShapeType="1"/>
        </xdr:cNvSpPr>
      </xdr:nvSpPr>
      <xdr:spPr bwMode="auto">
        <a:xfrm>
          <a:off x="523875" y="4533900"/>
          <a:ext cx="219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638175</xdr:colOff>
      <xdr:row>24</xdr:row>
      <xdr:rowOff>0</xdr:rowOff>
    </xdr:from>
    <xdr:to>
      <xdr:col>0</xdr:col>
      <xdr:colOff>638175</xdr:colOff>
      <xdr:row>38</xdr:row>
      <xdr:rowOff>0</xdr:rowOff>
    </xdr:to>
    <xdr:sp macro="" textlink="">
      <xdr:nvSpPr>
        <xdr:cNvPr id="1408849" name="Line 31">
          <a:extLst>
            <a:ext uri="{FF2B5EF4-FFF2-40B4-BE49-F238E27FC236}">
              <a16:creationId xmlns:a16="http://schemas.microsoft.com/office/drawing/2014/main" id="{7DEA1144-A11E-7DF8-7D1E-715E15B816F0}"/>
            </a:ext>
          </a:extLst>
        </xdr:cNvPr>
        <xdr:cNvSpPr>
          <a:spLocks noChangeShapeType="1"/>
        </xdr:cNvSpPr>
      </xdr:nvSpPr>
      <xdr:spPr bwMode="auto">
        <a:xfrm>
          <a:off x="638175" y="4533900"/>
          <a:ext cx="0" cy="2533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0</xdr:col>
      <xdr:colOff>542925</xdr:colOff>
      <xdr:row>38</xdr:row>
      <xdr:rowOff>0</xdr:rowOff>
    </xdr:from>
    <xdr:to>
      <xdr:col>0</xdr:col>
      <xdr:colOff>733425</xdr:colOff>
      <xdr:row>38</xdr:row>
      <xdr:rowOff>0</xdr:rowOff>
    </xdr:to>
    <xdr:sp macro="" textlink="">
      <xdr:nvSpPr>
        <xdr:cNvPr id="1408850" name="Line 32">
          <a:extLst>
            <a:ext uri="{FF2B5EF4-FFF2-40B4-BE49-F238E27FC236}">
              <a16:creationId xmlns:a16="http://schemas.microsoft.com/office/drawing/2014/main" id="{EAE77085-7ADD-5457-A11A-5771711C1EB4}"/>
            </a:ext>
          </a:extLst>
        </xdr:cNvPr>
        <xdr:cNvSpPr>
          <a:spLocks noChangeShapeType="1"/>
        </xdr:cNvSpPr>
      </xdr:nvSpPr>
      <xdr:spPr bwMode="auto">
        <a:xfrm>
          <a:off x="542925" y="7067550"/>
          <a:ext cx="190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none" w="sm" len="med"/>
        </a:ln>
        <a:extLst>
          <a:ext uri="{909E8E84-426E-40DD-AFC4-6F175D3DCCD1}">
            <a14:hiddenFill xmlns:a14="http://schemas.microsoft.com/office/drawing/2010/main">
              <a:noFill/>
            </a14:hiddenFill>
          </a:ext>
        </a:extLst>
      </xdr:spPr>
    </xdr:sp>
    <xdr:clientData/>
  </xdr:twoCellAnchor>
  <xdr:twoCellAnchor>
    <xdr:from>
      <xdr:col>1</xdr:col>
      <xdr:colOff>0</xdr:colOff>
      <xdr:row>42</xdr:row>
      <xdr:rowOff>95250</xdr:rowOff>
    </xdr:from>
    <xdr:to>
      <xdr:col>1</xdr:col>
      <xdr:colOff>0</xdr:colOff>
      <xdr:row>43</xdr:row>
      <xdr:rowOff>66675</xdr:rowOff>
    </xdr:to>
    <xdr:sp macro="" textlink="">
      <xdr:nvSpPr>
        <xdr:cNvPr id="1408851" name="Line 33">
          <a:extLst>
            <a:ext uri="{FF2B5EF4-FFF2-40B4-BE49-F238E27FC236}">
              <a16:creationId xmlns:a16="http://schemas.microsoft.com/office/drawing/2014/main" id="{1B8307BB-4F6A-6717-FB07-1CAD679619CC}"/>
            </a:ext>
          </a:extLst>
        </xdr:cNvPr>
        <xdr:cNvSpPr>
          <a:spLocks noChangeShapeType="1"/>
        </xdr:cNvSpPr>
      </xdr:nvSpPr>
      <xdr:spPr bwMode="auto">
        <a:xfrm>
          <a:off x="1038225" y="7886700"/>
          <a:ext cx="0"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43</xdr:row>
      <xdr:rowOff>9525</xdr:rowOff>
    </xdr:from>
    <xdr:to>
      <xdr:col>3</xdr:col>
      <xdr:colOff>866775</xdr:colOff>
      <xdr:row>43</xdr:row>
      <xdr:rowOff>9525</xdr:rowOff>
    </xdr:to>
    <xdr:sp macro="" textlink="">
      <xdr:nvSpPr>
        <xdr:cNvPr id="1408852" name="Line 35">
          <a:extLst>
            <a:ext uri="{FF2B5EF4-FFF2-40B4-BE49-F238E27FC236}">
              <a16:creationId xmlns:a16="http://schemas.microsoft.com/office/drawing/2014/main" id="{04B01F7F-E0F5-6B60-5D55-364A1BEA2A76}"/>
            </a:ext>
          </a:extLst>
        </xdr:cNvPr>
        <xdr:cNvSpPr>
          <a:spLocks noChangeShapeType="1"/>
        </xdr:cNvSpPr>
      </xdr:nvSpPr>
      <xdr:spPr bwMode="auto">
        <a:xfrm>
          <a:off x="1038225" y="7981950"/>
          <a:ext cx="2457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0</xdr:col>
      <xdr:colOff>628650</xdr:colOff>
      <xdr:row>38</xdr:row>
      <xdr:rowOff>0</xdr:rowOff>
    </xdr:from>
    <xdr:to>
      <xdr:col>0</xdr:col>
      <xdr:colOff>628650</xdr:colOff>
      <xdr:row>40</xdr:row>
      <xdr:rowOff>0</xdr:rowOff>
    </xdr:to>
    <xdr:sp macro="" textlink="">
      <xdr:nvSpPr>
        <xdr:cNvPr id="1408853" name="Line 36">
          <a:extLst>
            <a:ext uri="{FF2B5EF4-FFF2-40B4-BE49-F238E27FC236}">
              <a16:creationId xmlns:a16="http://schemas.microsoft.com/office/drawing/2014/main" id="{1ACC9D54-1641-00A6-967F-70E0E7C85E08}"/>
            </a:ext>
          </a:extLst>
        </xdr:cNvPr>
        <xdr:cNvSpPr>
          <a:spLocks noChangeShapeType="1"/>
        </xdr:cNvSpPr>
      </xdr:nvSpPr>
      <xdr:spPr bwMode="auto">
        <a:xfrm flipV="1">
          <a:off x="628650" y="7067550"/>
          <a:ext cx="0" cy="3619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sm"/>
          <a:tailEnd type="triangle" w="sm" len="sm"/>
        </a:ln>
        <a:extLst>
          <a:ext uri="{909E8E84-426E-40DD-AFC4-6F175D3DCCD1}">
            <a14:hiddenFill xmlns:a14="http://schemas.microsoft.com/office/drawing/2010/main">
              <a:noFill/>
            </a14:hiddenFill>
          </a:ext>
        </a:extLst>
      </xdr:spPr>
    </xdr:sp>
    <xdr:clientData/>
  </xdr:twoCellAnchor>
  <xdr:twoCellAnchor>
    <xdr:from>
      <xdr:col>3</xdr:col>
      <xdr:colOff>47625</xdr:colOff>
      <xdr:row>35</xdr:row>
      <xdr:rowOff>47625</xdr:rowOff>
    </xdr:from>
    <xdr:to>
      <xdr:col>3</xdr:col>
      <xdr:colOff>809625</xdr:colOff>
      <xdr:row>39</xdr:row>
      <xdr:rowOff>152400</xdr:rowOff>
    </xdr:to>
    <xdr:sp macro="" textlink="">
      <xdr:nvSpPr>
        <xdr:cNvPr id="1408854" name="Rectangle 37">
          <a:extLst>
            <a:ext uri="{FF2B5EF4-FFF2-40B4-BE49-F238E27FC236}">
              <a16:creationId xmlns:a16="http://schemas.microsoft.com/office/drawing/2014/main" id="{616B2EC0-3CEC-4B93-2365-F8C217F21BB3}"/>
            </a:ext>
          </a:extLst>
        </xdr:cNvPr>
        <xdr:cNvSpPr>
          <a:spLocks noChangeArrowheads="1"/>
        </xdr:cNvSpPr>
      </xdr:nvSpPr>
      <xdr:spPr bwMode="auto">
        <a:xfrm>
          <a:off x="2676525" y="6572250"/>
          <a:ext cx="762000" cy="8286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66675</xdr:colOff>
      <xdr:row>35</xdr:row>
      <xdr:rowOff>66675</xdr:rowOff>
    </xdr:from>
    <xdr:to>
      <xdr:col>3</xdr:col>
      <xdr:colOff>142875</xdr:colOff>
      <xdr:row>35</xdr:row>
      <xdr:rowOff>152400</xdr:rowOff>
    </xdr:to>
    <xdr:sp macro="" textlink="">
      <xdr:nvSpPr>
        <xdr:cNvPr id="1408855" name="Oval 38">
          <a:extLst>
            <a:ext uri="{FF2B5EF4-FFF2-40B4-BE49-F238E27FC236}">
              <a16:creationId xmlns:a16="http://schemas.microsoft.com/office/drawing/2014/main" id="{3BBB5BF1-EEB4-07E7-C703-2FF0F71EC45C}"/>
            </a:ext>
          </a:extLst>
        </xdr:cNvPr>
        <xdr:cNvSpPr>
          <a:spLocks noChangeArrowheads="1"/>
        </xdr:cNvSpPr>
      </xdr:nvSpPr>
      <xdr:spPr bwMode="auto">
        <a:xfrm>
          <a:off x="2695575" y="6591300"/>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714375</xdr:colOff>
      <xdr:row>35</xdr:row>
      <xdr:rowOff>66675</xdr:rowOff>
    </xdr:from>
    <xdr:to>
      <xdr:col>3</xdr:col>
      <xdr:colOff>790575</xdr:colOff>
      <xdr:row>35</xdr:row>
      <xdr:rowOff>152400</xdr:rowOff>
    </xdr:to>
    <xdr:sp macro="" textlink="">
      <xdr:nvSpPr>
        <xdr:cNvPr id="1408856" name="Oval 39">
          <a:extLst>
            <a:ext uri="{FF2B5EF4-FFF2-40B4-BE49-F238E27FC236}">
              <a16:creationId xmlns:a16="http://schemas.microsoft.com/office/drawing/2014/main" id="{4E015F57-DFC8-CB6C-44D3-B2C836B7671C}"/>
            </a:ext>
          </a:extLst>
        </xdr:cNvPr>
        <xdr:cNvSpPr>
          <a:spLocks noChangeArrowheads="1"/>
        </xdr:cNvSpPr>
      </xdr:nvSpPr>
      <xdr:spPr bwMode="auto">
        <a:xfrm>
          <a:off x="3343275" y="6591300"/>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76200</xdr:colOff>
      <xdr:row>39</xdr:row>
      <xdr:rowOff>66675</xdr:rowOff>
    </xdr:from>
    <xdr:to>
      <xdr:col>3</xdr:col>
      <xdr:colOff>152400</xdr:colOff>
      <xdr:row>39</xdr:row>
      <xdr:rowOff>152400</xdr:rowOff>
    </xdr:to>
    <xdr:sp macro="" textlink="">
      <xdr:nvSpPr>
        <xdr:cNvPr id="1408857" name="Oval 40">
          <a:extLst>
            <a:ext uri="{FF2B5EF4-FFF2-40B4-BE49-F238E27FC236}">
              <a16:creationId xmlns:a16="http://schemas.microsoft.com/office/drawing/2014/main" id="{2B4047D3-46B5-080F-DC40-2C3F7B0456E7}"/>
            </a:ext>
          </a:extLst>
        </xdr:cNvPr>
        <xdr:cNvSpPr>
          <a:spLocks noChangeArrowheads="1"/>
        </xdr:cNvSpPr>
      </xdr:nvSpPr>
      <xdr:spPr bwMode="auto">
        <a:xfrm>
          <a:off x="2705100" y="7315200"/>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723900</xdr:colOff>
      <xdr:row>39</xdr:row>
      <xdr:rowOff>66675</xdr:rowOff>
    </xdr:from>
    <xdr:to>
      <xdr:col>3</xdr:col>
      <xdr:colOff>800100</xdr:colOff>
      <xdr:row>39</xdr:row>
      <xdr:rowOff>152400</xdr:rowOff>
    </xdr:to>
    <xdr:sp macro="" textlink="">
      <xdr:nvSpPr>
        <xdr:cNvPr id="1408858" name="Oval 41">
          <a:extLst>
            <a:ext uri="{FF2B5EF4-FFF2-40B4-BE49-F238E27FC236}">
              <a16:creationId xmlns:a16="http://schemas.microsoft.com/office/drawing/2014/main" id="{DDAF394B-42E7-0517-DFA1-474342DFC6A4}"/>
            </a:ext>
          </a:extLst>
        </xdr:cNvPr>
        <xdr:cNvSpPr>
          <a:spLocks noChangeArrowheads="1"/>
        </xdr:cNvSpPr>
      </xdr:nvSpPr>
      <xdr:spPr bwMode="auto">
        <a:xfrm>
          <a:off x="3352800" y="7315200"/>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85725</xdr:colOff>
      <xdr:row>24</xdr:row>
      <xdr:rowOff>85725</xdr:rowOff>
    </xdr:from>
    <xdr:to>
      <xdr:col>3</xdr:col>
      <xdr:colOff>161925</xdr:colOff>
      <xdr:row>24</xdr:row>
      <xdr:rowOff>171450</xdr:rowOff>
    </xdr:to>
    <xdr:sp macro="" textlink="">
      <xdr:nvSpPr>
        <xdr:cNvPr id="1408859" name="Oval 42">
          <a:extLst>
            <a:ext uri="{FF2B5EF4-FFF2-40B4-BE49-F238E27FC236}">
              <a16:creationId xmlns:a16="http://schemas.microsoft.com/office/drawing/2014/main" id="{9FC96D4E-BB40-7B51-5208-6A08B6807176}"/>
            </a:ext>
          </a:extLst>
        </xdr:cNvPr>
        <xdr:cNvSpPr>
          <a:spLocks noChangeArrowheads="1"/>
        </xdr:cNvSpPr>
      </xdr:nvSpPr>
      <xdr:spPr bwMode="auto">
        <a:xfrm>
          <a:off x="2714625" y="4619625"/>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723900</xdr:colOff>
      <xdr:row>24</xdr:row>
      <xdr:rowOff>76200</xdr:rowOff>
    </xdr:from>
    <xdr:to>
      <xdr:col>3</xdr:col>
      <xdr:colOff>800100</xdr:colOff>
      <xdr:row>24</xdr:row>
      <xdr:rowOff>161925</xdr:rowOff>
    </xdr:to>
    <xdr:sp macro="" textlink="">
      <xdr:nvSpPr>
        <xdr:cNvPr id="1408860" name="Oval 43">
          <a:extLst>
            <a:ext uri="{FF2B5EF4-FFF2-40B4-BE49-F238E27FC236}">
              <a16:creationId xmlns:a16="http://schemas.microsoft.com/office/drawing/2014/main" id="{0F6D3A1D-BF60-EBBF-6D8A-EA1376E6A181}"/>
            </a:ext>
          </a:extLst>
        </xdr:cNvPr>
        <xdr:cNvSpPr>
          <a:spLocks noChangeArrowheads="1"/>
        </xdr:cNvSpPr>
      </xdr:nvSpPr>
      <xdr:spPr bwMode="auto">
        <a:xfrm>
          <a:off x="3352800" y="4610100"/>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723900</xdr:colOff>
      <xdr:row>27</xdr:row>
      <xdr:rowOff>114300</xdr:rowOff>
    </xdr:from>
    <xdr:to>
      <xdr:col>3</xdr:col>
      <xdr:colOff>800100</xdr:colOff>
      <xdr:row>28</xdr:row>
      <xdr:rowOff>19050</xdr:rowOff>
    </xdr:to>
    <xdr:sp macro="" textlink="">
      <xdr:nvSpPr>
        <xdr:cNvPr id="1408861" name="Oval 44">
          <a:extLst>
            <a:ext uri="{FF2B5EF4-FFF2-40B4-BE49-F238E27FC236}">
              <a16:creationId xmlns:a16="http://schemas.microsoft.com/office/drawing/2014/main" id="{6AD3C30B-67C8-48A9-2262-C579D4C011A1}"/>
            </a:ext>
          </a:extLst>
        </xdr:cNvPr>
        <xdr:cNvSpPr>
          <a:spLocks noChangeArrowheads="1"/>
        </xdr:cNvSpPr>
      </xdr:nvSpPr>
      <xdr:spPr bwMode="auto">
        <a:xfrm>
          <a:off x="3352800" y="5191125"/>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76200</xdr:colOff>
      <xdr:row>27</xdr:row>
      <xdr:rowOff>114300</xdr:rowOff>
    </xdr:from>
    <xdr:to>
      <xdr:col>3</xdr:col>
      <xdr:colOff>152400</xdr:colOff>
      <xdr:row>28</xdr:row>
      <xdr:rowOff>19050</xdr:rowOff>
    </xdr:to>
    <xdr:sp macro="" textlink="">
      <xdr:nvSpPr>
        <xdr:cNvPr id="1408862" name="Oval 45">
          <a:extLst>
            <a:ext uri="{FF2B5EF4-FFF2-40B4-BE49-F238E27FC236}">
              <a16:creationId xmlns:a16="http://schemas.microsoft.com/office/drawing/2014/main" id="{12684F35-B97E-C04E-40F8-90AADF28F91E}"/>
            </a:ext>
          </a:extLst>
        </xdr:cNvPr>
        <xdr:cNvSpPr>
          <a:spLocks noChangeArrowheads="1"/>
        </xdr:cNvSpPr>
      </xdr:nvSpPr>
      <xdr:spPr bwMode="auto">
        <a:xfrm>
          <a:off x="2705100" y="5191125"/>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581025</xdr:colOff>
      <xdr:row>35</xdr:row>
      <xdr:rowOff>66675</xdr:rowOff>
    </xdr:from>
    <xdr:to>
      <xdr:col>3</xdr:col>
      <xdr:colOff>733425</xdr:colOff>
      <xdr:row>36</xdr:row>
      <xdr:rowOff>0</xdr:rowOff>
    </xdr:to>
    <xdr:sp macro="" textlink="">
      <xdr:nvSpPr>
        <xdr:cNvPr id="1408863" name="Line 46">
          <a:extLst>
            <a:ext uri="{FF2B5EF4-FFF2-40B4-BE49-F238E27FC236}">
              <a16:creationId xmlns:a16="http://schemas.microsoft.com/office/drawing/2014/main" id="{55138E48-F1F8-5790-D719-45BD9E37BF83}"/>
            </a:ext>
          </a:extLst>
        </xdr:cNvPr>
        <xdr:cNvSpPr>
          <a:spLocks noChangeShapeType="1"/>
        </xdr:cNvSpPr>
      </xdr:nvSpPr>
      <xdr:spPr bwMode="auto">
        <a:xfrm flipV="1">
          <a:off x="3209925" y="6591300"/>
          <a:ext cx="1524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657225</xdr:colOff>
      <xdr:row>35</xdr:row>
      <xdr:rowOff>123825</xdr:rowOff>
    </xdr:from>
    <xdr:to>
      <xdr:col>3</xdr:col>
      <xdr:colOff>809625</xdr:colOff>
      <xdr:row>36</xdr:row>
      <xdr:rowOff>57150</xdr:rowOff>
    </xdr:to>
    <xdr:sp macro="" textlink="">
      <xdr:nvSpPr>
        <xdr:cNvPr id="1408864" name="Line 47">
          <a:extLst>
            <a:ext uri="{FF2B5EF4-FFF2-40B4-BE49-F238E27FC236}">
              <a16:creationId xmlns:a16="http://schemas.microsoft.com/office/drawing/2014/main" id="{01CFF1E5-F07E-BD26-0B08-EB0FAC32B29C}"/>
            </a:ext>
          </a:extLst>
        </xdr:cNvPr>
        <xdr:cNvSpPr>
          <a:spLocks noChangeShapeType="1"/>
        </xdr:cNvSpPr>
      </xdr:nvSpPr>
      <xdr:spPr bwMode="auto">
        <a:xfrm flipV="1">
          <a:off x="3286125" y="6648450"/>
          <a:ext cx="1524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600075</xdr:colOff>
      <xdr:row>24</xdr:row>
      <xdr:rowOff>66675</xdr:rowOff>
    </xdr:from>
    <xdr:to>
      <xdr:col>3</xdr:col>
      <xdr:colOff>752475</xdr:colOff>
      <xdr:row>25</xdr:row>
      <xdr:rowOff>0</xdr:rowOff>
    </xdr:to>
    <xdr:sp macro="" textlink="">
      <xdr:nvSpPr>
        <xdr:cNvPr id="1408865" name="Line 48">
          <a:extLst>
            <a:ext uri="{FF2B5EF4-FFF2-40B4-BE49-F238E27FC236}">
              <a16:creationId xmlns:a16="http://schemas.microsoft.com/office/drawing/2014/main" id="{4EDD21B1-B6BC-8616-45D5-D4333B301948}"/>
            </a:ext>
          </a:extLst>
        </xdr:cNvPr>
        <xdr:cNvSpPr>
          <a:spLocks noChangeShapeType="1"/>
        </xdr:cNvSpPr>
      </xdr:nvSpPr>
      <xdr:spPr bwMode="auto">
        <a:xfrm flipV="1">
          <a:off x="3228975" y="4600575"/>
          <a:ext cx="1524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676275</xdr:colOff>
      <xdr:row>24</xdr:row>
      <xdr:rowOff>123825</xdr:rowOff>
    </xdr:from>
    <xdr:to>
      <xdr:col>3</xdr:col>
      <xdr:colOff>828675</xdr:colOff>
      <xdr:row>25</xdr:row>
      <xdr:rowOff>57150</xdr:rowOff>
    </xdr:to>
    <xdr:sp macro="" textlink="">
      <xdr:nvSpPr>
        <xdr:cNvPr id="1408866" name="Line 49">
          <a:extLst>
            <a:ext uri="{FF2B5EF4-FFF2-40B4-BE49-F238E27FC236}">
              <a16:creationId xmlns:a16="http://schemas.microsoft.com/office/drawing/2014/main" id="{1241CD53-3D5E-7A91-B9DF-A6F281D23053}"/>
            </a:ext>
          </a:extLst>
        </xdr:cNvPr>
        <xdr:cNvSpPr>
          <a:spLocks noChangeShapeType="1"/>
        </xdr:cNvSpPr>
      </xdr:nvSpPr>
      <xdr:spPr bwMode="auto">
        <a:xfrm flipV="1">
          <a:off x="3305175" y="4657725"/>
          <a:ext cx="1524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47625</xdr:colOff>
      <xdr:row>70</xdr:row>
      <xdr:rowOff>161925</xdr:rowOff>
    </xdr:from>
    <xdr:to>
      <xdr:col>10</xdr:col>
      <xdr:colOff>371475</xdr:colOff>
      <xdr:row>71</xdr:row>
      <xdr:rowOff>171450</xdr:rowOff>
    </xdr:to>
    <xdr:sp macro="" textlink="">
      <xdr:nvSpPr>
        <xdr:cNvPr id="1408867" name="AutoShape 51">
          <a:hlinkClick xmlns:r="http://schemas.openxmlformats.org/officeDocument/2006/relationships" r:id="rId1"/>
          <a:extLst>
            <a:ext uri="{FF2B5EF4-FFF2-40B4-BE49-F238E27FC236}">
              <a16:creationId xmlns:a16="http://schemas.microsoft.com/office/drawing/2014/main" id="{B1DD70E0-810A-6F70-C680-01DF3006C5E3}"/>
            </a:ext>
          </a:extLst>
        </xdr:cNvPr>
        <xdr:cNvSpPr>
          <a:spLocks noChangeArrowheads="1"/>
        </xdr:cNvSpPr>
      </xdr:nvSpPr>
      <xdr:spPr bwMode="auto">
        <a:xfrm>
          <a:off x="8143875" y="13077825"/>
          <a:ext cx="323850" cy="190500"/>
        </a:xfrm>
        <a:prstGeom prst="rightArrow">
          <a:avLst>
            <a:gd name="adj1" fmla="val 50000"/>
            <a:gd name="adj2" fmla="val 42500"/>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0</xdr:colOff>
      <xdr:row>5</xdr:row>
      <xdr:rowOff>123825</xdr:rowOff>
    </xdr:from>
    <xdr:to>
      <xdr:col>13</xdr:col>
      <xdr:colOff>142875</xdr:colOff>
      <xdr:row>5</xdr:row>
      <xdr:rowOff>123825</xdr:rowOff>
    </xdr:to>
    <xdr:sp macro="" textlink="">
      <xdr:nvSpPr>
        <xdr:cNvPr id="1408868" name="Line 52">
          <a:extLst>
            <a:ext uri="{FF2B5EF4-FFF2-40B4-BE49-F238E27FC236}">
              <a16:creationId xmlns:a16="http://schemas.microsoft.com/office/drawing/2014/main" id="{F5703D71-63A7-9BEF-74A6-9FCE9AE95859}"/>
            </a:ext>
          </a:extLst>
        </xdr:cNvPr>
        <xdr:cNvSpPr>
          <a:spLocks noChangeShapeType="1"/>
        </xdr:cNvSpPr>
      </xdr:nvSpPr>
      <xdr:spPr bwMode="auto">
        <a:xfrm>
          <a:off x="0" y="933450"/>
          <a:ext cx="10525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220980</xdr:colOff>
      <xdr:row>1</xdr:row>
      <xdr:rowOff>110490</xdr:rowOff>
    </xdr:from>
    <xdr:to>
      <xdr:col>14</xdr:col>
      <xdr:colOff>541095</xdr:colOff>
      <xdr:row>2</xdr:row>
      <xdr:rowOff>133249</xdr:rowOff>
    </xdr:to>
    <xdr:sp macro="" textlink="">
      <xdr:nvSpPr>
        <xdr:cNvPr id="47157" name="Texto 327">
          <a:extLst>
            <a:ext uri="{FF2B5EF4-FFF2-40B4-BE49-F238E27FC236}">
              <a16:creationId xmlns:a16="http://schemas.microsoft.com/office/drawing/2014/main" id="{482CADB4-5757-659D-F0B2-0F0704CC9B80}"/>
            </a:ext>
          </a:extLst>
        </xdr:cNvPr>
        <xdr:cNvSpPr txBox="1">
          <a:spLocks noChangeArrowheads="1"/>
        </xdr:cNvSpPr>
      </xdr:nvSpPr>
      <xdr:spPr bwMode="auto">
        <a:xfrm>
          <a:off x="6038850" y="266700"/>
          <a:ext cx="5638800" cy="190500"/>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6</xdr:col>
      <xdr:colOff>474345</xdr:colOff>
      <xdr:row>2</xdr:row>
      <xdr:rowOff>142875</xdr:rowOff>
    </xdr:from>
    <xdr:to>
      <xdr:col>9</xdr:col>
      <xdr:colOff>342774</xdr:colOff>
      <xdr:row>4</xdr:row>
      <xdr:rowOff>81564</xdr:rowOff>
    </xdr:to>
    <xdr:sp macro="" textlink="">
      <xdr:nvSpPr>
        <xdr:cNvPr id="47158" name="Texto 327">
          <a:extLst>
            <a:ext uri="{FF2B5EF4-FFF2-40B4-BE49-F238E27FC236}">
              <a16:creationId xmlns:a16="http://schemas.microsoft.com/office/drawing/2014/main" id="{1B9B9B0D-FE99-E2D2-CDC7-7596D772171D}"/>
            </a:ext>
          </a:extLst>
        </xdr:cNvPr>
        <xdr:cNvSpPr txBox="1">
          <a:spLocks noChangeArrowheads="1"/>
        </xdr:cNvSpPr>
      </xdr:nvSpPr>
      <xdr:spPr bwMode="auto">
        <a:xfrm>
          <a:off x="5534025" y="466725"/>
          <a:ext cx="2162175" cy="266700"/>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11</xdr:col>
      <xdr:colOff>169545</xdr:colOff>
      <xdr:row>2</xdr:row>
      <xdr:rowOff>121920</xdr:rowOff>
    </xdr:from>
    <xdr:to>
      <xdr:col>13</xdr:col>
      <xdr:colOff>428588</xdr:colOff>
      <xdr:row>5</xdr:row>
      <xdr:rowOff>104803</xdr:rowOff>
    </xdr:to>
    <xdr:sp macro="" textlink="">
      <xdr:nvSpPr>
        <xdr:cNvPr id="47159" name="Texto 327">
          <a:extLst>
            <a:ext uri="{FF2B5EF4-FFF2-40B4-BE49-F238E27FC236}">
              <a16:creationId xmlns:a16="http://schemas.microsoft.com/office/drawing/2014/main" id="{23240414-1A96-132B-4FD5-1013FC098EC8}"/>
            </a:ext>
          </a:extLst>
        </xdr:cNvPr>
        <xdr:cNvSpPr txBox="1">
          <a:spLocks noChangeArrowheads="1"/>
        </xdr:cNvSpPr>
      </xdr:nvSpPr>
      <xdr:spPr bwMode="auto">
        <a:xfrm>
          <a:off x="9020175" y="438150"/>
          <a:ext cx="1790700" cy="476250"/>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12</xdr:col>
      <xdr:colOff>300990</xdr:colOff>
      <xdr:row>0</xdr:row>
      <xdr:rowOff>142875</xdr:rowOff>
    </xdr:from>
    <xdr:to>
      <xdr:col>13</xdr:col>
      <xdr:colOff>253365</xdr:colOff>
      <xdr:row>1</xdr:row>
      <xdr:rowOff>139383</xdr:rowOff>
    </xdr:to>
    <xdr:sp macro="" textlink="">
      <xdr:nvSpPr>
        <xdr:cNvPr id="47160" name="Texto 327">
          <a:extLst>
            <a:ext uri="{FF2B5EF4-FFF2-40B4-BE49-F238E27FC236}">
              <a16:creationId xmlns:a16="http://schemas.microsoft.com/office/drawing/2014/main" id="{7B90D39F-05C1-2C3F-D8C7-D8493D7D201F}"/>
            </a:ext>
          </a:extLst>
        </xdr:cNvPr>
        <xdr:cNvSpPr txBox="1">
          <a:spLocks noChangeArrowheads="1"/>
        </xdr:cNvSpPr>
      </xdr:nvSpPr>
      <xdr:spPr bwMode="auto">
        <a:xfrm>
          <a:off x="9925050" y="142875"/>
          <a:ext cx="714375" cy="161925"/>
        </a:xfrm>
        <a:prstGeom prst="rect">
          <a:avLst/>
        </a:prstGeom>
        <a:noFill/>
        <a:ln>
          <a:noFill/>
        </a:ln>
      </xdr:spPr>
      <xdr:txBody>
        <a:bodyPr vertOverflow="clip" wrap="square" lIns="0" tIns="18288" rIns="27432" bIns="0" anchor="t" upright="1"/>
        <a:lstStyle/>
        <a:p>
          <a:pPr algn="r"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1</xdr:col>
      <xdr:colOff>152400</xdr:colOff>
      <xdr:row>5</xdr:row>
      <xdr:rowOff>47625</xdr:rowOff>
    </xdr:to>
    <xdr:pic>
      <xdr:nvPicPr>
        <xdr:cNvPr id="1408873" name="Picture 52">
          <a:extLst>
            <a:ext uri="{FF2B5EF4-FFF2-40B4-BE49-F238E27FC236}">
              <a16:creationId xmlns:a16="http://schemas.microsoft.com/office/drawing/2014/main" id="{0312B994-6924-41DA-5617-96A50475809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11426" t="16345" r="40158" b="20984"/>
        <a:stretch>
          <a:fillRect/>
        </a:stretch>
      </xdr:blipFill>
      <xdr:spPr bwMode="auto">
        <a:xfrm>
          <a:off x="0" y="0"/>
          <a:ext cx="11906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3</xdr:col>
      <xdr:colOff>0</xdr:colOff>
      <xdr:row>24</xdr:row>
      <xdr:rowOff>0</xdr:rowOff>
    </xdr:from>
    <xdr:to>
      <xdr:col>4</xdr:col>
      <xdr:colOff>0</xdr:colOff>
      <xdr:row>24</xdr:row>
      <xdr:rowOff>0</xdr:rowOff>
    </xdr:to>
    <xdr:sp macro="" textlink="">
      <xdr:nvSpPr>
        <xdr:cNvPr id="1407960" name="Line 1">
          <a:extLst>
            <a:ext uri="{FF2B5EF4-FFF2-40B4-BE49-F238E27FC236}">
              <a16:creationId xmlns:a16="http://schemas.microsoft.com/office/drawing/2014/main" id="{3A7C735E-D43B-F0DD-C7ED-F9B2D5DA8F32}"/>
            </a:ext>
          </a:extLst>
        </xdr:cNvPr>
        <xdr:cNvSpPr>
          <a:spLocks noChangeShapeType="1"/>
        </xdr:cNvSpPr>
      </xdr:nvSpPr>
      <xdr:spPr bwMode="auto">
        <a:xfrm>
          <a:off x="2628900" y="4514850"/>
          <a:ext cx="885825" cy="0"/>
        </a:xfrm>
        <a:prstGeom prst="line">
          <a:avLst/>
        </a:prstGeom>
        <a:noFill/>
        <a:ln w="1714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24</xdr:row>
      <xdr:rowOff>0</xdr:rowOff>
    </xdr:from>
    <xdr:to>
      <xdr:col>4</xdr:col>
      <xdr:colOff>0</xdr:colOff>
      <xdr:row>38</xdr:row>
      <xdr:rowOff>0</xdr:rowOff>
    </xdr:to>
    <xdr:sp macro="" textlink="">
      <xdr:nvSpPr>
        <xdr:cNvPr id="1407961" name="Line 2">
          <a:extLst>
            <a:ext uri="{FF2B5EF4-FFF2-40B4-BE49-F238E27FC236}">
              <a16:creationId xmlns:a16="http://schemas.microsoft.com/office/drawing/2014/main" id="{0082A8FB-B33A-DC82-5A72-4A47F5A269CF}"/>
            </a:ext>
          </a:extLst>
        </xdr:cNvPr>
        <xdr:cNvSpPr>
          <a:spLocks noChangeShapeType="1"/>
        </xdr:cNvSpPr>
      </xdr:nvSpPr>
      <xdr:spPr bwMode="auto">
        <a:xfrm>
          <a:off x="3514725" y="4514850"/>
          <a:ext cx="0" cy="2533650"/>
        </a:xfrm>
        <a:prstGeom prst="line">
          <a:avLst/>
        </a:prstGeom>
        <a:noFill/>
        <a:ln w="1714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38</xdr:row>
      <xdr:rowOff>0</xdr:rowOff>
    </xdr:from>
    <xdr:to>
      <xdr:col>6</xdr:col>
      <xdr:colOff>0</xdr:colOff>
      <xdr:row>38</xdr:row>
      <xdr:rowOff>0</xdr:rowOff>
    </xdr:to>
    <xdr:sp macro="" textlink="">
      <xdr:nvSpPr>
        <xdr:cNvPr id="1407962" name="Line 3">
          <a:extLst>
            <a:ext uri="{FF2B5EF4-FFF2-40B4-BE49-F238E27FC236}">
              <a16:creationId xmlns:a16="http://schemas.microsoft.com/office/drawing/2014/main" id="{6502E3F3-359C-66EA-8F0F-B1AC01CBDAD4}"/>
            </a:ext>
          </a:extLst>
        </xdr:cNvPr>
        <xdr:cNvSpPr>
          <a:spLocks noChangeShapeType="1"/>
        </xdr:cNvSpPr>
      </xdr:nvSpPr>
      <xdr:spPr bwMode="auto">
        <a:xfrm>
          <a:off x="3514725" y="7048500"/>
          <a:ext cx="1533525" cy="0"/>
        </a:xfrm>
        <a:prstGeom prst="line">
          <a:avLst/>
        </a:prstGeom>
        <a:noFill/>
        <a:ln w="1714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38</xdr:row>
      <xdr:rowOff>0</xdr:rowOff>
    </xdr:from>
    <xdr:to>
      <xdr:col>6</xdr:col>
      <xdr:colOff>0</xdr:colOff>
      <xdr:row>41</xdr:row>
      <xdr:rowOff>9525</xdr:rowOff>
    </xdr:to>
    <xdr:sp macro="" textlink="">
      <xdr:nvSpPr>
        <xdr:cNvPr id="1407963" name="Line 4">
          <a:extLst>
            <a:ext uri="{FF2B5EF4-FFF2-40B4-BE49-F238E27FC236}">
              <a16:creationId xmlns:a16="http://schemas.microsoft.com/office/drawing/2014/main" id="{151093DA-3F1E-0C80-FFE5-80D5CCCEA148}"/>
            </a:ext>
          </a:extLst>
        </xdr:cNvPr>
        <xdr:cNvSpPr>
          <a:spLocks noChangeShapeType="1"/>
        </xdr:cNvSpPr>
      </xdr:nvSpPr>
      <xdr:spPr bwMode="auto">
        <a:xfrm>
          <a:off x="5048250" y="7048500"/>
          <a:ext cx="0" cy="552450"/>
        </a:xfrm>
        <a:prstGeom prst="line">
          <a:avLst/>
        </a:prstGeom>
        <a:noFill/>
        <a:ln w="1714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41</xdr:row>
      <xdr:rowOff>9525</xdr:rowOff>
    </xdr:from>
    <xdr:to>
      <xdr:col>6</xdr:col>
      <xdr:colOff>0</xdr:colOff>
      <xdr:row>41</xdr:row>
      <xdr:rowOff>9525</xdr:rowOff>
    </xdr:to>
    <xdr:sp macro="" textlink="">
      <xdr:nvSpPr>
        <xdr:cNvPr id="1407964" name="Line 5">
          <a:extLst>
            <a:ext uri="{FF2B5EF4-FFF2-40B4-BE49-F238E27FC236}">
              <a16:creationId xmlns:a16="http://schemas.microsoft.com/office/drawing/2014/main" id="{94FCFA43-2440-05D7-6760-FE791FB50F16}"/>
            </a:ext>
          </a:extLst>
        </xdr:cNvPr>
        <xdr:cNvSpPr>
          <a:spLocks noChangeShapeType="1"/>
        </xdr:cNvSpPr>
      </xdr:nvSpPr>
      <xdr:spPr bwMode="auto">
        <a:xfrm flipH="1">
          <a:off x="1038225" y="7600950"/>
          <a:ext cx="4010025" cy="0"/>
        </a:xfrm>
        <a:prstGeom prst="line">
          <a:avLst/>
        </a:prstGeom>
        <a:noFill/>
        <a:ln w="1714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38</xdr:row>
      <xdr:rowOff>0</xdr:rowOff>
    </xdr:from>
    <xdr:to>
      <xdr:col>1</xdr:col>
      <xdr:colOff>0</xdr:colOff>
      <xdr:row>41</xdr:row>
      <xdr:rowOff>9525</xdr:rowOff>
    </xdr:to>
    <xdr:sp macro="" textlink="">
      <xdr:nvSpPr>
        <xdr:cNvPr id="1407965" name="Line 6">
          <a:extLst>
            <a:ext uri="{FF2B5EF4-FFF2-40B4-BE49-F238E27FC236}">
              <a16:creationId xmlns:a16="http://schemas.microsoft.com/office/drawing/2014/main" id="{F00C7979-1E6E-B0CC-AE96-19A847B9CB88}"/>
            </a:ext>
          </a:extLst>
        </xdr:cNvPr>
        <xdr:cNvSpPr>
          <a:spLocks noChangeShapeType="1"/>
        </xdr:cNvSpPr>
      </xdr:nvSpPr>
      <xdr:spPr bwMode="auto">
        <a:xfrm flipV="1">
          <a:off x="1038225" y="7048500"/>
          <a:ext cx="0" cy="552450"/>
        </a:xfrm>
        <a:prstGeom prst="line">
          <a:avLst/>
        </a:prstGeom>
        <a:noFill/>
        <a:ln w="1714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38</xdr:row>
      <xdr:rowOff>0</xdr:rowOff>
    </xdr:from>
    <xdr:to>
      <xdr:col>3</xdr:col>
      <xdr:colOff>0</xdr:colOff>
      <xdr:row>38</xdr:row>
      <xdr:rowOff>0</xdr:rowOff>
    </xdr:to>
    <xdr:sp macro="" textlink="">
      <xdr:nvSpPr>
        <xdr:cNvPr id="1407966" name="Line 7">
          <a:extLst>
            <a:ext uri="{FF2B5EF4-FFF2-40B4-BE49-F238E27FC236}">
              <a16:creationId xmlns:a16="http://schemas.microsoft.com/office/drawing/2014/main" id="{97D11F8D-8A8E-89AD-D879-E9BB273DA9D1}"/>
            </a:ext>
          </a:extLst>
        </xdr:cNvPr>
        <xdr:cNvSpPr>
          <a:spLocks noChangeShapeType="1"/>
        </xdr:cNvSpPr>
      </xdr:nvSpPr>
      <xdr:spPr bwMode="auto">
        <a:xfrm>
          <a:off x="1038225" y="7048500"/>
          <a:ext cx="1590675" cy="0"/>
        </a:xfrm>
        <a:prstGeom prst="line">
          <a:avLst/>
        </a:prstGeom>
        <a:noFill/>
        <a:ln w="1714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24</xdr:row>
      <xdr:rowOff>0</xdr:rowOff>
    </xdr:from>
    <xdr:to>
      <xdr:col>3</xdr:col>
      <xdr:colOff>0</xdr:colOff>
      <xdr:row>38</xdr:row>
      <xdr:rowOff>0</xdr:rowOff>
    </xdr:to>
    <xdr:sp macro="" textlink="">
      <xdr:nvSpPr>
        <xdr:cNvPr id="1407967" name="Line 8">
          <a:extLst>
            <a:ext uri="{FF2B5EF4-FFF2-40B4-BE49-F238E27FC236}">
              <a16:creationId xmlns:a16="http://schemas.microsoft.com/office/drawing/2014/main" id="{CAFEC7D0-5BE8-8E1D-81C6-B54366A0D955}"/>
            </a:ext>
          </a:extLst>
        </xdr:cNvPr>
        <xdr:cNvSpPr>
          <a:spLocks noChangeShapeType="1"/>
        </xdr:cNvSpPr>
      </xdr:nvSpPr>
      <xdr:spPr bwMode="auto">
        <a:xfrm>
          <a:off x="2628900" y="4514850"/>
          <a:ext cx="0" cy="2533650"/>
        </a:xfrm>
        <a:prstGeom prst="line">
          <a:avLst/>
        </a:prstGeom>
        <a:noFill/>
        <a:ln w="1714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123825</xdr:colOff>
      <xdr:row>39</xdr:row>
      <xdr:rowOff>0</xdr:rowOff>
    </xdr:from>
    <xdr:to>
      <xdr:col>1</xdr:col>
      <xdr:colOff>123825</xdr:colOff>
      <xdr:row>40</xdr:row>
      <xdr:rowOff>0</xdr:rowOff>
    </xdr:to>
    <xdr:sp macro="" textlink="">
      <xdr:nvSpPr>
        <xdr:cNvPr id="1407968" name="Line 9">
          <a:extLst>
            <a:ext uri="{FF2B5EF4-FFF2-40B4-BE49-F238E27FC236}">
              <a16:creationId xmlns:a16="http://schemas.microsoft.com/office/drawing/2014/main" id="{76AD8BFB-AAAF-691B-BEA1-7D821B64F01D}"/>
            </a:ext>
          </a:extLst>
        </xdr:cNvPr>
        <xdr:cNvSpPr>
          <a:spLocks noChangeShapeType="1"/>
        </xdr:cNvSpPr>
      </xdr:nvSpPr>
      <xdr:spPr bwMode="auto">
        <a:xfrm>
          <a:off x="1162050" y="7229475"/>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123825</xdr:colOff>
      <xdr:row>40</xdr:row>
      <xdr:rowOff>0</xdr:rowOff>
    </xdr:from>
    <xdr:to>
      <xdr:col>5</xdr:col>
      <xdr:colOff>657225</xdr:colOff>
      <xdr:row>40</xdr:row>
      <xdr:rowOff>0</xdr:rowOff>
    </xdr:to>
    <xdr:sp macro="" textlink="">
      <xdr:nvSpPr>
        <xdr:cNvPr id="1407969" name="Line 10">
          <a:extLst>
            <a:ext uri="{FF2B5EF4-FFF2-40B4-BE49-F238E27FC236}">
              <a16:creationId xmlns:a16="http://schemas.microsoft.com/office/drawing/2014/main" id="{73283526-17C2-BD01-74C4-2CB2609CB8B0}"/>
            </a:ext>
          </a:extLst>
        </xdr:cNvPr>
        <xdr:cNvSpPr>
          <a:spLocks noChangeShapeType="1"/>
        </xdr:cNvSpPr>
      </xdr:nvSpPr>
      <xdr:spPr bwMode="auto">
        <a:xfrm>
          <a:off x="1162050" y="7410450"/>
          <a:ext cx="37814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39</xdr:row>
      <xdr:rowOff>0</xdr:rowOff>
    </xdr:from>
    <xdr:to>
      <xdr:col>5</xdr:col>
      <xdr:colOff>647700</xdr:colOff>
      <xdr:row>40</xdr:row>
      <xdr:rowOff>0</xdr:rowOff>
    </xdr:to>
    <xdr:sp macro="" textlink="">
      <xdr:nvSpPr>
        <xdr:cNvPr id="1407970" name="Line 11">
          <a:extLst>
            <a:ext uri="{FF2B5EF4-FFF2-40B4-BE49-F238E27FC236}">
              <a16:creationId xmlns:a16="http://schemas.microsoft.com/office/drawing/2014/main" id="{C4BA2278-13C7-838C-9C17-21F461F36CE3}"/>
            </a:ext>
          </a:extLst>
        </xdr:cNvPr>
        <xdr:cNvSpPr>
          <a:spLocks noChangeShapeType="1"/>
        </xdr:cNvSpPr>
      </xdr:nvSpPr>
      <xdr:spPr bwMode="auto">
        <a:xfrm flipV="1">
          <a:off x="4933950" y="7229475"/>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142875</xdr:colOff>
      <xdr:row>38</xdr:row>
      <xdr:rowOff>0</xdr:rowOff>
    </xdr:from>
    <xdr:to>
      <xdr:col>6</xdr:col>
      <xdr:colOff>323850</xdr:colOff>
      <xdr:row>38</xdr:row>
      <xdr:rowOff>0</xdr:rowOff>
    </xdr:to>
    <xdr:sp macro="" textlink="">
      <xdr:nvSpPr>
        <xdr:cNvPr id="1407971" name="Line 12">
          <a:extLst>
            <a:ext uri="{FF2B5EF4-FFF2-40B4-BE49-F238E27FC236}">
              <a16:creationId xmlns:a16="http://schemas.microsoft.com/office/drawing/2014/main" id="{02C00D7A-1E8E-9269-3E01-E362223371A8}"/>
            </a:ext>
          </a:extLst>
        </xdr:cNvPr>
        <xdr:cNvSpPr>
          <a:spLocks noChangeShapeType="1"/>
        </xdr:cNvSpPr>
      </xdr:nvSpPr>
      <xdr:spPr bwMode="auto">
        <a:xfrm>
          <a:off x="5191125" y="7048500"/>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142875</xdr:colOff>
      <xdr:row>41</xdr:row>
      <xdr:rowOff>9525</xdr:rowOff>
    </xdr:from>
    <xdr:to>
      <xdr:col>6</xdr:col>
      <xdr:colOff>323850</xdr:colOff>
      <xdr:row>41</xdr:row>
      <xdr:rowOff>9525</xdr:rowOff>
    </xdr:to>
    <xdr:sp macro="" textlink="">
      <xdr:nvSpPr>
        <xdr:cNvPr id="1407972" name="Line 13">
          <a:extLst>
            <a:ext uri="{FF2B5EF4-FFF2-40B4-BE49-F238E27FC236}">
              <a16:creationId xmlns:a16="http://schemas.microsoft.com/office/drawing/2014/main" id="{6AFDB763-744A-6178-ECB8-FA7E6468DCED}"/>
            </a:ext>
          </a:extLst>
        </xdr:cNvPr>
        <xdr:cNvSpPr>
          <a:spLocks noChangeShapeType="1"/>
        </xdr:cNvSpPr>
      </xdr:nvSpPr>
      <xdr:spPr bwMode="auto">
        <a:xfrm>
          <a:off x="5191125" y="7600950"/>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238125</xdr:colOff>
      <xdr:row>38</xdr:row>
      <xdr:rowOff>0</xdr:rowOff>
    </xdr:from>
    <xdr:to>
      <xdr:col>6</xdr:col>
      <xdr:colOff>238125</xdr:colOff>
      <xdr:row>41</xdr:row>
      <xdr:rowOff>9525</xdr:rowOff>
    </xdr:to>
    <xdr:sp macro="" textlink="">
      <xdr:nvSpPr>
        <xdr:cNvPr id="1407973" name="Line 14">
          <a:extLst>
            <a:ext uri="{FF2B5EF4-FFF2-40B4-BE49-F238E27FC236}">
              <a16:creationId xmlns:a16="http://schemas.microsoft.com/office/drawing/2014/main" id="{A599C7FE-6429-950D-4A74-7962C0E6B8C1}"/>
            </a:ext>
          </a:extLst>
        </xdr:cNvPr>
        <xdr:cNvSpPr>
          <a:spLocks noChangeShapeType="1"/>
        </xdr:cNvSpPr>
      </xdr:nvSpPr>
      <xdr:spPr bwMode="auto">
        <a:xfrm>
          <a:off x="5286375" y="7048500"/>
          <a:ext cx="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1</xdr:col>
      <xdr:colOff>0</xdr:colOff>
      <xdr:row>41</xdr:row>
      <xdr:rowOff>76200</xdr:rowOff>
    </xdr:from>
    <xdr:to>
      <xdr:col>1</xdr:col>
      <xdr:colOff>0</xdr:colOff>
      <xdr:row>42</xdr:row>
      <xdr:rowOff>66675</xdr:rowOff>
    </xdr:to>
    <xdr:sp macro="" textlink="">
      <xdr:nvSpPr>
        <xdr:cNvPr id="1407974" name="Line 15">
          <a:extLst>
            <a:ext uri="{FF2B5EF4-FFF2-40B4-BE49-F238E27FC236}">
              <a16:creationId xmlns:a16="http://schemas.microsoft.com/office/drawing/2014/main" id="{777D8BBF-4891-0368-9928-A153ED687F14}"/>
            </a:ext>
          </a:extLst>
        </xdr:cNvPr>
        <xdr:cNvSpPr>
          <a:spLocks noChangeShapeType="1"/>
        </xdr:cNvSpPr>
      </xdr:nvSpPr>
      <xdr:spPr bwMode="auto">
        <a:xfrm>
          <a:off x="1038225" y="7667625"/>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41</xdr:row>
      <xdr:rowOff>85725</xdr:rowOff>
    </xdr:from>
    <xdr:to>
      <xdr:col>3</xdr:col>
      <xdr:colOff>0</xdr:colOff>
      <xdr:row>42</xdr:row>
      <xdr:rowOff>76200</xdr:rowOff>
    </xdr:to>
    <xdr:sp macro="" textlink="">
      <xdr:nvSpPr>
        <xdr:cNvPr id="1407975" name="Line 16">
          <a:extLst>
            <a:ext uri="{FF2B5EF4-FFF2-40B4-BE49-F238E27FC236}">
              <a16:creationId xmlns:a16="http://schemas.microsoft.com/office/drawing/2014/main" id="{56E75F57-3C10-6B0D-6096-B86738515058}"/>
            </a:ext>
          </a:extLst>
        </xdr:cNvPr>
        <xdr:cNvSpPr>
          <a:spLocks noChangeShapeType="1"/>
        </xdr:cNvSpPr>
      </xdr:nvSpPr>
      <xdr:spPr bwMode="auto">
        <a:xfrm>
          <a:off x="2628900" y="7677150"/>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41</xdr:row>
      <xdr:rowOff>85725</xdr:rowOff>
    </xdr:from>
    <xdr:to>
      <xdr:col>4</xdr:col>
      <xdr:colOff>0</xdr:colOff>
      <xdr:row>42</xdr:row>
      <xdr:rowOff>95250</xdr:rowOff>
    </xdr:to>
    <xdr:sp macro="" textlink="">
      <xdr:nvSpPr>
        <xdr:cNvPr id="1407976" name="Line 17">
          <a:extLst>
            <a:ext uri="{FF2B5EF4-FFF2-40B4-BE49-F238E27FC236}">
              <a16:creationId xmlns:a16="http://schemas.microsoft.com/office/drawing/2014/main" id="{2AD90B69-1391-861C-C448-17C98B757988}"/>
            </a:ext>
          </a:extLst>
        </xdr:cNvPr>
        <xdr:cNvSpPr>
          <a:spLocks noChangeShapeType="1"/>
        </xdr:cNvSpPr>
      </xdr:nvSpPr>
      <xdr:spPr bwMode="auto">
        <a:xfrm>
          <a:off x="3514725" y="7677150"/>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41</xdr:row>
      <xdr:rowOff>85725</xdr:rowOff>
    </xdr:from>
    <xdr:to>
      <xdr:col>6</xdr:col>
      <xdr:colOff>0</xdr:colOff>
      <xdr:row>42</xdr:row>
      <xdr:rowOff>76200</xdr:rowOff>
    </xdr:to>
    <xdr:sp macro="" textlink="">
      <xdr:nvSpPr>
        <xdr:cNvPr id="1407977" name="Line 18">
          <a:extLst>
            <a:ext uri="{FF2B5EF4-FFF2-40B4-BE49-F238E27FC236}">
              <a16:creationId xmlns:a16="http://schemas.microsoft.com/office/drawing/2014/main" id="{82541830-7C31-A5FF-5508-A200A589653C}"/>
            </a:ext>
          </a:extLst>
        </xdr:cNvPr>
        <xdr:cNvSpPr>
          <a:spLocks noChangeShapeType="1"/>
        </xdr:cNvSpPr>
      </xdr:nvSpPr>
      <xdr:spPr bwMode="auto">
        <a:xfrm>
          <a:off x="5048250" y="7677150"/>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42</xdr:row>
      <xdr:rowOff>0</xdr:rowOff>
    </xdr:from>
    <xdr:to>
      <xdr:col>3</xdr:col>
      <xdr:colOff>0</xdr:colOff>
      <xdr:row>42</xdr:row>
      <xdr:rowOff>0</xdr:rowOff>
    </xdr:to>
    <xdr:sp macro="" textlink="">
      <xdr:nvSpPr>
        <xdr:cNvPr id="1407978" name="Line 19">
          <a:extLst>
            <a:ext uri="{FF2B5EF4-FFF2-40B4-BE49-F238E27FC236}">
              <a16:creationId xmlns:a16="http://schemas.microsoft.com/office/drawing/2014/main" id="{06996084-F096-A9B0-F2C4-CD51EB5424F9}"/>
            </a:ext>
          </a:extLst>
        </xdr:cNvPr>
        <xdr:cNvSpPr>
          <a:spLocks noChangeShapeType="1"/>
        </xdr:cNvSpPr>
      </xdr:nvSpPr>
      <xdr:spPr bwMode="auto">
        <a:xfrm>
          <a:off x="1038225" y="7772400"/>
          <a:ext cx="15906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3</xdr:col>
      <xdr:colOff>0</xdr:colOff>
      <xdr:row>42</xdr:row>
      <xdr:rowOff>0</xdr:rowOff>
    </xdr:from>
    <xdr:to>
      <xdr:col>4</xdr:col>
      <xdr:colOff>0</xdr:colOff>
      <xdr:row>42</xdr:row>
      <xdr:rowOff>0</xdr:rowOff>
    </xdr:to>
    <xdr:sp macro="" textlink="">
      <xdr:nvSpPr>
        <xdr:cNvPr id="1407979" name="Line 20">
          <a:extLst>
            <a:ext uri="{FF2B5EF4-FFF2-40B4-BE49-F238E27FC236}">
              <a16:creationId xmlns:a16="http://schemas.microsoft.com/office/drawing/2014/main" id="{7007A0B8-04F4-6F05-4401-8C39B44B5319}"/>
            </a:ext>
          </a:extLst>
        </xdr:cNvPr>
        <xdr:cNvSpPr>
          <a:spLocks noChangeShapeType="1"/>
        </xdr:cNvSpPr>
      </xdr:nvSpPr>
      <xdr:spPr bwMode="auto">
        <a:xfrm>
          <a:off x="2628900" y="7772400"/>
          <a:ext cx="885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4</xdr:col>
      <xdr:colOff>0</xdr:colOff>
      <xdr:row>42</xdr:row>
      <xdr:rowOff>0</xdr:rowOff>
    </xdr:from>
    <xdr:to>
      <xdr:col>6</xdr:col>
      <xdr:colOff>0</xdr:colOff>
      <xdr:row>42</xdr:row>
      <xdr:rowOff>0</xdr:rowOff>
    </xdr:to>
    <xdr:sp macro="" textlink="">
      <xdr:nvSpPr>
        <xdr:cNvPr id="1407980" name="Line 21">
          <a:extLst>
            <a:ext uri="{FF2B5EF4-FFF2-40B4-BE49-F238E27FC236}">
              <a16:creationId xmlns:a16="http://schemas.microsoft.com/office/drawing/2014/main" id="{5D5CFFE7-316B-0FDF-59E0-777A8D73EABD}"/>
            </a:ext>
          </a:extLst>
        </xdr:cNvPr>
        <xdr:cNvSpPr>
          <a:spLocks noChangeShapeType="1"/>
        </xdr:cNvSpPr>
      </xdr:nvSpPr>
      <xdr:spPr bwMode="auto">
        <a:xfrm>
          <a:off x="3514725" y="7772400"/>
          <a:ext cx="15335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0</xdr:col>
      <xdr:colOff>523875</xdr:colOff>
      <xdr:row>40</xdr:row>
      <xdr:rowOff>0</xdr:rowOff>
    </xdr:from>
    <xdr:to>
      <xdr:col>0</xdr:col>
      <xdr:colOff>742950</xdr:colOff>
      <xdr:row>40</xdr:row>
      <xdr:rowOff>0</xdr:rowOff>
    </xdr:to>
    <xdr:sp macro="" textlink="">
      <xdr:nvSpPr>
        <xdr:cNvPr id="1407981" name="Line 22">
          <a:extLst>
            <a:ext uri="{FF2B5EF4-FFF2-40B4-BE49-F238E27FC236}">
              <a16:creationId xmlns:a16="http://schemas.microsoft.com/office/drawing/2014/main" id="{DEAAE605-FC97-F5DE-145D-4A8B7FA6532A}"/>
            </a:ext>
          </a:extLst>
        </xdr:cNvPr>
        <xdr:cNvSpPr>
          <a:spLocks noChangeShapeType="1"/>
        </xdr:cNvSpPr>
      </xdr:nvSpPr>
      <xdr:spPr bwMode="auto">
        <a:xfrm>
          <a:off x="523875" y="7410450"/>
          <a:ext cx="219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523875</xdr:colOff>
      <xdr:row>41</xdr:row>
      <xdr:rowOff>0</xdr:rowOff>
    </xdr:from>
    <xdr:to>
      <xdr:col>0</xdr:col>
      <xdr:colOff>733425</xdr:colOff>
      <xdr:row>41</xdr:row>
      <xdr:rowOff>0</xdr:rowOff>
    </xdr:to>
    <xdr:sp macro="" textlink="">
      <xdr:nvSpPr>
        <xdr:cNvPr id="1407982" name="Line 23">
          <a:extLst>
            <a:ext uri="{FF2B5EF4-FFF2-40B4-BE49-F238E27FC236}">
              <a16:creationId xmlns:a16="http://schemas.microsoft.com/office/drawing/2014/main" id="{B48A9E6D-8B44-4E40-F40C-CCC59558EE7E}"/>
            </a:ext>
          </a:extLst>
        </xdr:cNvPr>
        <xdr:cNvSpPr>
          <a:spLocks noChangeShapeType="1"/>
        </xdr:cNvSpPr>
      </xdr:nvSpPr>
      <xdr:spPr bwMode="auto">
        <a:xfrm>
          <a:off x="523875" y="7591425"/>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628650</xdr:colOff>
      <xdr:row>40</xdr:row>
      <xdr:rowOff>19050</xdr:rowOff>
    </xdr:from>
    <xdr:to>
      <xdr:col>0</xdr:col>
      <xdr:colOff>628650</xdr:colOff>
      <xdr:row>41</xdr:row>
      <xdr:rowOff>9525</xdr:rowOff>
    </xdr:to>
    <xdr:sp macro="" textlink="">
      <xdr:nvSpPr>
        <xdr:cNvPr id="1407983" name="Line 24">
          <a:extLst>
            <a:ext uri="{FF2B5EF4-FFF2-40B4-BE49-F238E27FC236}">
              <a16:creationId xmlns:a16="http://schemas.microsoft.com/office/drawing/2014/main" id="{3872FEB3-049B-9882-B295-7D13A9A8C47A}"/>
            </a:ext>
          </a:extLst>
        </xdr:cNvPr>
        <xdr:cNvSpPr>
          <a:spLocks noChangeShapeType="1"/>
        </xdr:cNvSpPr>
      </xdr:nvSpPr>
      <xdr:spPr bwMode="auto">
        <a:xfrm>
          <a:off x="628650" y="7429500"/>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sm"/>
          <a:tailEnd type="triangle" w="sm" len="sm"/>
        </a:ln>
        <a:extLst>
          <a:ext uri="{909E8E84-426E-40DD-AFC4-6F175D3DCCD1}">
            <a14:hiddenFill xmlns:a14="http://schemas.microsoft.com/office/drawing/2010/main">
              <a:noFill/>
            </a14:hiddenFill>
          </a:ext>
        </a:extLst>
      </xdr:spPr>
    </xdr:sp>
    <xdr:clientData/>
  </xdr:twoCellAnchor>
  <xdr:twoCellAnchor>
    <xdr:from>
      <xdr:col>3</xdr:col>
      <xdr:colOff>66675</xdr:colOff>
      <xdr:row>24</xdr:row>
      <xdr:rowOff>57150</xdr:rowOff>
    </xdr:from>
    <xdr:to>
      <xdr:col>3</xdr:col>
      <xdr:colOff>828675</xdr:colOff>
      <xdr:row>28</xdr:row>
      <xdr:rowOff>28575</xdr:rowOff>
    </xdr:to>
    <xdr:sp macro="" textlink="">
      <xdr:nvSpPr>
        <xdr:cNvPr id="1407984" name="Rectangle 25">
          <a:extLst>
            <a:ext uri="{FF2B5EF4-FFF2-40B4-BE49-F238E27FC236}">
              <a16:creationId xmlns:a16="http://schemas.microsoft.com/office/drawing/2014/main" id="{202942A9-2272-4275-B4E5-D99440722E28}"/>
            </a:ext>
          </a:extLst>
        </xdr:cNvPr>
        <xdr:cNvSpPr>
          <a:spLocks noChangeArrowheads="1"/>
        </xdr:cNvSpPr>
      </xdr:nvSpPr>
      <xdr:spPr bwMode="auto">
        <a:xfrm>
          <a:off x="2695575" y="4572000"/>
          <a:ext cx="762000" cy="6953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47625</xdr:colOff>
      <xdr:row>33</xdr:row>
      <xdr:rowOff>104775</xdr:rowOff>
    </xdr:from>
    <xdr:to>
      <xdr:col>3</xdr:col>
      <xdr:colOff>838200</xdr:colOff>
      <xdr:row>34</xdr:row>
      <xdr:rowOff>171450</xdr:rowOff>
    </xdr:to>
    <xdr:sp macro="" textlink="">
      <xdr:nvSpPr>
        <xdr:cNvPr id="1407985" name="Rectangle 26">
          <a:extLst>
            <a:ext uri="{FF2B5EF4-FFF2-40B4-BE49-F238E27FC236}">
              <a16:creationId xmlns:a16="http://schemas.microsoft.com/office/drawing/2014/main" id="{25973A03-617A-AAF0-CE24-95CA9C119383}"/>
            </a:ext>
          </a:extLst>
        </xdr:cNvPr>
        <xdr:cNvSpPr>
          <a:spLocks noChangeArrowheads="1"/>
        </xdr:cNvSpPr>
      </xdr:nvSpPr>
      <xdr:spPr bwMode="auto">
        <a:xfrm>
          <a:off x="2676525" y="6248400"/>
          <a:ext cx="790575" cy="2476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47625</xdr:colOff>
      <xdr:row>28</xdr:row>
      <xdr:rowOff>76200</xdr:rowOff>
    </xdr:from>
    <xdr:to>
      <xdr:col>3</xdr:col>
      <xdr:colOff>828675</xdr:colOff>
      <xdr:row>29</xdr:row>
      <xdr:rowOff>161925</xdr:rowOff>
    </xdr:to>
    <xdr:sp macro="" textlink="">
      <xdr:nvSpPr>
        <xdr:cNvPr id="1407986" name="Rectangle 27">
          <a:extLst>
            <a:ext uri="{FF2B5EF4-FFF2-40B4-BE49-F238E27FC236}">
              <a16:creationId xmlns:a16="http://schemas.microsoft.com/office/drawing/2014/main" id="{C7F8EE9B-CB95-0C80-2FB0-6BC1A9AD4351}"/>
            </a:ext>
          </a:extLst>
        </xdr:cNvPr>
        <xdr:cNvSpPr>
          <a:spLocks noChangeArrowheads="1"/>
        </xdr:cNvSpPr>
      </xdr:nvSpPr>
      <xdr:spPr bwMode="auto">
        <a:xfrm>
          <a:off x="2676525" y="5314950"/>
          <a:ext cx="781050" cy="2667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47625</xdr:colOff>
      <xdr:row>30</xdr:row>
      <xdr:rowOff>28575</xdr:rowOff>
    </xdr:from>
    <xdr:to>
      <xdr:col>3</xdr:col>
      <xdr:colOff>828675</xdr:colOff>
      <xdr:row>31</xdr:row>
      <xdr:rowOff>123825</xdr:rowOff>
    </xdr:to>
    <xdr:sp macro="" textlink="">
      <xdr:nvSpPr>
        <xdr:cNvPr id="1407987" name="Rectangle 28">
          <a:extLst>
            <a:ext uri="{FF2B5EF4-FFF2-40B4-BE49-F238E27FC236}">
              <a16:creationId xmlns:a16="http://schemas.microsoft.com/office/drawing/2014/main" id="{DE65C25F-CEED-B5C3-DD15-00D80708758B}"/>
            </a:ext>
          </a:extLst>
        </xdr:cNvPr>
        <xdr:cNvSpPr>
          <a:spLocks noChangeArrowheads="1"/>
        </xdr:cNvSpPr>
      </xdr:nvSpPr>
      <xdr:spPr bwMode="auto">
        <a:xfrm>
          <a:off x="2676525" y="5629275"/>
          <a:ext cx="781050" cy="2762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47625</xdr:colOff>
      <xdr:row>31</xdr:row>
      <xdr:rowOff>152400</xdr:rowOff>
    </xdr:from>
    <xdr:to>
      <xdr:col>3</xdr:col>
      <xdr:colOff>828675</xdr:colOff>
      <xdr:row>33</xdr:row>
      <xdr:rowOff>66675</xdr:rowOff>
    </xdr:to>
    <xdr:sp macro="" textlink="">
      <xdr:nvSpPr>
        <xdr:cNvPr id="1407988" name="Rectangle 29">
          <a:extLst>
            <a:ext uri="{FF2B5EF4-FFF2-40B4-BE49-F238E27FC236}">
              <a16:creationId xmlns:a16="http://schemas.microsoft.com/office/drawing/2014/main" id="{7BA13305-DEE4-6588-FCEA-5CD3ECEFAB5F}"/>
            </a:ext>
          </a:extLst>
        </xdr:cNvPr>
        <xdr:cNvSpPr>
          <a:spLocks noChangeArrowheads="1"/>
        </xdr:cNvSpPr>
      </xdr:nvSpPr>
      <xdr:spPr bwMode="auto">
        <a:xfrm>
          <a:off x="2676525" y="5934075"/>
          <a:ext cx="781050" cy="2762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0</xdr:col>
      <xdr:colOff>523875</xdr:colOff>
      <xdr:row>24</xdr:row>
      <xdr:rowOff>0</xdr:rowOff>
    </xdr:from>
    <xdr:to>
      <xdr:col>0</xdr:col>
      <xdr:colOff>742950</xdr:colOff>
      <xdr:row>24</xdr:row>
      <xdr:rowOff>0</xdr:rowOff>
    </xdr:to>
    <xdr:sp macro="" textlink="">
      <xdr:nvSpPr>
        <xdr:cNvPr id="1407989" name="Line 30">
          <a:extLst>
            <a:ext uri="{FF2B5EF4-FFF2-40B4-BE49-F238E27FC236}">
              <a16:creationId xmlns:a16="http://schemas.microsoft.com/office/drawing/2014/main" id="{8FB16D4C-7538-A1E4-6D54-FE2DC47D14F2}"/>
            </a:ext>
          </a:extLst>
        </xdr:cNvPr>
        <xdr:cNvSpPr>
          <a:spLocks noChangeShapeType="1"/>
        </xdr:cNvSpPr>
      </xdr:nvSpPr>
      <xdr:spPr bwMode="auto">
        <a:xfrm>
          <a:off x="523875" y="4514850"/>
          <a:ext cx="219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638175</xdr:colOff>
      <xdr:row>24</xdr:row>
      <xdr:rowOff>0</xdr:rowOff>
    </xdr:from>
    <xdr:to>
      <xdr:col>0</xdr:col>
      <xdr:colOff>638175</xdr:colOff>
      <xdr:row>38</xdr:row>
      <xdr:rowOff>0</xdr:rowOff>
    </xdr:to>
    <xdr:sp macro="" textlink="">
      <xdr:nvSpPr>
        <xdr:cNvPr id="1407990" name="Line 31">
          <a:extLst>
            <a:ext uri="{FF2B5EF4-FFF2-40B4-BE49-F238E27FC236}">
              <a16:creationId xmlns:a16="http://schemas.microsoft.com/office/drawing/2014/main" id="{627600CD-7EB1-818F-5B18-3F955FF9E287}"/>
            </a:ext>
          </a:extLst>
        </xdr:cNvPr>
        <xdr:cNvSpPr>
          <a:spLocks noChangeShapeType="1"/>
        </xdr:cNvSpPr>
      </xdr:nvSpPr>
      <xdr:spPr bwMode="auto">
        <a:xfrm>
          <a:off x="638175" y="4514850"/>
          <a:ext cx="0" cy="2533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0</xdr:col>
      <xdr:colOff>542925</xdr:colOff>
      <xdr:row>38</xdr:row>
      <xdr:rowOff>0</xdr:rowOff>
    </xdr:from>
    <xdr:to>
      <xdr:col>0</xdr:col>
      <xdr:colOff>733425</xdr:colOff>
      <xdr:row>38</xdr:row>
      <xdr:rowOff>0</xdr:rowOff>
    </xdr:to>
    <xdr:sp macro="" textlink="">
      <xdr:nvSpPr>
        <xdr:cNvPr id="1407991" name="Line 32">
          <a:extLst>
            <a:ext uri="{FF2B5EF4-FFF2-40B4-BE49-F238E27FC236}">
              <a16:creationId xmlns:a16="http://schemas.microsoft.com/office/drawing/2014/main" id="{D71D5B8D-4331-D680-1C64-1911D8050D43}"/>
            </a:ext>
          </a:extLst>
        </xdr:cNvPr>
        <xdr:cNvSpPr>
          <a:spLocks noChangeShapeType="1"/>
        </xdr:cNvSpPr>
      </xdr:nvSpPr>
      <xdr:spPr bwMode="auto">
        <a:xfrm>
          <a:off x="542925" y="7048500"/>
          <a:ext cx="190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none" w="sm" len="med"/>
        </a:ln>
        <a:extLst>
          <a:ext uri="{909E8E84-426E-40DD-AFC4-6F175D3DCCD1}">
            <a14:hiddenFill xmlns:a14="http://schemas.microsoft.com/office/drawing/2010/main">
              <a:noFill/>
            </a14:hiddenFill>
          </a:ext>
        </a:extLst>
      </xdr:spPr>
    </xdr:sp>
    <xdr:clientData/>
  </xdr:twoCellAnchor>
  <xdr:twoCellAnchor>
    <xdr:from>
      <xdr:col>1</xdr:col>
      <xdr:colOff>0</xdr:colOff>
      <xdr:row>42</xdr:row>
      <xdr:rowOff>95250</xdr:rowOff>
    </xdr:from>
    <xdr:to>
      <xdr:col>1</xdr:col>
      <xdr:colOff>0</xdr:colOff>
      <xdr:row>43</xdr:row>
      <xdr:rowOff>66675</xdr:rowOff>
    </xdr:to>
    <xdr:sp macro="" textlink="">
      <xdr:nvSpPr>
        <xdr:cNvPr id="1407992" name="Line 33">
          <a:extLst>
            <a:ext uri="{FF2B5EF4-FFF2-40B4-BE49-F238E27FC236}">
              <a16:creationId xmlns:a16="http://schemas.microsoft.com/office/drawing/2014/main" id="{249C6F8A-DB38-8532-B9A5-80BC227AE83F}"/>
            </a:ext>
          </a:extLst>
        </xdr:cNvPr>
        <xdr:cNvSpPr>
          <a:spLocks noChangeShapeType="1"/>
        </xdr:cNvSpPr>
      </xdr:nvSpPr>
      <xdr:spPr bwMode="auto">
        <a:xfrm>
          <a:off x="1038225" y="7867650"/>
          <a:ext cx="0"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42</xdr:row>
      <xdr:rowOff>104775</xdr:rowOff>
    </xdr:from>
    <xdr:to>
      <xdr:col>6</xdr:col>
      <xdr:colOff>0</xdr:colOff>
      <xdr:row>43</xdr:row>
      <xdr:rowOff>76200</xdr:rowOff>
    </xdr:to>
    <xdr:sp macro="" textlink="">
      <xdr:nvSpPr>
        <xdr:cNvPr id="1407993" name="Line 34">
          <a:extLst>
            <a:ext uri="{FF2B5EF4-FFF2-40B4-BE49-F238E27FC236}">
              <a16:creationId xmlns:a16="http://schemas.microsoft.com/office/drawing/2014/main" id="{F1C0ADC3-2AE8-4FFC-2F8C-6094D7674EDB}"/>
            </a:ext>
          </a:extLst>
        </xdr:cNvPr>
        <xdr:cNvSpPr>
          <a:spLocks noChangeShapeType="1"/>
        </xdr:cNvSpPr>
      </xdr:nvSpPr>
      <xdr:spPr bwMode="auto">
        <a:xfrm>
          <a:off x="5048250" y="7877175"/>
          <a:ext cx="0"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43</xdr:row>
      <xdr:rowOff>9525</xdr:rowOff>
    </xdr:from>
    <xdr:to>
      <xdr:col>6</xdr:col>
      <xdr:colOff>0</xdr:colOff>
      <xdr:row>43</xdr:row>
      <xdr:rowOff>9525</xdr:rowOff>
    </xdr:to>
    <xdr:sp macro="" textlink="">
      <xdr:nvSpPr>
        <xdr:cNvPr id="1407994" name="Line 35">
          <a:extLst>
            <a:ext uri="{FF2B5EF4-FFF2-40B4-BE49-F238E27FC236}">
              <a16:creationId xmlns:a16="http://schemas.microsoft.com/office/drawing/2014/main" id="{E89941C6-3B34-3394-6B30-830A09B5D5ED}"/>
            </a:ext>
          </a:extLst>
        </xdr:cNvPr>
        <xdr:cNvSpPr>
          <a:spLocks noChangeShapeType="1"/>
        </xdr:cNvSpPr>
      </xdr:nvSpPr>
      <xdr:spPr bwMode="auto">
        <a:xfrm>
          <a:off x="1038225" y="7962900"/>
          <a:ext cx="4010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med"/>
          <a:tailEnd type="triangle" w="sm" len="med"/>
        </a:ln>
        <a:extLst>
          <a:ext uri="{909E8E84-426E-40DD-AFC4-6F175D3DCCD1}">
            <a14:hiddenFill xmlns:a14="http://schemas.microsoft.com/office/drawing/2010/main">
              <a:noFill/>
            </a14:hiddenFill>
          </a:ext>
        </a:extLst>
      </xdr:spPr>
    </xdr:sp>
    <xdr:clientData/>
  </xdr:twoCellAnchor>
  <xdr:twoCellAnchor>
    <xdr:from>
      <xdr:col>0</xdr:col>
      <xdr:colOff>628650</xdr:colOff>
      <xdr:row>38</xdr:row>
      <xdr:rowOff>0</xdr:rowOff>
    </xdr:from>
    <xdr:to>
      <xdr:col>0</xdr:col>
      <xdr:colOff>628650</xdr:colOff>
      <xdr:row>40</xdr:row>
      <xdr:rowOff>0</xdr:rowOff>
    </xdr:to>
    <xdr:sp macro="" textlink="">
      <xdr:nvSpPr>
        <xdr:cNvPr id="1407995" name="Line 36">
          <a:extLst>
            <a:ext uri="{FF2B5EF4-FFF2-40B4-BE49-F238E27FC236}">
              <a16:creationId xmlns:a16="http://schemas.microsoft.com/office/drawing/2014/main" id="{8CDC9FCD-AFEC-56C7-78AF-D938E625DA50}"/>
            </a:ext>
          </a:extLst>
        </xdr:cNvPr>
        <xdr:cNvSpPr>
          <a:spLocks noChangeShapeType="1"/>
        </xdr:cNvSpPr>
      </xdr:nvSpPr>
      <xdr:spPr bwMode="auto">
        <a:xfrm flipV="1">
          <a:off x="628650" y="7048500"/>
          <a:ext cx="0" cy="3619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sm" len="sm"/>
          <a:tailEnd type="triangle" w="sm" len="sm"/>
        </a:ln>
        <a:extLst>
          <a:ext uri="{909E8E84-426E-40DD-AFC4-6F175D3DCCD1}">
            <a14:hiddenFill xmlns:a14="http://schemas.microsoft.com/office/drawing/2010/main">
              <a:noFill/>
            </a14:hiddenFill>
          </a:ext>
        </a:extLst>
      </xdr:spPr>
    </xdr:sp>
    <xdr:clientData/>
  </xdr:twoCellAnchor>
  <xdr:twoCellAnchor>
    <xdr:from>
      <xdr:col>3</xdr:col>
      <xdr:colOff>47625</xdr:colOff>
      <xdr:row>35</xdr:row>
      <xdr:rowOff>47625</xdr:rowOff>
    </xdr:from>
    <xdr:to>
      <xdr:col>3</xdr:col>
      <xdr:colOff>809625</xdr:colOff>
      <xdr:row>39</xdr:row>
      <xdr:rowOff>152400</xdr:rowOff>
    </xdr:to>
    <xdr:sp macro="" textlink="">
      <xdr:nvSpPr>
        <xdr:cNvPr id="1407996" name="Rectangle 37">
          <a:extLst>
            <a:ext uri="{FF2B5EF4-FFF2-40B4-BE49-F238E27FC236}">
              <a16:creationId xmlns:a16="http://schemas.microsoft.com/office/drawing/2014/main" id="{AC18A0F7-AA54-07C7-373B-307F919B039D}"/>
            </a:ext>
          </a:extLst>
        </xdr:cNvPr>
        <xdr:cNvSpPr>
          <a:spLocks noChangeArrowheads="1"/>
        </xdr:cNvSpPr>
      </xdr:nvSpPr>
      <xdr:spPr bwMode="auto">
        <a:xfrm>
          <a:off x="2676525" y="6553200"/>
          <a:ext cx="762000" cy="8286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66675</xdr:colOff>
      <xdr:row>35</xdr:row>
      <xdr:rowOff>66675</xdr:rowOff>
    </xdr:from>
    <xdr:to>
      <xdr:col>3</xdr:col>
      <xdr:colOff>142875</xdr:colOff>
      <xdr:row>35</xdr:row>
      <xdr:rowOff>152400</xdr:rowOff>
    </xdr:to>
    <xdr:sp macro="" textlink="">
      <xdr:nvSpPr>
        <xdr:cNvPr id="1407997" name="Oval 38">
          <a:extLst>
            <a:ext uri="{FF2B5EF4-FFF2-40B4-BE49-F238E27FC236}">
              <a16:creationId xmlns:a16="http://schemas.microsoft.com/office/drawing/2014/main" id="{DE9D2489-C5C1-0E7A-20F5-D4F62BF4587A}"/>
            </a:ext>
          </a:extLst>
        </xdr:cNvPr>
        <xdr:cNvSpPr>
          <a:spLocks noChangeArrowheads="1"/>
        </xdr:cNvSpPr>
      </xdr:nvSpPr>
      <xdr:spPr bwMode="auto">
        <a:xfrm>
          <a:off x="2695575" y="6572250"/>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714375</xdr:colOff>
      <xdr:row>35</xdr:row>
      <xdr:rowOff>66675</xdr:rowOff>
    </xdr:from>
    <xdr:to>
      <xdr:col>3</xdr:col>
      <xdr:colOff>790575</xdr:colOff>
      <xdr:row>35</xdr:row>
      <xdr:rowOff>152400</xdr:rowOff>
    </xdr:to>
    <xdr:sp macro="" textlink="">
      <xdr:nvSpPr>
        <xdr:cNvPr id="1407998" name="Oval 39">
          <a:extLst>
            <a:ext uri="{FF2B5EF4-FFF2-40B4-BE49-F238E27FC236}">
              <a16:creationId xmlns:a16="http://schemas.microsoft.com/office/drawing/2014/main" id="{05422141-8B21-B57F-9DD3-91F89DC49AB0}"/>
            </a:ext>
          </a:extLst>
        </xdr:cNvPr>
        <xdr:cNvSpPr>
          <a:spLocks noChangeArrowheads="1"/>
        </xdr:cNvSpPr>
      </xdr:nvSpPr>
      <xdr:spPr bwMode="auto">
        <a:xfrm>
          <a:off x="3343275" y="6572250"/>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76200</xdr:colOff>
      <xdr:row>39</xdr:row>
      <xdr:rowOff>66675</xdr:rowOff>
    </xdr:from>
    <xdr:to>
      <xdr:col>3</xdr:col>
      <xdr:colOff>152400</xdr:colOff>
      <xdr:row>39</xdr:row>
      <xdr:rowOff>152400</xdr:rowOff>
    </xdr:to>
    <xdr:sp macro="" textlink="">
      <xdr:nvSpPr>
        <xdr:cNvPr id="1407999" name="Oval 40">
          <a:extLst>
            <a:ext uri="{FF2B5EF4-FFF2-40B4-BE49-F238E27FC236}">
              <a16:creationId xmlns:a16="http://schemas.microsoft.com/office/drawing/2014/main" id="{AF84A6CA-82BC-427A-CF1C-322561642A44}"/>
            </a:ext>
          </a:extLst>
        </xdr:cNvPr>
        <xdr:cNvSpPr>
          <a:spLocks noChangeArrowheads="1"/>
        </xdr:cNvSpPr>
      </xdr:nvSpPr>
      <xdr:spPr bwMode="auto">
        <a:xfrm>
          <a:off x="2705100" y="7296150"/>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723900</xdr:colOff>
      <xdr:row>39</xdr:row>
      <xdr:rowOff>66675</xdr:rowOff>
    </xdr:from>
    <xdr:to>
      <xdr:col>3</xdr:col>
      <xdr:colOff>800100</xdr:colOff>
      <xdr:row>39</xdr:row>
      <xdr:rowOff>152400</xdr:rowOff>
    </xdr:to>
    <xdr:sp macro="" textlink="">
      <xdr:nvSpPr>
        <xdr:cNvPr id="1413120" name="Oval 41">
          <a:extLst>
            <a:ext uri="{FF2B5EF4-FFF2-40B4-BE49-F238E27FC236}">
              <a16:creationId xmlns:a16="http://schemas.microsoft.com/office/drawing/2014/main" id="{7FFB134D-D622-435E-6EDC-10259F0D200C}"/>
            </a:ext>
          </a:extLst>
        </xdr:cNvPr>
        <xdr:cNvSpPr>
          <a:spLocks noChangeArrowheads="1"/>
        </xdr:cNvSpPr>
      </xdr:nvSpPr>
      <xdr:spPr bwMode="auto">
        <a:xfrm>
          <a:off x="3352800" y="7296150"/>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85725</xdr:colOff>
      <xdr:row>24</xdr:row>
      <xdr:rowOff>85725</xdr:rowOff>
    </xdr:from>
    <xdr:to>
      <xdr:col>3</xdr:col>
      <xdr:colOff>161925</xdr:colOff>
      <xdr:row>24</xdr:row>
      <xdr:rowOff>171450</xdr:rowOff>
    </xdr:to>
    <xdr:sp macro="" textlink="">
      <xdr:nvSpPr>
        <xdr:cNvPr id="1413121" name="Oval 42">
          <a:extLst>
            <a:ext uri="{FF2B5EF4-FFF2-40B4-BE49-F238E27FC236}">
              <a16:creationId xmlns:a16="http://schemas.microsoft.com/office/drawing/2014/main" id="{455805A1-18BF-E458-1EA6-943E5282704B}"/>
            </a:ext>
          </a:extLst>
        </xdr:cNvPr>
        <xdr:cNvSpPr>
          <a:spLocks noChangeArrowheads="1"/>
        </xdr:cNvSpPr>
      </xdr:nvSpPr>
      <xdr:spPr bwMode="auto">
        <a:xfrm>
          <a:off x="2714625" y="4600575"/>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723900</xdr:colOff>
      <xdr:row>24</xdr:row>
      <xdr:rowOff>76200</xdr:rowOff>
    </xdr:from>
    <xdr:to>
      <xdr:col>3</xdr:col>
      <xdr:colOff>800100</xdr:colOff>
      <xdr:row>24</xdr:row>
      <xdr:rowOff>161925</xdr:rowOff>
    </xdr:to>
    <xdr:sp macro="" textlink="">
      <xdr:nvSpPr>
        <xdr:cNvPr id="1413122" name="Oval 43">
          <a:extLst>
            <a:ext uri="{FF2B5EF4-FFF2-40B4-BE49-F238E27FC236}">
              <a16:creationId xmlns:a16="http://schemas.microsoft.com/office/drawing/2014/main" id="{3EE9757C-C869-83BD-2A71-0CE0CDF5A1AB}"/>
            </a:ext>
          </a:extLst>
        </xdr:cNvPr>
        <xdr:cNvSpPr>
          <a:spLocks noChangeArrowheads="1"/>
        </xdr:cNvSpPr>
      </xdr:nvSpPr>
      <xdr:spPr bwMode="auto">
        <a:xfrm>
          <a:off x="3352800" y="4591050"/>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723900</xdr:colOff>
      <xdr:row>27</xdr:row>
      <xdr:rowOff>114300</xdr:rowOff>
    </xdr:from>
    <xdr:to>
      <xdr:col>3</xdr:col>
      <xdr:colOff>800100</xdr:colOff>
      <xdr:row>28</xdr:row>
      <xdr:rowOff>19050</xdr:rowOff>
    </xdr:to>
    <xdr:sp macro="" textlink="">
      <xdr:nvSpPr>
        <xdr:cNvPr id="1413123" name="Oval 44">
          <a:extLst>
            <a:ext uri="{FF2B5EF4-FFF2-40B4-BE49-F238E27FC236}">
              <a16:creationId xmlns:a16="http://schemas.microsoft.com/office/drawing/2014/main" id="{FF6AD91D-361F-78BE-5276-BA35F9AD84A2}"/>
            </a:ext>
          </a:extLst>
        </xdr:cNvPr>
        <xdr:cNvSpPr>
          <a:spLocks noChangeArrowheads="1"/>
        </xdr:cNvSpPr>
      </xdr:nvSpPr>
      <xdr:spPr bwMode="auto">
        <a:xfrm>
          <a:off x="3352800" y="5172075"/>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76200</xdr:colOff>
      <xdr:row>27</xdr:row>
      <xdr:rowOff>114300</xdr:rowOff>
    </xdr:from>
    <xdr:to>
      <xdr:col>3</xdr:col>
      <xdr:colOff>152400</xdr:colOff>
      <xdr:row>28</xdr:row>
      <xdr:rowOff>19050</xdr:rowOff>
    </xdr:to>
    <xdr:sp macro="" textlink="">
      <xdr:nvSpPr>
        <xdr:cNvPr id="1413124" name="Oval 45">
          <a:extLst>
            <a:ext uri="{FF2B5EF4-FFF2-40B4-BE49-F238E27FC236}">
              <a16:creationId xmlns:a16="http://schemas.microsoft.com/office/drawing/2014/main" id="{3ED603B4-0833-E5DF-41EE-DD06A6551A2D}"/>
            </a:ext>
          </a:extLst>
        </xdr:cNvPr>
        <xdr:cNvSpPr>
          <a:spLocks noChangeArrowheads="1"/>
        </xdr:cNvSpPr>
      </xdr:nvSpPr>
      <xdr:spPr bwMode="auto">
        <a:xfrm>
          <a:off x="2705100" y="5172075"/>
          <a:ext cx="76200" cy="85725"/>
        </a:xfrm>
        <a:prstGeom prst="ellipse">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581025</xdr:colOff>
      <xdr:row>35</xdr:row>
      <xdr:rowOff>66675</xdr:rowOff>
    </xdr:from>
    <xdr:to>
      <xdr:col>3</xdr:col>
      <xdr:colOff>733425</xdr:colOff>
      <xdr:row>36</xdr:row>
      <xdr:rowOff>0</xdr:rowOff>
    </xdr:to>
    <xdr:sp macro="" textlink="">
      <xdr:nvSpPr>
        <xdr:cNvPr id="1413125" name="Line 46">
          <a:extLst>
            <a:ext uri="{FF2B5EF4-FFF2-40B4-BE49-F238E27FC236}">
              <a16:creationId xmlns:a16="http://schemas.microsoft.com/office/drawing/2014/main" id="{1810A9A0-E9DD-B0E4-185E-2DC3E217B3BB}"/>
            </a:ext>
          </a:extLst>
        </xdr:cNvPr>
        <xdr:cNvSpPr>
          <a:spLocks noChangeShapeType="1"/>
        </xdr:cNvSpPr>
      </xdr:nvSpPr>
      <xdr:spPr bwMode="auto">
        <a:xfrm flipV="1">
          <a:off x="3209925" y="6572250"/>
          <a:ext cx="1524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657225</xdr:colOff>
      <xdr:row>35</xdr:row>
      <xdr:rowOff>123825</xdr:rowOff>
    </xdr:from>
    <xdr:to>
      <xdr:col>3</xdr:col>
      <xdr:colOff>809625</xdr:colOff>
      <xdr:row>36</xdr:row>
      <xdr:rowOff>57150</xdr:rowOff>
    </xdr:to>
    <xdr:sp macro="" textlink="">
      <xdr:nvSpPr>
        <xdr:cNvPr id="1413126" name="Line 47">
          <a:extLst>
            <a:ext uri="{FF2B5EF4-FFF2-40B4-BE49-F238E27FC236}">
              <a16:creationId xmlns:a16="http://schemas.microsoft.com/office/drawing/2014/main" id="{94BA6BEA-CE05-176A-2796-F89372D693F2}"/>
            </a:ext>
          </a:extLst>
        </xdr:cNvPr>
        <xdr:cNvSpPr>
          <a:spLocks noChangeShapeType="1"/>
        </xdr:cNvSpPr>
      </xdr:nvSpPr>
      <xdr:spPr bwMode="auto">
        <a:xfrm flipV="1">
          <a:off x="3286125" y="6629400"/>
          <a:ext cx="1524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600075</xdr:colOff>
      <xdr:row>24</xdr:row>
      <xdr:rowOff>66675</xdr:rowOff>
    </xdr:from>
    <xdr:to>
      <xdr:col>3</xdr:col>
      <xdr:colOff>752475</xdr:colOff>
      <xdr:row>25</xdr:row>
      <xdr:rowOff>0</xdr:rowOff>
    </xdr:to>
    <xdr:sp macro="" textlink="">
      <xdr:nvSpPr>
        <xdr:cNvPr id="1413127" name="Line 48">
          <a:extLst>
            <a:ext uri="{FF2B5EF4-FFF2-40B4-BE49-F238E27FC236}">
              <a16:creationId xmlns:a16="http://schemas.microsoft.com/office/drawing/2014/main" id="{750FD68F-D300-49F2-DAA8-DC79CCA93167}"/>
            </a:ext>
          </a:extLst>
        </xdr:cNvPr>
        <xdr:cNvSpPr>
          <a:spLocks noChangeShapeType="1"/>
        </xdr:cNvSpPr>
      </xdr:nvSpPr>
      <xdr:spPr bwMode="auto">
        <a:xfrm flipV="1">
          <a:off x="3228975" y="4581525"/>
          <a:ext cx="1524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676275</xdr:colOff>
      <xdr:row>24</xdr:row>
      <xdr:rowOff>123825</xdr:rowOff>
    </xdr:from>
    <xdr:to>
      <xdr:col>3</xdr:col>
      <xdr:colOff>828675</xdr:colOff>
      <xdr:row>25</xdr:row>
      <xdr:rowOff>57150</xdr:rowOff>
    </xdr:to>
    <xdr:sp macro="" textlink="">
      <xdr:nvSpPr>
        <xdr:cNvPr id="1413128" name="Line 49">
          <a:extLst>
            <a:ext uri="{FF2B5EF4-FFF2-40B4-BE49-F238E27FC236}">
              <a16:creationId xmlns:a16="http://schemas.microsoft.com/office/drawing/2014/main" id="{A186AA66-30F5-3AEC-4DA5-BC013F0317F9}"/>
            </a:ext>
          </a:extLst>
        </xdr:cNvPr>
        <xdr:cNvSpPr>
          <a:spLocks noChangeShapeType="1"/>
        </xdr:cNvSpPr>
      </xdr:nvSpPr>
      <xdr:spPr bwMode="auto">
        <a:xfrm flipV="1">
          <a:off x="3305175" y="4638675"/>
          <a:ext cx="1524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47625</xdr:colOff>
      <xdr:row>70</xdr:row>
      <xdr:rowOff>161925</xdr:rowOff>
    </xdr:from>
    <xdr:to>
      <xdr:col>10</xdr:col>
      <xdr:colOff>371475</xdr:colOff>
      <xdr:row>71</xdr:row>
      <xdr:rowOff>171450</xdr:rowOff>
    </xdr:to>
    <xdr:sp macro="" textlink="">
      <xdr:nvSpPr>
        <xdr:cNvPr id="1413129" name="AutoShape 51">
          <a:hlinkClick xmlns:r="http://schemas.openxmlformats.org/officeDocument/2006/relationships" r:id="rId1"/>
          <a:extLst>
            <a:ext uri="{FF2B5EF4-FFF2-40B4-BE49-F238E27FC236}">
              <a16:creationId xmlns:a16="http://schemas.microsoft.com/office/drawing/2014/main" id="{6F61E62A-8A60-2B9C-9F95-4AC6445A57A2}"/>
            </a:ext>
          </a:extLst>
        </xdr:cNvPr>
        <xdr:cNvSpPr>
          <a:spLocks noChangeArrowheads="1"/>
        </xdr:cNvSpPr>
      </xdr:nvSpPr>
      <xdr:spPr bwMode="auto">
        <a:xfrm>
          <a:off x="8143875" y="13058775"/>
          <a:ext cx="323850" cy="190500"/>
        </a:xfrm>
        <a:prstGeom prst="rightArrow">
          <a:avLst>
            <a:gd name="adj1" fmla="val 50000"/>
            <a:gd name="adj2" fmla="val 42500"/>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0</xdr:colOff>
      <xdr:row>5</xdr:row>
      <xdr:rowOff>123825</xdr:rowOff>
    </xdr:from>
    <xdr:to>
      <xdr:col>13</xdr:col>
      <xdr:colOff>142875</xdr:colOff>
      <xdr:row>5</xdr:row>
      <xdr:rowOff>123825</xdr:rowOff>
    </xdr:to>
    <xdr:sp macro="" textlink="">
      <xdr:nvSpPr>
        <xdr:cNvPr id="1413130" name="Line 52">
          <a:extLst>
            <a:ext uri="{FF2B5EF4-FFF2-40B4-BE49-F238E27FC236}">
              <a16:creationId xmlns:a16="http://schemas.microsoft.com/office/drawing/2014/main" id="{5DD60341-CE0B-9052-D06B-838EFFE85E8D}"/>
            </a:ext>
          </a:extLst>
        </xdr:cNvPr>
        <xdr:cNvSpPr>
          <a:spLocks noChangeShapeType="1"/>
        </xdr:cNvSpPr>
      </xdr:nvSpPr>
      <xdr:spPr bwMode="auto">
        <a:xfrm>
          <a:off x="0" y="933450"/>
          <a:ext cx="10525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220980</xdr:colOff>
      <xdr:row>1</xdr:row>
      <xdr:rowOff>110490</xdr:rowOff>
    </xdr:from>
    <xdr:to>
      <xdr:col>14</xdr:col>
      <xdr:colOff>541095</xdr:colOff>
      <xdr:row>2</xdr:row>
      <xdr:rowOff>133249</xdr:rowOff>
    </xdr:to>
    <xdr:sp macro="" textlink="">
      <xdr:nvSpPr>
        <xdr:cNvPr id="26677" name="Texto 327">
          <a:extLst>
            <a:ext uri="{FF2B5EF4-FFF2-40B4-BE49-F238E27FC236}">
              <a16:creationId xmlns:a16="http://schemas.microsoft.com/office/drawing/2014/main" id="{684B406A-297D-ED21-1642-E3CEBED8280A}"/>
            </a:ext>
          </a:extLst>
        </xdr:cNvPr>
        <xdr:cNvSpPr txBox="1">
          <a:spLocks noChangeArrowheads="1"/>
        </xdr:cNvSpPr>
      </xdr:nvSpPr>
      <xdr:spPr bwMode="auto">
        <a:xfrm>
          <a:off x="6038850" y="266700"/>
          <a:ext cx="5638800" cy="190500"/>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6</xdr:col>
      <xdr:colOff>474345</xdr:colOff>
      <xdr:row>2</xdr:row>
      <xdr:rowOff>142875</xdr:rowOff>
    </xdr:from>
    <xdr:to>
      <xdr:col>9</xdr:col>
      <xdr:colOff>342774</xdr:colOff>
      <xdr:row>4</xdr:row>
      <xdr:rowOff>81564</xdr:rowOff>
    </xdr:to>
    <xdr:sp macro="" textlink="">
      <xdr:nvSpPr>
        <xdr:cNvPr id="26678" name="Texto 327">
          <a:extLst>
            <a:ext uri="{FF2B5EF4-FFF2-40B4-BE49-F238E27FC236}">
              <a16:creationId xmlns:a16="http://schemas.microsoft.com/office/drawing/2014/main" id="{53B26FC7-1C38-31D2-34CA-284129145C7E}"/>
            </a:ext>
          </a:extLst>
        </xdr:cNvPr>
        <xdr:cNvSpPr txBox="1">
          <a:spLocks noChangeArrowheads="1"/>
        </xdr:cNvSpPr>
      </xdr:nvSpPr>
      <xdr:spPr bwMode="auto">
        <a:xfrm>
          <a:off x="5534025" y="466725"/>
          <a:ext cx="2162175" cy="266700"/>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11</xdr:col>
      <xdr:colOff>169545</xdr:colOff>
      <xdr:row>2</xdr:row>
      <xdr:rowOff>121920</xdr:rowOff>
    </xdr:from>
    <xdr:to>
      <xdr:col>13</xdr:col>
      <xdr:colOff>428588</xdr:colOff>
      <xdr:row>5</xdr:row>
      <xdr:rowOff>104803</xdr:rowOff>
    </xdr:to>
    <xdr:sp macro="" textlink="">
      <xdr:nvSpPr>
        <xdr:cNvPr id="26679" name="Texto 327">
          <a:extLst>
            <a:ext uri="{FF2B5EF4-FFF2-40B4-BE49-F238E27FC236}">
              <a16:creationId xmlns:a16="http://schemas.microsoft.com/office/drawing/2014/main" id="{0C04985A-B3E8-AAEE-35B2-7062C04E0931}"/>
            </a:ext>
          </a:extLst>
        </xdr:cNvPr>
        <xdr:cNvSpPr txBox="1">
          <a:spLocks noChangeArrowheads="1"/>
        </xdr:cNvSpPr>
      </xdr:nvSpPr>
      <xdr:spPr bwMode="auto">
        <a:xfrm>
          <a:off x="9020175" y="438150"/>
          <a:ext cx="1790700" cy="476250"/>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12</xdr:col>
      <xdr:colOff>300990</xdr:colOff>
      <xdr:row>0</xdr:row>
      <xdr:rowOff>142875</xdr:rowOff>
    </xdr:from>
    <xdr:to>
      <xdr:col>13</xdr:col>
      <xdr:colOff>253365</xdr:colOff>
      <xdr:row>1</xdr:row>
      <xdr:rowOff>139383</xdr:rowOff>
    </xdr:to>
    <xdr:sp macro="" textlink="">
      <xdr:nvSpPr>
        <xdr:cNvPr id="26680" name="Texto 327">
          <a:extLst>
            <a:ext uri="{FF2B5EF4-FFF2-40B4-BE49-F238E27FC236}">
              <a16:creationId xmlns:a16="http://schemas.microsoft.com/office/drawing/2014/main" id="{BEF6A145-2DC0-9B91-93EE-FAD633665A9F}"/>
            </a:ext>
          </a:extLst>
        </xdr:cNvPr>
        <xdr:cNvSpPr txBox="1">
          <a:spLocks noChangeArrowheads="1"/>
        </xdr:cNvSpPr>
      </xdr:nvSpPr>
      <xdr:spPr bwMode="auto">
        <a:xfrm>
          <a:off x="9925050" y="142875"/>
          <a:ext cx="714375" cy="161925"/>
        </a:xfrm>
        <a:prstGeom prst="rect">
          <a:avLst/>
        </a:prstGeom>
        <a:noFill/>
        <a:ln>
          <a:noFill/>
        </a:ln>
      </xdr:spPr>
      <xdr:txBody>
        <a:bodyPr vertOverflow="clip" wrap="square" lIns="0" tIns="18288" rIns="27432" bIns="0" anchor="t" upright="1"/>
        <a:lstStyle/>
        <a:p>
          <a:pPr algn="r"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1</xdr:col>
      <xdr:colOff>152400</xdr:colOff>
      <xdr:row>5</xdr:row>
      <xdr:rowOff>66675</xdr:rowOff>
    </xdr:to>
    <xdr:pic>
      <xdr:nvPicPr>
        <xdr:cNvPr id="1413135" name="Picture 52">
          <a:extLst>
            <a:ext uri="{FF2B5EF4-FFF2-40B4-BE49-F238E27FC236}">
              <a16:creationId xmlns:a16="http://schemas.microsoft.com/office/drawing/2014/main" id="{329264AB-FA0F-3CE3-D5C9-48019A70811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11426" t="16345" r="40158" b="20984"/>
        <a:stretch>
          <a:fillRect/>
        </a:stretch>
      </xdr:blipFill>
      <xdr:spPr bwMode="auto">
        <a:xfrm>
          <a:off x="0" y="0"/>
          <a:ext cx="11906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4</xdr:row>
          <xdr:rowOff>133350</xdr:rowOff>
        </xdr:from>
        <xdr:to>
          <xdr:col>4</xdr:col>
          <xdr:colOff>9525</xdr:colOff>
          <xdr:row>8</xdr:row>
          <xdr:rowOff>47625</xdr:rowOff>
        </xdr:to>
        <xdr:sp macro="" textlink="">
          <xdr:nvSpPr>
            <xdr:cNvPr id="1346561" name="Button 1" hidden="1">
              <a:extLst>
                <a:ext uri="{63B3BB69-23CF-44E3-9099-C40C66FF867C}">
                  <a14:compatExt spid="_x0000_s1346561"/>
                </a:ext>
                <a:ext uri="{FF2B5EF4-FFF2-40B4-BE49-F238E27FC236}">
                  <a16:creationId xmlns:a16="http://schemas.microsoft.com/office/drawing/2014/main" id="{00000000-0008-0000-1500-0000018C1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200" b="1" i="0" u="none" strike="noStrike" baseline="0">
                  <a:solidFill>
                    <a:srgbClr val="000000"/>
                  </a:solidFill>
                  <a:latin typeface="Aptos Narrow"/>
                </a:rPr>
                <a:t>2.-</a:t>
              </a:r>
              <a:r>
                <a:rPr lang="es-MX" sz="1100" b="0" i="0" u="none" strike="noStrike" baseline="0">
                  <a:solidFill>
                    <a:srgbClr val="000000"/>
                  </a:solidFill>
                  <a:latin typeface="Aptos Narrow"/>
                </a:rPr>
                <a:t> </a:t>
              </a:r>
              <a:r>
                <a:rPr lang="es-MX" sz="1200" b="1" i="0" u="none" strike="noStrike" baseline="0">
                  <a:solidFill>
                    <a:srgbClr val="000000"/>
                  </a:solidFill>
                  <a:latin typeface="Aptos Narrow"/>
                </a:rPr>
                <a:t>LONGITUD DE MUROS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0</xdr:rowOff>
        </xdr:from>
        <xdr:to>
          <xdr:col>3</xdr:col>
          <xdr:colOff>1552575</xdr:colOff>
          <xdr:row>4</xdr:row>
          <xdr:rowOff>95250</xdr:rowOff>
        </xdr:to>
        <xdr:sp macro="" textlink="">
          <xdr:nvSpPr>
            <xdr:cNvPr id="1346562" name="Button 2" hidden="1">
              <a:extLst>
                <a:ext uri="{63B3BB69-23CF-44E3-9099-C40C66FF867C}">
                  <a14:compatExt spid="_x0000_s1346562"/>
                </a:ext>
                <a:ext uri="{FF2B5EF4-FFF2-40B4-BE49-F238E27FC236}">
                  <a16:creationId xmlns:a16="http://schemas.microsoft.com/office/drawing/2014/main" id="{00000000-0008-0000-1500-0000028C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ea typeface="Calibri"/>
                  <a:cs typeface="Calibri"/>
                </a:rPr>
                <a:t>1.- ASIGNAR PIER LABELS EN ETABS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8</xdr:row>
          <xdr:rowOff>66675</xdr:rowOff>
        </xdr:from>
        <xdr:to>
          <xdr:col>4</xdr:col>
          <xdr:colOff>0</xdr:colOff>
          <xdr:row>13</xdr:row>
          <xdr:rowOff>95250</xdr:rowOff>
        </xdr:to>
        <xdr:sp macro="" textlink="">
          <xdr:nvSpPr>
            <xdr:cNvPr id="1346563" name="Button 3" hidden="1">
              <a:extLst>
                <a:ext uri="{63B3BB69-23CF-44E3-9099-C40C66FF867C}">
                  <a14:compatExt spid="_x0000_s1346563"/>
                </a:ext>
                <a:ext uri="{FF2B5EF4-FFF2-40B4-BE49-F238E27FC236}">
                  <a16:creationId xmlns:a16="http://schemas.microsoft.com/office/drawing/2014/main" id="{00000000-0008-0000-1500-0000038C1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200" b="1" i="0" u="none" strike="noStrike" baseline="0">
                  <a:solidFill>
                    <a:srgbClr val="000000"/>
                  </a:solidFill>
                  <a:latin typeface="Aptos Narrow"/>
                </a:rPr>
                <a:t>3.1.- ELEMENTOS MECÁNICOS (GRUPO B)</a:t>
              </a:r>
            </a:p>
            <a:p>
              <a:pPr algn="ctr" rtl="0">
                <a:defRPr sz="1000"/>
              </a:pPr>
              <a:r>
                <a:rPr lang="es-MX" sz="1200" b="1" i="0" u="none" strike="noStrike" baseline="0">
                  <a:solidFill>
                    <a:srgbClr val="000000"/>
                  </a:solidFill>
                  <a:latin typeface="Aptos Narrow"/>
                </a:rPr>
                <a:t>DINAMICO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13</xdr:row>
          <xdr:rowOff>133350</xdr:rowOff>
        </xdr:from>
        <xdr:to>
          <xdr:col>4</xdr:col>
          <xdr:colOff>0</xdr:colOff>
          <xdr:row>18</xdr:row>
          <xdr:rowOff>114300</xdr:rowOff>
        </xdr:to>
        <xdr:sp macro="" textlink="">
          <xdr:nvSpPr>
            <xdr:cNvPr id="1346564" name="Button 4" hidden="1">
              <a:extLst>
                <a:ext uri="{63B3BB69-23CF-44E3-9099-C40C66FF867C}">
                  <a14:compatExt spid="_x0000_s1346564"/>
                </a:ext>
                <a:ext uri="{FF2B5EF4-FFF2-40B4-BE49-F238E27FC236}">
                  <a16:creationId xmlns:a16="http://schemas.microsoft.com/office/drawing/2014/main" id="{00000000-0008-0000-1500-0000048C1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200" b="1" i="0" u="none" strike="noStrike" baseline="0">
                  <a:solidFill>
                    <a:srgbClr val="000000"/>
                  </a:solidFill>
                  <a:latin typeface="Aptos Narrow"/>
                </a:rPr>
                <a:t>3.2.- ELEMENTOS MECÁNICOS (GRUPO A) DINAMICO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1571625</xdr:colOff>
          <xdr:row>18</xdr:row>
          <xdr:rowOff>142875</xdr:rowOff>
        </xdr:from>
        <xdr:to>
          <xdr:col>4</xdr:col>
          <xdr:colOff>0</xdr:colOff>
          <xdr:row>24</xdr:row>
          <xdr:rowOff>9525</xdr:rowOff>
        </xdr:to>
        <xdr:sp macro="" textlink="">
          <xdr:nvSpPr>
            <xdr:cNvPr id="1346565" name="Button 5" hidden="1">
              <a:extLst>
                <a:ext uri="{63B3BB69-23CF-44E3-9099-C40C66FF867C}">
                  <a14:compatExt spid="_x0000_s1346565"/>
                </a:ext>
                <a:ext uri="{FF2B5EF4-FFF2-40B4-BE49-F238E27FC236}">
                  <a16:creationId xmlns:a16="http://schemas.microsoft.com/office/drawing/2014/main" id="{00000000-0008-0000-1500-0000058C1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200" b="1" i="0" u="none" strike="noStrike" baseline="0">
                  <a:solidFill>
                    <a:srgbClr val="000000"/>
                  </a:solidFill>
                  <a:latin typeface="Aptos Narrow"/>
                </a:rPr>
                <a:t>3.3.- ELEMENTOS MECÁNICOS (GRUPO B)</a:t>
              </a:r>
            </a:p>
            <a:p>
              <a:pPr algn="ctr" rtl="0">
                <a:defRPr sz="1000"/>
              </a:pPr>
              <a:r>
                <a:rPr lang="es-MX" sz="1200" b="1" i="0" u="none" strike="noStrike" baseline="0">
                  <a:solidFill>
                    <a:srgbClr val="000000"/>
                  </a:solidFill>
                  <a:latin typeface="Aptos Narrow"/>
                </a:rPr>
                <a:t>ESTATICO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1562100</xdr:colOff>
          <xdr:row>24</xdr:row>
          <xdr:rowOff>28575</xdr:rowOff>
        </xdr:from>
        <xdr:to>
          <xdr:col>4</xdr:col>
          <xdr:colOff>0</xdr:colOff>
          <xdr:row>29</xdr:row>
          <xdr:rowOff>66675</xdr:rowOff>
        </xdr:to>
        <xdr:sp macro="" textlink="">
          <xdr:nvSpPr>
            <xdr:cNvPr id="1346566" name="Button 6" hidden="1">
              <a:extLst>
                <a:ext uri="{63B3BB69-23CF-44E3-9099-C40C66FF867C}">
                  <a14:compatExt spid="_x0000_s1346566"/>
                </a:ext>
                <a:ext uri="{FF2B5EF4-FFF2-40B4-BE49-F238E27FC236}">
                  <a16:creationId xmlns:a16="http://schemas.microsoft.com/office/drawing/2014/main" id="{00000000-0008-0000-1500-0000068C1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200" b="1" i="0" u="none" strike="noStrike" baseline="0">
                  <a:solidFill>
                    <a:srgbClr val="000000"/>
                  </a:solidFill>
                  <a:latin typeface="Aptos Narrow"/>
                </a:rPr>
                <a:t>3.4.- ELEMENTOS MECÁNICOS (GRUPO A)</a:t>
              </a:r>
            </a:p>
            <a:p>
              <a:pPr algn="ctr" rtl="0">
                <a:defRPr sz="1000"/>
              </a:pPr>
              <a:r>
                <a:rPr lang="es-MX" sz="1200" b="1" i="0" u="none" strike="noStrike" baseline="0">
                  <a:solidFill>
                    <a:srgbClr val="000000"/>
                  </a:solidFill>
                  <a:latin typeface="Aptos Narrow"/>
                </a:rPr>
                <a:t>ESTATICO</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0</xdr:col>
      <xdr:colOff>0</xdr:colOff>
      <xdr:row>5</xdr:row>
      <xdr:rowOff>123825</xdr:rowOff>
    </xdr:from>
    <xdr:to>
      <xdr:col>15</xdr:col>
      <xdr:colOff>714375</xdr:colOff>
      <xdr:row>5</xdr:row>
      <xdr:rowOff>123825</xdr:rowOff>
    </xdr:to>
    <xdr:sp macro="" textlink="">
      <xdr:nvSpPr>
        <xdr:cNvPr id="1388942" name="Line 9">
          <a:extLst>
            <a:ext uri="{FF2B5EF4-FFF2-40B4-BE49-F238E27FC236}">
              <a16:creationId xmlns:a16="http://schemas.microsoft.com/office/drawing/2014/main" id="{0A95E917-3ACF-F040-54D2-0628CC678F58}"/>
            </a:ext>
          </a:extLst>
        </xdr:cNvPr>
        <xdr:cNvSpPr>
          <a:spLocks noChangeShapeType="1"/>
        </xdr:cNvSpPr>
      </xdr:nvSpPr>
      <xdr:spPr bwMode="auto">
        <a:xfrm>
          <a:off x="0" y="933450"/>
          <a:ext cx="114109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312420</xdr:colOff>
      <xdr:row>1</xdr:row>
      <xdr:rowOff>74295</xdr:rowOff>
    </xdr:from>
    <xdr:to>
      <xdr:col>16</xdr:col>
      <xdr:colOff>93436</xdr:colOff>
      <xdr:row>2</xdr:row>
      <xdr:rowOff>160020</xdr:rowOff>
    </xdr:to>
    <xdr:sp macro="" textlink="">
      <xdr:nvSpPr>
        <xdr:cNvPr id="40970" name="Texto 327">
          <a:extLst>
            <a:ext uri="{FF2B5EF4-FFF2-40B4-BE49-F238E27FC236}">
              <a16:creationId xmlns:a16="http://schemas.microsoft.com/office/drawing/2014/main" id="{A8C917BE-5D8F-5702-9207-88753B7874C0}"/>
            </a:ext>
          </a:extLst>
        </xdr:cNvPr>
        <xdr:cNvSpPr txBox="1">
          <a:spLocks noChangeArrowheads="1"/>
        </xdr:cNvSpPr>
      </xdr:nvSpPr>
      <xdr:spPr bwMode="auto">
        <a:xfrm>
          <a:off x="6715125" y="228600"/>
          <a:ext cx="4924425" cy="247650"/>
        </a:xfrm>
        <a:prstGeom prst="rect">
          <a:avLst/>
        </a:prstGeom>
        <a:noFill/>
        <a:ln>
          <a:noFill/>
        </a:ln>
      </xdr:spPr>
      <xdr:txBody>
        <a:bodyPr vertOverflow="clip" wrap="square" lIns="36576" tIns="27432" rIns="0" bIns="0" anchor="t" upright="1"/>
        <a:lstStyle/>
        <a:p>
          <a:pPr algn="l" rtl="0">
            <a:defRPr sz="1000"/>
          </a:pPr>
          <a:r>
            <a:rPr lang="es-MX" sz="1200" b="1" i="0" u="none" strike="noStrike" baseline="0">
              <a:solidFill>
                <a:srgbClr val="333399"/>
              </a:solidFill>
              <a:latin typeface="Arial"/>
              <a:cs typeface="Arial"/>
            </a:rPr>
            <a:t>GRUPO INTEGRAL DE PROYECTOS Y CONSTRUCCIONES</a:t>
          </a:r>
        </a:p>
      </xdr:txBody>
    </xdr:sp>
    <xdr:clientData/>
  </xdr:twoCellAnchor>
  <xdr:twoCellAnchor>
    <xdr:from>
      <xdr:col>10</xdr:col>
      <xdr:colOff>160020</xdr:colOff>
      <xdr:row>2</xdr:row>
      <xdr:rowOff>104775</xdr:rowOff>
    </xdr:from>
    <xdr:to>
      <xdr:col>11</xdr:col>
      <xdr:colOff>531901</xdr:colOff>
      <xdr:row>4</xdr:row>
      <xdr:rowOff>47625</xdr:rowOff>
    </xdr:to>
    <xdr:sp macro="" textlink="">
      <xdr:nvSpPr>
        <xdr:cNvPr id="40971" name="Texto 327">
          <a:extLst>
            <a:ext uri="{FF2B5EF4-FFF2-40B4-BE49-F238E27FC236}">
              <a16:creationId xmlns:a16="http://schemas.microsoft.com/office/drawing/2014/main" id="{F186902C-A570-AF6B-6432-0A2D6C002553}"/>
            </a:ext>
          </a:extLst>
        </xdr:cNvPr>
        <xdr:cNvSpPr txBox="1">
          <a:spLocks noChangeArrowheads="1"/>
        </xdr:cNvSpPr>
      </xdr:nvSpPr>
      <xdr:spPr bwMode="auto">
        <a:xfrm>
          <a:off x="6562725" y="428625"/>
          <a:ext cx="1323975" cy="266700"/>
        </a:xfrm>
        <a:prstGeom prst="rect">
          <a:avLst/>
        </a:prstGeom>
        <a:noFill/>
        <a:ln>
          <a:noFill/>
        </a:ln>
      </xdr:spPr>
      <xdr:txBody>
        <a:bodyPr vertOverflow="clip" wrap="square" lIns="18288" tIns="18288" rIns="18288" bIns="0" anchor="t" upright="1"/>
        <a:lstStyle/>
        <a:p>
          <a:pPr algn="ctr" rtl="0">
            <a:defRPr sz="1000"/>
          </a:pPr>
          <a:r>
            <a:rPr lang="es-MX" sz="600" b="0" i="0" u="none" strike="noStrike" baseline="0">
              <a:solidFill>
                <a:srgbClr val="333399"/>
              </a:solidFill>
              <a:latin typeface="Arial"/>
              <a:cs typeface="Arial"/>
            </a:rPr>
            <a:t>ROLANDO ORTIZ RAMOS </a:t>
          </a:r>
          <a:endParaRPr lang="es-MX" sz="800" b="0" i="0" u="none" strike="noStrike" baseline="0">
            <a:solidFill>
              <a:srgbClr val="333399"/>
            </a:solidFill>
            <a:latin typeface="Arial"/>
            <a:cs typeface="Arial"/>
          </a:endParaRPr>
        </a:p>
        <a:p>
          <a:pPr algn="ctr" rtl="0">
            <a:defRPr sz="1000"/>
          </a:pPr>
          <a:r>
            <a:rPr lang="es-MX" sz="600" b="0" i="0" u="none" strike="noStrike" baseline="0">
              <a:solidFill>
                <a:srgbClr val="333399"/>
              </a:solidFill>
              <a:latin typeface="Arial"/>
              <a:cs typeface="Arial"/>
            </a:rPr>
            <a:t>INGENIERO CIVIL</a:t>
          </a:r>
        </a:p>
      </xdr:txBody>
    </xdr:sp>
    <xdr:clientData/>
  </xdr:twoCellAnchor>
  <xdr:twoCellAnchor>
    <xdr:from>
      <xdr:col>13</xdr:col>
      <xdr:colOff>723900</xdr:colOff>
      <xdr:row>2</xdr:row>
      <xdr:rowOff>95250</xdr:rowOff>
    </xdr:from>
    <xdr:to>
      <xdr:col>16</xdr:col>
      <xdr:colOff>268555</xdr:colOff>
      <xdr:row>5</xdr:row>
      <xdr:rowOff>76383</xdr:rowOff>
    </xdr:to>
    <xdr:sp macro="" textlink="">
      <xdr:nvSpPr>
        <xdr:cNvPr id="40972" name="Texto 327">
          <a:extLst>
            <a:ext uri="{FF2B5EF4-FFF2-40B4-BE49-F238E27FC236}">
              <a16:creationId xmlns:a16="http://schemas.microsoft.com/office/drawing/2014/main" id="{8DF63F5B-EB09-B9E4-449C-86CF619A2DD0}"/>
            </a:ext>
          </a:extLst>
        </xdr:cNvPr>
        <xdr:cNvSpPr txBox="1">
          <a:spLocks noChangeArrowheads="1"/>
        </xdr:cNvSpPr>
      </xdr:nvSpPr>
      <xdr:spPr bwMode="auto">
        <a:xfrm>
          <a:off x="9744075" y="409575"/>
          <a:ext cx="2057400" cy="476250"/>
        </a:xfrm>
        <a:prstGeom prst="rect">
          <a:avLst/>
        </a:prstGeom>
        <a:noFill/>
        <a:ln>
          <a:noFill/>
        </a:ln>
      </xdr:spPr>
      <xdr:txBody>
        <a:bodyPr vertOverflow="clip" wrap="square" lIns="27432" tIns="18288" rIns="0" bIns="0" anchor="t" upright="1"/>
        <a:lstStyle/>
        <a:p>
          <a:pPr algn="l" rtl="0">
            <a:defRPr sz="1000"/>
          </a:pPr>
          <a:r>
            <a:rPr lang="es-MX" sz="800" b="0" i="0" u="none" strike="noStrike" baseline="0">
              <a:solidFill>
                <a:srgbClr val="000000"/>
              </a:solidFill>
              <a:latin typeface="Arial"/>
              <a:cs typeface="Arial"/>
            </a:rPr>
            <a:t> 1a. PRIV. 13 DE SEPT. No. 107</a:t>
          </a:r>
        </a:p>
        <a:p>
          <a:pPr algn="l" rtl="0">
            <a:defRPr sz="1000"/>
          </a:pPr>
          <a:r>
            <a:rPr lang="es-MX" sz="800" b="0" i="0" u="none" strike="noStrike" baseline="0">
              <a:solidFill>
                <a:srgbClr val="000000"/>
              </a:solidFill>
              <a:latin typeface="Arial"/>
              <a:cs typeface="Arial"/>
            </a:rPr>
            <a:t> COL.VICENTE SUAREZ </a:t>
          </a:r>
        </a:p>
        <a:p>
          <a:pPr algn="l" rtl="0">
            <a:defRPr sz="1000"/>
          </a:pPr>
          <a:r>
            <a:rPr lang="es-MX" sz="800" b="0" i="0" u="none" strike="noStrike" baseline="0">
              <a:solidFill>
                <a:srgbClr val="000000"/>
              </a:solidFill>
              <a:latin typeface="Arial"/>
              <a:cs typeface="Arial"/>
            </a:rPr>
            <a:t> C.P. 68030, OAXACA OAX</a:t>
          </a:r>
        </a:p>
      </xdr:txBody>
    </xdr:sp>
    <xdr:clientData/>
  </xdr:twoCellAnchor>
  <xdr:twoCellAnchor>
    <xdr:from>
      <xdr:col>14</xdr:col>
      <xdr:colOff>13335</xdr:colOff>
      <xdr:row>0</xdr:row>
      <xdr:rowOff>76200</xdr:rowOff>
    </xdr:from>
    <xdr:to>
      <xdr:col>15</xdr:col>
      <xdr:colOff>772106</xdr:colOff>
      <xdr:row>1</xdr:row>
      <xdr:rowOff>110488</xdr:rowOff>
    </xdr:to>
    <xdr:sp macro="" textlink="">
      <xdr:nvSpPr>
        <xdr:cNvPr id="40973" name="Texto 327">
          <a:extLst>
            <a:ext uri="{FF2B5EF4-FFF2-40B4-BE49-F238E27FC236}">
              <a16:creationId xmlns:a16="http://schemas.microsoft.com/office/drawing/2014/main" id="{36C3286F-AC1B-F5B1-6F78-A66CFAFA9EF6}"/>
            </a:ext>
          </a:extLst>
        </xdr:cNvPr>
        <xdr:cNvSpPr txBox="1">
          <a:spLocks noChangeArrowheads="1"/>
        </xdr:cNvSpPr>
      </xdr:nvSpPr>
      <xdr:spPr bwMode="auto">
        <a:xfrm>
          <a:off x="9886950" y="76200"/>
          <a:ext cx="1581150" cy="190500"/>
        </a:xfrm>
        <a:prstGeom prst="rect">
          <a:avLst/>
        </a:prstGeom>
        <a:noFill/>
        <a:ln>
          <a:noFill/>
        </a:ln>
      </xdr:spPr>
      <xdr:txBody>
        <a:bodyPr vertOverflow="clip" wrap="square" lIns="0" tIns="18288" rIns="27432" bIns="0" anchor="t" upright="1"/>
        <a:lstStyle/>
        <a:p>
          <a:pPr algn="r" rtl="0">
            <a:defRPr sz="1000"/>
          </a:pPr>
          <a:r>
            <a:rPr lang="es-MX" sz="800" b="0" i="0" u="none" strike="noStrike" baseline="0">
              <a:solidFill>
                <a:srgbClr val="000000"/>
              </a:solidFill>
              <a:latin typeface="Arial"/>
              <a:cs typeface="Arial"/>
            </a:rPr>
            <a:t>REALIZA:</a:t>
          </a:r>
        </a:p>
      </xdr:txBody>
    </xdr:sp>
    <xdr:clientData/>
  </xdr:twoCellAnchor>
  <xdr:twoCellAnchor editAs="oneCell">
    <xdr:from>
      <xdr:col>0</xdr:col>
      <xdr:colOff>0</xdr:colOff>
      <xdr:row>0</xdr:row>
      <xdr:rowOff>0</xdr:rowOff>
    </xdr:from>
    <xdr:to>
      <xdr:col>2</xdr:col>
      <xdr:colOff>19050</xdr:colOff>
      <xdr:row>5</xdr:row>
      <xdr:rowOff>47625</xdr:rowOff>
    </xdr:to>
    <xdr:pic>
      <xdr:nvPicPr>
        <xdr:cNvPr id="1388947" name="Picture 52">
          <a:extLst>
            <a:ext uri="{FF2B5EF4-FFF2-40B4-BE49-F238E27FC236}">
              <a16:creationId xmlns:a16="http://schemas.microsoft.com/office/drawing/2014/main" id="{1D03A3BB-E3E4-26DA-57A5-0A2A751AF0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426" t="16345" r="40158" b="20984"/>
        <a:stretch>
          <a:fillRect/>
        </a:stretch>
      </xdr:blipFill>
      <xdr:spPr bwMode="auto">
        <a:xfrm>
          <a:off x="0" y="0"/>
          <a:ext cx="11906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omments" Target="../comments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omments" Target="../comments17.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8.vml"/><Relationship Id="rId7" Type="http://schemas.openxmlformats.org/officeDocument/2006/relationships/ctrlProp" Target="../ctrlProps/ctrlProp4.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2.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7F4BA-6F88-4015-8393-01A17704B5CA}">
  <sheetPr codeName="Hoja1">
    <tabColor theme="5" tint="0.39997558519241921"/>
  </sheetPr>
  <dimension ref="A1:O130"/>
  <sheetViews>
    <sheetView showGridLines="0" zoomScale="85" zoomScaleNormal="85" workbookViewId="0">
      <selection activeCell="A13" sqref="A13:F85"/>
    </sheetView>
  </sheetViews>
  <sheetFormatPr baseColWidth="10" defaultColWidth="11" defaultRowHeight="15"/>
  <cols>
    <col min="1" max="1" width="7.625" style="4" customWidth="1"/>
    <col min="2" max="2" width="11" style="4" customWidth="1"/>
    <col min="3" max="3" width="9.5" style="4" customWidth="1"/>
    <col min="4" max="4" width="17.5" style="4" customWidth="1"/>
    <col min="5" max="5" width="17.375" style="4" customWidth="1"/>
    <col min="6" max="6" width="10.375" style="4" customWidth="1"/>
    <col min="7" max="11" width="11" style="4"/>
    <col min="12" max="13" width="0" style="4" hidden="1" customWidth="1"/>
    <col min="14" max="16384" width="11" style="4"/>
  </cols>
  <sheetData>
    <row r="1" spans="1:15" customFormat="1" ht="12.75">
      <c r="A1" s="518"/>
      <c r="B1" s="518"/>
      <c r="C1" s="518"/>
      <c r="D1" s="518"/>
      <c r="E1" s="518"/>
    </row>
    <row r="2" spans="1:15" customFormat="1" ht="12.75">
      <c r="A2" s="518"/>
      <c r="B2" s="518"/>
      <c r="C2" s="518"/>
      <c r="D2" s="518"/>
      <c r="E2" s="518"/>
    </row>
    <row r="3" spans="1:15" customFormat="1" ht="12.75">
      <c r="A3" s="518"/>
      <c r="B3" s="518"/>
      <c r="C3" s="518"/>
      <c r="D3" s="518"/>
      <c r="E3" s="518"/>
    </row>
    <row r="4" spans="1:15" customFormat="1" ht="12.75">
      <c r="A4" s="518"/>
      <c r="B4" s="518"/>
      <c r="C4" s="518"/>
      <c r="D4" s="518"/>
      <c r="E4" s="518"/>
    </row>
    <row r="5" spans="1:15" customFormat="1" ht="12.75">
      <c r="A5" s="518"/>
      <c r="B5" s="518"/>
      <c r="C5" s="518"/>
      <c r="D5" s="518"/>
      <c r="E5" s="518"/>
    </row>
    <row r="6" spans="1:15" customFormat="1" ht="12.75">
      <c r="A6" s="518"/>
      <c r="B6" s="518"/>
      <c r="C6" s="518"/>
      <c r="D6" s="518"/>
      <c r="E6" s="518"/>
    </row>
    <row r="7" spans="1:15">
      <c r="A7" s="519" t="s">
        <v>404</v>
      </c>
    </row>
    <row r="8" spans="1:15">
      <c r="A8" s="519" t="s">
        <v>509</v>
      </c>
    </row>
    <row r="9" spans="1:15">
      <c r="A9" s="519" t="s">
        <v>459</v>
      </c>
    </row>
    <row r="10" spans="1:15" hidden="1"/>
    <row r="11" spans="1:15" ht="15.75" hidden="1">
      <c r="A11" s="21" t="s">
        <v>271</v>
      </c>
    </row>
    <row r="12" spans="1:15" ht="15.75" thickBot="1"/>
    <row r="13" spans="1:15" ht="15.75">
      <c r="A13" s="15"/>
      <c r="B13" s="16"/>
      <c r="C13" s="16"/>
      <c r="D13" s="16"/>
      <c r="E13" s="14"/>
      <c r="F13" s="65"/>
    </row>
    <row r="14" spans="1:15" ht="15.75" customHeight="1">
      <c r="A14" s="1115" t="s">
        <v>215</v>
      </c>
      <c r="B14" s="1116"/>
      <c r="C14" s="1116"/>
      <c r="D14" s="1116"/>
      <c r="E14" s="1116"/>
      <c r="F14" s="1117"/>
    </row>
    <row r="15" spans="1:15" ht="15.75" customHeight="1">
      <c r="A15" s="1118" t="s">
        <v>214</v>
      </c>
      <c r="B15" s="1119"/>
      <c r="C15" s="1119"/>
      <c r="D15" s="1119"/>
      <c r="E15" s="1119"/>
      <c r="F15" s="1120"/>
    </row>
    <row r="16" spans="1:15" ht="16.5" thickBot="1">
      <c r="A16" s="136"/>
      <c r="B16" s="18"/>
      <c r="C16" s="18"/>
      <c r="D16" s="18"/>
      <c r="E16" s="19"/>
      <c r="F16" s="66"/>
      <c r="G16"/>
      <c r="H16"/>
      <c r="I16"/>
      <c r="J16"/>
      <c r="K16"/>
      <c r="L16"/>
      <c r="M16"/>
      <c r="N16"/>
      <c r="O16"/>
    </row>
    <row r="17" spans="1:15" ht="15.75">
      <c r="A17" s="646"/>
      <c r="B17" s="9"/>
      <c r="C17" s="9"/>
      <c r="D17" s="9"/>
      <c r="F17" s="210"/>
      <c r="G17"/>
      <c r="H17"/>
      <c r="I17"/>
      <c r="J17"/>
      <c r="K17"/>
      <c r="L17"/>
      <c r="M17"/>
      <c r="N17"/>
      <c r="O17"/>
    </row>
    <row r="18" spans="1:15" ht="15.75" hidden="1">
      <c r="A18" s="588" t="s">
        <v>91</v>
      </c>
      <c r="B18" s="26" t="s">
        <v>92</v>
      </c>
      <c r="C18" s="26" t="s">
        <v>93</v>
      </c>
      <c r="D18" s="26" t="s">
        <v>100</v>
      </c>
      <c r="E18" s="26" t="s">
        <v>101</v>
      </c>
      <c r="F18" s="589" t="s">
        <v>102</v>
      </c>
      <c r="G18"/>
      <c r="H18"/>
      <c r="I18"/>
      <c r="J18"/>
      <c r="K18"/>
      <c r="L18"/>
      <c r="M18"/>
      <c r="N18"/>
      <c r="O18"/>
    </row>
    <row r="19" spans="1:15" ht="15.75">
      <c r="A19" s="647"/>
      <c r="B19" s="648"/>
      <c r="C19" s="648"/>
      <c r="F19" s="210"/>
      <c r="G19"/>
      <c r="H19"/>
      <c r="I19"/>
      <c r="J19"/>
      <c r="K19"/>
      <c r="L19"/>
      <c r="M19"/>
      <c r="N19"/>
      <c r="O19"/>
    </row>
    <row r="20" spans="1:15" ht="15.75">
      <c r="A20" s="745"/>
      <c r="B20" s="103"/>
      <c r="C20" s="46"/>
      <c r="D20" s="1112" t="s">
        <v>275</v>
      </c>
      <c r="E20" s="1113"/>
      <c r="F20" s="1114"/>
      <c r="G20"/>
      <c r="H20"/>
      <c r="I20"/>
      <c r="J20"/>
      <c r="K20"/>
      <c r="L20"/>
      <c r="M20"/>
      <c r="N20"/>
      <c r="O20"/>
    </row>
    <row r="21" spans="1:15" ht="15.75">
      <c r="A21" s="650" t="s">
        <v>4</v>
      </c>
      <c r="B21" s="52" t="s">
        <v>109</v>
      </c>
      <c r="C21" s="39" t="s">
        <v>6</v>
      </c>
      <c r="D21" s="22"/>
      <c r="E21" s="573" t="s">
        <v>185</v>
      </c>
      <c r="F21" s="746"/>
      <c r="G21"/>
      <c r="H21"/>
      <c r="I21"/>
      <c r="J21"/>
      <c r="K21"/>
      <c r="L21"/>
      <c r="M21"/>
      <c r="N21"/>
      <c r="O21"/>
    </row>
    <row r="22" spans="1:15" ht="15.75">
      <c r="A22" s="650"/>
      <c r="B22" s="52"/>
      <c r="C22" s="39"/>
      <c r="D22" s="25"/>
      <c r="E22" s="532" t="s">
        <v>184</v>
      </c>
      <c r="F22" s="685"/>
      <c r="G22"/>
      <c r="H22"/>
      <c r="I22"/>
      <c r="J22"/>
      <c r="K22"/>
      <c r="L22"/>
      <c r="M22"/>
      <c r="N22"/>
      <c r="O22"/>
    </row>
    <row r="23" spans="1:15" ht="15.75" hidden="1">
      <c r="A23" s="650"/>
      <c r="B23" s="52"/>
      <c r="C23" s="39"/>
      <c r="D23" s="25"/>
      <c r="E23" s="532"/>
      <c r="F23" s="685"/>
      <c r="G23"/>
      <c r="H23"/>
      <c r="I23"/>
      <c r="J23"/>
      <c r="K23"/>
      <c r="L23"/>
      <c r="M23"/>
      <c r="N23"/>
      <c r="O23"/>
    </row>
    <row r="24" spans="1:15" ht="15.75">
      <c r="A24" s="650"/>
      <c r="B24" s="52"/>
      <c r="C24" s="39"/>
      <c r="D24" s="25"/>
      <c r="E24" s="532" t="s">
        <v>186</v>
      </c>
      <c r="F24" s="685"/>
      <c r="G24"/>
      <c r="H24"/>
      <c r="I24"/>
      <c r="J24"/>
      <c r="K24"/>
      <c r="L24"/>
      <c r="M24"/>
      <c r="N24"/>
      <c r="O24"/>
    </row>
    <row r="25" spans="1:15" ht="15.75">
      <c r="A25" s="650"/>
      <c r="B25" s="52" t="s">
        <v>125</v>
      </c>
      <c r="C25" s="39" t="s">
        <v>125</v>
      </c>
      <c r="D25" s="25" t="s">
        <v>198</v>
      </c>
      <c r="E25" s="532" t="s">
        <v>405</v>
      </c>
      <c r="F25" s="589" t="s">
        <v>191</v>
      </c>
      <c r="G25"/>
      <c r="H25"/>
      <c r="I25"/>
      <c r="J25"/>
      <c r="K25"/>
      <c r="L25"/>
      <c r="M25"/>
      <c r="N25"/>
      <c r="O25"/>
    </row>
    <row r="26" spans="1:15" ht="15.75">
      <c r="A26" s="650"/>
      <c r="B26" s="52"/>
      <c r="C26" s="39"/>
      <c r="D26" s="25" t="s">
        <v>130</v>
      </c>
      <c r="E26" s="532" t="s">
        <v>406</v>
      </c>
      <c r="F26" s="589"/>
      <c r="G26"/>
      <c r="H26"/>
      <c r="I26"/>
      <c r="J26"/>
      <c r="K26"/>
      <c r="L26"/>
      <c r="M26"/>
      <c r="N26"/>
      <c r="O26"/>
    </row>
    <row r="27" spans="1:15" ht="15.75">
      <c r="A27" s="747" t="s">
        <v>328</v>
      </c>
      <c r="B27" s="56"/>
      <c r="C27" s="47"/>
      <c r="D27" s="28"/>
      <c r="E27" s="532" t="s">
        <v>457</v>
      </c>
      <c r="F27" s="681" t="s">
        <v>188</v>
      </c>
      <c r="G27"/>
      <c r="H27"/>
      <c r="I27"/>
      <c r="J27"/>
      <c r="K27"/>
      <c r="L27"/>
      <c r="M27"/>
      <c r="N27"/>
      <c r="O27"/>
    </row>
    <row r="28" spans="1:15">
      <c r="A28" s="655"/>
      <c r="B28" s="27"/>
      <c r="C28" s="27"/>
      <c r="D28" s="27"/>
      <c r="E28" s="48"/>
      <c r="F28" s="656"/>
      <c r="G28"/>
      <c r="H28"/>
      <c r="I28"/>
      <c r="J28"/>
      <c r="K28"/>
      <c r="L28"/>
      <c r="M28"/>
      <c r="N28"/>
      <c r="O28"/>
    </row>
    <row r="29" spans="1:15" ht="15.75">
      <c r="A29" s="657" t="s">
        <v>87</v>
      </c>
      <c r="B29" s="27"/>
      <c r="C29" s="27"/>
      <c r="D29" s="27"/>
      <c r="E29" s="48"/>
      <c r="F29" s="656"/>
      <c r="I29"/>
      <c r="J29"/>
      <c r="K29"/>
      <c r="L29">
        <v>1</v>
      </c>
      <c r="M29" t="s">
        <v>363</v>
      </c>
      <c r="N29"/>
      <c r="O29"/>
    </row>
    <row r="30" spans="1:15">
      <c r="A30" s="658">
        <v>1</v>
      </c>
      <c r="B30" s="53">
        <f>'LONGITUD DE MUROS'!B2</f>
        <v>2.800000011160714</v>
      </c>
      <c r="C30" s="53">
        <f>'LONGITUD DE MUROS'!C2</f>
        <v>2.8</v>
      </c>
      <c r="D30" s="68" t="s">
        <v>130</v>
      </c>
      <c r="E30" s="306" t="str">
        <f>'ELEM. MECA.'!I6</f>
        <v>TABICON</v>
      </c>
      <c r="F30" s="659" t="s">
        <v>191</v>
      </c>
      <c r="I30"/>
      <c r="J30"/>
      <c r="K30"/>
      <c r="L30">
        <v>2</v>
      </c>
      <c r="M30" t="s">
        <v>363</v>
      </c>
      <c r="N30"/>
      <c r="O30"/>
    </row>
    <row r="31" spans="1:15">
      <c r="A31" s="658">
        <v>2</v>
      </c>
      <c r="B31" s="53">
        <f>'LONGITUD DE MUROS'!B3</f>
        <v>2.8000000111607148</v>
      </c>
      <c r="C31" s="53">
        <f>'LONGITUD DE MUROS'!C3</f>
        <v>2.8</v>
      </c>
      <c r="D31" s="68" t="s">
        <v>130</v>
      </c>
      <c r="E31" s="306" t="str">
        <f>'ELEM. MECA.'!I7</f>
        <v>CONCRETO</v>
      </c>
      <c r="F31" s="659" t="s">
        <v>191</v>
      </c>
      <c r="I31"/>
      <c r="J31"/>
      <c r="K31"/>
      <c r="L31">
        <v>3</v>
      </c>
      <c r="M31" t="s">
        <v>0</v>
      </c>
      <c r="N31"/>
      <c r="O31"/>
    </row>
    <row r="32" spans="1:15">
      <c r="A32" s="658">
        <v>3</v>
      </c>
      <c r="B32" s="53">
        <f>'LONGITUD DE MUROS'!B4</f>
        <v>2.4250000000000007</v>
      </c>
      <c r="C32" s="53">
        <f>'LONGITUD DE MUROS'!C4</f>
        <v>2.8</v>
      </c>
      <c r="D32" s="68" t="s">
        <v>130</v>
      </c>
      <c r="E32" s="306" t="str">
        <f>'ELEM. MECA.'!I8</f>
        <v>CONCRETO</v>
      </c>
      <c r="F32" s="659" t="s">
        <v>191</v>
      </c>
      <c r="I32"/>
      <c r="J32"/>
      <c r="K32"/>
      <c r="L32">
        <v>2</v>
      </c>
      <c r="M32" t="s">
        <v>363</v>
      </c>
      <c r="N32"/>
      <c r="O32"/>
    </row>
    <row r="33" spans="1:15">
      <c r="A33" s="658">
        <v>4</v>
      </c>
      <c r="B33" s="53">
        <f>'LONGITUD DE MUROS'!B5</f>
        <v>2.75</v>
      </c>
      <c r="C33" s="53">
        <f>'LONGITUD DE MUROS'!C5</f>
        <v>2.8</v>
      </c>
      <c r="D33" s="68" t="s">
        <v>130</v>
      </c>
      <c r="E33" s="306" t="str">
        <f>'ELEM. MECA.'!I9</f>
        <v>CONCRETO</v>
      </c>
      <c r="F33" s="659" t="s">
        <v>191</v>
      </c>
      <c r="I33"/>
      <c r="J33"/>
      <c r="K33"/>
      <c r="L33">
        <v>3</v>
      </c>
      <c r="M33" t="s">
        <v>363</v>
      </c>
      <c r="N33"/>
      <c r="O33"/>
    </row>
    <row r="34" spans="1:15">
      <c r="A34" s="658">
        <v>5</v>
      </c>
      <c r="B34" s="53">
        <f>'LONGITUD DE MUROS'!B6</f>
        <v>2.8000000446428568</v>
      </c>
      <c r="C34" s="53">
        <f>'LONGITUD DE MUROS'!C6</f>
        <v>2.8</v>
      </c>
      <c r="D34" s="68" t="s">
        <v>130</v>
      </c>
      <c r="E34" s="306" t="str">
        <f>'ELEM. MECA.'!I10</f>
        <v>TABICON</v>
      </c>
      <c r="F34" s="659" t="s">
        <v>191</v>
      </c>
      <c r="I34"/>
      <c r="J34"/>
      <c r="K34"/>
      <c r="L34"/>
      <c r="M34" t="s">
        <v>452</v>
      </c>
      <c r="N34"/>
      <c r="O34"/>
    </row>
    <row r="35" spans="1:15">
      <c r="A35" s="658">
        <v>6</v>
      </c>
      <c r="B35" s="53">
        <f>'LONGITUD DE MUROS'!B7</f>
        <v>2.5750001941747493</v>
      </c>
      <c r="C35" s="53">
        <f>'LONGITUD DE MUROS'!C7</f>
        <v>2.8</v>
      </c>
      <c r="D35" s="68" t="s">
        <v>130</v>
      </c>
      <c r="E35" s="306" t="str">
        <f>'ELEM. MECA.'!I11</f>
        <v>CONCRETO</v>
      </c>
      <c r="F35" s="659" t="s">
        <v>191</v>
      </c>
      <c r="I35"/>
      <c r="J35"/>
      <c r="K35"/>
      <c r="L35"/>
      <c r="M35" t="s">
        <v>363</v>
      </c>
      <c r="N35"/>
      <c r="O35"/>
    </row>
    <row r="36" spans="1:15" ht="15.75" thickBot="1">
      <c r="A36" s="658">
        <v>7</v>
      </c>
      <c r="B36" s="53">
        <f>'LONGITUD DE MUROS'!B8</f>
        <v>2.8000000446428577</v>
      </c>
      <c r="C36" s="53">
        <f>'LONGITUD DE MUROS'!C8</f>
        <v>2.8</v>
      </c>
      <c r="D36" s="68" t="s">
        <v>130</v>
      </c>
      <c r="E36" s="306" t="str">
        <f>'ELEM. MECA.'!I12</f>
        <v>TABICON</v>
      </c>
      <c r="F36" s="659" t="s">
        <v>191</v>
      </c>
      <c r="I36"/>
      <c r="J36"/>
      <c r="K36"/>
      <c r="N36"/>
      <c r="O36"/>
    </row>
    <row r="37" spans="1:15" hidden="1">
      <c r="A37" s="658">
        <v>8</v>
      </c>
      <c r="B37" s="53">
        <f>'LONGITUD DE MUROS'!B9</f>
        <v>0</v>
      </c>
      <c r="C37" s="53">
        <f>'LONGITUD DE MUROS'!C9</f>
        <v>0</v>
      </c>
      <c r="D37" s="68" t="s">
        <v>130</v>
      </c>
      <c r="E37" s="306">
        <f>'ELEM. MECA.'!I13</f>
        <v>0</v>
      </c>
      <c r="F37" s="659" t="s">
        <v>191</v>
      </c>
    </row>
    <row r="38" spans="1:15" hidden="1">
      <c r="A38" s="658">
        <v>9</v>
      </c>
      <c r="B38" s="53">
        <f>'LONGITUD DE MUROS'!B10</f>
        <v>0</v>
      </c>
      <c r="C38" s="53">
        <f>'LONGITUD DE MUROS'!C10</f>
        <v>0</v>
      </c>
      <c r="D38" s="68" t="s">
        <v>130</v>
      </c>
      <c r="E38" s="306">
        <f>'ELEM. MECA.'!I14</f>
        <v>0</v>
      </c>
      <c r="F38" s="659" t="s">
        <v>191</v>
      </c>
    </row>
    <row r="39" spans="1:15" hidden="1">
      <c r="A39" s="658">
        <v>10</v>
      </c>
      <c r="B39" s="53">
        <f>'LONGITUD DE MUROS'!B11</f>
        <v>0</v>
      </c>
      <c r="C39" s="53">
        <f>'LONGITUD DE MUROS'!C11</f>
        <v>0</v>
      </c>
      <c r="D39" s="68" t="s">
        <v>130</v>
      </c>
      <c r="E39" s="306">
        <f>'ELEM. MECA.'!I15</f>
        <v>0</v>
      </c>
      <c r="F39" s="659" t="s">
        <v>191</v>
      </c>
    </row>
    <row r="40" spans="1:15" hidden="1">
      <c r="A40" s="658">
        <v>11</v>
      </c>
      <c r="B40" s="53">
        <f>'LONGITUD DE MUROS'!B12</f>
        <v>0</v>
      </c>
      <c r="C40" s="53">
        <f>'LONGITUD DE MUROS'!C12</f>
        <v>0</v>
      </c>
      <c r="D40" s="68" t="s">
        <v>130</v>
      </c>
      <c r="E40" s="306">
        <f>'ELEM. MECA.'!I16</f>
        <v>0</v>
      </c>
      <c r="F40" s="659" t="s">
        <v>191</v>
      </c>
    </row>
    <row r="41" spans="1:15" hidden="1">
      <c r="A41" s="658">
        <v>12</v>
      </c>
      <c r="B41" s="53">
        <f>'LONGITUD DE MUROS'!B13</f>
        <v>0</v>
      </c>
      <c r="C41" s="53">
        <f>'LONGITUD DE MUROS'!C13</f>
        <v>0</v>
      </c>
      <c r="D41" s="68" t="s">
        <v>130</v>
      </c>
      <c r="E41" s="306">
        <f>'ELEM. MECA.'!I17</f>
        <v>0</v>
      </c>
      <c r="F41" s="659" t="s">
        <v>191</v>
      </c>
    </row>
    <row r="42" spans="1:15" hidden="1">
      <c r="A42" s="658">
        <v>13</v>
      </c>
      <c r="B42" s="53">
        <f>'LONGITUD DE MUROS'!B14</f>
        <v>0</v>
      </c>
      <c r="C42" s="53">
        <f>'LONGITUD DE MUROS'!C14</f>
        <v>0</v>
      </c>
      <c r="D42" s="68" t="s">
        <v>130</v>
      </c>
      <c r="E42" s="306">
        <f>'ELEM. MECA.'!I18</f>
        <v>0</v>
      </c>
      <c r="F42" s="659" t="s">
        <v>191</v>
      </c>
    </row>
    <row r="43" spans="1:15" hidden="1">
      <c r="A43" s="658">
        <v>14</v>
      </c>
      <c r="B43" s="53">
        <f>'LONGITUD DE MUROS'!B15</f>
        <v>0</v>
      </c>
      <c r="C43" s="53">
        <f>'LONGITUD DE MUROS'!C15</f>
        <v>0</v>
      </c>
      <c r="D43" s="68" t="s">
        <v>130</v>
      </c>
      <c r="E43" s="306">
        <f>'ELEM. MECA.'!I19</f>
        <v>0</v>
      </c>
      <c r="F43" s="659" t="s">
        <v>191</v>
      </c>
    </row>
    <row r="44" spans="1:15" hidden="1">
      <c r="A44" s="658">
        <v>15</v>
      </c>
      <c r="B44" s="53">
        <f>'LONGITUD DE MUROS'!B16</f>
        <v>0</v>
      </c>
      <c r="C44" s="53">
        <f>'LONGITUD DE MUROS'!C16</f>
        <v>0</v>
      </c>
      <c r="D44" s="68" t="s">
        <v>130</v>
      </c>
      <c r="E44" s="306">
        <f>'ELEM. MECA.'!I20</f>
        <v>0</v>
      </c>
      <c r="F44" s="659" t="s">
        <v>191</v>
      </c>
    </row>
    <row r="45" spans="1:15" hidden="1">
      <c r="A45" s="658">
        <v>16</v>
      </c>
      <c r="B45" s="53">
        <f>'LONGITUD DE MUROS'!B17</f>
        <v>0</v>
      </c>
      <c r="C45" s="53">
        <f>'LONGITUD DE MUROS'!C17</f>
        <v>0</v>
      </c>
      <c r="D45" s="68" t="s">
        <v>130</v>
      </c>
      <c r="E45" s="306">
        <f>'ELEM. MECA.'!I21</f>
        <v>0</v>
      </c>
      <c r="F45" s="659" t="s">
        <v>191</v>
      </c>
    </row>
    <row r="46" spans="1:15" hidden="1">
      <c r="A46" s="658">
        <v>17</v>
      </c>
      <c r="B46" s="53">
        <f>'LONGITUD DE MUROS'!B18</f>
        <v>0</v>
      </c>
      <c r="C46" s="53">
        <f>'LONGITUD DE MUROS'!C18</f>
        <v>0</v>
      </c>
      <c r="D46" s="68" t="s">
        <v>130</v>
      </c>
      <c r="E46" s="306">
        <f>'ELEM. MECA.'!I22</f>
        <v>0</v>
      </c>
      <c r="F46" s="659" t="s">
        <v>191</v>
      </c>
    </row>
    <row r="47" spans="1:15" hidden="1">
      <c r="A47" s="658">
        <v>18</v>
      </c>
      <c r="B47" s="53">
        <f>'LONGITUD DE MUROS'!B19</f>
        <v>0</v>
      </c>
      <c r="C47" s="53">
        <f>'LONGITUD DE MUROS'!C19</f>
        <v>0</v>
      </c>
      <c r="D47" s="68" t="s">
        <v>130</v>
      </c>
      <c r="E47" s="306">
        <f>'ELEM. MECA.'!I23</f>
        <v>0</v>
      </c>
      <c r="F47" s="659" t="s">
        <v>191</v>
      </c>
    </row>
    <row r="48" spans="1:15" hidden="1">
      <c r="A48" s="658">
        <v>19</v>
      </c>
      <c r="B48" s="53">
        <f>'LONGITUD DE MUROS'!B20</f>
        <v>0</v>
      </c>
      <c r="C48" s="53">
        <f>'LONGITUD DE MUROS'!C20</f>
        <v>0</v>
      </c>
      <c r="D48" s="68" t="s">
        <v>130</v>
      </c>
      <c r="E48" s="306">
        <f>'ELEM. MECA.'!I24</f>
        <v>0</v>
      </c>
      <c r="F48" s="659" t="s">
        <v>191</v>
      </c>
    </row>
    <row r="49" spans="1:6" hidden="1">
      <c r="A49" s="658">
        <v>20</v>
      </c>
      <c r="B49" s="53">
        <f>'LONGITUD DE MUROS'!B21</f>
        <v>0</v>
      </c>
      <c r="C49" s="53">
        <f>'LONGITUD DE MUROS'!C21</f>
        <v>0</v>
      </c>
      <c r="D49" s="68" t="s">
        <v>130</v>
      </c>
      <c r="E49" s="306">
        <f>'ELEM. MECA.'!I25</f>
        <v>0</v>
      </c>
      <c r="F49" s="659" t="s">
        <v>191</v>
      </c>
    </row>
    <row r="50" spans="1:6" hidden="1">
      <c r="A50" s="658">
        <v>21</v>
      </c>
      <c r="B50" s="53">
        <f>'LONGITUD DE MUROS'!B22</f>
        <v>0</v>
      </c>
      <c r="C50" s="53">
        <f>'LONGITUD DE MUROS'!C22</f>
        <v>0</v>
      </c>
      <c r="D50" s="68" t="s">
        <v>130</v>
      </c>
      <c r="E50" s="306">
        <f>'ELEM. MECA.'!I26</f>
        <v>0</v>
      </c>
      <c r="F50" s="659" t="s">
        <v>191</v>
      </c>
    </row>
    <row r="51" spans="1:6" hidden="1">
      <c r="A51" s="658">
        <v>22</v>
      </c>
      <c r="B51" s="53">
        <f>'LONGITUD DE MUROS'!B23</f>
        <v>0</v>
      </c>
      <c r="C51" s="53">
        <f>'LONGITUD DE MUROS'!C23</f>
        <v>0</v>
      </c>
      <c r="D51" s="68" t="s">
        <v>130</v>
      </c>
      <c r="E51" s="306">
        <f>'ELEM. MECA.'!I27</f>
        <v>0</v>
      </c>
      <c r="F51" s="659" t="s">
        <v>191</v>
      </c>
    </row>
    <row r="52" spans="1:6" hidden="1">
      <c r="A52" s="658">
        <v>23</v>
      </c>
      <c r="B52" s="53">
        <f>'LONGITUD DE MUROS'!B24</f>
        <v>0</v>
      </c>
      <c r="C52" s="53">
        <f>'LONGITUD DE MUROS'!C24</f>
        <v>0</v>
      </c>
      <c r="D52" s="68" t="s">
        <v>130</v>
      </c>
      <c r="E52" s="306">
        <f>'ELEM. MECA.'!I28</f>
        <v>0</v>
      </c>
      <c r="F52" s="659" t="s">
        <v>191</v>
      </c>
    </row>
    <row r="53" spans="1:6" ht="15.75" hidden="1" thickBot="1">
      <c r="A53" s="658">
        <v>24</v>
      </c>
      <c r="B53" s="53">
        <f>'LONGITUD DE MUROS'!B25</f>
        <v>0</v>
      </c>
      <c r="C53" s="53">
        <f>'LONGITUD DE MUROS'!C25</f>
        <v>0</v>
      </c>
      <c r="D53" s="68" t="s">
        <v>130</v>
      </c>
      <c r="E53" s="306">
        <f>'ELEM. MECA.'!I29</f>
        <v>0</v>
      </c>
      <c r="F53" s="659" t="s">
        <v>191</v>
      </c>
    </row>
    <row r="54" spans="1:6" hidden="1">
      <c r="A54" s="658">
        <v>25</v>
      </c>
      <c r="B54" s="53">
        <f>'LONGITUD DE MUROS'!B26</f>
        <v>0</v>
      </c>
      <c r="C54" s="53">
        <f>'LONGITUD DE MUROS'!C26</f>
        <v>0</v>
      </c>
      <c r="D54" s="68" t="s">
        <v>130</v>
      </c>
      <c r="E54" s="306">
        <f>'ELEM. MECA.'!I30</f>
        <v>0</v>
      </c>
      <c r="F54" s="659" t="s">
        <v>191</v>
      </c>
    </row>
    <row r="55" spans="1:6" hidden="1">
      <c r="A55" s="658">
        <v>26</v>
      </c>
      <c r="B55" s="53">
        <f>'LONGITUD DE MUROS'!B27</f>
        <v>0</v>
      </c>
      <c r="C55" s="53">
        <f>'LONGITUD DE MUROS'!C27</f>
        <v>0</v>
      </c>
      <c r="D55" s="68" t="s">
        <v>130</v>
      </c>
      <c r="E55" s="306">
        <f>'ELEM. MECA.'!I31</f>
        <v>0</v>
      </c>
      <c r="F55" s="659" t="s">
        <v>191</v>
      </c>
    </row>
    <row r="56" spans="1:6" hidden="1">
      <c r="A56" s="658">
        <v>27</v>
      </c>
      <c r="B56" s="53">
        <f>'LONGITUD DE MUROS'!B28</f>
        <v>0</v>
      </c>
      <c r="C56" s="53">
        <f>'LONGITUD DE MUROS'!C28</f>
        <v>0</v>
      </c>
      <c r="D56" s="68" t="s">
        <v>130</v>
      </c>
      <c r="E56" s="306">
        <f>'ELEM. MECA.'!I32</f>
        <v>0</v>
      </c>
      <c r="F56" s="659" t="s">
        <v>191</v>
      </c>
    </row>
    <row r="57" spans="1:6" hidden="1">
      <c r="A57" s="658">
        <v>28</v>
      </c>
      <c r="B57" s="53">
        <f>'LONGITUD DE MUROS'!B29</f>
        <v>0</v>
      </c>
      <c r="C57" s="53">
        <f>'LONGITUD DE MUROS'!C29</f>
        <v>0</v>
      </c>
      <c r="D57" s="68" t="s">
        <v>130</v>
      </c>
      <c r="E57" s="306">
        <f>'ELEM. MECA.'!I33</f>
        <v>0</v>
      </c>
      <c r="F57" s="659" t="s">
        <v>191</v>
      </c>
    </row>
    <row r="58" spans="1:6" hidden="1">
      <c r="A58" s="658">
        <v>29</v>
      </c>
      <c r="B58" s="53">
        <f>'LONGITUD DE MUROS'!B30</f>
        <v>0</v>
      </c>
      <c r="C58" s="53">
        <f>'LONGITUD DE MUROS'!C30</f>
        <v>0</v>
      </c>
      <c r="D58" s="68" t="s">
        <v>130</v>
      </c>
      <c r="E58" s="306">
        <f>'ELEM. MECA.'!I34</f>
        <v>0</v>
      </c>
      <c r="F58" s="659" t="s">
        <v>191</v>
      </c>
    </row>
    <row r="59" spans="1:6" hidden="1">
      <c r="A59" s="658">
        <v>30</v>
      </c>
      <c r="B59" s="53">
        <f>'LONGITUD DE MUROS'!B31</f>
        <v>0</v>
      </c>
      <c r="C59" s="53">
        <f>'LONGITUD DE MUROS'!C31</f>
        <v>0</v>
      </c>
      <c r="D59" s="68" t="s">
        <v>130</v>
      </c>
      <c r="E59" s="306">
        <f>'ELEM. MECA.'!I35</f>
        <v>0</v>
      </c>
      <c r="F59" s="659" t="s">
        <v>191</v>
      </c>
    </row>
    <row r="60" spans="1:6" hidden="1">
      <c r="A60" s="658">
        <v>31</v>
      </c>
      <c r="B60" s="53">
        <f>'LONGITUD DE MUROS'!B32</f>
        <v>0</v>
      </c>
      <c r="C60" s="53">
        <f>'LONGITUD DE MUROS'!C32</f>
        <v>0</v>
      </c>
      <c r="D60" s="68" t="s">
        <v>130</v>
      </c>
      <c r="E60" s="306">
        <f>'ELEM. MECA.'!I36</f>
        <v>0</v>
      </c>
      <c r="F60" s="659" t="s">
        <v>191</v>
      </c>
    </row>
    <row r="61" spans="1:6" hidden="1">
      <c r="A61" s="658">
        <v>32</v>
      </c>
      <c r="B61" s="53">
        <f>'LONGITUD DE MUROS'!B33</f>
        <v>0</v>
      </c>
      <c r="C61" s="53">
        <f>'LONGITUD DE MUROS'!C33</f>
        <v>0</v>
      </c>
      <c r="D61" s="68" t="s">
        <v>130</v>
      </c>
      <c r="E61" s="306">
        <f>'ELEM. MECA.'!I37</f>
        <v>0</v>
      </c>
      <c r="F61" s="659" t="s">
        <v>191</v>
      </c>
    </row>
    <row r="62" spans="1:6" hidden="1">
      <c r="A62" s="658">
        <v>33</v>
      </c>
      <c r="B62" s="53">
        <f>'LONGITUD DE MUROS'!B34</f>
        <v>0</v>
      </c>
      <c r="C62" s="53">
        <f>'LONGITUD DE MUROS'!C34</f>
        <v>0</v>
      </c>
      <c r="D62" s="68" t="s">
        <v>130</v>
      </c>
      <c r="E62" s="306">
        <f>'ELEM. MECA.'!I38</f>
        <v>0</v>
      </c>
      <c r="F62" s="659" t="s">
        <v>191</v>
      </c>
    </row>
    <row r="63" spans="1:6" hidden="1">
      <c r="A63" s="658">
        <v>34</v>
      </c>
      <c r="B63" s="53">
        <f>'LONGITUD DE MUROS'!B35</f>
        <v>0</v>
      </c>
      <c r="C63" s="53">
        <f>'LONGITUD DE MUROS'!C35</f>
        <v>0</v>
      </c>
      <c r="D63" s="68" t="s">
        <v>130</v>
      </c>
      <c r="E63" s="306">
        <f>'ELEM. MECA.'!I39</f>
        <v>0</v>
      </c>
      <c r="F63" s="659" t="s">
        <v>191</v>
      </c>
    </row>
    <row r="64" spans="1:6" hidden="1">
      <c r="A64" s="658">
        <v>35</v>
      </c>
      <c r="B64" s="53">
        <f>'LONGITUD DE MUROS'!B36</f>
        <v>0</v>
      </c>
      <c r="C64" s="53">
        <f>'LONGITUD DE MUROS'!C36</f>
        <v>0</v>
      </c>
      <c r="D64" s="68" t="s">
        <v>130</v>
      </c>
      <c r="E64" s="306">
        <f>'ELEM. MECA.'!I40</f>
        <v>0</v>
      </c>
      <c r="F64" s="659" t="s">
        <v>191</v>
      </c>
    </row>
    <row r="65" spans="1:12" hidden="1">
      <c r="A65" s="658">
        <v>36</v>
      </c>
      <c r="B65" s="53">
        <f>'LONGITUD DE MUROS'!B37</f>
        <v>0</v>
      </c>
      <c r="C65" s="53">
        <f>'LONGITUD DE MUROS'!C37</f>
        <v>0</v>
      </c>
      <c r="D65" s="68" t="s">
        <v>130</v>
      </c>
      <c r="E65" s="306">
        <f>'ELEM. MECA.'!I41</f>
        <v>0</v>
      </c>
      <c r="F65" s="659" t="s">
        <v>191</v>
      </c>
    </row>
    <row r="66" spans="1:12" hidden="1">
      <c r="A66" s="658">
        <v>37</v>
      </c>
      <c r="B66" s="53">
        <f>'LONGITUD DE MUROS'!B38</f>
        <v>0</v>
      </c>
      <c r="C66" s="53">
        <f>'LONGITUD DE MUROS'!C38</f>
        <v>0</v>
      </c>
      <c r="D66" s="68" t="s">
        <v>130</v>
      </c>
      <c r="E66" s="306">
        <f>'ELEM. MECA.'!I42</f>
        <v>0</v>
      </c>
      <c r="F66" s="659" t="s">
        <v>191</v>
      </c>
    </row>
    <row r="67" spans="1:12" hidden="1">
      <c r="A67" s="658">
        <v>38</v>
      </c>
      <c r="B67" s="53">
        <f>'LONGITUD DE MUROS'!B39</f>
        <v>0</v>
      </c>
      <c r="C67" s="53">
        <f>'LONGITUD DE MUROS'!C39</f>
        <v>0</v>
      </c>
      <c r="D67" s="68" t="s">
        <v>130</v>
      </c>
      <c r="E67" s="306">
        <f>'ELEM. MECA.'!I43</f>
        <v>0</v>
      </c>
      <c r="F67" s="659" t="s">
        <v>191</v>
      </c>
    </row>
    <row r="68" spans="1:12" hidden="1">
      <c r="A68" s="658">
        <v>39</v>
      </c>
      <c r="B68" s="53">
        <f>'LONGITUD DE MUROS'!B40</f>
        <v>0</v>
      </c>
      <c r="C68" s="53">
        <f>'LONGITUD DE MUROS'!C40</f>
        <v>0</v>
      </c>
      <c r="D68" s="68" t="s">
        <v>130</v>
      </c>
      <c r="E68" s="306">
        <f>'ELEM. MECA.'!I44</f>
        <v>0</v>
      </c>
      <c r="F68" s="659" t="s">
        <v>191</v>
      </c>
    </row>
    <row r="69" spans="1:12" hidden="1">
      <c r="A69" s="658">
        <v>40</v>
      </c>
      <c r="B69" s="53">
        <f>'LONGITUD DE MUROS'!B41</f>
        <v>0</v>
      </c>
      <c r="C69" s="53">
        <f>'LONGITUD DE MUROS'!C41</f>
        <v>0</v>
      </c>
      <c r="D69" s="68" t="s">
        <v>130</v>
      </c>
      <c r="E69" s="306">
        <f>'ELEM. MECA.'!I45</f>
        <v>0</v>
      </c>
      <c r="F69" s="659" t="s">
        <v>191</v>
      </c>
    </row>
    <row r="70" spans="1:12" hidden="1">
      <c r="A70" s="658">
        <v>41</v>
      </c>
      <c r="B70" s="53">
        <f>'LONGITUD DE MUROS'!B42</f>
        <v>0</v>
      </c>
      <c r="C70" s="53">
        <f>'LONGITUD DE MUROS'!C42</f>
        <v>0</v>
      </c>
      <c r="D70" s="68" t="s">
        <v>130</v>
      </c>
      <c r="E70" s="306">
        <f>'ELEM. MECA.'!I46</f>
        <v>0</v>
      </c>
      <c r="F70" s="659" t="s">
        <v>191</v>
      </c>
    </row>
    <row r="71" spans="1:12" hidden="1">
      <c r="A71" s="658">
        <v>42</v>
      </c>
      <c r="B71" s="53">
        <f>'LONGITUD DE MUROS'!B43</f>
        <v>0</v>
      </c>
      <c r="C71" s="53">
        <f>'LONGITUD DE MUROS'!C43</f>
        <v>0</v>
      </c>
      <c r="D71" s="68" t="s">
        <v>130</v>
      </c>
      <c r="E71" s="306">
        <f>'ELEM. MECA.'!I47</f>
        <v>0</v>
      </c>
      <c r="F71" s="659" t="s">
        <v>191</v>
      </c>
    </row>
    <row r="72" spans="1:12" hidden="1">
      <c r="A72" s="658">
        <v>43</v>
      </c>
      <c r="B72" s="53">
        <f>'LONGITUD DE MUROS'!B44</f>
        <v>0</v>
      </c>
      <c r="C72" s="53">
        <f>'LONGITUD DE MUROS'!C44</f>
        <v>0</v>
      </c>
      <c r="D72" s="68" t="s">
        <v>130</v>
      </c>
      <c r="E72" s="306">
        <f>'ELEM. MECA.'!I48</f>
        <v>0</v>
      </c>
      <c r="F72" s="659" t="s">
        <v>191</v>
      </c>
    </row>
    <row r="73" spans="1:12" hidden="1">
      <c r="A73" s="658">
        <v>44</v>
      </c>
      <c r="B73" s="53">
        <f>'LONGITUD DE MUROS'!B45</f>
        <v>0</v>
      </c>
      <c r="C73" s="53">
        <f>'LONGITUD DE MUROS'!C45</f>
        <v>0</v>
      </c>
      <c r="D73" s="68" t="s">
        <v>130</v>
      </c>
      <c r="E73" s="306">
        <f>'ELEM. MECA.'!I49</f>
        <v>0</v>
      </c>
      <c r="F73" s="659" t="s">
        <v>191</v>
      </c>
    </row>
    <row r="74" spans="1:12" hidden="1">
      <c r="A74" s="658">
        <v>45</v>
      </c>
      <c r="B74" s="53">
        <f>'LONGITUD DE MUROS'!B46</f>
        <v>0</v>
      </c>
      <c r="C74" s="53">
        <f>'LONGITUD DE MUROS'!C46</f>
        <v>0</v>
      </c>
      <c r="D74" s="68" t="s">
        <v>130</v>
      </c>
      <c r="E74" s="306">
        <f>'ELEM. MECA.'!I50</f>
        <v>0</v>
      </c>
      <c r="F74" s="659" t="s">
        <v>191</v>
      </c>
    </row>
    <row r="75" spans="1:12" hidden="1">
      <c r="A75" s="658">
        <v>46</v>
      </c>
      <c r="B75" s="53">
        <f>'LONGITUD DE MUROS'!B47</f>
        <v>0</v>
      </c>
      <c r="C75" s="53">
        <f>'LONGITUD DE MUROS'!C47</f>
        <v>0</v>
      </c>
      <c r="D75" s="68" t="s">
        <v>130</v>
      </c>
      <c r="E75" s="306">
        <f>'ELEM. MECA.'!I51</f>
        <v>0</v>
      </c>
      <c r="F75" s="659" t="s">
        <v>191</v>
      </c>
    </row>
    <row r="76" spans="1:12" hidden="1">
      <c r="A76" s="658">
        <v>47</v>
      </c>
      <c r="B76" s="53">
        <f>'LONGITUD DE MUROS'!B48</f>
        <v>0</v>
      </c>
      <c r="C76" s="53">
        <f>'LONGITUD DE MUROS'!C48</f>
        <v>0</v>
      </c>
      <c r="D76" s="68" t="s">
        <v>130</v>
      </c>
      <c r="E76" s="306">
        <f>'ELEM. MECA.'!I52</f>
        <v>0</v>
      </c>
      <c r="F76" s="659" t="s">
        <v>191</v>
      </c>
    </row>
    <row r="77" spans="1:12" hidden="1">
      <c r="A77" s="658">
        <v>48</v>
      </c>
      <c r="B77" s="53">
        <f>'LONGITUD DE MUROS'!B49</f>
        <v>0</v>
      </c>
      <c r="C77" s="53">
        <f>'LONGITUD DE MUROS'!C49</f>
        <v>0</v>
      </c>
      <c r="D77" s="68" t="s">
        <v>130</v>
      </c>
      <c r="E77" s="306">
        <f>'ELEM. MECA.'!I53</f>
        <v>0</v>
      </c>
      <c r="F77" s="659" t="s">
        <v>191</v>
      </c>
    </row>
    <row r="78" spans="1:12" hidden="1">
      <c r="A78" s="658">
        <v>49</v>
      </c>
      <c r="B78" s="53">
        <f>'LONGITUD DE MUROS'!B50</f>
        <v>0</v>
      </c>
      <c r="C78" s="53">
        <f>'LONGITUD DE MUROS'!C50</f>
        <v>0</v>
      </c>
      <c r="D78" s="68" t="s">
        <v>130</v>
      </c>
      <c r="E78" s="306">
        <f>'ELEM. MECA.'!I54</f>
        <v>0</v>
      </c>
      <c r="F78" s="659" t="s">
        <v>191</v>
      </c>
    </row>
    <row r="79" spans="1:12" ht="15.75" hidden="1" thickBot="1">
      <c r="A79" s="658">
        <v>50</v>
      </c>
      <c r="B79" s="53">
        <f>'LONGITUD DE MUROS'!B51</f>
        <v>0</v>
      </c>
      <c r="C79" s="53">
        <f>'LONGITUD DE MUROS'!C51</f>
        <v>0</v>
      </c>
      <c r="D79" s="68" t="s">
        <v>130</v>
      </c>
      <c r="E79" s="306">
        <f>'ELEM. MECA.'!I55</f>
        <v>0</v>
      </c>
      <c r="F79" s="659" t="s">
        <v>191</v>
      </c>
    </row>
    <row r="80" spans="1:12" ht="15.75">
      <c r="A80" s="665" t="s">
        <v>88</v>
      </c>
      <c r="B80" s="666"/>
      <c r="C80" s="666"/>
      <c r="D80" s="667"/>
      <c r="E80" s="668"/>
      <c r="F80" s="669"/>
      <c r="L80" s="4">
        <v>3</v>
      </c>
    </row>
    <row r="81" spans="1:12">
      <c r="A81" s="658">
        <v>1</v>
      </c>
      <c r="B81" s="53">
        <f>'LONGITUD DE MUROS'!B54</f>
        <v>1.0254999999999994</v>
      </c>
      <c r="C81" s="53">
        <f>'LONGITUD DE MUROS'!C54</f>
        <v>2.8</v>
      </c>
      <c r="D81" s="68" t="s">
        <v>130</v>
      </c>
      <c r="E81" s="306" t="str">
        <f>'ELEM. MECA.'!I207</f>
        <v>TABICON</v>
      </c>
      <c r="F81" s="659" t="s">
        <v>191</v>
      </c>
    </row>
    <row r="82" spans="1:12">
      <c r="A82" s="658">
        <v>2</v>
      </c>
      <c r="B82" s="53">
        <f>'LONGITUD DE MUROS'!B55</f>
        <v>1.4535000000000009</v>
      </c>
      <c r="C82" s="53">
        <f>'LONGITUD DE MUROS'!C55</f>
        <v>2.8</v>
      </c>
      <c r="D82" s="68" t="s">
        <v>130</v>
      </c>
      <c r="E82" s="306" t="str">
        <f>'ELEM. MECA.'!I208</f>
        <v>TABICON</v>
      </c>
      <c r="F82" s="659" t="s">
        <v>191</v>
      </c>
    </row>
    <row r="83" spans="1:12">
      <c r="A83" s="658">
        <v>3</v>
      </c>
      <c r="B83" s="53">
        <f>'LONGITUD DE MUROS'!B56</f>
        <v>2.5379999999999994</v>
      </c>
      <c r="C83" s="53">
        <f>'LONGITUD DE MUROS'!C56</f>
        <v>2.8</v>
      </c>
      <c r="D83" s="68" t="s">
        <v>130</v>
      </c>
      <c r="E83" s="306" t="str">
        <f>'ELEM. MECA.'!I209</f>
        <v>CONCRETO</v>
      </c>
      <c r="F83" s="659" t="s">
        <v>191</v>
      </c>
    </row>
    <row r="84" spans="1:12" ht="18.600000000000001" customHeight="1">
      <c r="A84" s="658">
        <v>4</v>
      </c>
      <c r="B84" s="53">
        <f>'LONGITUD DE MUROS'!B57</f>
        <v>2.5380000000000003</v>
      </c>
      <c r="C84" s="53">
        <f>'LONGITUD DE MUROS'!C57</f>
        <v>2.8</v>
      </c>
      <c r="D84" s="68" t="s">
        <v>130</v>
      </c>
      <c r="E84" s="306" t="str">
        <f>'ELEM. MECA.'!I210</f>
        <v>CONCRETO</v>
      </c>
      <c r="F84" s="659" t="s">
        <v>191</v>
      </c>
    </row>
    <row r="85" spans="1:12">
      <c r="A85" s="658">
        <v>5</v>
      </c>
      <c r="B85" s="53">
        <f>'LONGITUD DE MUROS'!B58</f>
        <v>3.8505000000000003</v>
      </c>
      <c r="C85" s="53">
        <f>'LONGITUD DE MUROS'!C58</f>
        <v>2.8</v>
      </c>
      <c r="D85" s="68" t="s">
        <v>130</v>
      </c>
      <c r="E85" s="306" t="str">
        <f>'ELEM. MECA.'!I211</f>
        <v>CONCRETO</v>
      </c>
      <c r="F85" s="659" t="s">
        <v>191</v>
      </c>
    </row>
    <row r="86" spans="1:12">
      <c r="A86" s="658">
        <v>6</v>
      </c>
      <c r="B86" s="53">
        <f>'LONGITUD DE MUROS'!B59</f>
        <v>0</v>
      </c>
      <c r="C86" s="53">
        <f>'LONGITUD DE MUROS'!C59</f>
        <v>0</v>
      </c>
      <c r="D86" s="68" t="s">
        <v>130</v>
      </c>
      <c r="E86" s="306">
        <f>'ELEM. MECA.'!I212</f>
        <v>0</v>
      </c>
      <c r="F86" s="659" t="s">
        <v>191</v>
      </c>
    </row>
    <row r="87" spans="1:12">
      <c r="A87" s="658">
        <v>7</v>
      </c>
      <c r="B87" s="53">
        <f>'LONGITUD DE MUROS'!B60</f>
        <v>0</v>
      </c>
      <c r="C87" s="53">
        <f>'LONGITUD DE MUROS'!C60</f>
        <v>0</v>
      </c>
      <c r="D87" s="68" t="s">
        <v>130</v>
      </c>
      <c r="E87" s="306">
        <f>'ELEM. MECA.'!I213</f>
        <v>0</v>
      </c>
      <c r="F87" s="659" t="s">
        <v>191</v>
      </c>
      <c r="L87" s="4">
        <v>3</v>
      </c>
    </row>
    <row r="88" spans="1:12">
      <c r="A88" s="658">
        <v>8</v>
      </c>
      <c r="B88" s="53">
        <f>'LONGITUD DE MUROS'!B61</f>
        <v>0</v>
      </c>
      <c r="C88" s="53">
        <f>'LONGITUD DE MUROS'!C61</f>
        <v>0</v>
      </c>
      <c r="D88" s="68" t="s">
        <v>130</v>
      </c>
      <c r="E88" s="306">
        <f>'ELEM. MECA.'!I214</f>
        <v>0</v>
      </c>
      <c r="F88" s="659" t="s">
        <v>191</v>
      </c>
    </row>
    <row r="89" spans="1:12">
      <c r="A89" s="658">
        <v>9</v>
      </c>
      <c r="B89" s="53">
        <f>'LONGITUD DE MUROS'!B62</f>
        <v>0</v>
      </c>
      <c r="C89" s="53">
        <f>'LONGITUD DE MUROS'!C62</f>
        <v>0</v>
      </c>
      <c r="D89" s="68" t="s">
        <v>130</v>
      </c>
      <c r="E89" s="306">
        <f>'ELEM. MECA.'!I215</f>
        <v>0</v>
      </c>
      <c r="F89" s="659" t="s">
        <v>191</v>
      </c>
    </row>
    <row r="90" spans="1:12">
      <c r="A90" s="658">
        <v>10</v>
      </c>
      <c r="B90" s="53">
        <f>'LONGITUD DE MUROS'!B63</f>
        <v>0</v>
      </c>
      <c r="C90" s="53">
        <f>'LONGITUD DE MUROS'!C63</f>
        <v>0</v>
      </c>
      <c r="D90" s="68" t="s">
        <v>130</v>
      </c>
      <c r="E90" s="306">
        <f>'ELEM. MECA.'!I216</f>
        <v>0</v>
      </c>
      <c r="F90" s="659" t="s">
        <v>191</v>
      </c>
    </row>
    <row r="91" spans="1:12">
      <c r="A91" s="658">
        <v>11</v>
      </c>
      <c r="B91" s="53">
        <f>'LONGITUD DE MUROS'!B64</f>
        <v>0</v>
      </c>
      <c r="C91" s="53">
        <f>'LONGITUD DE MUROS'!C64</f>
        <v>0</v>
      </c>
      <c r="D91" s="68" t="s">
        <v>130</v>
      </c>
      <c r="E91" s="306">
        <f>'ELEM. MECA.'!I217</f>
        <v>0</v>
      </c>
      <c r="F91" s="659" t="s">
        <v>191</v>
      </c>
    </row>
    <row r="92" spans="1:12">
      <c r="A92" s="658">
        <v>12</v>
      </c>
      <c r="B92" s="53">
        <f>'LONGITUD DE MUROS'!B65</f>
        <v>0</v>
      </c>
      <c r="C92" s="53">
        <f>'LONGITUD DE MUROS'!C65</f>
        <v>0</v>
      </c>
      <c r="D92" s="68" t="s">
        <v>130</v>
      </c>
      <c r="E92" s="306">
        <f>'ELEM. MECA.'!I218</f>
        <v>0</v>
      </c>
      <c r="F92" s="659" t="s">
        <v>191</v>
      </c>
    </row>
    <row r="93" spans="1:12">
      <c r="A93" s="658">
        <v>13</v>
      </c>
      <c r="B93" s="53">
        <f>'LONGITUD DE MUROS'!B66</f>
        <v>0</v>
      </c>
      <c r="C93" s="53">
        <f>'LONGITUD DE MUROS'!C66</f>
        <v>0</v>
      </c>
      <c r="D93" s="68" t="s">
        <v>130</v>
      </c>
      <c r="E93" s="306">
        <f>'ELEM. MECA.'!I219</f>
        <v>0</v>
      </c>
      <c r="F93" s="659" t="s">
        <v>191</v>
      </c>
    </row>
    <row r="94" spans="1:12">
      <c r="A94" s="658">
        <v>14</v>
      </c>
      <c r="B94" s="53">
        <f>'LONGITUD DE MUROS'!B67</f>
        <v>0</v>
      </c>
      <c r="C94" s="53">
        <f>'LONGITUD DE MUROS'!C67</f>
        <v>0</v>
      </c>
      <c r="D94" s="68" t="s">
        <v>130</v>
      </c>
      <c r="E94" s="306">
        <f>'ELEM. MECA.'!I220</f>
        <v>0</v>
      </c>
      <c r="F94" s="659" t="s">
        <v>191</v>
      </c>
    </row>
    <row r="95" spans="1:12" ht="15" customHeight="1">
      <c r="A95" s="658">
        <v>15</v>
      </c>
      <c r="B95" s="53">
        <f>'LONGITUD DE MUROS'!B68</f>
        <v>0</v>
      </c>
      <c r="C95" s="53">
        <f>'LONGITUD DE MUROS'!C68</f>
        <v>0</v>
      </c>
      <c r="D95" s="68" t="s">
        <v>130</v>
      </c>
      <c r="E95" s="306">
        <f>'ELEM. MECA.'!I221</f>
        <v>0</v>
      </c>
      <c r="F95" s="659" t="s">
        <v>191</v>
      </c>
    </row>
    <row r="96" spans="1:12">
      <c r="A96" s="658">
        <v>16</v>
      </c>
      <c r="B96" s="53">
        <f>'LONGITUD DE MUROS'!B69</f>
        <v>0</v>
      </c>
      <c r="C96" s="53">
        <f>'LONGITUD DE MUROS'!C69</f>
        <v>0</v>
      </c>
      <c r="D96" s="68" t="s">
        <v>130</v>
      </c>
      <c r="E96" s="306">
        <f>'ELEM. MECA.'!I222</f>
        <v>0</v>
      </c>
      <c r="F96" s="659" t="s">
        <v>191</v>
      </c>
    </row>
    <row r="97" spans="1:8">
      <c r="A97" s="658">
        <v>17</v>
      </c>
      <c r="B97" s="53">
        <f>'LONGITUD DE MUROS'!B70</f>
        <v>0</v>
      </c>
      <c r="C97" s="53">
        <f>'LONGITUD DE MUROS'!C70</f>
        <v>0</v>
      </c>
      <c r="D97" s="68" t="s">
        <v>130</v>
      </c>
      <c r="E97" s="306">
        <f>'ELEM. MECA.'!I223</f>
        <v>0</v>
      </c>
      <c r="F97" s="659" t="s">
        <v>191</v>
      </c>
    </row>
    <row r="98" spans="1:8">
      <c r="A98" s="658">
        <v>18</v>
      </c>
      <c r="B98" s="53">
        <f>'LONGITUD DE MUROS'!B71</f>
        <v>0</v>
      </c>
      <c r="C98" s="53">
        <f>'LONGITUD DE MUROS'!C71</f>
        <v>0</v>
      </c>
      <c r="D98" s="68" t="s">
        <v>130</v>
      </c>
      <c r="E98" s="306">
        <f>'ELEM. MECA.'!I224</f>
        <v>0</v>
      </c>
      <c r="F98" s="659" t="s">
        <v>191</v>
      </c>
    </row>
    <row r="99" spans="1:8">
      <c r="A99" s="658">
        <v>19</v>
      </c>
      <c r="B99" s="53">
        <f>'LONGITUD DE MUROS'!B72</f>
        <v>0</v>
      </c>
      <c r="C99" s="53">
        <f>'LONGITUD DE MUROS'!C72</f>
        <v>0</v>
      </c>
      <c r="D99" s="68" t="s">
        <v>130</v>
      </c>
      <c r="E99" s="306">
        <f>'ELEM. MECA.'!I225</f>
        <v>0</v>
      </c>
      <c r="F99" s="659" t="s">
        <v>191</v>
      </c>
    </row>
    <row r="100" spans="1:8">
      <c r="A100" s="658">
        <v>20</v>
      </c>
      <c r="B100" s="53">
        <f>'LONGITUD DE MUROS'!B73</f>
        <v>0</v>
      </c>
      <c r="C100" s="53">
        <f>'LONGITUD DE MUROS'!C73</f>
        <v>0</v>
      </c>
      <c r="D100" s="68" t="s">
        <v>130</v>
      </c>
      <c r="E100" s="306">
        <f>'ELEM. MECA.'!I226</f>
        <v>0</v>
      </c>
      <c r="F100" s="659" t="s">
        <v>191</v>
      </c>
    </row>
    <row r="101" spans="1:8">
      <c r="A101" s="658">
        <v>21</v>
      </c>
      <c r="B101" s="53">
        <f>'LONGITUD DE MUROS'!B74</f>
        <v>0</v>
      </c>
      <c r="C101" s="53">
        <f>'LONGITUD DE MUROS'!C74</f>
        <v>0</v>
      </c>
      <c r="D101" s="68" t="s">
        <v>130</v>
      </c>
      <c r="E101" s="306">
        <f>'ELEM. MECA.'!I227</f>
        <v>0</v>
      </c>
      <c r="F101" s="659" t="s">
        <v>191</v>
      </c>
    </row>
    <row r="102" spans="1:8">
      <c r="A102" s="658">
        <v>22</v>
      </c>
      <c r="B102" s="53">
        <f>'LONGITUD DE MUROS'!B75</f>
        <v>0</v>
      </c>
      <c r="C102" s="53">
        <f>'LONGITUD DE MUROS'!C75</f>
        <v>0</v>
      </c>
      <c r="D102" s="68" t="s">
        <v>130</v>
      </c>
      <c r="E102" s="306">
        <f>'ELEM. MECA.'!I228</f>
        <v>0</v>
      </c>
      <c r="F102" s="659" t="s">
        <v>191</v>
      </c>
    </row>
    <row r="103" spans="1:8">
      <c r="A103" s="658">
        <v>23</v>
      </c>
      <c r="B103" s="53">
        <f>'LONGITUD DE MUROS'!B76</f>
        <v>0</v>
      </c>
      <c r="C103" s="53">
        <f>'LONGITUD DE MUROS'!C76</f>
        <v>0</v>
      </c>
      <c r="D103" s="68" t="s">
        <v>130</v>
      </c>
      <c r="E103" s="306">
        <f>'ELEM. MECA.'!I229</f>
        <v>0</v>
      </c>
      <c r="F103" s="659" t="s">
        <v>191</v>
      </c>
      <c r="G103"/>
      <c r="H103"/>
    </row>
    <row r="104" spans="1:8">
      <c r="A104" s="658">
        <v>24</v>
      </c>
      <c r="B104" s="53">
        <f>'LONGITUD DE MUROS'!B77</f>
        <v>0</v>
      </c>
      <c r="C104" s="53">
        <f>'LONGITUD DE MUROS'!C77</f>
        <v>0</v>
      </c>
      <c r="D104" s="68" t="s">
        <v>130</v>
      </c>
      <c r="E104" s="306">
        <f>'ELEM. MECA.'!I230</f>
        <v>0</v>
      </c>
      <c r="F104" s="659" t="s">
        <v>191</v>
      </c>
      <c r="G104"/>
      <c r="H104"/>
    </row>
    <row r="105" spans="1:8">
      <c r="A105" s="658">
        <v>25</v>
      </c>
      <c r="B105" s="53">
        <f>'LONGITUD DE MUROS'!B78</f>
        <v>0</v>
      </c>
      <c r="C105" s="53">
        <f>'LONGITUD DE MUROS'!C78</f>
        <v>0</v>
      </c>
      <c r="D105" s="68" t="s">
        <v>130</v>
      </c>
      <c r="E105" s="306">
        <f>'ELEM. MECA.'!I231</f>
        <v>0</v>
      </c>
      <c r="F105" s="659" t="s">
        <v>191</v>
      </c>
      <c r="G105"/>
      <c r="H105"/>
    </row>
    <row r="106" spans="1:8">
      <c r="A106" s="658">
        <v>26</v>
      </c>
      <c r="B106" s="53">
        <f>'LONGITUD DE MUROS'!B79</f>
        <v>0</v>
      </c>
      <c r="C106" s="53">
        <f>'LONGITUD DE MUROS'!C79</f>
        <v>0</v>
      </c>
      <c r="D106" s="68" t="s">
        <v>130</v>
      </c>
      <c r="E106" s="306">
        <f>'ELEM. MECA.'!I232</f>
        <v>0</v>
      </c>
      <c r="F106" s="659" t="s">
        <v>191</v>
      </c>
      <c r="G106"/>
      <c r="H106"/>
    </row>
    <row r="107" spans="1:8">
      <c r="A107" s="658">
        <v>27</v>
      </c>
      <c r="B107" s="53">
        <f>'LONGITUD DE MUROS'!B80</f>
        <v>0</v>
      </c>
      <c r="C107" s="53">
        <f>'LONGITUD DE MUROS'!C80</f>
        <v>0</v>
      </c>
      <c r="D107" s="68" t="s">
        <v>130</v>
      </c>
      <c r="E107" s="306">
        <f>'ELEM. MECA.'!I233</f>
        <v>0</v>
      </c>
      <c r="F107" s="659" t="s">
        <v>191</v>
      </c>
      <c r="G107"/>
      <c r="H107"/>
    </row>
    <row r="108" spans="1:8">
      <c r="A108" s="658">
        <v>28</v>
      </c>
      <c r="B108" s="53">
        <f>'LONGITUD DE MUROS'!B81</f>
        <v>0</v>
      </c>
      <c r="C108" s="53">
        <f>'LONGITUD DE MUROS'!C81</f>
        <v>0</v>
      </c>
      <c r="D108" s="68" t="s">
        <v>130</v>
      </c>
      <c r="E108" s="306">
        <f>'ELEM. MECA.'!I234</f>
        <v>0</v>
      </c>
      <c r="F108" s="659" t="s">
        <v>191</v>
      </c>
      <c r="G108"/>
      <c r="H108"/>
    </row>
    <row r="109" spans="1:8">
      <c r="A109" s="658">
        <v>29</v>
      </c>
      <c r="B109" s="53">
        <f>'LONGITUD DE MUROS'!B82</f>
        <v>0</v>
      </c>
      <c r="C109" s="53">
        <f>'LONGITUD DE MUROS'!C82</f>
        <v>0</v>
      </c>
      <c r="D109" s="68" t="s">
        <v>130</v>
      </c>
      <c r="E109" s="306">
        <f>'ELEM. MECA.'!I235</f>
        <v>0</v>
      </c>
      <c r="F109" s="659" t="s">
        <v>191</v>
      </c>
      <c r="G109"/>
      <c r="H109"/>
    </row>
    <row r="110" spans="1:8">
      <c r="A110" s="658">
        <v>30</v>
      </c>
      <c r="B110" s="53">
        <f>'LONGITUD DE MUROS'!B83</f>
        <v>0</v>
      </c>
      <c r="C110" s="53">
        <f>'LONGITUD DE MUROS'!C83</f>
        <v>0</v>
      </c>
      <c r="D110" s="68" t="s">
        <v>130</v>
      </c>
      <c r="E110" s="306">
        <f>'ELEM. MECA.'!I236</f>
        <v>0</v>
      </c>
      <c r="F110" s="659" t="s">
        <v>191</v>
      </c>
      <c r="G110"/>
      <c r="H110"/>
    </row>
    <row r="111" spans="1:8">
      <c r="A111" s="658">
        <v>31</v>
      </c>
      <c r="B111" s="53">
        <f>'LONGITUD DE MUROS'!B84</f>
        <v>0</v>
      </c>
      <c r="C111" s="53">
        <f>'LONGITUD DE MUROS'!C84</f>
        <v>0</v>
      </c>
      <c r="D111" s="68" t="s">
        <v>130</v>
      </c>
      <c r="E111" s="306">
        <f>'ELEM. MECA.'!I237</f>
        <v>0</v>
      </c>
      <c r="F111" s="659" t="s">
        <v>191</v>
      </c>
    </row>
    <row r="112" spans="1:8">
      <c r="A112" s="658">
        <v>32</v>
      </c>
      <c r="B112" s="53">
        <f>'LONGITUD DE MUROS'!B85</f>
        <v>0</v>
      </c>
      <c r="C112" s="53">
        <f>'LONGITUD DE MUROS'!C85</f>
        <v>0</v>
      </c>
      <c r="D112" s="68" t="s">
        <v>130</v>
      </c>
      <c r="E112" s="306">
        <f>'ELEM. MECA.'!I238</f>
        <v>0</v>
      </c>
      <c r="F112" s="659" t="s">
        <v>191</v>
      </c>
    </row>
    <row r="113" spans="1:6">
      <c r="A113" s="658">
        <v>33</v>
      </c>
      <c r="B113" s="53">
        <f>'LONGITUD DE MUROS'!B86</f>
        <v>0</v>
      </c>
      <c r="C113" s="53">
        <f>'LONGITUD DE MUROS'!C86</f>
        <v>0</v>
      </c>
      <c r="D113" s="68" t="s">
        <v>130</v>
      </c>
      <c r="E113" s="306">
        <f>'ELEM. MECA.'!I239</f>
        <v>0</v>
      </c>
      <c r="F113" s="659" t="s">
        <v>191</v>
      </c>
    </row>
    <row r="114" spans="1:6">
      <c r="A114" s="658">
        <v>34</v>
      </c>
      <c r="B114" s="53">
        <f>'LONGITUD DE MUROS'!B87</f>
        <v>0</v>
      </c>
      <c r="C114" s="53">
        <f>'LONGITUD DE MUROS'!C87</f>
        <v>0</v>
      </c>
      <c r="D114" s="68" t="s">
        <v>130</v>
      </c>
      <c r="E114" s="306">
        <f>'ELEM. MECA.'!I240</f>
        <v>0</v>
      </c>
      <c r="F114" s="659" t="s">
        <v>191</v>
      </c>
    </row>
    <row r="115" spans="1:6">
      <c r="A115" s="658">
        <v>35</v>
      </c>
      <c r="B115" s="53">
        <f>'LONGITUD DE MUROS'!B88</f>
        <v>0</v>
      </c>
      <c r="C115" s="53">
        <f>'LONGITUD DE MUROS'!C88</f>
        <v>0</v>
      </c>
      <c r="D115" s="68" t="s">
        <v>130</v>
      </c>
      <c r="E115" s="306">
        <f>'ELEM. MECA.'!I241</f>
        <v>0</v>
      </c>
      <c r="F115" s="659" t="s">
        <v>191</v>
      </c>
    </row>
    <row r="116" spans="1:6">
      <c r="A116" s="658">
        <v>36</v>
      </c>
      <c r="B116" s="53">
        <f>'LONGITUD DE MUROS'!B89</f>
        <v>0</v>
      </c>
      <c r="C116" s="53">
        <f>'LONGITUD DE MUROS'!C89</f>
        <v>0</v>
      </c>
      <c r="D116" s="68" t="s">
        <v>130</v>
      </c>
      <c r="E116" s="306">
        <f>'ELEM. MECA.'!I242</f>
        <v>0</v>
      </c>
      <c r="F116" s="659" t="s">
        <v>191</v>
      </c>
    </row>
    <row r="117" spans="1:6">
      <c r="A117" s="658">
        <v>37</v>
      </c>
      <c r="B117" s="53">
        <f>'LONGITUD DE MUROS'!B90</f>
        <v>0</v>
      </c>
      <c r="C117" s="53">
        <f>'LONGITUD DE MUROS'!C90</f>
        <v>0</v>
      </c>
      <c r="D117" s="68" t="s">
        <v>130</v>
      </c>
      <c r="E117" s="306">
        <f>'ELEM. MECA.'!I243</f>
        <v>0</v>
      </c>
      <c r="F117" s="659" t="s">
        <v>191</v>
      </c>
    </row>
    <row r="118" spans="1:6">
      <c r="A118" s="658">
        <v>38</v>
      </c>
      <c r="B118" s="53">
        <f>'LONGITUD DE MUROS'!B91</f>
        <v>0</v>
      </c>
      <c r="C118" s="53">
        <f>'LONGITUD DE MUROS'!C91</f>
        <v>0</v>
      </c>
      <c r="D118" s="68" t="s">
        <v>130</v>
      </c>
      <c r="E118" s="306">
        <f>'ELEM. MECA.'!I244</f>
        <v>0</v>
      </c>
      <c r="F118" s="659" t="s">
        <v>191</v>
      </c>
    </row>
    <row r="119" spans="1:6">
      <c r="A119" s="658">
        <v>39</v>
      </c>
      <c r="B119" s="53">
        <f>'LONGITUD DE MUROS'!B92</f>
        <v>0</v>
      </c>
      <c r="C119" s="53">
        <f>'LONGITUD DE MUROS'!C92</f>
        <v>0</v>
      </c>
      <c r="D119" s="68" t="s">
        <v>130</v>
      </c>
      <c r="E119" s="306">
        <f>'ELEM. MECA.'!I245</f>
        <v>0</v>
      </c>
      <c r="F119" s="659" t="s">
        <v>191</v>
      </c>
    </row>
    <row r="120" spans="1:6">
      <c r="A120" s="658">
        <v>40</v>
      </c>
      <c r="B120" s="53">
        <f>'LONGITUD DE MUROS'!B93</f>
        <v>0</v>
      </c>
      <c r="C120" s="53">
        <f>'LONGITUD DE MUROS'!C93</f>
        <v>0</v>
      </c>
      <c r="D120" s="68" t="s">
        <v>130</v>
      </c>
      <c r="E120" s="306">
        <f>'ELEM. MECA.'!I246</f>
        <v>0</v>
      </c>
      <c r="F120" s="659" t="s">
        <v>191</v>
      </c>
    </row>
    <row r="121" spans="1:6">
      <c r="A121" s="658">
        <v>41</v>
      </c>
      <c r="B121" s="53">
        <f>'LONGITUD DE MUROS'!B94</f>
        <v>0</v>
      </c>
      <c r="C121" s="53">
        <f>'LONGITUD DE MUROS'!C94</f>
        <v>0</v>
      </c>
      <c r="D121" s="68" t="s">
        <v>130</v>
      </c>
      <c r="E121" s="306">
        <f>'ELEM. MECA.'!I247</f>
        <v>0</v>
      </c>
      <c r="F121" s="659" t="s">
        <v>191</v>
      </c>
    </row>
    <row r="122" spans="1:6">
      <c r="A122" s="658">
        <v>42</v>
      </c>
      <c r="B122" s="53">
        <f>'LONGITUD DE MUROS'!B95</f>
        <v>0</v>
      </c>
      <c r="C122" s="53">
        <f>'LONGITUD DE MUROS'!C95</f>
        <v>0</v>
      </c>
      <c r="D122" s="68" t="s">
        <v>130</v>
      </c>
      <c r="E122" s="306">
        <f>'ELEM. MECA.'!I248</f>
        <v>0</v>
      </c>
      <c r="F122" s="659" t="s">
        <v>191</v>
      </c>
    </row>
    <row r="123" spans="1:6">
      <c r="A123" s="658">
        <v>43</v>
      </c>
      <c r="B123" s="53">
        <f>'LONGITUD DE MUROS'!B96</f>
        <v>0</v>
      </c>
      <c r="C123" s="53">
        <f>'LONGITUD DE MUROS'!C96</f>
        <v>0</v>
      </c>
      <c r="D123" s="68" t="s">
        <v>130</v>
      </c>
      <c r="E123" s="306">
        <f>'ELEM. MECA.'!I249</f>
        <v>0</v>
      </c>
      <c r="F123" s="659" t="s">
        <v>191</v>
      </c>
    </row>
    <row r="124" spans="1:6">
      <c r="A124" s="658">
        <v>44</v>
      </c>
      <c r="B124" s="53">
        <f>'LONGITUD DE MUROS'!B97</f>
        <v>0</v>
      </c>
      <c r="C124" s="53">
        <f>'LONGITUD DE MUROS'!C97</f>
        <v>0</v>
      </c>
      <c r="D124" s="68" t="s">
        <v>130</v>
      </c>
      <c r="E124" s="306">
        <f>'ELEM. MECA.'!I250</f>
        <v>0</v>
      </c>
      <c r="F124" s="659" t="s">
        <v>191</v>
      </c>
    </row>
    <row r="125" spans="1:6">
      <c r="A125" s="658">
        <v>45</v>
      </c>
      <c r="B125" s="53">
        <f>'LONGITUD DE MUROS'!B98</f>
        <v>0</v>
      </c>
      <c r="C125" s="53">
        <f>'LONGITUD DE MUROS'!C98</f>
        <v>0</v>
      </c>
      <c r="D125" s="68" t="s">
        <v>130</v>
      </c>
      <c r="E125" s="306">
        <f>'ELEM. MECA.'!I251</f>
        <v>0</v>
      </c>
      <c r="F125" s="659" t="s">
        <v>191</v>
      </c>
    </row>
    <row r="126" spans="1:6">
      <c r="A126" s="658">
        <v>46</v>
      </c>
      <c r="B126" s="53">
        <f>'LONGITUD DE MUROS'!B99</f>
        <v>0</v>
      </c>
      <c r="C126" s="53">
        <f>'LONGITUD DE MUROS'!C99</f>
        <v>0</v>
      </c>
      <c r="D126" s="68" t="s">
        <v>130</v>
      </c>
      <c r="E126" s="306">
        <f>'ELEM. MECA.'!I252</f>
        <v>0</v>
      </c>
      <c r="F126" s="659" t="s">
        <v>191</v>
      </c>
    </row>
    <row r="127" spans="1:6">
      <c r="A127" s="658">
        <v>47</v>
      </c>
      <c r="B127" s="53">
        <f>'LONGITUD DE MUROS'!B100</f>
        <v>0</v>
      </c>
      <c r="C127" s="53">
        <f>'LONGITUD DE MUROS'!C100</f>
        <v>0</v>
      </c>
      <c r="D127" s="68" t="s">
        <v>130</v>
      </c>
      <c r="E127" s="306">
        <f>'ELEM. MECA.'!I253</f>
        <v>0</v>
      </c>
      <c r="F127" s="659" t="s">
        <v>191</v>
      </c>
    </row>
    <row r="128" spans="1:6">
      <c r="A128" s="658">
        <v>48</v>
      </c>
      <c r="B128" s="53">
        <f>'LONGITUD DE MUROS'!B101</f>
        <v>0</v>
      </c>
      <c r="C128" s="53">
        <f>'LONGITUD DE MUROS'!C101</f>
        <v>0</v>
      </c>
      <c r="D128" s="68" t="s">
        <v>130</v>
      </c>
      <c r="E128" s="306">
        <f>'ELEM. MECA.'!I254</f>
        <v>0</v>
      </c>
      <c r="F128" s="659" t="s">
        <v>191</v>
      </c>
    </row>
    <row r="129" spans="1:6">
      <c r="A129" s="658">
        <v>49</v>
      </c>
      <c r="B129" s="53">
        <f>'LONGITUD DE MUROS'!B102</f>
        <v>0</v>
      </c>
      <c r="C129" s="53">
        <f>'LONGITUD DE MUROS'!C102</f>
        <v>0</v>
      </c>
      <c r="D129" s="68" t="s">
        <v>130</v>
      </c>
      <c r="E129" s="306">
        <f>'ELEM. MECA.'!I255</f>
        <v>0</v>
      </c>
      <c r="F129" s="659" t="s">
        <v>191</v>
      </c>
    </row>
    <row r="130" spans="1:6" ht="15.75" thickBot="1">
      <c r="A130" s="660">
        <v>50</v>
      </c>
      <c r="B130" s="908">
        <f>'LONGITUD DE MUROS'!B103</f>
        <v>0</v>
      </c>
      <c r="C130" s="661">
        <f>'LONGITUD DE MUROS'!C103</f>
        <v>0</v>
      </c>
      <c r="D130" s="662" t="s">
        <v>130</v>
      </c>
      <c r="E130" s="663">
        <f>'ELEM. MECA.'!I256</f>
        <v>0</v>
      </c>
      <c r="F130" s="664" t="s">
        <v>191</v>
      </c>
    </row>
  </sheetData>
  <mergeCells count="3">
    <mergeCell ref="D20:F20"/>
    <mergeCell ref="A14:F14"/>
    <mergeCell ref="A15:F15"/>
  </mergeCells>
  <phoneticPr fontId="0" type="noConversion"/>
  <pageMargins left="0.59055118110236227" right="0.39370078740157483" top="0.39370078740157483" bottom="0.39370078740157483" header="0" footer="0"/>
  <pageSetup scale="68" orientation="portrait" horizontalDpi="300" verticalDpi="300" r:id="rId1"/>
  <headerFooter alignWithMargins="0">
    <oddHeader xml:space="preserve">&amp;R&amp;"Arial,Negrita"&amp;26
</oddHeader>
    <oddFooter>&amp;L&amp;"Arial,Normal"TEL (FAX) 01 951 51 4 28 30&amp;C___________________________________________________________________________________________________________________________________
.&amp;R&amp;"Arial,Normal"CED. PROF. 1718634</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B6564-3947-4052-90AD-1C692DF1F207}">
  <sheetPr codeName="Hoja6">
    <tabColor theme="5" tint="0.39997558519241921"/>
  </sheetPr>
  <dimension ref="A1:J129"/>
  <sheetViews>
    <sheetView showGridLines="0" zoomScaleNormal="100" workbookViewId="0">
      <selection activeCell="A13" sqref="A13:F86"/>
    </sheetView>
  </sheetViews>
  <sheetFormatPr baseColWidth="10" defaultColWidth="11" defaultRowHeight="15"/>
  <cols>
    <col min="1" max="1" width="7.625" style="4" customWidth="1"/>
    <col min="2" max="2" width="8.625" style="4" customWidth="1"/>
    <col min="3" max="3" width="9.875" style="4" customWidth="1"/>
    <col min="4" max="4" width="17.875" style="4" customWidth="1"/>
    <col min="5" max="5" width="17.375" style="4" customWidth="1"/>
    <col min="6" max="6" width="11.125" style="4" customWidth="1"/>
    <col min="7" max="16384" width="11" style="4"/>
  </cols>
  <sheetData>
    <row r="1" spans="1:6" customFormat="1" ht="12.75">
      <c r="A1" s="518"/>
      <c r="B1" s="518"/>
      <c r="C1" s="518"/>
      <c r="D1" s="518"/>
      <c r="E1" s="518"/>
    </row>
    <row r="2" spans="1:6" customFormat="1" ht="12.75">
      <c r="A2" s="518"/>
      <c r="B2" s="518"/>
      <c r="C2" s="518"/>
      <c r="D2" s="518"/>
      <c r="E2" s="518"/>
    </row>
    <row r="3" spans="1:6" customFormat="1" ht="12.75">
      <c r="A3" s="518"/>
      <c r="B3" s="518"/>
      <c r="C3" s="518"/>
      <c r="D3" s="518"/>
      <c r="E3" s="518"/>
    </row>
    <row r="4" spans="1:6" customFormat="1" ht="12.75">
      <c r="A4" s="518"/>
      <c r="B4" s="518"/>
      <c r="C4" s="518"/>
      <c r="D4" s="518"/>
      <c r="E4" s="518"/>
    </row>
    <row r="5" spans="1:6" customFormat="1" ht="12.75">
      <c r="A5" s="518"/>
      <c r="B5" s="518"/>
      <c r="C5" s="518"/>
      <c r="D5" s="518"/>
      <c r="E5" s="518"/>
    </row>
    <row r="6" spans="1:6" customFormat="1" ht="12.75">
      <c r="A6" s="518"/>
      <c r="B6" s="518"/>
      <c r="C6" s="518"/>
      <c r="D6" s="518"/>
      <c r="E6" s="518"/>
    </row>
    <row r="7" spans="1:6">
      <c r="A7" s="4" t="str">
        <f>'CG. MPB'!A7</f>
        <v>PROPIETARIO   : ING. ROLANDO ORTIZ RAMOS</v>
      </c>
    </row>
    <row r="8" spans="1:6">
      <c r="A8" s="4" t="str">
        <f>'CG. MPB'!A8</f>
        <v xml:space="preserve">OBRA                   : </v>
      </c>
    </row>
    <row r="9" spans="1:6">
      <c r="A9" s="4" t="str">
        <f>'CG. MPB'!A9</f>
        <v>LOCALIZACION : 1ª PRIVADA 13 DE SEPTIEMBRE, COL. VICENTE SUAREZ</v>
      </c>
    </row>
    <row r="10" spans="1:6" hidden="1">
      <c r="A10" s="4">
        <f>'CG. MPB'!A10</f>
        <v>0</v>
      </c>
    </row>
    <row r="11" spans="1:6" hidden="1">
      <c r="A11" s="4" t="str">
        <f>'CG. MPB'!A11</f>
        <v>TABLA No. 1</v>
      </c>
    </row>
    <row r="12" spans="1:6" ht="15.75" thickBot="1"/>
    <row r="13" spans="1:6" ht="15.75">
      <c r="A13" s="15"/>
      <c r="B13" s="16"/>
      <c r="C13" s="16"/>
      <c r="D13" s="16"/>
      <c r="E13" s="14"/>
      <c r="F13" s="65"/>
    </row>
    <row r="14" spans="1:6" ht="18">
      <c r="A14" s="1115" t="s">
        <v>215</v>
      </c>
      <c r="B14" s="1116"/>
      <c r="C14" s="1116"/>
      <c r="D14" s="1116"/>
      <c r="E14" s="1116"/>
      <c r="F14" s="1117"/>
    </row>
    <row r="15" spans="1:6" ht="15.75">
      <c r="A15" s="1118" t="s">
        <v>451</v>
      </c>
      <c r="B15" s="1119"/>
      <c r="C15" s="1119"/>
      <c r="D15" s="1119"/>
      <c r="E15" s="1119"/>
      <c r="F15" s="1120"/>
    </row>
    <row r="16" spans="1:6" ht="16.5" thickBot="1">
      <c r="A16" s="136"/>
      <c r="B16" s="18"/>
      <c r="C16" s="18"/>
      <c r="D16" s="18"/>
      <c r="E16" s="19"/>
      <c r="F16" s="66"/>
    </row>
    <row r="17" spans="1:6" ht="15.75">
      <c r="A17" s="646"/>
      <c r="B17" s="9"/>
      <c r="C17" s="9"/>
      <c r="D17" s="9"/>
      <c r="F17" s="210"/>
    </row>
    <row r="18" spans="1:6" ht="15.75" hidden="1">
      <c r="A18" s="588" t="s">
        <v>91</v>
      </c>
      <c r="B18" s="26" t="s">
        <v>92</v>
      </c>
      <c r="C18" s="26" t="s">
        <v>93</v>
      </c>
      <c r="D18" s="26" t="s">
        <v>100</v>
      </c>
      <c r="E18" s="26" t="s">
        <v>101</v>
      </c>
      <c r="F18" s="589" t="s">
        <v>102</v>
      </c>
    </row>
    <row r="19" spans="1:6" ht="15.75">
      <c r="A19" s="647"/>
      <c r="B19" s="648"/>
      <c r="C19" s="648"/>
      <c r="F19" s="210"/>
    </row>
    <row r="20" spans="1:6" ht="15.75">
      <c r="A20" s="649"/>
      <c r="B20" s="23"/>
      <c r="C20" s="64"/>
      <c r="D20" s="1112" t="s">
        <v>275</v>
      </c>
      <c r="E20" s="1121"/>
      <c r="F20" s="1114"/>
    </row>
    <row r="21" spans="1:6" ht="15.75">
      <c r="A21" s="650" t="s">
        <v>4</v>
      </c>
      <c r="B21" s="26" t="s">
        <v>109</v>
      </c>
      <c r="C21" s="52" t="s">
        <v>6</v>
      </c>
      <c r="D21" s="64"/>
      <c r="E21" s="532" t="s">
        <v>185</v>
      </c>
      <c r="F21" s="651"/>
    </row>
    <row r="22" spans="1:6" ht="15.75">
      <c r="A22" s="650"/>
      <c r="B22" s="26" t="s">
        <v>125</v>
      </c>
      <c r="C22" s="52" t="s">
        <v>125</v>
      </c>
      <c r="D22" s="52" t="s">
        <v>198</v>
      </c>
      <c r="E22" s="532" t="s">
        <v>184</v>
      </c>
      <c r="F22" s="652" t="s">
        <v>191</v>
      </c>
    </row>
    <row r="23" spans="1:6" ht="15.75">
      <c r="A23" s="650"/>
      <c r="B23" s="26"/>
      <c r="C23" s="52"/>
      <c r="D23" s="52"/>
      <c r="E23" s="532" t="s">
        <v>188</v>
      </c>
      <c r="F23" s="652"/>
    </row>
    <row r="24" spans="1:6" ht="15.75">
      <c r="A24" s="650"/>
      <c r="B24" s="26"/>
      <c r="C24" s="52"/>
      <c r="D24" s="52"/>
      <c r="E24" s="532" t="s">
        <v>186</v>
      </c>
      <c r="F24" s="652"/>
    </row>
    <row r="25" spans="1:6" ht="15.75">
      <c r="A25" s="650"/>
      <c r="B25" s="26"/>
      <c r="C25" s="52"/>
      <c r="D25" s="52"/>
      <c r="E25" s="532" t="s">
        <v>405</v>
      </c>
      <c r="F25" s="652"/>
    </row>
    <row r="26" spans="1:6" ht="15.75">
      <c r="A26" s="653" t="s">
        <v>0</v>
      </c>
      <c r="B26" s="29"/>
      <c r="C26" s="56"/>
      <c r="D26" s="56" t="s">
        <v>130</v>
      </c>
      <c r="E26" s="532" t="s">
        <v>406</v>
      </c>
      <c r="F26" s="654" t="s">
        <v>188</v>
      </c>
    </row>
    <row r="27" spans="1:6">
      <c r="A27" s="655"/>
      <c r="B27" s="27"/>
      <c r="C27" s="27"/>
      <c r="D27" s="27"/>
      <c r="E27" s="48"/>
      <c r="F27" s="656"/>
    </row>
    <row r="28" spans="1:6" ht="15.75">
      <c r="A28" s="657" t="s">
        <v>87</v>
      </c>
      <c r="B28" s="27"/>
      <c r="C28" s="27"/>
      <c r="D28" s="27"/>
      <c r="E28" s="48"/>
      <c r="F28" s="656"/>
    </row>
    <row r="29" spans="1:6">
      <c r="A29" s="658">
        <v>1</v>
      </c>
      <c r="B29" s="53">
        <f>'LONGITUD DE MUROS'!F2</f>
        <v>0.91999999999999993</v>
      </c>
      <c r="C29" s="53">
        <f>'LONGITUD DE MUROS'!G2</f>
        <v>2.8</v>
      </c>
      <c r="D29" s="68" t="s">
        <v>130</v>
      </c>
      <c r="E29" s="306" t="str">
        <f>'ELEM. MECA.'!R6</f>
        <v>TABICON</v>
      </c>
      <c r="F29" s="659" t="s">
        <v>191</v>
      </c>
    </row>
    <row r="30" spans="1:6">
      <c r="A30" s="658">
        <v>2</v>
      </c>
      <c r="B30" s="53">
        <f>'LONGITUD DE MUROS'!F3</f>
        <v>1.1999999999999993</v>
      </c>
      <c r="C30" s="53">
        <f>'LONGITUD DE MUROS'!G3</f>
        <v>2.8</v>
      </c>
      <c r="D30" s="68" t="s">
        <v>130</v>
      </c>
      <c r="E30" s="306" t="str">
        <f>'ELEM. MECA.'!R7</f>
        <v>CONCRETO</v>
      </c>
      <c r="F30" s="659" t="s">
        <v>191</v>
      </c>
    </row>
    <row r="31" spans="1:6">
      <c r="A31" s="658">
        <v>3</v>
      </c>
      <c r="B31" s="53">
        <f>'LONGITUD DE MUROS'!F4</f>
        <v>1.1449999999999996</v>
      </c>
      <c r="C31" s="53">
        <f>'LONGITUD DE MUROS'!G4</f>
        <v>2.8</v>
      </c>
      <c r="D31" s="68" t="s">
        <v>130</v>
      </c>
      <c r="E31" s="306" t="str">
        <f>'ELEM. MECA.'!R8</f>
        <v>TABICON</v>
      </c>
      <c r="F31" s="659" t="s">
        <v>191</v>
      </c>
    </row>
    <row r="32" spans="1:6">
      <c r="A32" s="658">
        <v>4</v>
      </c>
      <c r="B32" s="53">
        <f>'LONGITUD DE MUROS'!F5</f>
        <v>1.8530000674581746</v>
      </c>
      <c r="C32" s="53">
        <f>'LONGITUD DE MUROS'!G5</f>
        <v>2.8</v>
      </c>
      <c r="D32" s="68" t="s">
        <v>130</v>
      </c>
      <c r="E32" s="306" t="str">
        <f>'ELEM. MECA.'!R9</f>
        <v>TABICON</v>
      </c>
      <c r="F32" s="659" t="s">
        <v>191</v>
      </c>
    </row>
    <row r="33" spans="1:10">
      <c r="A33" s="658">
        <v>5</v>
      </c>
      <c r="B33" s="53">
        <f>'LONGITUD DE MUROS'!F6</f>
        <v>0.82500015151513695</v>
      </c>
      <c r="C33" s="53">
        <f>'LONGITUD DE MUROS'!G6</f>
        <v>2.8</v>
      </c>
      <c r="D33" s="68" t="s">
        <v>130</v>
      </c>
      <c r="E33" s="306" t="str">
        <f>'ELEM. MECA.'!R10</f>
        <v>CONCRETO</v>
      </c>
      <c r="F33" s="659" t="s">
        <v>191</v>
      </c>
    </row>
    <row r="34" spans="1:10">
      <c r="A34" s="658">
        <v>6</v>
      </c>
      <c r="B34" s="53">
        <f>'LONGITUD DE MUROS'!F7</f>
        <v>3.0250000000000004</v>
      </c>
      <c r="C34" s="53">
        <f>'LONGITUD DE MUROS'!G7</f>
        <v>2.8</v>
      </c>
      <c r="D34" s="68" t="s">
        <v>130</v>
      </c>
      <c r="E34" s="306" t="str">
        <f>'ELEM. MECA.'!R11</f>
        <v>TABICON</v>
      </c>
      <c r="F34" s="659" t="s">
        <v>191</v>
      </c>
    </row>
    <row r="35" spans="1:10">
      <c r="A35" s="658">
        <v>7</v>
      </c>
      <c r="B35" s="53">
        <f>'LONGITUD DE MUROS'!F8</f>
        <v>2.75</v>
      </c>
      <c r="C35" s="53">
        <f>'LONGITUD DE MUROS'!G8</f>
        <v>2.8</v>
      </c>
      <c r="D35" s="68" t="s">
        <v>130</v>
      </c>
      <c r="E35" s="306" t="str">
        <f>'ELEM. MECA.'!R12</f>
        <v>TABICON</v>
      </c>
      <c r="F35" s="659" t="s">
        <v>191</v>
      </c>
    </row>
    <row r="36" spans="1:10">
      <c r="A36" s="658">
        <v>8</v>
      </c>
      <c r="B36" s="53">
        <f>'LONGITUD DE MUROS'!F9</f>
        <v>0.80000562498022487</v>
      </c>
      <c r="C36" s="53">
        <f>'LONGITUD DE MUROS'!G9</f>
        <v>2.8</v>
      </c>
      <c r="D36" s="68" t="s">
        <v>130</v>
      </c>
      <c r="E36" s="306" t="str">
        <f>'ELEM. MECA.'!R13</f>
        <v>TABICON</v>
      </c>
      <c r="F36" s="659" t="s">
        <v>191</v>
      </c>
    </row>
    <row r="37" spans="1:10">
      <c r="A37" s="658">
        <v>9</v>
      </c>
      <c r="B37" s="53">
        <f>'LONGITUD DE MUROS'!F10</f>
        <v>2.75</v>
      </c>
      <c r="C37" s="53">
        <f>'LONGITUD DE MUROS'!G10</f>
        <v>2.8</v>
      </c>
      <c r="D37" s="68" t="s">
        <v>130</v>
      </c>
      <c r="E37" s="306" t="str">
        <f>'ELEM. MECA.'!R14</f>
        <v>TABICON</v>
      </c>
      <c r="F37" s="659" t="s">
        <v>191</v>
      </c>
    </row>
    <row r="38" spans="1:10">
      <c r="A38" s="658">
        <v>10</v>
      </c>
      <c r="B38" s="53">
        <f>'LONGITUD DE MUROS'!F11</f>
        <v>1.853</v>
      </c>
      <c r="C38" s="53">
        <f>'LONGITUD DE MUROS'!G11</f>
        <v>2.8</v>
      </c>
      <c r="D38" s="68" t="s">
        <v>130</v>
      </c>
      <c r="E38" s="306" t="str">
        <f>'ELEM. MECA.'!R15</f>
        <v>TABICON</v>
      </c>
      <c r="F38" s="659" t="s">
        <v>191</v>
      </c>
    </row>
    <row r="39" spans="1:10">
      <c r="A39" s="658">
        <v>11</v>
      </c>
      <c r="B39" s="53">
        <f>'LONGITUD DE MUROS'!F12</f>
        <v>2.4250000000000007</v>
      </c>
      <c r="C39" s="53">
        <f>'LONGITUD DE MUROS'!G12</f>
        <v>2.8</v>
      </c>
      <c r="D39" s="68" t="s">
        <v>130</v>
      </c>
      <c r="E39" s="306" t="str">
        <f>'ELEM. MECA.'!R16</f>
        <v>TABICON</v>
      </c>
      <c r="F39" s="659" t="s">
        <v>191</v>
      </c>
    </row>
    <row r="40" spans="1:10">
      <c r="A40" s="658">
        <v>12</v>
      </c>
      <c r="B40" s="53">
        <f>'LONGITUD DE MUROS'!F13</f>
        <v>2.75</v>
      </c>
      <c r="C40" s="53">
        <f>'LONGITUD DE MUROS'!G13</f>
        <v>2.8</v>
      </c>
      <c r="D40" s="68" t="s">
        <v>130</v>
      </c>
      <c r="E40" s="306" t="str">
        <f>'ELEM. MECA.'!R17</f>
        <v>TABICON</v>
      </c>
      <c r="F40" s="659" t="s">
        <v>191</v>
      </c>
    </row>
    <row r="41" spans="1:10">
      <c r="A41" s="658">
        <v>13</v>
      </c>
      <c r="B41" s="53">
        <f>'LONGITUD DE MUROS'!F14</f>
        <v>3.7470000333600222</v>
      </c>
      <c r="C41" s="53">
        <f>'LONGITUD DE MUROS'!G14</f>
        <v>2.8</v>
      </c>
      <c r="D41" s="68" t="s">
        <v>130</v>
      </c>
      <c r="E41" s="306" t="str">
        <f>'ELEM. MECA.'!R18</f>
        <v>TABICON</v>
      </c>
      <c r="F41" s="659" t="s">
        <v>191</v>
      </c>
    </row>
    <row r="42" spans="1:10" ht="15.75" thickBot="1">
      <c r="A42" s="658">
        <v>14</v>
      </c>
      <c r="B42" s="53">
        <f>'LONGITUD DE MUROS'!F15</f>
        <v>2.5750000485436884</v>
      </c>
      <c r="C42" s="53">
        <f>'LONGITUD DE MUROS'!G15</f>
        <v>2.8</v>
      </c>
      <c r="D42" s="68" t="s">
        <v>130</v>
      </c>
      <c r="E42" s="306" t="str">
        <f>'ELEM. MECA.'!R19</f>
        <v>TABICON</v>
      </c>
      <c r="F42" s="659" t="s">
        <v>191</v>
      </c>
      <c r="J42" s="88"/>
    </row>
    <row r="43" spans="1:10" hidden="1">
      <c r="A43" s="658">
        <v>15</v>
      </c>
      <c r="B43" s="53">
        <f>'LONGITUD DE MUROS'!F16</f>
        <v>0</v>
      </c>
      <c r="C43" s="53">
        <f>'LONGITUD DE MUROS'!G16</f>
        <v>0</v>
      </c>
      <c r="D43" s="68" t="s">
        <v>130</v>
      </c>
      <c r="E43" s="306">
        <f>'ELEM. MECA.'!R20</f>
        <v>0</v>
      </c>
      <c r="F43" s="659" t="s">
        <v>191</v>
      </c>
      <c r="J43" s="88"/>
    </row>
    <row r="44" spans="1:10" hidden="1">
      <c r="A44" s="658">
        <v>16</v>
      </c>
      <c r="B44" s="53">
        <f>'LONGITUD DE MUROS'!F17</f>
        <v>0</v>
      </c>
      <c r="C44" s="53">
        <f>'LONGITUD DE MUROS'!G17</f>
        <v>0</v>
      </c>
      <c r="D44" s="68" t="s">
        <v>130</v>
      </c>
      <c r="E44" s="306">
        <f>'ELEM. MECA.'!R21</f>
        <v>0</v>
      </c>
      <c r="F44" s="659" t="s">
        <v>191</v>
      </c>
      <c r="J44" s="88"/>
    </row>
    <row r="45" spans="1:10" hidden="1">
      <c r="A45" s="658">
        <v>17</v>
      </c>
      <c r="B45" s="53">
        <f>'LONGITUD DE MUROS'!F18</f>
        <v>0</v>
      </c>
      <c r="C45" s="53">
        <f>'LONGITUD DE MUROS'!G18</f>
        <v>0</v>
      </c>
      <c r="D45" s="68" t="s">
        <v>130</v>
      </c>
      <c r="E45" s="306">
        <f>'ELEM. MECA.'!R22</f>
        <v>0</v>
      </c>
      <c r="F45" s="659" t="s">
        <v>191</v>
      </c>
      <c r="J45" s="88"/>
    </row>
    <row r="46" spans="1:10" hidden="1">
      <c r="A46" s="658">
        <v>18</v>
      </c>
      <c r="B46" s="53">
        <f>'LONGITUD DE MUROS'!F19</f>
        <v>0</v>
      </c>
      <c r="C46" s="53">
        <f>'LONGITUD DE MUROS'!G19</f>
        <v>0</v>
      </c>
      <c r="D46" s="68" t="s">
        <v>130</v>
      </c>
      <c r="E46" s="306">
        <f>'ELEM. MECA.'!R23</f>
        <v>0</v>
      </c>
      <c r="F46" s="659" t="s">
        <v>191</v>
      </c>
      <c r="J46" s="88"/>
    </row>
    <row r="47" spans="1:10" hidden="1">
      <c r="A47" s="658">
        <v>19</v>
      </c>
      <c r="B47" s="53">
        <f>'LONGITUD DE MUROS'!F20</f>
        <v>0</v>
      </c>
      <c r="C47" s="53">
        <f>'LONGITUD DE MUROS'!G20</f>
        <v>0</v>
      </c>
      <c r="D47" s="68" t="s">
        <v>130</v>
      </c>
      <c r="E47" s="306">
        <f>'ELEM. MECA.'!R24</f>
        <v>0</v>
      </c>
      <c r="F47" s="659" t="s">
        <v>191</v>
      </c>
      <c r="J47" s="88"/>
    </row>
    <row r="48" spans="1:10" hidden="1">
      <c r="A48" s="658">
        <v>20</v>
      </c>
      <c r="B48" s="53">
        <f>'LONGITUD DE MUROS'!F21</f>
        <v>0</v>
      </c>
      <c r="C48" s="53">
        <f>'LONGITUD DE MUROS'!G21</f>
        <v>0</v>
      </c>
      <c r="D48" s="68" t="s">
        <v>130</v>
      </c>
      <c r="E48" s="306">
        <f>'ELEM. MECA.'!R25</f>
        <v>0</v>
      </c>
      <c r="F48" s="659" t="s">
        <v>191</v>
      </c>
      <c r="J48" s="88"/>
    </row>
    <row r="49" spans="1:10" hidden="1">
      <c r="A49" s="658">
        <v>21</v>
      </c>
      <c r="B49" s="53">
        <f>'LONGITUD DE MUROS'!F22</f>
        <v>0</v>
      </c>
      <c r="C49" s="53">
        <f>'LONGITUD DE MUROS'!G22</f>
        <v>0</v>
      </c>
      <c r="D49" s="68" t="s">
        <v>130</v>
      </c>
      <c r="E49" s="306">
        <f>'ELEM. MECA.'!R26</f>
        <v>0</v>
      </c>
      <c r="F49" s="659" t="s">
        <v>191</v>
      </c>
      <c r="J49" s="88"/>
    </row>
    <row r="50" spans="1:10" hidden="1">
      <c r="A50" s="658">
        <v>22</v>
      </c>
      <c r="B50" s="53">
        <f>'LONGITUD DE MUROS'!F23</f>
        <v>0</v>
      </c>
      <c r="C50" s="53">
        <f>'LONGITUD DE MUROS'!G23</f>
        <v>0</v>
      </c>
      <c r="D50" s="68" t="s">
        <v>130</v>
      </c>
      <c r="E50" s="306">
        <f>'ELEM. MECA.'!R27</f>
        <v>0</v>
      </c>
      <c r="F50" s="659" t="s">
        <v>191</v>
      </c>
      <c r="J50" s="88"/>
    </row>
    <row r="51" spans="1:10" ht="15.75" hidden="1" thickBot="1">
      <c r="A51" s="658">
        <v>23</v>
      </c>
      <c r="B51" s="53">
        <f>'LONGITUD DE MUROS'!F24</f>
        <v>0</v>
      </c>
      <c r="C51" s="53">
        <f>'LONGITUD DE MUROS'!G24</f>
        <v>0</v>
      </c>
      <c r="D51" s="68" t="s">
        <v>130</v>
      </c>
      <c r="E51" s="306">
        <f>'ELEM. MECA.'!R28</f>
        <v>0</v>
      </c>
      <c r="F51" s="659" t="s">
        <v>191</v>
      </c>
      <c r="J51" s="88"/>
    </row>
    <row r="52" spans="1:10" hidden="1">
      <c r="A52" s="658">
        <v>24</v>
      </c>
      <c r="B52" s="53">
        <f>'LONGITUD DE MUROS'!F25</f>
        <v>0</v>
      </c>
      <c r="C52" s="53">
        <f>'LONGITUD DE MUROS'!G25</f>
        <v>0</v>
      </c>
      <c r="D52" s="68" t="s">
        <v>130</v>
      </c>
      <c r="E52" s="306">
        <f>'ELEM. MECA.'!R29</f>
        <v>0</v>
      </c>
      <c r="F52" s="659" t="s">
        <v>191</v>
      </c>
      <c r="J52" s="88"/>
    </row>
    <row r="53" spans="1:10" hidden="1">
      <c r="A53" s="658">
        <v>25</v>
      </c>
      <c r="B53" s="53">
        <f>'LONGITUD DE MUROS'!F26</f>
        <v>0</v>
      </c>
      <c r="C53" s="53">
        <f>'LONGITUD DE MUROS'!G26</f>
        <v>0</v>
      </c>
      <c r="D53" s="68" t="s">
        <v>130</v>
      </c>
      <c r="E53" s="306">
        <f>'ELEM. MECA.'!R30</f>
        <v>0</v>
      </c>
      <c r="F53" s="659" t="s">
        <v>191</v>
      </c>
      <c r="J53" s="88"/>
    </row>
    <row r="54" spans="1:10" hidden="1">
      <c r="A54" s="658">
        <v>26</v>
      </c>
      <c r="B54" s="53">
        <f>'LONGITUD DE MUROS'!F27</f>
        <v>0</v>
      </c>
      <c r="C54" s="53">
        <f>'LONGITUD DE MUROS'!G27</f>
        <v>0</v>
      </c>
      <c r="D54" s="68" t="s">
        <v>130</v>
      </c>
      <c r="E54" s="306">
        <f>'ELEM. MECA.'!R31</f>
        <v>0</v>
      </c>
      <c r="F54" s="659" t="s">
        <v>191</v>
      </c>
      <c r="J54" s="88"/>
    </row>
    <row r="55" spans="1:10" hidden="1">
      <c r="A55" s="658">
        <v>27</v>
      </c>
      <c r="B55" s="53">
        <f>'LONGITUD DE MUROS'!F28</f>
        <v>0</v>
      </c>
      <c r="C55" s="53">
        <f>'LONGITUD DE MUROS'!G28</f>
        <v>0</v>
      </c>
      <c r="D55" s="68" t="s">
        <v>130</v>
      </c>
      <c r="E55" s="306">
        <f>'ELEM. MECA.'!R32</f>
        <v>0</v>
      </c>
      <c r="F55" s="659" t="s">
        <v>191</v>
      </c>
      <c r="J55" s="88"/>
    </row>
    <row r="56" spans="1:10" hidden="1">
      <c r="A56" s="658">
        <v>28</v>
      </c>
      <c r="B56" s="53">
        <f>'LONGITUD DE MUROS'!F29</f>
        <v>0</v>
      </c>
      <c r="C56" s="53">
        <f>'LONGITUD DE MUROS'!G29</f>
        <v>0</v>
      </c>
      <c r="D56" s="68" t="s">
        <v>130</v>
      </c>
      <c r="E56" s="306">
        <f>'ELEM. MECA.'!R33</f>
        <v>0</v>
      </c>
      <c r="F56" s="659" t="s">
        <v>191</v>
      </c>
      <c r="J56" s="88"/>
    </row>
    <row r="57" spans="1:10" hidden="1">
      <c r="A57" s="658">
        <v>29</v>
      </c>
      <c r="B57" s="53">
        <f>'LONGITUD DE MUROS'!F30</f>
        <v>0</v>
      </c>
      <c r="C57" s="53">
        <f>'LONGITUD DE MUROS'!G30</f>
        <v>0</v>
      </c>
      <c r="D57" s="68" t="s">
        <v>130</v>
      </c>
      <c r="E57" s="306">
        <f>'ELEM. MECA.'!R34</f>
        <v>0</v>
      </c>
      <c r="F57" s="659" t="s">
        <v>191</v>
      </c>
      <c r="J57" s="88"/>
    </row>
    <row r="58" spans="1:10" hidden="1">
      <c r="A58" s="658">
        <v>30</v>
      </c>
      <c r="B58" s="53">
        <f>'LONGITUD DE MUROS'!F31</f>
        <v>0</v>
      </c>
      <c r="C58" s="53">
        <f>'LONGITUD DE MUROS'!G31</f>
        <v>0</v>
      </c>
      <c r="D58" s="68" t="s">
        <v>130</v>
      </c>
      <c r="E58" s="306">
        <f>'ELEM. MECA.'!R35</f>
        <v>0</v>
      </c>
      <c r="F58" s="659" t="s">
        <v>191</v>
      </c>
      <c r="J58" s="88"/>
    </row>
    <row r="59" spans="1:10" hidden="1">
      <c r="A59" s="658">
        <v>31</v>
      </c>
      <c r="B59" s="53">
        <f>'LONGITUD DE MUROS'!F32</f>
        <v>0</v>
      </c>
      <c r="C59" s="53">
        <f>'LONGITUD DE MUROS'!G32</f>
        <v>0</v>
      </c>
      <c r="D59" s="68" t="s">
        <v>130</v>
      </c>
      <c r="E59" s="306">
        <f>'ELEM. MECA.'!R36</f>
        <v>0</v>
      </c>
      <c r="F59" s="659" t="s">
        <v>191</v>
      </c>
      <c r="J59" s="88"/>
    </row>
    <row r="60" spans="1:10" hidden="1">
      <c r="A60" s="658">
        <v>32</v>
      </c>
      <c r="B60" s="53">
        <f>'LONGITUD DE MUROS'!F33</f>
        <v>0</v>
      </c>
      <c r="C60" s="53">
        <f>'LONGITUD DE MUROS'!G33</f>
        <v>0</v>
      </c>
      <c r="D60" s="68" t="s">
        <v>130</v>
      </c>
      <c r="E60" s="306">
        <f>'ELEM. MECA.'!R37</f>
        <v>0</v>
      </c>
      <c r="F60" s="659" t="s">
        <v>191</v>
      </c>
      <c r="J60" s="88"/>
    </row>
    <row r="61" spans="1:10" hidden="1">
      <c r="A61" s="658">
        <v>33</v>
      </c>
      <c r="B61" s="53">
        <f>'LONGITUD DE MUROS'!F34</f>
        <v>0</v>
      </c>
      <c r="C61" s="53">
        <f>'LONGITUD DE MUROS'!G34</f>
        <v>0</v>
      </c>
      <c r="D61" s="68" t="s">
        <v>130</v>
      </c>
      <c r="E61" s="306">
        <f>'ELEM. MECA.'!R38</f>
        <v>0</v>
      </c>
      <c r="F61" s="659" t="s">
        <v>191</v>
      </c>
      <c r="J61" s="88"/>
    </row>
    <row r="62" spans="1:10" hidden="1">
      <c r="A62" s="658">
        <v>34</v>
      </c>
      <c r="B62" s="53">
        <f>'LONGITUD DE MUROS'!F35</f>
        <v>0</v>
      </c>
      <c r="C62" s="53">
        <f>'LONGITUD DE MUROS'!G35</f>
        <v>0</v>
      </c>
      <c r="D62" s="68" t="s">
        <v>130</v>
      </c>
      <c r="E62" s="306">
        <f>'ELEM. MECA.'!R39</f>
        <v>0</v>
      </c>
      <c r="F62" s="659" t="s">
        <v>191</v>
      </c>
      <c r="J62" s="88"/>
    </row>
    <row r="63" spans="1:10" hidden="1">
      <c r="A63" s="658">
        <v>35</v>
      </c>
      <c r="B63" s="53">
        <f>'LONGITUD DE MUROS'!F36</f>
        <v>0</v>
      </c>
      <c r="C63" s="53">
        <f>'LONGITUD DE MUROS'!G36</f>
        <v>0</v>
      </c>
      <c r="D63" s="68" t="s">
        <v>130</v>
      </c>
      <c r="E63" s="306">
        <f>'ELEM. MECA.'!R40</f>
        <v>0</v>
      </c>
      <c r="F63" s="659" t="s">
        <v>191</v>
      </c>
      <c r="J63" s="88"/>
    </row>
    <row r="64" spans="1:10" hidden="1">
      <c r="A64" s="658">
        <v>36</v>
      </c>
      <c r="B64" s="53">
        <f>'LONGITUD DE MUROS'!F37</f>
        <v>0</v>
      </c>
      <c r="C64" s="53">
        <f>'LONGITUD DE MUROS'!G37</f>
        <v>0</v>
      </c>
      <c r="D64" s="68" t="s">
        <v>130</v>
      </c>
      <c r="E64" s="306">
        <f>'ELEM. MECA.'!R41</f>
        <v>0</v>
      </c>
      <c r="F64" s="659" t="s">
        <v>191</v>
      </c>
      <c r="J64" s="88"/>
    </row>
    <row r="65" spans="1:10" hidden="1">
      <c r="A65" s="658">
        <v>37</v>
      </c>
      <c r="B65" s="53">
        <f>'LONGITUD DE MUROS'!F38</f>
        <v>0</v>
      </c>
      <c r="C65" s="53">
        <f>'LONGITUD DE MUROS'!G38</f>
        <v>0</v>
      </c>
      <c r="D65" s="68" t="s">
        <v>130</v>
      </c>
      <c r="E65" s="306">
        <f>'ELEM. MECA.'!R42</f>
        <v>0</v>
      </c>
      <c r="F65" s="659" t="s">
        <v>191</v>
      </c>
      <c r="J65" s="88"/>
    </row>
    <row r="66" spans="1:10" hidden="1">
      <c r="A66" s="658">
        <v>38</v>
      </c>
      <c r="B66" s="53">
        <f>'LONGITUD DE MUROS'!F39</f>
        <v>0</v>
      </c>
      <c r="C66" s="53">
        <f>'LONGITUD DE MUROS'!G39</f>
        <v>0</v>
      </c>
      <c r="D66" s="68" t="s">
        <v>130</v>
      </c>
      <c r="E66" s="306">
        <f>'ELEM. MECA.'!R43</f>
        <v>0</v>
      </c>
      <c r="F66" s="659" t="s">
        <v>191</v>
      </c>
      <c r="J66" s="88"/>
    </row>
    <row r="67" spans="1:10" hidden="1">
      <c r="A67" s="658">
        <v>39</v>
      </c>
      <c r="B67" s="53">
        <f>'LONGITUD DE MUROS'!F40</f>
        <v>0</v>
      </c>
      <c r="C67" s="53">
        <f>'LONGITUD DE MUROS'!G40</f>
        <v>0</v>
      </c>
      <c r="D67" s="68" t="s">
        <v>130</v>
      </c>
      <c r="E67" s="306">
        <f>'ELEM. MECA.'!R44</f>
        <v>0</v>
      </c>
      <c r="F67" s="659" t="s">
        <v>191</v>
      </c>
      <c r="J67" s="88"/>
    </row>
    <row r="68" spans="1:10" hidden="1">
      <c r="A68" s="658">
        <v>40</v>
      </c>
      <c r="B68" s="53">
        <f>'LONGITUD DE MUROS'!F41</f>
        <v>0</v>
      </c>
      <c r="C68" s="53">
        <f>'LONGITUD DE MUROS'!G41</f>
        <v>0</v>
      </c>
      <c r="D68" s="68" t="s">
        <v>130</v>
      </c>
      <c r="E68" s="306">
        <f>'ELEM. MECA.'!R45</f>
        <v>0</v>
      </c>
      <c r="F68" s="659" t="s">
        <v>191</v>
      </c>
      <c r="J68" s="88"/>
    </row>
    <row r="69" spans="1:10" hidden="1">
      <c r="A69" s="658">
        <v>41</v>
      </c>
      <c r="B69" s="53">
        <f>'LONGITUD DE MUROS'!F42</f>
        <v>0</v>
      </c>
      <c r="C69" s="53">
        <f>'LONGITUD DE MUROS'!G42</f>
        <v>0</v>
      </c>
      <c r="D69" s="68" t="s">
        <v>130</v>
      </c>
      <c r="E69" s="306">
        <f>'ELEM. MECA.'!R46</f>
        <v>0</v>
      </c>
      <c r="F69" s="659" t="s">
        <v>191</v>
      </c>
      <c r="J69" s="88"/>
    </row>
    <row r="70" spans="1:10" hidden="1">
      <c r="A70" s="658">
        <v>42</v>
      </c>
      <c r="B70" s="53">
        <f>'LONGITUD DE MUROS'!F43</f>
        <v>0</v>
      </c>
      <c r="C70" s="53">
        <f>'LONGITUD DE MUROS'!G43</f>
        <v>0</v>
      </c>
      <c r="D70" s="68" t="s">
        <v>130</v>
      </c>
      <c r="E70" s="306">
        <f>'ELEM. MECA.'!R47</f>
        <v>0</v>
      </c>
      <c r="F70" s="659" t="s">
        <v>191</v>
      </c>
      <c r="J70" s="88"/>
    </row>
    <row r="71" spans="1:10" hidden="1">
      <c r="A71" s="658">
        <v>43</v>
      </c>
      <c r="B71" s="53">
        <f>'LONGITUD DE MUROS'!F44</f>
        <v>0</v>
      </c>
      <c r="C71" s="53">
        <f>'LONGITUD DE MUROS'!G44</f>
        <v>0</v>
      </c>
      <c r="D71" s="68" t="s">
        <v>130</v>
      </c>
      <c r="E71" s="306">
        <f>'ELEM. MECA.'!R48</f>
        <v>0</v>
      </c>
      <c r="F71" s="659" t="s">
        <v>191</v>
      </c>
      <c r="J71" s="88"/>
    </row>
    <row r="72" spans="1:10" hidden="1">
      <c r="A72" s="658">
        <v>44</v>
      </c>
      <c r="B72" s="53">
        <f>'LONGITUD DE MUROS'!F45</f>
        <v>0</v>
      </c>
      <c r="C72" s="53">
        <f>'LONGITUD DE MUROS'!G45</f>
        <v>0</v>
      </c>
      <c r="D72" s="68" t="s">
        <v>130</v>
      </c>
      <c r="E72" s="306">
        <f>'ELEM. MECA.'!R49</f>
        <v>0</v>
      </c>
      <c r="F72" s="659" t="s">
        <v>191</v>
      </c>
      <c r="J72" s="88"/>
    </row>
    <row r="73" spans="1:10" hidden="1">
      <c r="A73" s="658">
        <v>45</v>
      </c>
      <c r="B73" s="53">
        <f>'LONGITUD DE MUROS'!F46</f>
        <v>0</v>
      </c>
      <c r="C73" s="53">
        <f>'LONGITUD DE MUROS'!G46</f>
        <v>0</v>
      </c>
      <c r="D73" s="68" t="s">
        <v>130</v>
      </c>
      <c r="E73" s="306">
        <f>'ELEM. MECA.'!R50</f>
        <v>0</v>
      </c>
      <c r="F73" s="659" t="s">
        <v>191</v>
      </c>
      <c r="J73" s="88"/>
    </row>
    <row r="74" spans="1:10" hidden="1">
      <c r="A74" s="658">
        <v>46</v>
      </c>
      <c r="B74" s="53">
        <f>'LONGITUD DE MUROS'!F47</f>
        <v>0</v>
      </c>
      <c r="C74" s="53">
        <f>'LONGITUD DE MUROS'!G47</f>
        <v>0</v>
      </c>
      <c r="D74" s="68" t="s">
        <v>130</v>
      </c>
      <c r="E74" s="306">
        <f>'ELEM. MECA.'!R51</f>
        <v>0</v>
      </c>
      <c r="F74" s="659" t="s">
        <v>191</v>
      </c>
      <c r="J74" s="88"/>
    </row>
    <row r="75" spans="1:10" hidden="1">
      <c r="A75" s="658">
        <v>47</v>
      </c>
      <c r="B75" s="53">
        <f>'LONGITUD DE MUROS'!F48</f>
        <v>0</v>
      </c>
      <c r="C75" s="53">
        <f>'LONGITUD DE MUROS'!G48</f>
        <v>0</v>
      </c>
      <c r="D75" s="68" t="s">
        <v>130</v>
      </c>
      <c r="E75" s="306">
        <f>'ELEM. MECA.'!R52</f>
        <v>0</v>
      </c>
      <c r="F75" s="659" t="s">
        <v>191</v>
      </c>
      <c r="J75" s="88"/>
    </row>
    <row r="76" spans="1:10" hidden="1">
      <c r="A76" s="658">
        <v>48</v>
      </c>
      <c r="B76" s="53">
        <f>'LONGITUD DE MUROS'!F49</f>
        <v>0</v>
      </c>
      <c r="C76" s="53">
        <f>'LONGITUD DE MUROS'!G49</f>
        <v>0</v>
      </c>
      <c r="D76" s="68" t="s">
        <v>130</v>
      </c>
      <c r="E76" s="306">
        <f>'ELEM. MECA.'!R53</f>
        <v>0</v>
      </c>
      <c r="F76" s="659" t="s">
        <v>191</v>
      </c>
      <c r="J76" s="88"/>
    </row>
    <row r="77" spans="1:10" hidden="1">
      <c r="A77" s="658">
        <v>49</v>
      </c>
      <c r="B77" s="53">
        <f>'LONGITUD DE MUROS'!F50</f>
        <v>0</v>
      </c>
      <c r="C77" s="53">
        <f>'LONGITUD DE MUROS'!G50</f>
        <v>0</v>
      </c>
      <c r="D77" s="68" t="s">
        <v>130</v>
      </c>
      <c r="E77" s="306">
        <f>'ELEM. MECA.'!R54</f>
        <v>0</v>
      </c>
      <c r="F77" s="659" t="s">
        <v>191</v>
      </c>
      <c r="J77" s="88"/>
    </row>
    <row r="78" spans="1:10" ht="15.75" hidden="1" thickBot="1">
      <c r="A78" s="658">
        <v>50</v>
      </c>
      <c r="B78" s="53">
        <f>'LONGITUD DE MUROS'!F51</f>
        <v>0</v>
      </c>
      <c r="C78" s="53">
        <f>'LONGITUD DE MUROS'!G51</f>
        <v>0</v>
      </c>
      <c r="D78" s="68" t="s">
        <v>130</v>
      </c>
      <c r="E78" s="306">
        <f>'ELEM. MECA.'!R55</f>
        <v>0</v>
      </c>
      <c r="F78" s="659" t="s">
        <v>191</v>
      </c>
      <c r="J78" s="88"/>
    </row>
    <row r="79" spans="1:10" ht="15.75">
      <c r="A79" s="665" t="s">
        <v>88</v>
      </c>
      <c r="B79" s="666"/>
      <c r="C79" s="666"/>
      <c r="D79" s="667"/>
      <c r="E79" s="668"/>
      <c r="F79" s="669"/>
      <c r="J79" s="88"/>
    </row>
    <row r="80" spans="1:10">
      <c r="A80" s="658">
        <v>1</v>
      </c>
      <c r="B80" s="53">
        <f>'LONGITUD DE MUROS'!F54</f>
        <v>1.0254999999999994</v>
      </c>
      <c r="C80" s="53">
        <f>'LONGITUD DE MUROS'!G54</f>
        <v>2.8</v>
      </c>
      <c r="D80" s="68" t="s">
        <v>130</v>
      </c>
      <c r="E80" s="306" t="str">
        <f>'ELEM. MECA.'!R207</f>
        <v>TABICON</v>
      </c>
      <c r="F80" s="659" t="s">
        <v>191</v>
      </c>
      <c r="J80" s="88"/>
    </row>
    <row r="81" spans="1:10">
      <c r="A81" s="658">
        <v>2</v>
      </c>
      <c r="B81" s="53">
        <f>'LONGITUD DE MUROS'!F55</f>
        <v>1.3035000000000005</v>
      </c>
      <c r="C81" s="53">
        <f>'LONGITUD DE MUROS'!G55</f>
        <v>2.8</v>
      </c>
      <c r="D81" s="68" t="s">
        <v>130</v>
      </c>
      <c r="E81" s="306" t="str">
        <f>'ELEM. MECA.'!R208</f>
        <v>TABICON</v>
      </c>
      <c r="F81" s="659" t="s">
        <v>191</v>
      </c>
      <c r="J81" s="88"/>
    </row>
    <row r="82" spans="1:10">
      <c r="A82" s="658">
        <v>3</v>
      </c>
      <c r="B82" s="53">
        <f>'LONGITUD DE MUROS'!F56</f>
        <v>2.6469999999999994</v>
      </c>
      <c r="C82" s="53">
        <f>'LONGITUD DE MUROS'!G56</f>
        <v>2.8</v>
      </c>
      <c r="D82" s="68" t="s">
        <v>130</v>
      </c>
      <c r="E82" s="306" t="str">
        <f>'ELEM. MECA.'!R209</f>
        <v>TABICON</v>
      </c>
      <c r="F82" s="659" t="s">
        <v>191</v>
      </c>
      <c r="J82" s="88"/>
    </row>
    <row r="83" spans="1:10">
      <c r="A83" s="658">
        <v>4</v>
      </c>
      <c r="B83" s="53">
        <f>'LONGITUD DE MUROS'!F57</f>
        <v>3.8499999999999996</v>
      </c>
      <c r="C83" s="53">
        <f>'LONGITUD DE MUROS'!G57</f>
        <v>2.8</v>
      </c>
      <c r="D83" s="68" t="s">
        <v>130</v>
      </c>
      <c r="E83" s="306" t="str">
        <f>'ELEM. MECA.'!R210</f>
        <v>CONCRETO</v>
      </c>
      <c r="F83" s="659" t="s">
        <v>191</v>
      </c>
      <c r="J83" s="88"/>
    </row>
    <row r="84" spans="1:10">
      <c r="A84" s="658">
        <v>5</v>
      </c>
      <c r="B84" s="53">
        <f>'LONGITUD DE MUROS'!F58</f>
        <v>0.59200000000000053</v>
      </c>
      <c r="C84" s="53">
        <f>'LONGITUD DE MUROS'!G58</f>
        <v>2.8</v>
      </c>
      <c r="D84" s="68" t="s">
        <v>130</v>
      </c>
      <c r="E84" s="306" t="str">
        <f>'ELEM. MECA.'!R211</f>
        <v>CONCRETO</v>
      </c>
      <c r="F84" s="659" t="s">
        <v>191</v>
      </c>
    </row>
    <row r="85" spans="1:10">
      <c r="A85" s="658">
        <v>6</v>
      </c>
      <c r="B85" s="53">
        <f>'LONGITUD DE MUROS'!F59</f>
        <v>1.0254999999999994</v>
      </c>
      <c r="C85" s="53">
        <f>'LONGITUD DE MUROS'!G59</f>
        <v>2.8</v>
      </c>
      <c r="D85" s="68" t="s">
        <v>130</v>
      </c>
      <c r="E85" s="306" t="str">
        <f>'ELEM. MECA.'!R212</f>
        <v>CONCRETO</v>
      </c>
      <c r="F85" s="659" t="s">
        <v>191</v>
      </c>
    </row>
    <row r="86" spans="1:10">
      <c r="A86" s="658">
        <v>7</v>
      </c>
      <c r="B86" s="53">
        <f>'LONGITUD DE MUROS'!F60</f>
        <v>3.415</v>
      </c>
      <c r="C86" s="53">
        <f>'LONGITUD DE MUROS'!G60</f>
        <v>2.8</v>
      </c>
      <c r="D86" s="68" t="s">
        <v>130</v>
      </c>
      <c r="E86" s="306" t="str">
        <f>'ELEM. MECA.'!R213</f>
        <v>TABICON</v>
      </c>
      <c r="F86" s="659" t="s">
        <v>191</v>
      </c>
    </row>
    <row r="87" spans="1:10">
      <c r="A87" s="658">
        <v>8</v>
      </c>
      <c r="B87" s="53">
        <f>'LONGITUD DE MUROS'!F61</f>
        <v>0</v>
      </c>
      <c r="C87" s="53">
        <f>'LONGITUD DE MUROS'!G61</f>
        <v>0</v>
      </c>
      <c r="D87" s="68" t="s">
        <v>130</v>
      </c>
      <c r="E87" s="306">
        <f>'ELEM. MECA.'!R214</f>
        <v>0</v>
      </c>
      <c r="F87" s="659" t="s">
        <v>191</v>
      </c>
    </row>
    <row r="88" spans="1:10">
      <c r="A88" s="658">
        <v>9</v>
      </c>
      <c r="B88" s="53">
        <f>'LONGITUD DE MUROS'!F62</f>
        <v>0</v>
      </c>
      <c r="C88" s="53">
        <f>'LONGITUD DE MUROS'!G62</f>
        <v>0</v>
      </c>
      <c r="D88" s="68" t="s">
        <v>130</v>
      </c>
      <c r="E88" s="306">
        <f>'ELEM. MECA.'!R215</f>
        <v>0</v>
      </c>
      <c r="F88" s="659" t="s">
        <v>191</v>
      </c>
    </row>
    <row r="89" spans="1:10">
      <c r="A89" s="658">
        <v>10</v>
      </c>
      <c r="B89" s="53">
        <f>'LONGITUD DE MUROS'!F63</f>
        <v>0</v>
      </c>
      <c r="C89" s="53">
        <f>'LONGITUD DE MUROS'!G63</f>
        <v>0</v>
      </c>
      <c r="D89" s="68" t="s">
        <v>130</v>
      </c>
      <c r="E89" s="306">
        <f>'ELEM. MECA.'!R216</f>
        <v>0</v>
      </c>
      <c r="F89" s="659" t="s">
        <v>191</v>
      </c>
    </row>
    <row r="90" spans="1:10">
      <c r="A90" s="658">
        <v>11</v>
      </c>
      <c r="B90" s="53">
        <f>'LONGITUD DE MUROS'!F64</f>
        <v>0</v>
      </c>
      <c r="C90" s="53">
        <f>'LONGITUD DE MUROS'!G64</f>
        <v>0</v>
      </c>
      <c r="D90" s="68" t="s">
        <v>130</v>
      </c>
      <c r="E90" s="306">
        <f>'ELEM. MECA.'!R217</f>
        <v>0</v>
      </c>
      <c r="F90" s="659" t="s">
        <v>191</v>
      </c>
    </row>
    <row r="91" spans="1:10">
      <c r="A91" s="658">
        <v>12</v>
      </c>
      <c r="B91" s="53">
        <f>'LONGITUD DE MUROS'!F65</f>
        <v>0</v>
      </c>
      <c r="C91" s="53">
        <f>'LONGITUD DE MUROS'!G65</f>
        <v>0</v>
      </c>
      <c r="D91" s="68" t="s">
        <v>130</v>
      </c>
      <c r="E91" s="306">
        <f>'ELEM. MECA.'!R218</f>
        <v>0</v>
      </c>
      <c r="F91" s="659" t="s">
        <v>191</v>
      </c>
    </row>
    <row r="92" spans="1:10">
      <c r="A92" s="658">
        <v>13</v>
      </c>
      <c r="B92" s="53">
        <f>'LONGITUD DE MUROS'!F66</f>
        <v>0</v>
      </c>
      <c r="C92" s="53">
        <f>'LONGITUD DE MUROS'!G66</f>
        <v>0</v>
      </c>
      <c r="D92" s="68" t="s">
        <v>130</v>
      </c>
      <c r="E92" s="306">
        <f>'ELEM. MECA.'!R219</f>
        <v>0</v>
      </c>
      <c r="F92" s="659" t="s">
        <v>191</v>
      </c>
    </row>
    <row r="93" spans="1:10">
      <c r="A93" s="658">
        <v>14</v>
      </c>
      <c r="B93" s="53">
        <f>'LONGITUD DE MUROS'!F67</f>
        <v>0</v>
      </c>
      <c r="C93" s="53">
        <f>'LONGITUD DE MUROS'!G67</f>
        <v>0</v>
      </c>
      <c r="D93" s="68" t="s">
        <v>130</v>
      </c>
      <c r="E93" s="306">
        <f>'ELEM. MECA.'!R220</f>
        <v>0</v>
      </c>
      <c r="F93" s="659" t="s">
        <v>191</v>
      </c>
    </row>
    <row r="94" spans="1:10">
      <c r="A94" s="658">
        <v>15</v>
      </c>
      <c r="B94" s="53">
        <f>'LONGITUD DE MUROS'!F68</f>
        <v>0</v>
      </c>
      <c r="C94" s="53">
        <f>'LONGITUD DE MUROS'!G68</f>
        <v>0</v>
      </c>
      <c r="D94" s="68" t="s">
        <v>130</v>
      </c>
      <c r="E94" s="306">
        <f>'ELEM. MECA.'!R221</f>
        <v>0</v>
      </c>
      <c r="F94" s="659" t="s">
        <v>191</v>
      </c>
    </row>
    <row r="95" spans="1:10">
      <c r="A95" s="658">
        <v>16</v>
      </c>
      <c r="B95" s="53">
        <f>'LONGITUD DE MUROS'!F69</f>
        <v>0</v>
      </c>
      <c r="C95" s="53">
        <f>'LONGITUD DE MUROS'!G69</f>
        <v>0</v>
      </c>
      <c r="D95" s="68" t="s">
        <v>130</v>
      </c>
      <c r="E95" s="306">
        <f>'ELEM. MECA.'!R222</f>
        <v>0</v>
      </c>
      <c r="F95" s="659" t="s">
        <v>191</v>
      </c>
    </row>
    <row r="96" spans="1:10">
      <c r="A96" s="658">
        <v>17</v>
      </c>
      <c r="B96" s="53">
        <f>'LONGITUD DE MUROS'!F70</f>
        <v>0</v>
      </c>
      <c r="C96" s="53">
        <f>'LONGITUD DE MUROS'!G70</f>
        <v>0</v>
      </c>
      <c r="D96" s="68" t="s">
        <v>130</v>
      </c>
      <c r="E96" s="306">
        <f>'ELEM. MECA.'!R223</f>
        <v>0</v>
      </c>
      <c r="F96" s="659" t="s">
        <v>191</v>
      </c>
    </row>
    <row r="97" spans="1:6">
      <c r="A97" s="658">
        <v>18</v>
      </c>
      <c r="B97" s="53">
        <f>'LONGITUD DE MUROS'!F71</f>
        <v>0</v>
      </c>
      <c r="C97" s="53">
        <f>'LONGITUD DE MUROS'!G71</f>
        <v>0</v>
      </c>
      <c r="D97" s="68" t="s">
        <v>130</v>
      </c>
      <c r="E97" s="306">
        <f>'ELEM. MECA.'!R224</f>
        <v>0</v>
      </c>
      <c r="F97" s="659" t="s">
        <v>191</v>
      </c>
    </row>
    <row r="98" spans="1:6">
      <c r="A98" s="658">
        <v>19</v>
      </c>
      <c r="B98" s="53">
        <f>'LONGITUD DE MUROS'!F72</f>
        <v>0</v>
      </c>
      <c r="C98" s="53">
        <f>'LONGITUD DE MUROS'!G72</f>
        <v>0</v>
      </c>
      <c r="D98" s="68" t="s">
        <v>130</v>
      </c>
      <c r="E98" s="306">
        <f>'ELEM. MECA.'!R225</f>
        <v>0</v>
      </c>
      <c r="F98" s="659" t="s">
        <v>191</v>
      </c>
    </row>
    <row r="99" spans="1:6">
      <c r="A99" s="658">
        <v>20</v>
      </c>
      <c r="B99" s="53">
        <f>'LONGITUD DE MUROS'!F73</f>
        <v>0</v>
      </c>
      <c r="C99" s="53">
        <f>'LONGITUD DE MUROS'!G73</f>
        <v>0</v>
      </c>
      <c r="D99" s="68" t="s">
        <v>130</v>
      </c>
      <c r="E99" s="306">
        <f>'ELEM. MECA.'!R226</f>
        <v>0</v>
      </c>
      <c r="F99" s="659" t="s">
        <v>191</v>
      </c>
    </row>
    <row r="100" spans="1:6">
      <c r="A100" s="658">
        <v>21</v>
      </c>
      <c r="B100" s="53">
        <f>'LONGITUD DE MUROS'!F74</f>
        <v>0</v>
      </c>
      <c r="C100" s="53">
        <f>'LONGITUD DE MUROS'!G74</f>
        <v>0</v>
      </c>
      <c r="D100" s="68" t="s">
        <v>130</v>
      </c>
      <c r="E100" s="306">
        <f>'ELEM. MECA.'!R227</f>
        <v>0</v>
      </c>
      <c r="F100" s="659" t="s">
        <v>191</v>
      </c>
    </row>
    <row r="101" spans="1:6">
      <c r="A101" s="658">
        <v>22</v>
      </c>
      <c r="B101" s="53">
        <f>'LONGITUD DE MUROS'!F75</f>
        <v>0</v>
      </c>
      <c r="C101" s="53">
        <f>'LONGITUD DE MUROS'!G75</f>
        <v>0</v>
      </c>
      <c r="D101" s="68" t="s">
        <v>130</v>
      </c>
      <c r="E101" s="306">
        <f>'ELEM. MECA.'!R228</f>
        <v>0</v>
      </c>
      <c r="F101" s="659" t="s">
        <v>191</v>
      </c>
    </row>
    <row r="102" spans="1:6">
      <c r="A102" s="658">
        <v>23</v>
      </c>
      <c r="B102" s="53">
        <f>'LONGITUD DE MUROS'!F76</f>
        <v>0</v>
      </c>
      <c r="C102" s="53">
        <f>'LONGITUD DE MUROS'!G76</f>
        <v>0</v>
      </c>
      <c r="D102" s="68" t="s">
        <v>130</v>
      </c>
      <c r="E102" s="306">
        <f>'ELEM. MECA.'!R229</f>
        <v>0</v>
      </c>
      <c r="F102" s="659" t="s">
        <v>191</v>
      </c>
    </row>
    <row r="103" spans="1:6">
      <c r="A103" s="658">
        <v>24</v>
      </c>
      <c r="B103" s="53">
        <f>'LONGITUD DE MUROS'!F77</f>
        <v>0</v>
      </c>
      <c r="C103" s="53">
        <f>'LONGITUD DE MUROS'!G77</f>
        <v>0</v>
      </c>
      <c r="D103" s="68" t="s">
        <v>130</v>
      </c>
      <c r="E103" s="306">
        <f>'ELEM. MECA.'!R230</f>
        <v>0</v>
      </c>
      <c r="F103" s="659" t="s">
        <v>191</v>
      </c>
    </row>
    <row r="104" spans="1:6">
      <c r="A104" s="658">
        <v>25</v>
      </c>
      <c r="B104" s="53">
        <f>'LONGITUD DE MUROS'!F78</f>
        <v>0</v>
      </c>
      <c r="C104" s="53">
        <f>'LONGITUD DE MUROS'!G78</f>
        <v>0</v>
      </c>
      <c r="D104" s="68" t="s">
        <v>130</v>
      </c>
      <c r="E104" s="306">
        <f>'ELEM. MECA.'!R231</f>
        <v>0</v>
      </c>
      <c r="F104" s="659" t="s">
        <v>191</v>
      </c>
    </row>
    <row r="105" spans="1:6">
      <c r="A105" s="658">
        <v>26</v>
      </c>
      <c r="B105" s="53">
        <f>'LONGITUD DE MUROS'!F79</f>
        <v>0</v>
      </c>
      <c r="C105" s="53">
        <f>'LONGITUD DE MUROS'!G79</f>
        <v>0</v>
      </c>
      <c r="D105" s="68" t="s">
        <v>130</v>
      </c>
      <c r="E105" s="306">
        <f>'ELEM. MECA.'!R232</f>
        <v>0</v>
      </c>
      <c r="F105" s="659" t="s">
        <v>191</v>
      </c>
    </row>
    <row r="106" spans="1:6">
      <c r="A106" s="658">
        <v>27</v>
      </c>
      <c r="B106" s="53">
        <f>'LONGITUD DE MUROS'!F80</f>
        <v>0</v>
      </c>
      <c r="C106" s="53">
        <f>'LONGITUD DE MUROS'!G80</f>
        <v>0</v>
      </c>
      <c r="D106" s="68" t="s">
        <v>130</v>
      </c>
      <c r="E106" s="306">
        <f>'ELEM. MECA.'!R233</f>
        <v>0</v>
      </c>
      <c r="F106" s="659" t="s">
        <v>191</v>
      </c>
    </row>
    <row r="107" spans="1:6">
      <c r="A107" s="658">
        <v>28</v>
      </c>
      <c r="B107" s="53">
        <f>'LONGITUD DE MUROS'!F81</f>
        <v>0</v>
      </c>
      <c r="C107" s="53">
        <f>'LONGITUD DE MUROS'!G81</f>
        <v>0</v>
      </c>
      <c r="D107" s="68" t="s">
        <v>130</v>
      </c>
      <c r="E107" s="306">
        <f>'ELEM. MECA.'!R234</f>
        <v>0</v>
      </c>
      <c r="F107" s="659" t="s">
        <v>191</v>
      </c>
    </row>
    <row r="108" spans="1:6">
      <c r="A108" s="658">
        <v>29</v>
      </c>
      <c r="B108" s="53">
        <f>'LONGITUD DE MUROS'!F82</f>
        <v>0</v>
      </c>
      <c r="C108" s="53">
        <f>'LONGITUD DE MUROS'!G82</f>
        <v>0</v>
      </c>
      <c r="D108" s="68" t="s">
        <v>130</v>
      </c>
      <c r="E108" s="306">
        <f>'ELEM. MECA.'!R235</f>
        <v>0</v>
      </c>
      <c r="F108" s="659" t="s">
        <v>191</v>
      </c>
    </row>
    <row r="109" spans="1:6">
      <c r="A109" s="658">
        <v>30</v>
      </c>
      <c r="B109" s="53">
        <f>'LONGITUD DE MUROS'!F83</f>
        <v>0</v>
      </c>
      <c r="C109" s="53">
        <f>'LONGITUD DE MUROS'!G83</f>
        <v>0</v>
      </c>
      <c r="D109" s="68" t="s">
        <v>130</v>
      </c>
      <c r="E109" s="306">
        <f>'ELEM. MECA.'!R236</f>
        <v>0</v>
      </c>
      <c r="F109" s="659" t="s">
        <v>191</v>
      </c>
    </row>
    <row r="110" spans="1:6">
      <c r="A110" s="658">
        <v>31</v>
      </c>
      <c r="B110" s="53">
        <f>'LONGITUD DE MUROS'!F84</f>
        <v>0</v>
      </c>
      <c r="C110" s="53">
        <f>'LONGITUD DE MUROS'!G84</f>
        <v>0</v>
      </c>
      <c r="D110" s="68" t="s">
        <v>130</v>
      </c>
      <c r="E110" s="306">
        <f>'ELEM. MECA.'!R237</f>
        <v>0</v>
      </c>
      <c r="F110" s="659" t="s">
        <v>191</v>
      </c>
    </row>
    <row r="111" spans="1:6">
      <c r="A111" s="658">
        <v>32</v>
      </c>
      <c r="B111" s="53">
        <f>'LONGITUD DE MUROS'!F85</f>
        <v>0</v>
      </c>
      <c r="C111" s="53">
        <f>'LONGITUD DE MUROS'!G85</f>
        <v>0</v>
      </c>
      <c r="D111" s="68" t="s">
        <v>130</v>
      </c>
      <c r="E111" s="306">
        <f>'ELEM. MECA.'!R238</f>
        <v>0</v>
      </c>
      <c r="F111" s="659" t="s">
        <v>191</v>
      </c>
    </row>
    <row r="112" spans="1:6">
      <c r="A112" s="658">
        <v>33</v>
      </c>
      <c r="B112" s="53">
        <f>'LONGITUD DE MUROS'!F86</f>
        <v>0</v>
      </c>
      <c r="C112" s="53">
        <f>'LONGITUD DE MUROS'!G86</f>
        <v>0</v>
      </c>
      <c r="D112" s="68" t="s">
        <v>130</v>
      </c>
      <c r="E112" s="306">
        <f>'ELEM. MECA.'!R239</f>
        <v>0</v>
      </c>
      <c r="F112" s="659" t="s">
        <v>191</v>
      </c>
    </row>
    <row r="113" spans="1:6">
      <c r="A113" s="658">
        <v>34</v>
      </c>
      <c r="B113" s="53">
        <f>'LONGITUD DE MUROS'!F87</f>
        <v>0</v>
      </c>
      <c r="C113" s="53">
        <f>'LONGITUD DE MUROS'!G87</f>
        <v>0</v>
      </c>
      <c r="D113" s="68" t="s">
        <v>130</v>
      </c>
      <c r="E113" s="306">
        <f>'ELEM. MECA.'!R240</f>
        <v>0</v>
      </c>
      <c r="F113" s="659" t="s">
        <v>191</v>
      </c>
    </row>
    <row r="114" spans="1:6">
      <c r="A114" s="658">
        <v>35</v>
      </c>
      <c r="B114" s="53">
        <f>'LONGITUD DE MUROS'!F88</f>
        <v>0</v>
      </c>
      <c r="C114" s="53">
        <f>'LONGITUD DE MUROS'!G88</f>
        <v>0</v>
      </c>
      <c r="D114" s="68" t="s">
        <v>130</v>
      </c>
      <c r="E114" s="306">
        <f>'ELEM. MECA.'!R241</f>
        <v>0</v>
      </c>
      <c r="F114" s="659" t="s">
        <v>191</v>
      </c>
    </row>
    <row r="115" spans="1:6">
      <c r="A115" s="658">
        <v>36</v>
      </c>
      <c r="B115" s="53">
        <f>'LONGITUD DE MUROS'!F89</f>
        <v>0</v>
      </c>
      <c r="C115" s="53">
        <f>'LONGITUD DE MUROS'!G89</f>
        <v>0</v>
      </c>
      <c r="D115" s="68" t="s">
        <v>130</v>
      </c>
      <c r="E115" s="306">
        <f>'ELEM. MECA.'!R242</f>
        <v>0</v>
      </c>
      <c r="F115" s="659" t="s">
        <v>191</v>
      </c>
    </row>
    <row r="116" spans="1:6">
      <c r="A116" s="658">
        <v>37</v>
      </c>
      <c r="B116" s="53">
        <f>'LONGITUD DE MUROS'!F90</f>
        <v>0</v>
      </c>
      <c r="C116" s="53">
        <f>'LONGITUD DE MUROS'!G90</f>
        <v>0</v>
      </c>
      <c r="D116" s="68" t="s">
        <v>130</v>
      </c>
      <c r="E116" s="306">
        <f>'ELEM. MECA.'!R243</f>
        <v>0</v>
      </c>
      <c r="F116" s="659" t="s">
        <v>191</v>
      </c>
    </row>
    <row r="117" spans="1:6">
      <c r="A117" s="658">
        <v>38</v>
      </c>
      <c r="B117" s="53">
        <f>'LONGITUD DE MUROS'!F91</f>
        <v>0</v>
      </c>
      <c r="C117" s="53">
        <f>'LONGITUD DE MUROS'!G91</f>
        <v>0</v>
      </c>
      <c r="D117" s="68" t="s">
        <v>130</v>
      </c>
      <c r="E117" s="306">
        <f>'ELEM. MECA.'!R244</f>
        <v>0</v>
      </c>
      <c r="F117" s="659" t="s">
        <v>191</v>
      </c>
    </row>
    <row r="118" spans="1:6">
      <c r="A118" s="658">
        <v>39</v>
      </c>
      <c r="B118" s="53">
        <f>'LONGITUD DE MUROS'!F92</f>
        <v>0</v>
      </c>
      <c r="C118" s="53">
        <f>'LONGITUD DE MUROS'!G92</f>
        <v>0</v>
      </c>
      <c r="D118" s="68" t="s">
        <v>130</v>
      </c>
      <c r="E118" s="306">
        <f>'ELEM. MECA.'!R245</f>
        <v>0</v>
      </c>
      <c r="F118" s="659" t="s">
        <v>191</v>
      </c>
    </row>
    <row r="119" spans="1:6">
      <c r="A119" s="658">
        <v>40</v>
      </c>
      <c r="B119" s="53">
        <f>'LONGITUD DE MUROS'!F93</f>
        <v>0</v>
      </c>
      <c r="C119" s="53">
        <f>'LONGITUD DE MUROS'!G93</f>
        <v>0</v>
      </c>
      <c r="D119" s="68" t="s">
        <v>130</v>
      </c>
      <c r="E119" s="306">
        <f>'ELEM. MECA.'!R246</f>
        <v>0</v>
      </c>
      <c r="F119" s="659" t="s">
        <v>191</v>
      </c>
    </row>
    <row r="120" spans="1:6">
      <c r="A120" s="658">
        <v>41</v>
      </c>
      <c r="B120" s="53">
        <f>'LONGITUD DE MUROS'!F94</f>
        <v>0</v>
      </c>
      <c r="C120" s="53">
        <f>'LONGITUD DE MUROS'!G94</f>
        <v>0</v>
      </c>
      <c r="D120" s="68" t="s">
        <v>130</v>
      </c>
      <c r="E120" s="306">
        <f>'ELEM. MECA.'!R247</f>
        <v>0</v>
      </c>
      <c r="F120" s="659" t="s">
        <v>191</v>
      </c>
    </row>
    <row r="121" spans="1:6">
      <c r="A121" s="658">
        <v>42</v>
      </c>
      <c r="B121" s="53">
        <f>'LONGITUD DE MUROS'!F95</f>
        <v>0</v>
      </c>
      <c r="C121" s="53">
        <f>'LONGITUD DE MUROS'!G95</f>
        <v>0</v>
      </c>
      <c r="D121" s="68" t="s">
        <v>130</v>
      </c>
      <c r="E121" s="306">
        <f>'ELEM. MECA.'!R248</f>
        <v>0</v>
      </c>
      <c r="F121" s="659" t="s">
        <v>191</v>
      </c>
    </row>
    <row r="122" spans="1:6">
      <c r="A122" s="658">
        <v>43</v>
      </c>
      <c r="B122" s="53">
        <f>'LONGITUD DE MUROS'!F96</f>
        <v>0</v>
      </c>
      <c r="C122" s="53">
        <f>'LONGITUD DE MUROS'!G96</f>
        <v>0</v>
      </c>
      <c r="D122" s="68" t="s">
        <v>130</v>
      </c>
      <c r="E122" s="306">
        <f>'ELEM. MECA.'!R249</f>
        <v>0</v>
      </c>
      <c r="F122" s="659" t="s">
        <v>191</v>
      </c>
    </row>
    <row r="123" spans="1:6">
      <c r="A123" s="658">
        <v>44</v>
      </c>
      <c r="B123" s="53">
        <f>'LONGITUD DE MUROS'!F97</f>
        <v>0</v>
      </c>
      <c r="C123" s="53">
        <f>'LONGITUD DE MUROS'!G97</f>
        <v>0</v>
      </c>
      <c r="D123" s="68" t="s">
        <v>130</v>
      </c>
      <c r="E123" s="306">
        <f>'ELEM. MECA.'!R250</f>
        <v>0</v>
      </c>
      <c r="F123" s="659" t="s">
        <v>191</v>
      </c>
    </row>
    <row r="124" spans="1:6">
      <c r="A124" s="658">
        <v>45</v>
      </c>
      <c r="B124" s="53">
        <f>'LONGITUD DE MUROS'!F98</f>
        <v>0</v>
      </c>
      <c r="C124" s="53">
        <f>'LONGITUD DE MUROS'!G98</f>
        <v>0</v>
      </c>
      <c r="D124" s="68" t="s">
        <v>130</v>
      </c>
      <c r="E124" s="306">
        <f>'ELEM. MECA.'!R251</f>
        <v>0</v>
      </c>
      <c r="F124" s="659" t="s">
        <v>191</v>
      </c>
    </row>
    <row r="125" spans="1:6">
      <c r="A125" s="658">
        <v>46</v>
      </c>
      <c r="B125" s="53">
        <f>'LONGITUD DE MUROS'!F99</f>
        <v>0</v>
      </c>
      <c r="C125" s="53">
        <f>'LONGITUD DE MUROS'!G99</f>
        <v>0</v>
      </c>
      <c r="D125" s="68" t="s">
        <v>130</v>
      </c>
      <c r="E125" s="306">
        <f>'ELEM. MECA.'!R252</f>
        <v>0</v>
      </c>
      <c r="F125" s="659" t="s">
        <v>191</v>
      </c>
    </row>
    <row r="126" spans="1:6">
      <c r="A126" s="658">
        <v>47</v>
      </c>
      <c r="B126" s="53">
        <f>'LONGITUD DE MUROS'!F100</f>
        <v>0</v>
      </c>
      <c r="C126" s="53">
        <f>'LONGITUD DE MUROS'!G100</f>
        <v>0</v>
      </c>
      <c r="D126" s="68" t="s">
        <v>130</v>
      </c>
      <c r="E126" s="306">
        <f>'ELEM. MECA.'!R253</f>
        <v>0</v>
      </c>
      <c r="F126" s="659" t="s">
        <v>191</v>
      </c>
    </row>
    <row r="127" spans="1:6">
      <c r="A127" s="658">
        <v>48</v>
      </c>
      <c r="B127" s="53">
        <f>'LONGITUD DE MUROS'!F101</f>
        <v>0</v>
      </c>
      <c r="C127" s="53">
        <f>'LONGITUD DE MUROS'!G101</f>
        <v>0</v>
      </c>
      <c r="D127" s="68" t="s">
        <v>130</v>
      </c>
      <c r="E127" s="306">
        <f>'ELEM. MECA.'!R254</f>
        <v>0</v>
      </c>
      <c r="F127" s="659" t="s">
        <v>191</v>
      </c>
    </row>
    <row r="128" spans="1:6">
      <c r="A128" s="658">
        <v>49</v>
      </c>
      <c r="B128" s="53">
        <f>'LONGITUD DE MUROS'!F102</f>
        <v>0</v>
      </c>
      <c r="C128" s="53">
        <f>'LONGITUD DE MUROS'!G102</f>
        <v>0</v>
      </c>
      <c r="D128" s="68" t="s">
        <v>130</v>
      </c>
      <c r="E128" s="306">
        <f>'ELEM. MECA.'!R255</f>
        <v>0</v>
      </c>
      <c r="F128" s="659" t="s">
        <v>191</v>
      </c>
    </row>
    <row r="129" spans="1:6" ht="15.75" thickBot="1">
      <c r="A129" s="660">
        <v>50</v>
      </c>
      <c r="B129" s="908">
        <f>'LONGITUD DE MUROS'!F103</f>
        <v>0</v>
      </c>
      <c r="C129" s="661">
        <f>'LONGITUD DE MUROS'!G103</f>
        <v>0</v>
      </c>
      <c r="D129" s="662" t="s">
        <v>130</v>
      </c>
      <c r="E129" s="663">
        <f>'ELEM. MECA.'!R256</f>
        <v>0</v>
      </c>
      <c r="F129" s="664" t="s">
        <v>191</v>
      </c>
    </row>
  </sheetData>
  <mergeCells count="3">
    <mergeCell ref="D20:F20"/>
    <mergeCell ref="A14:F14"/>
    <mergeCell ref="A15:F15"/>
  </mergeCells>
  <phoneticPr fontId="0" type="noConversion"/>
  <pageMargins left="0.59055118110236227" right="0.39370078740157483" top="0.39370078740157483" bottom="0.39370078740157483" header="0" footer="0"/>
  <pageSetup scale="60" orientation="portrait" horizontalDpi="300" verticalDpi="300" r:id="rId1"/>
  <headerFooter alignWithMargins="0">
    <oddFooter>&amp;L&amp;"Arial,Normal"TEL (FAX) 01 951 51 4 28 30&amp;C______________________________________________________________________________________________________________________________________________________
.&amp;R&amp;"Arial,Normal"CED. PROF. 1718634</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C06A1-4875-4B1B-BF84-5406CCAF427B}">
  <sheetPr codeName="Hoja2">
    <tabColor theme="7" tint="0.59999389629810485"/>
  </sheetPr>
  <dimension ref="A1:AS129"/>
  <sheetViews>
    <sheetView showGridLines="0" topLeftCell="A7" zoomScale="115" zoomScaleNormal="115" workbookViewId="0">
      <selection activeCell="A13" sqref="A13:Q84"/>
    </sheetView>
  </sheetViews>
  <sheetFormatPr baseColWidth="10" defaultColWidth="11" defaultRowHeight="15"/>
  <cols>
    <col min="1" max="1" width="7" style="4" customWidth="1"/>
    <col min="2" max="2" width="10.25" style="45" bestFit="1" customWidth="1"/>
    <col min="3" max="4" width="5.5" style="4" customWidth="1"/>
    <col min="5" max="5" width="8.5" style="4" customWidth="1"/>
    <col min="6" max="6" width="6" style="4" customWidth="1"/>
    <col min="7" max="7" width="7" style="4" hidden="1" customWidth="1"/>
    <col min="8" max="11" width="8.625" style="523" hidden="1" customWidth="1"/>
    <col min="12" max="13" width="10.25" style="523" hidden="1" customWidth="1"/>
    <col min="14" max="14" width="10" style="4" customWidth="1"/>
    <col min="15" max="15" width="14.25" style="924" bestFit="1" customWidth="1"/>
    <col min="16" max="16" width="14.25" style="909" bestFit="1" customWidth="1"/>
    <col min="17" max="17" width="13.25" style="4" customWidth="1"/>
    <col min="18" max="19" width="11" style="4" hidden="1" customWidth="1"/>
    <col min="20" max="25" width="12" style="4" hidden="1" customWidth="1"/>
    <col min="26" max="26" width="16.875" style="4" hidden="1" customWidth="1"/>
    <col min="27" max="27" width="15.625" style="4" hidden="1" customWidth="1"/>
    <col min="28" max="29" width="15.875" style="4" hidden="1" customWidth="1"/>
    <col min="30" max="30" width="11.625" style="4" hidden="1" customWidth="1"/>
    <col min="31" max="34" width="11" style="4" hidden="1" customWidth="1"/>
    <col min="35" max="35" width="11" style="4" customWidth="1"/>
    <col min="36" max="16384" width="11" style="4"/>
  </cols>
  <sheetData>
    <row r="1" spans="1:45" customFormat="1" ht="12.75">
      <c r="A1" s="518"/>
      <c r="B1" s="974"/>
      <c r="C1" s="518"/>
      <c r="D1" s="518"/>
      <c r="E1" s="518"/>
      <c r="J1" s="522"/>
      <c r="K1" s="522"/>
      <c r="L1" s="522"/>
      <c r="M1" s="522"/>
      <c r="O1" s="923"/>
      <c r="P1" s="907"/>
    </row>
    <row r="2" spans="1:45" customFormat="1">
      <c r="A2" s="518"/>
      <c r="B2" s="974"/>
      <c r="C2" s="518"/>
      <c r="D2" s="518"/>
      <c r="E2" s="518"/>
      <c r="J2" s="522"/>
      <c r="K2" s="522"/>
      <c r="L2" s="68" t="s">
        <v>198</v>
      </c>
      <c r="M2" s="901"/>
      <c r="N2" s="4"/>
      <c r="O2" s="924"/>
      <c r="P2" s="907"/>
    </row>
    <row r="3" spans="1:45" customFormat="1">
      <c r="A3" s="518"/>
      <c r="B3" s="974"/>
      <c r="C3" s="518"/>
      <c r="D3" s="518"/>
      <c r="E3" s="518"/>
      <c r="J3" s="522"/>
      <c r="K3" s="522"/>
      <c r="L3" s="68" t="s">
        <v>130</v>
      </c>
      <c r="M3" s="901"/>
      <c r="N3" s="4"/>
      <c r="O3" s="924"/>
      <c r="P3" s="907"/>
    </row>
    <row r="4" spans="1:45" customFormat="1">
      <c r="A4" s="518"/>
      <c r="B4" s="974"/>
      <c r="C4" s="518"/>
      <c r="D4" s="518"/>
      <c r="E4" s="518"/>
      <c r="J4" s="522"/>
      <c r="K4" s="522"/>
      <c r="L4" s="68" t="s">
        <v>130</v>
      </c>
      <c r="M4" s="901"/>
      <c r="N4" s="4"/>
      <c r="O4" s="924"/>
      <c r="P4" s="907"/>
    </row>
    <row r="5" spans="1:45" customFormat="1">
      <c r="A5" s="518"/>
      <c r="B5" s="974"/>
      <c r="C5" s="518"/>
      <c r="D5" s="518"/>
      <c r="E5" s="518"/>
      <c r="J5" s="522"/>
      <c r="K5" s="522"/>
      <c r="L5" s="68" t="s">
        <v>130</v>
      </c>
      <c r="M5" s="901"/>
      <c r="N5" s="4"/>
      <c r="O5" s="924"/>
      <c r="P5" s="907"/>
    </row>
    <row r="6" spans="1:45" customFormat="1">
      <c r="A6" s="518"/>
      <c r="B6" s="974"/>
      <c r="C6" s="518"/>
      <c r="D6" s="518"/>
      <c r="E6" s="518"/>
      <c r="J6" s="522"/>
      <c r="K6" s="522"/>
      <c r="L6" s="68" t="s">
        <v>130</v>
      </c>
      <c r="M6" s="901"/>
      <c r="N6" s="4"/>
      <c r="O6" s="924"/>
      <c r="P6" s="907"/>
    </row>
    <row r="7" spans="1:45">
      <c r="A7" s="519" t="s">
        <v>404</v>
      </c>
      <c r="H7" s="4"/>
      <c r="I7" s="4"/>
      <c r="L7" s="68" t="s">
        <v>130</v>
      </c>
      <c r="M7" s="901"/>
    </row>
    <row r="8" spans="1:45">
      <c r="A8" s="519" t="s">
        <v>454</v>
      </c>
      <c r="H8" s="4"/>
      <c r="I8" s="4"/>
    </row>
    <row r="9" spans="1:45">
      <c r="A9" s="519" t="s">
        <v>459</v>
      </c>
      <c r="H9" s="4"/>
      <c r="I9" s="4"/>
      <c r="S9"/>
      <c r="T9"/>
      <c r="U9"/>
      <c r="V9"/>
      <c r="W9"/>
    </row>
    <row r="10" spans="1:45" hidden="1">
      <c r="A10" s="4">
        <f>'CG. MPB'!A10</f>
        <v>0</v>
      </c>
      <c r="S10"/>
      <c r="T10"/>
      <c r="U10"/>
      <c r="V10"/>
      <c r="W10"/>
    </row>
    <row r="11" spans="1:45" hidden="1">
      <c r="A11" s="4" t="str">
        <f>'CG. MPB'!A11</f>
        <v>TABLA No. 1</v>
      </c>
      <c r="S11"/>
      <c r="T11"/>
      <c r="U11"/>
      <c r="V11"/>
      <c r="W11"/>
    </row>
    <row r="12" spans="1:45" ht="15.75" thickBot="1">
      <c r="S12"/>
      <c r="T12"/>
      <c r="U12"/>
      <c r="V12"/>
      <c r="W12"/>
      <c r="X12"/>
      <c r="Y12"/>
      <c r="Z12"/>
      <c r="AA12"/>
      <c r="AB12"/>
      <c r="AC12"/>
      <c r="AD12"/>
    </row>
    <row r="13" spans="1:45" ht="15.75">
      <c r="A13" s="670"/>
      <c r="B13" s="671"/>
      <c r="C13" s="671"/>
      <c r="D13" s="671"/>
      <c r="E13" s="671"/>
      <c r="F13" s="671"/>
      <c r="G13" s="671"/>
      <c r="H13" s="748"/>
      <c r="I13" s="748"/>
      <c r="J13" s="748"/>
      <c r="K13" s="748"/>
      <c r="L13" s="748"/>
      <c r="M13" s="748"/>
      <c r="N13" s="671"/>
      <c r="O13" s="925"/>
      <c r="P13" s="910"/>
      <c r="Q13" s="672"/>
      <c r="S13"/>
      <c r="T13"/>
      <c r="U13"/>
      <c r="V13"/>
      <c r="W13"/>
      <c r="X13"/>
      <c r="Y13"/>
      <c r="Z13"/>
      <c r="AA13"/>
      <c r="AB13"/>
      <c r="AC13"/>
      <c r="AD13"/>
    </row>
    <row r="14" spans="1:45" ht="15.75">
      <c r="A14" s="874" t="s">
        <v>90</v>
      </c>
      <c r="B14" s="9"/>
      <c r="C14" s="9"/>
      <c r="D14" s="9"/>
      <c r="E14" s="9"/>
      <c r="F14" s="9"/>
      <c r="G14" s="9"/>
      <c r="H14" s="524"/>
      <c r="I14" s="524"/>
      <c r="J14" s="524"/>
      <c r="K14" s="524"/>
      <c r="L14" s="524"/>
      <c r="M14" s="524"/>
      <c r="N14" s="9"/>
      <c r="O14" s="913"/>
      <c r="P14" s="911"/>
      <c r="Q14" s="674"/>
      <c r="S14"/>
      <c r="T14"/>
      <c r="U14"/>
      <c r="V14"/>
      <c r="W14"/>
      <c r="X14"/>
      <c r="Y14"/>
      <c r="Z14"/>
      <c r="AA14"/>
      <c r="AB14"/>
      <c r="AC14"/>
      <c r="AD14"/>
    </row>
    <row r="15" spans="1:45" ht="15.75">
      <c r="A15" s="646" t="str">
        <f>'CG. MPB'!A15:F15</f>
        <v xml:space="preserve"> PLANTA BAJA</v>
      </c>
      <c r="B15" s="9"/>
      <c r="C15" s="9"/>
      <c r="D15" s="9"/>
      <c r="E15" s="9"/>
      <c r="F15" s="9"/>
      <c r="G15" s="9"/>
      <c r="H15" s="524"/>
      <c r="I15" s="524"/>
      <c r="J15" s="524"/>
      <c r="K15" s="524"/>
      <c r="L15" s="524"/>
      <c r="M15" s="524"/>
      <c r="N15" s="9"/>
      <c r="O15" s="913"/>
      <c r="P15" s="911"/>
      <c r="Q15" s="674"/>
      <c r="S15"/>
      <c r="T15"/>
      <c r="U15"/>
      <c r="V15"/>
      <c r="W15"/>
      <c r="X15"/>
      <c r="Y15"/>
      <c r="Z15"/>
      <c r="AA15"/>
      <c r="AB15"/>
      <c r="AC15"/>
      <c r="AD15"/>
    </row>
    <row r="16" spans="1:45" ht="16.5" thickBot="1">
      <c r="A16" s="675"/>
      <c r="B16" s="12"/>
      <c r="C16" s="12"/>
      <c r="D16" s="12"/>
      <c r="E16" s="12"/>
      <c r="F16" s="12"/>
      <c r="G16" s="12"/>
      <c r="H16" s="525"/>
      <c r="I16" s="525"/>
      <c r="J16" s="525"/>
      <c r="K16" s="525"/>
      <c r="L16" s="525"/>
      <c r="M16" s="525"/>
      <c r="N16" s="12"/>
      <c r="O16" s="926"/>
      <c r="P16" s="912"/>
      <c r="Q16" s="676"/>
      <c r="S16"/>
      <c r="T16"/>
      <c r="U16"/>
      <c r="V16"/>
      <c r="W16"/>
      <c r="X16"/>
      <c r="Y16"/>
      <c r="Z16"/>
      <c r="AA16"/>
      <c r="AB16"/>
      <c r="AC16"/>
      <c r="AR16" s="306" t="s">
        <v>186</v>
      </c>
      <c r="AS16" s="873" t="s">
        <v>191</v>
      </c>
    </row>
    <row r="17" spans="1:45" ht="16.5" customHeight="1" thickTop="1">
      <c r="A17" s="646"/>
      <c r="B17" s="4"/>
      <c r="D17" s="51" t="s">
        <v>403</v>
      </c>
      <c r="E17" s="9" t="s">
        <v>455</v>
      </c>
      <c r="F17" s="9" t="s">
        <v>0</v>
      </c>
      <c r="G17" s="9"/>
      <c r="H17" s="524"/>
      <c r="I17" s="524"/>
      <c r="J17" s="524"/>
      <c r="K17" s="524"/>
      <c r="L17" s="524"/>
      <c r="M17" s="524"/>
      <c r="N17" s="9"/>
      <c r="O17" s="913"/>
      <c r="P17" s="911"/>
      <c r="Q17" s="674"/>
      <c r="S17"/>
      <c r="T17"/>
      <c r="U17"/>
      <c r="V17"/>
      <c r="W17"/>
      <c r="X17"/>
      <c r="Y17"/>
      <c r="Z17"/>
      <c r="AA17"/>
      <c r="AB17"/>
      <c r="AC17"/>
      <c r="AR17" s="306" t="s">
        <v>184</v>
      </c>
      <c r="AS17" s="873" t="s">
        <v>191</v>
      </c>
    </row>
    <row r="18" spans="1:45" ht="15.75" hidden="1" customHeight="1">
      <c r="A18" s="588" t="s">
        <v>91</v>
      </c>
      <c r="B18" s="26"/>
      <c r="C18" s="26"/>
      <c r="D18" s="26" t="s">
        <v>100</v>
      </c>
      <c r="E18" s="26" t="s">
        <v>101</v>
      </c>
      <c r="F18" s="26" t="s">
        <v>102</v>
      </c>
      <c r="G18" s="26"/>
      <c r="H18" s="526"/>
      <c r="I18" s="526"/>
      <c r="J18" s="526"/>
      <c r="K18" s="526"/>
      <c r="L18" s="526"/>
      <c r="M18" s="526"/>
      <c r="N18" s="26" t="s">
        <v>103</v>
      </c>
      <c r="O18" s="913" t="s">
        <v>104</v>
      </c>
      <c r="P18" s="913" t="s">
        <v>105</v>
      </c>
      <c r="Q18" s="589" t="s">
        <v>106</v>
      </c>
      <c r="R18" s="26"/>
      <c r="Z18" s="25"/>
      <c r="AA18" s="537" t="s">
        <v>406</v>
      </c>
      <c r="AB18" s="39" t="s">
        <v>188</v>
      </c>
      <c r="AC18" s="26"/>
      <c r="AR18" s="306" t="s">
        <v>186</v>
      </c>
      <c r="AS18" s="873" t="s">
        <v>191</v>
      </c>
    </row>
    <row r="19" spans="1:45" ht="15.75">
      <c r="A19" s="677"/>
      <c r="B19" s="4"/>
      <c r="Q19" s="210"/>
      <c r="S19" s="23" t="s">
        <v>379</v>
      </c>
      <c r="X19" s="538"/>
      <c r="Y19" s="538"/>
      <c r="Z19" s="538"/>
      <c r="AA19" s="538"/>
      <c r="AB19" s="538"/>
      <c r="AC19" s="898"/>
      <c r="AG19" s="84" t="s">
        <v>345</v>
      </c>
      <c r="AH19" s="24"/>
      <c r="AR19" s="306" t="s">
        <v>185</v>
      </c>
      <c r="AS19" s="873" t="s">
        <v>191</v>
      </c>
    </row>
    <row r="20" spans="1:45" ht="15.75" customHeight="1">
      <c r="A20" s="678"/>
      <c r="B20" s="23"/>
      <c r="C20" s="23"/>
      <c r="D20" s="64"/>
      <c r="E20" s="23"/>
      <c r="F20" s="64"/>
      <c r="G20" s="539"/>
      <c r="H20" s="527"/>
      <c r="I20" s="527"/>
      <c r="J20" s="527"/>
      <c r="K20" s="527"/>
      <c r="L20" s="527"/>
      <c r="M20" s="527"/>
      <c r="N20" s="23"/>
      <c r="O20" s="1122" t="s">
        <v>108</v>
      </c>
      <c r="P20" s="1123"/>
      <c r="Q20" s="679"/>
      <c r="R20" s="23" t="s">
        <v>348</v>
      </c>
      <c r="S20" s="23" t="s">
        <v>346</v>
      </c>
      <c r="T20" s="534" t="s">
        <v>349</v>
      </c>
      <c r="U20" s="46" t="s">
        <v>349</v>
      </c>
      <c r="V20" s="26"/>
      <c r="W20" s="26" t="s">
        <v>457</v>
      </c>
      <c r="X20" s="539" t="s">
        <v>408</v>
      </c>
      <c r="Y20" s="539" t="s">
        <v>410</v>
      </c>
      <c r="Z20" s="540" t="s">
        <v>412</v>
      </c>
      <c r="AA20" s="541" t="s">
        <v>412</v>
      </c>
      <c r="AB20" s="538"/>
      <c r="AC20" s="898" t="s">
        <v>457</v>
      </c>
      <c r="AD20" s="44" t="s">
        <v>189</v>
      </c>
      <c r="AE20" s="44"/>
      <c r="AF20" s="4" t="s">
        <v>190</v>
      </c>
      <c r="AG20" s="72" t="s">
        <v>344</v>
      </c>
      <c r="AH20" s="27"/>
      <c r="AR20" s="306" t="s">
        <v>405</v>
      </c>
      <c r="AS20" s="873" t="s">
        <v>191</v>
      </c>
    </row>
    <row r="21" spans="1:45" ht="18.75">
      <c r="A21" s="588" t="s">
        <v>79</v>
      </c>
      <c r="B21" s="26" t="s">
        <v>109</v>
      </c>
      <c r="C21" s="26" t="s">
        <v>110</v>
      </c>
      <c r="D21" s="52" t="s">
        <v>199</v>
      </c>
      <c r="E21" s="26" t="s">
        <v>200</v>
      </c>
      <c r="F21" s="52" t="s">
        <v>113</v>
      </c>
      <c r="G21" s="539"/>
      <c r="H21" s="531" t="s">
        <v>184</v>
      </c>
      <c r="I21" s="526"/>
      <c r="J21" s="531" t="s">
        <v>186</v>
      </c>
      <c r="K21" s="526"/>
      <c r="L21" s="531" t="s">
        <v>406</v>
      </c>
      <c r="M21" s="531" t="s">
        <v>457</v>
      </c>
      <c r="N21" s="26" t="s">
        <v>114</v>
      </c>
      <c r="O21" s="927" t="s">
        <v>115</v>
      </c>
      <c r="P21" s="914" t="s">
        <v>116</v>
      </c>
      <c r="Q21" s="589" t="s">
        <v>121</v>
      </c>
      <c r="R21" s="26" t="s">
        <v>187</v>
      </c>
      <c r="S21" s="26" t="s">
        <v>347</v>
      </c>
      <c r="T21" s="535" t="s">
        <v>350</v>
      </c>
      <c r="U21" s="39" t="s">
        <v>350</v>
      </c>
      <c r="V21" s="26"/>
      <c r="W21" s="26" t="s">
        <v>458</v>
      </c>
      <c r="X21" s="539" t="s">
        <v>409</v>
      </c>
      <c r="Y21" s="539" t="s">
        <v>379</v>
      </c>
      <c r="Z21" s="540" t="s">
        <v>413</v>
      </c>
      <c r="AA21" s="539" t="s">
        <v>413</v>
      </c>
      <c r="AB21" s="542" t="s">
        <v>419</v>
      </c>
      <c r="AC21" s="899" t="s">
        <v>458</v>
      </c>
      <c r="AG21" s="81"/>
      <c r="AH21" s="30"/>
      <c r="AR21" s="306" t="s">
        <v>406</v>
      </c>
      <c r="AS21" s="873" t="s">
        <v>191</v>
      </c>
    </row>
    <row r="22" spans="1:45" ht="18.75">
      <c r="A22" s="680"/>
      <c r="B22" s="29"/>
      <c r="C22" s="29"/>
      <c r="D22" s="56"/>
      <c r="E22" s="29"/>
      <c r="F22" s="56" t="s">
        <v>201</v>
      </c>
      <c r="G22" s="548" t="s">
        <v>185</v>
      </c>
      <c r="H22" s="547"/>
      <c r="I22" s="531" t="s">
        <v>188</v>
      </c>
      <c r="J22" s="528"/>
      <c r="K22" s="531" t="s">
        <v>405</v>
      </c>
      <c r="L22" s="531"/>
      <c r="M22" s="531"/>
      <c r="N22" s="29" t="s">
        <v>193</v>
      </c>
      <c r="O22" s="915" t="s">
        <v>85</v>
      </c>
      <c r="P22" s="915" t="s">
        <v>85</v>
      </c>
      <c r="Q22" s="681"/>
      <c r="R22" s="29"/>
      <c r="S22" s="26" t="s">
        <v>186</v>
      </c>
      <c r="T22" s="30"/>
      <c r="U22" s="39" t="s">
        <v>405</v>
      </c>
      <c r="V22" s="26" t="s">
        <v>185</v>
      </c>
      <c r="W22" s="26"/>
      <c r="X22" s="539"/>
      <c r="Y22" s="539" t="s">
        <v>411</v>
      </c>
      <c r="Z22" s="539"/>
      <c r="AA22" s="539"/>
      <c r="AB22" s="538"/>
      <c r="AC22" s="898"/>
    </row>
    <row r="23" spans="1:45" ht="18.75" hidden="1" customHeight="1">
      <c r="A23" s="649"/>
      <c r="B23" s="46"/>
      <c r="C23" s="46"/>
      <c r="D23" s="46"/>
      <c r="E23" s="46"/>
      <c r="F23" s="46"/>
      <c r="G23" s="539" t="s">
        <v>407</v>
      </c>
      <c r="I23" s="529"/>
      <c r="J23" s="529"/>
      <c r="K23" s="549"/>
      <c r="L23" s="549"/>
      <c r="M23" s="549"/>
      <c r="N23" s="64"/>
      <c r="O23" s="927"/>
      <c r="P23" s="927"/>
      <c r="Q23" s="679"/>
      <c r="S23" s="26" t="s">
        <v>406</v>
      </c>
      <c r="X23" s="538"/>
      <c r="Y23" s="538"/>
      <c r="Z23" s="538"/>
      <c r="AA23" s="538"/>
      <c r="AB23" s="538"/>
      <c r="AC23" s="898"/>
    </row>
    <row r="24" spans="1:45" ht="18" hidden="1">
      <c r="A24" s="657"/>
      <c r="B24" s="39"/>
      <c r="C24" s="39"/>
      <c r="D24" s="27"/>
      <c r="F24" s="27"/>
      <c r="G24" s="545">
        <v>250</v>
      </c>
      <c r="H24" s="530"/>
      <c r="I24" s="530"/>
      <c r="J24" s="530"/>
      <c r="K24" s="550"/>
      <c r="L24" s="550"/>
      <c r="M24" s="550"/>
      <c r="N24" s="551"/>
      <c r="O24" s="928"/>
      <c r="P24" s="929"/>
      <c r="Q24" s="210"/>
      <c r="X24" s="538" t="s">
        <v>414</v>
      </c>
      <c r="Y24" s="538"/>
      <c r="Z24" s="538"/>
      <c r="AA24" s="542" t="s">
        <v>418</v>
      </c>
      <c r="AB24" s="538"/>
      <c r="AC24" s="898"/>
    </row>
    <row r="25" spans="1:45" ht="18" hidden="1">
      <c r="A25" s="657"/>
      <c r="B25" s="39"/>
      <c r="C25" s="39"/>
      <c r="D25" s="27"/>
      <c r="F25" s="27"/>
      <c r="G25" s="545"/>
      <c r="H25" s="530"/>
      <c r="I25" s="530"/>
      <c r="J25" s="530"/>
      <c r="K25" s="551"/>
      <c r="L25" s="550"/>
      <c r="M25" s="550"/>
      <c r="N25" s="551"/>
      <c r="O25" s="928"/>
      <c r="P25" s="929"/>
      <c r="Q25" s="210"/>
      <c r="U25" s="536"/>
      <c r="X25" s="538"/>
      <c r="Y25" s="538" t="s">
        <v>415</v>
      </c>
      <c r="Z25" s="538" t="s">
        <v>415</v>
      </c>
      <c r="AA25" s="538"/>
      <c r="AB25" s="538"/>
      <c r="AC25" s="898"/>
    </row>
    <row r="26" spans="1:45" ht="18" hidden="1">
      <c r="A26" s="657"/>
      <c r="B26" s="39"/>
      <c r="C26" s="39"/>
      <c r="D26" s="27"/>
      <c r="F26" s="27"/>
      <c r="G26" s="545"/>
      <c r="H26" s="530"/>
      <c r="I26" s="530"/>
      <c r="J26" s="530"/>
      <c r="K26" s="551"/>
      <c r="L26" s="550"/>
      <c r="M26" s="550"/>
      <c r="N26" s="551"/>
      <c r="O26" s="928"/>
      <c r="P26" s="929"/>
      <c r="Q26" s="210"/>
      <c r="S26" s="533"/>
      <c r="T26" s="533"/>
      <c r="X26" s="538"/>
      <c r="Y26" s="538" t="s">
        <v>416</v>
      </c>
      <c r="Z26" s="538" t="s">
        <v>416</v>
      </c>
      <c r="AA26" s="538"/>
      <c r="AB26" s="538"/>
      <c r="AC26" s="898"/>
    </row>
    <row r="27" spans="1:45" ht="18" hidden="1">
      <c r="A27" s="657"/>
      <c r="B27" s="39"/>
      <c r="C27" s="39"/>
      <c r="D27" s="27"/>
      <c r="F27" s="27"/>
      <c r="G27" s="545"/>
      <c r="H27" s="530"/>
      <c r="I27" s="530"/>
      <c r="J27" s="530"/>
      <c r="K27" s="551"/>
      <c r="L27" s="550"/>
      <c r="M27" s="550"/>
      <c r="N27" s="551"/>
      <c r="O27" s="928"/>
      <c r="P27" s="929"/>
      <c r="Q27" s="210"/>
      <c r="X27" s="538"/>
      <c r="Y27" s="538" t="s">
        <v>417</v>
      </c>
      <c r="Z27" s="538" t="s">
        <v>417</v>
      </c>
      <c r="AA27" s="538"/>
      <c r="AB27" s="538"/>
      <c r="AC27" s="898"/>
    </row>
    <row r="28" spans="1:45" ht="18">
      <c r="A28" s="657" t="s">
        <v>87</v>
      </c>
      <c r="B28" s="4"/>
      <c r="C28" s="39"/>
      <c r="D28" s="27"/>
      <c r="F28" s="27"/>
      <c r="G28" s="545"/>
      <c r="H28" s="530"/>
      <c r="I28" s="530"/>
      <c r="J28" s="530"/>
      <c r="K28" s="552"/>
      <c r="L28" s="552"/>
      <c r="M28" s="552"/>
      <c r="N28" s="48"/>
      <c r="O28" s="928"/>
      <c r="P28" s="929"/>
      <c r="Q28" s="210"/>
      <c r="X28" s="538"/>
      <c r="Y28" s="538"/>
      <c r="Z28" s="538"/>
      <c r="AA28" s="538"/>
      <c r="AB28" s="538"/>
      <c r="AC28" s="898"/>
    </row>
    <row r="29" spans="1:45">
      <c r="A29" s="684">
        <f>'CG. MPB'!A30</f>
        <v>1</v>
      </c>
      <c r="B29" s="578">
        <f>'CG. MPB'!B30*100</f>
        <v>280.00000111607142</v>
      </c>
      <c r="C29" s="68">
        <f>'ELEM. MECA.'!J6</f>
        <v>15</v>
      </c>
      <c r="D29" s="38">
        <f>IF(AND('CG. MPB'!D30="CONFINADO",'CG. MPB'!E30="CONCRETO"),0.8,IF('CG. MPB'!D30="NO CONFINADO",0.3,0.6))</f>
        <v>0.6</v>
      </c>
      <c r="E29" s="68">
        <v>0.6</v>
      </c>
      <c r="F29" s="38">
        <f>IF('CG. MPB'!E30="CONCRETO",G29,'RMCV.PB'!H29+'RMCV.PB'!I29+'RMCV.PB'!J29+K29+L29+M29)</f>
        <v>20</v>
      </c>
      <c r="G29" s="542">
        <f>IF('CG. MPB'!E30="CONCRETO",0.6*$G$24,0)</f>
        <v>0</v>
      </c>
      <c r="H29" s="574">
        <f>IF(AND('CG. MPB'!E30="TABIQUE",'CG. MPB'!F30="MACIZO"),15,0)</f>
        <v>0</v>
      </c>
      <c r="I29" s="574">
        <f>IF(AND('CG. MPB'!E30="TABIQUE",'CG. MPB'!F30="HUECO"),IF(E17="III",30,40),0)</f>
        <v>0</v>
      </c>
      <c r="J29" s="574">
        <f>IF('CG. MPB'!E30="TABICON",IF(E17="I",20,15),0)</f>
        <v>20</v>
      </c>
      <c r="K29" s="574">
        <f>IF('CG. MPB'!E30="ADOBE",10,0)</f>
        <v>0</v>
      </c>
      <c r="L29" s="574">
        <f>IF('CG. MPB'!E30="LIGERO",10,0)</f>
        <v>0</v>
      </c>
      <c r="M29" s="574">
        <f>IF('CG. MPB'!E30="CANTERA",30,0)</f>
        <v>0</v>
      </c>
      <c r="N29" s="575">
        <f t="shared" ref="N29" si="0">B29*C29</f>
        <v>4200.0000167410708</v>
      </c>
      <c r="O29" s="918">
        <f>ABS('ELEM. MECA.'!D6)</f>
        <v>10761.308055968209</v>
      </c>
      <c r="P29" s="919">
        <f>IF(AND('CG. MPB'!D30="CONFINADO",'CG. MPB'!E30="TABIQUE",'CG. MPB'!F30="MACIZO"),'RMCV.PB'!Y29,IF(AND('CG. MPB'!D30="CONFINADO",'CG. MPB'!E30="TABICON",'CG. MPB'!F30="MACIZO"),'RMCV.PB'!Y29,IF(AND('CG. MPB'!D30="CONFINADO",'CG. MPB'!E30="LIGERO",'CG. MPB'!F30="MACIZO"),'RMCV.PB'!Y29,IF(AND('CG. MPB'!D30="NO CONFINADO",'CG. MPB'!E30="TABIQUE",'CG. MPB'!F30="MACIZO"),Z29,IF(AND('CG. MPB'!D30="NO CONFINADO",'CG. MPB'!E30="TABICON",'CG. MPB'!F30="MACIZO"),Z29,IF(AND('CG. MPB'!D30="NO CONFINADO",'CG. MPB'!E30="LIGERO",'CG. MPB'!F30="MACIZO"),Z29,IF(AND('CG. MPB'!E30="TABIQUE",'CG. MPB'!F30="HUECO"),X29,IF('CG. MPB'!E30="ADOBE",'RMCV.PB'!AA29,'RMCV.PB'!AB29))))))))</f>
        <v>38828.160120535707</v>
      </c>
      <c r="Q29" s="685" t="str">
        <f t="shared" ref="Q29" si="1">IF(O29&gt;P29,"NO PASA","PASA")</f>
        <v>PASA</v>
      </c>
      <c r="R29" s="4">
        <f>IF(D29*E29*(F29*N29+'CASTILLOS-PB'!W29*FY)&gt;1.25*D29*E29*F29*N29,1.25*D29*E29*F29*N29,D29*E29*(F29*N29+'CASTILLOS-PB'!W29*FY))</f>
        <v>37800.000150669635</v>
      </c>
      <c r="S29" s="4">
        <f>D29*E29*(F29*N29+'CASTILLOS-PB'!G29*FY*2)</f>
        <v>38828.160120535707</v>
      </c>
      <c r="T29" s="4">
        <f t="shared" ref="T29:T78" si="2">D29*E29*F29*N29</f>
        <v>30240.000120535708</v>
      </c>
      <c r="U29" s="521">
        <f t="shared" ref="U29:U78" si="3">D29*E29*F29*N29</f>
        <v>30240.000120535708</v>
      </c>
      <c r="V29" s="533">
        <f>D29*(0.7*$G$24*(B29*C29)+2000*'MUR.CONC-PB'!K29)</f>
        <v>441000.0017578124</v>
      </c>
      <c r="W29" s="533">
        <f t="shared" ref="W29:W111" si="4">D30*E30*F30*N30</f>
        <v>302400.00120535714</v>
      </c>
      <c r="X29" s="543">
        <f>IF(AND('CG. MPB'!E30="TABIQUE",'CG. MPB'!F30="HUECO"),R29,0)</f>
        <v>0</v>
      </c>
      <c r="Y29" s="543">
        <f>IF(AND('CG. MPB'!D30="CONFINADO",'CG. MPB'!E30="TABIQUE",'CG. MPB'!F30="MACIZO"),'RMCV.PB'!S29,IF(AND('CG. MPB'!D30="CONFINADO",'CG. MPB'!E30="TABICON",'CG. MPB'!F30="MACIZO"),'RMCV.PB'!S29,IF(AND('CG. MPB'!D30="CONFINADO",'CG. MPB'!E30="LIGERO",'CG. MPB'!F30="MACIZO"),'RMCV.PB'!S29,0)))</f>
        <v>38828.160120535707</v>
      </c>
      <c r="Z29" s="543">
        <f>IF(AND('CG. MPB'!D30="NO CONFINADO",'CG. MPB'!E30="TABIQUE",'CG. MPB'!F30="MACIZO"),T29,IF(AND('CG. MPB'!D30="NO CONFINADO",'CG. MPB'!E30="TABICON",'CG. MPB'!F30="MACIZO"),T29,IF(AND('CG. MPB'!D30="NO CONFINADO",'CG. MPB'!E30="LIGERO",'CG. MPB'!F30="MACIZO"),T29,0)))</f>
        <v>0</v>
      </c>
      <c r="AA29" s="543">
        <f>IF('CG. MPB'!E30="ADOBE",'RMCV.PB'!U29,0)</f>
        <v>0</v>
      </c>
      <c r="AB29" s="543">
        <f>IF('CG. MPB'!E30="CONCRETO",'RMCV.PB'!V29,0)</f>
        <v>0</v>
      </c>
      <c r="AC29" s="900">
        <f>IF('CG. MPB'!E30="CANTERA",'RMCV.PB'!W29,0)</f>
        <v>0</v>
      </c>
      <c r="AD29" s="93">
        <f t="shared" ref="AD29:AD78" si="5">C29/2-(C29/3)+C29/24</f>
        <v>3.125</v>
      </c>
      <c r="AE29" s="428">
        <v>0.6</v>
      </c>
      <c r="AF29" s="4">
        <f>(1-2*AD29/C29)*(1-(AE29*'CG. MPB'!C30*10/(30*C29))^2)</f>
        <v>0.5825202962962962</v>
      </c>
      <c r="AG29" s="350">
        <f>(1-(2*AD29/C29))*(1-(AE29*'CG. MPB'!C30*10/(30*C29))^2)*(1-('CG. MPB'!C30*10/B29))+('CG. MPB'!C30*10/B29)</f>
        <v>0.62426826650026046</v>
      </c>
      <c r="AH29" s="429">
        <f>IF(AG29&gt;0.9,0.9,AG29)</f>
        <v>0.62426826650026046</v>
      </c>
    </row>
    <row r="30" spans="1:45">
      <c r="A30" s="684">
        <f>'CG. MPB'!A31</f>
        <v>2</v>
      </c>
      <c r="B30" s="578">
        <f>'CG. MPB'!B31*100</f>
        <v>280.00000111607147</v>
      </c>
      <c r="C30" s="68">
        <f>'ELEM. MECA.'!J7</f>
        <v>15</v>
      </c>
      <c r="D30" s="38">
        <f>IF(AND('CG. MPB'!D31="CONFINADO",'CG. MPB'!E31="CONCRETO"),0.8,IF('CG. MPB'!D31="NO CONFINADO",0.3,0.6))</f>
        <v>0.8</v>
      </c>
      <c r="E30" s="68">
        <v>0.6</v>
      </c>
      <c r="F30" s="38">
        <f>IF('CG. MPB'!E31="CONCRETO",G30,'RMCV.PB'!H30+'RMCV.PB'!I30+'RMCV.PB'!J30+K30+L30+M30)</f>
        <v>150</v>
      </c>
      <c r="G30" s="542">
        <f>IF('CG. MPB'!E31="CONCRETO",0.6*$G$24,0)</f>
        <v>150</v>
      </c>
      <c r="H30" s="574">
        <f>IF(AND('CG. MPB'!E31="TABIQUE",'CG. MPB'!F31="MACIZO"),15,0)</f>
        <v>0</v>
      </c>
      <c r="I30" s="574">
        <f>IF(AND('CG. MPB'!E31="TABIQUE",'CG. MPB'!F31="HUECO"),IF(E18="III",30,40),0)</f>
        <v>0</v>
      </c>
      <c r="J30" s="574">
        <f>IF('CG. MPB'!E31="TABICON",IF(E18="I",20,15),0)</f>
        <v>0</v>
      </c>
      <c r="K30" s="574">
        <f>IF('CG. MPB'!E31="ADOBE",10,0)</f>
        <v>0</v>
      </c>
      <c r="L30" s="574">
        <f>IF('CG. MPB'!E31="LIGERO",10,0)</f>
        <v>0</v>
      </c>
      <c r="M30" s="574">
        <f>IF('CG. MPB'!E31="CANTERA",30,0)</f>
        <v>0</v>
      </c>
      <c r="N30" s="575">
        <f t="shared" ref="N30:N78" si="6">B30*C30</f>
        <v>4200.0000167410717</v>
      </c>
      <c r="O30" s="918">
        <f>ABS('ELEM. MECA.'!D7)</f>
        <v>29694.593508974976</v>
      </c>
      <c r="P30" s="919">
        <f>IF(AND('CG. MPB'!D31="CONFINADO",'CG. MPB'!E31="TABIQUE",'CG. MPB'!F31="MACIZO"),'RMCV.PB'!Y30,IF(AND('CG. MPB'!D31="CONFINADO",'CG. MPB'!E31="TABICON",'CG. MPB'!F31="MACIZO"),'RMCV.PB'!Y30,IF(AND('CG. MPB'!D31="CONFINADO",'CG. MPB'!E31="LIGERO",'CG. MPB'!F31="MACIZO"),'RMCV.PB'!Y30,IF(AND('CG. MPB'!D31="NO CONFINADO",'CG. MPB'!E31="TABIQUE",'CG. MPB'!F31="MACIZO"),Z30,IF(AND('CG. MPB'!D31="NO CONFINADO",'CG. MPB'!E31="TABICON",'CG. MPB'!F31="MACIZO"),Z30,IF(AND('CG. MPB'!D31="NO CONFINADO",'CG. MPB'!E31="LIGERO",'CG. MPB'!F31="MACIZO"),Z30,IF(AND('CG. MPB'!E31="TABIQUE",'CG. MPB'!F31="HUECO"),X30,IF('CG. MPB'!E31="ADOBE",'RMCV.PB'!AA30,'RMCV.PB'!AB30))))))))</f>
        <v>604760.07401322899</v>
      </c>
      <c r="Q30" s="685" t="str">
        <f t="shared" ref="Q30:Q78" si="7">IF(O30&gt;P30,"NO PASA","PASA")</f>
        <v>PASA</v>
      </c>
      <c r="R30" s="4">
        <f>IF(D30*E30*(F30*N30+'CASTILLOS-PB'!W30*FY)&gt;1.25*D30*E30*F30*N30,1.25*D30*E30*F30*N30,D30*E30*(F30*N30+'CASTILLOS-PB'!W30*FY))</f>
        <v>318144.96120535716</v>
      </c>
      <c r="S30" s="4">
        <f>D30*E30*(F30*N30+'CASTILLOS-PB'!G30*FY*2)</f>
        <v>313850.88120535715</v>
      </c>
      <c r="T30" s="4">
        <f t="shared" si="2"/>
        <v>302400.00120535714</v>
      </c>
      <c r="U30" s="521">
        <f t="shared" si="3"/>
        <v>302400.00120535714</v>
      </c>
      <c r="V30" s="533">
        <f>D30*(0.7*$G$24*(B30*C30)+2000*'MUR.CONC-PB'!K30)</f>
        <v>604760.07401322899</v>
      </c>
      <c r="W30" s="533">
        <f t="shared" si="4"/>
        <v>261900.00000000006</v>
      </c>
      <c r="X30" s="543">
        <f>IF(AND('CG. MPB'!E31="TABIQUE",'CG. MPB'!F31="HUECO"),R30,0)</f>
        <v>0</v>
      </c>
      <c r="Y30" s="543">
        <f>IF(AND('CG. MPB'!D31="CONFINADO",'CG. MPB'!E31="TABIQUE",'CG. MPB'!F31="MACIZO"),'RMCV.PB'!S30,IF(AND('CG. MPB'!D31="CONFINADO",'CG. MPB'!E31="TABICON",'CG. MPB'!F31="MACIZO"),'RMCV.PB'!S30,IF(AND('CG. MPB'!D31="CONFINADO",'CG. MPB'!E31="LIGERO",'CG. MPB'!F31="MACIZO"),'RMCV.PB'!S30,0)))</f>
        <v>0</v>
      </c>
      <c r="Z30" s="543">
        <f>IF(AND('CG. MPB'!D31="NO CONFINADO",'CG. MPB'!E31="TABIQUE",'CG. MPB'!F31="MACIZO"),T30,IF(AND('CG. MPB'!D31="NO CONFINADO",'CG. MPB'!E31="TABICON",'CG. MPB'!F31="MACIZO"),T30,IF(AND('CG. MPB'!D31="NO CONFINADO",'CG. MPB'!E31="LIGERO",'CG. MPB'!F31="MACIZO"),T30,0)))</f>
        <v>0</v>
      </c>
      <c r="AA30" s="543">
        <f>IF('CG. MPB'!E31="ADOBE",'RMCV.PB'!U30,0)</f>
        <v>0</v>
      </c>
      <c r="AB30" s="543">
        <f>IF('CG. MPB'!E31="CONCRETO",'RMCV.PB'!V30,0)</f>
        <v>604760.07401322899</v>
      </c>
      <c r="AC30" s="900">
        <f>IF('CG. MPB'!E31="CANTERA",'RMCV.PB'!W30,0)</f>
        <v>0</v>
      </c>
      <c r="AD30" s="93">
        <f t="shared" si="5"/>
        <v>3.125</v>
      </c>
      <c r="AE30" s="428">
        <v>0.6</v>
      </c>
      <c r="AF30" s="4">
        <f>(1-2*AD30/C30)*(1-(AE30*'CG. MPB'!C31*10/(30*C30))^2)</f>
        <v>0.5825202962962962</v>
      </c>
      <c r="AG30" s="350">
        <f>(1-(2*AD30/C30))*(1-(AE30*'CG. MPB'!C31*10/(30*C30))^2)*(1-('CG. MPB'!C31*10/B30))+('CG. MPB'!C31*10/B30)</f>
        <v>0.62426826650026046</v>
      </c>
      <c r="AH30" s="429">
        <f t="shared" ref="AH30:AH78" si="8">IF(AG30&gt;0.9,0.9,AG30)</f>
        <v>0.62426826650026046</v>
      </c>
    </row>
    <row r="31" spans="1:45">
      <c r="A31" s="684">
        <f>'CG. MPB'!A32</f>
        <v>3</v>
      </c>
      <c r="B31" s="578">
        <f>'CG. MPB'!B32*100</f>
        <v>242.50000000000006</v>
      </c>
      <c r="C31" s="68">
        <f>'ELEM. MECA.'!J8</f>
        <v>15</v>
      </c>
      <c r="D31" s="38">
        <f>IF(AND('CG. MPB'!D32="CONFINADO",'CG. MPB'!E32="CONCRETO"),0.8,IF('CG. MPB'!D32="NO CONFINADO",0.3,0.6))</f>
        <v>0.8</v>
      </c>
      <c r="E31" s="68">
        <v>0.6</v>
      </c>
      <c r="F31" s="38">
        <f>IF('CG. MPB'!E32="CONCRETO",G31,'RMCV.PB'!H31+'RMCV.PB'!I31+'RMCV.PB'!J31+K31+L31+M31)</f>
        <v>150</v>
      </c>
      <c r="G31" s="542">
        <f>IF('CG. MPB'!E32="CONCRETO",0.6*$G$24,0)</f>
        <v>150</v>
      </c>
      <c r="H31" s="574">
        <f>IF(AND('CG. MPB'!E32="TABIQUE",'CG. MPB'!F32="MACIZO"),15,0)</f>
        <v>0</v>
      </c>
      <c r="I31" s="574">
        <f>IF(AND('CG. MPB'!E32="TABIQUE",'CG. MPB'!F32="HUECO"),IF(E19="III",30,40),0)</f>
        <v>0</v>
      </c>
      <c r="J31" s="574">
        <f>IF('CG. MPB'!E32="TABICON",IF(E19="I",20,15),0)</f>
        <v>0</v>
      </c>
      <c r="K31" s="574">
        <f>IF('CG. MPB'!E32="ADOBE",10,0)</f>
        <v>0</v>
      </c>
      <c r="L31" s="574">
        <f>IF('CG. MPB'!E32="LIGERO",10,0)</f>
        <v>0</v>
      </c>
      <c r="M31" s="574">
        <f>IF('CG. MPB'!E32="CANTERA",30,0)</f>
        <v>0</v>
      </c>
      <c r="N31" s="575">
        <f t="shared" si="6"/>
        <v>3637.5000000000009</v>
      </c>
      <c r="O31" s="918">
        <f>ABS('ELEM. MECA.'!D8)</f>
        <v>20707.666073641703</v>
      </c>
      <c r="P31" s="919">
        <f>IF(AND('CG. MPB'!D32="CONFINADO",'CG. MPB'!E32="TABIQUE",'CG. MPB'!F32="MACIZO"),'RMCV.PB'!Y31,IF(AND('CG. MPB'!D32="CONFINADO",'CG. MPB'!E32="TABICON",'CG. MPB'!F32="MACIZO"),'RMCV.PB'!Y31,IF(AND('CG. MPB'!D32="CONFINADO",'CG. MPB'!E32="LIGERO",'CG. MPB'!F32="MACIZO"),'RMCV.PB'!Y31,IF(AND('CG. MPB'!D32="NO CONFINADO",'CG. MPB'!E32="TABIQUE",'CG. MPB'!F32="MACIZO"),Z31,IF(AND('CG. MPB'!D32="NO CONFINADO",'CG. MPB'!E32="TABICON",'CG. MPB'!F32="MACIZO"),Z31,IF(AND('CG. MPB'!D32="NO CONFINADO",'CG. MPB'!E32="LIGERO",'CG. MPB'!F32="MACIZO"),Z31,IF(AND('CG. MPB'!E32="TABIQUE",'CG. MPB'!F32="HUECO"),X31,IF('CG. MPB'!E32="ADOBE",'RMCV.PB'!AA31,'RMCV.PB'!AB31))))))))</f>
        <v>523638.36335376627</v>
      </c>
      <c r="Q31" s="685" t="str">
        <f t="shared" si="7"/>
        <v>PASA</v>
      </c>
      <c r="R31" s="4">
        <f>IF(D31*E31*(F31*N31+'CASTILLOS-PB'!W31*FY)&gt;1.25*D31*E31*F31*N31,1.25*D31*E31*F31*N31,D31*E31*(F31*N31+'CASTILLOS-PB'!W31*FY))</f>
        <v>279076.32000000007</v>
      </c>
      <c r="S31" s="4">
        <f>D31*E31*(F31*N31+'CASTILLOS-PB'!G31*FY*2)</f>
        <v>273350.88000000006</v>
      </c>
      <c r="T31" s="4">
        <f t="shared" si="2"/>
        <v>261900.00000000006</v>
      </c>
      <c r="U31" s="521">
        <f t="shared" si="3"/>
        <v>261900.00000000006</v>
      </c>
      <c r="V31" s="533">
        <f>D31*(0.7*$G$24*(B31*C31)+2000*'MUR.CONC-PB'!K31)</f>
        <v>523638.36335376627</v>
      </c>
      <c r="W31" s="533">
        <f t="shared" si="4"/>
        <v>297000</v>
      </c>
      <c r="X31" s="543">
        <f>IF(AND('CG. MPB'!E32="TABIQUE",'CG. MPB'!F32="HUECO"),R31,0)</f>
        <v>0</v>
      </c>
      <c r="Y31" s="543">
        <f>IF(AND('CG. MPB'!D32="CONFINADO",'CG. MPB'!E32="TABIQUE",'CG. MPB'!F32="MACIZO"),'RMCV.PB'!S31,IF(AND('CG. MPB'!D32="CONFINADO",'CG. MPB'!E32="TABICON",'CG. MPB'!F32="MACIZO"),'RMCV.PB'!S31,IF(AND('CG. MPB'!D32="CONFINADO",'CG. MPB'!E32="LIGERO",'CG. MPB'!F32="MACIZO"),'RMCV.PB'!S31,0)))</f>
        <v>0</v>
      </c>
      <c r="Z31" s="543">
        <f>IF(AND('CG. MPB'!D32="NO CONFINADO",'CG. MPB'!E32="TABIQUE",'CG. MPB'!F32="MACIZO"),T31,IF(AND('CG. MPB'!D32="NO CONFINADO",'CG. MPB'!E32="TABICON",'CG. MPB'!F32="MACIZO"),T31,IF(AND('CG. MPB'!D32="NO CONFINADO",'CG. MPB'!E32="LIGERO",'CG. MPB'!F32="MACIZO"),T31,0)))</f>
        <v>0</v>
      </c>
      <c r="AA31" s="543">
        <f>IF('CG. MPB'!E32="ADOBE",'RMCV.PB'!U31,0)</f>
        <v>0</v>
      </c>
      <c r="AB31" s="543">
        <f>IF('CG. MPB'!E32="CONCRETO",'RMCV.PB'!V31,0)</f>
        <v>523638.36335376627</v>
      </c>
      <c r="AC31" s="900">
        <f>IF('CG. MPB'!E32="CANTERA",'RMCV.PB'!W31,0)</f>
        <v>0</v>
      </c>
      <c r="AD31" s="93">
        <f t="shared" si="5"/>
        <v>3.125</v>
      </c>
      <c r="AE31" s="428">
        <v>0.6</v>
      </c>
      <c r="AF31" s="4">
        <f>(1-2*AD31/C31)*(1-(AE31*'CG. MPB'!C32*10/(30*C31))^2)</f>
        <v>0.5825202962962962</v>
      </c>
      <c r="AG31" s="350">
        <f>(1-(2*AD31/C31))*(1-(AE31*'CG. MPB'!C32*10/(30*C31))^2)*(1-('CG. MPB'!C32*10/B31))+('CG. MPB'!C32*10/B31)</f>
        <v>0.63072413837342478</v>
      </c>
      <c r="AH31" s="429">
        <f t="shared" si="8"/>
        <v>0.63072413837342478</v>
      </c>
    </row>
    <row r="32" spans="1:45">
      <c r="A32" s="684">
        <f>'CG. MPB'!A33</f>
        <v>4</v>
      </c>
      <c r="B32" s="578">
        <f>'CG. MPB'!B33*100</f>
        <v>275</v>
      </c>
      <c r="C32" s="68">
        <f>'ELEM. MECA.'!J9</f>
        <v>15</v>
      </c>
      <c r="D32" s="38">
        <f>IF(AND('CG. MPB'!D33="CONFINADO",'CG. MPB'!E33="CONCRETO"),0.8,IF('CG. MPB'!D33="NO CONFINADO",0.3,0.6))</f>
        <v>0.8</v>
      </c>
      <c r="E32" s="68">
        <v>0.6</v>
      </c>
      <c r="F32" s="38">
        <f>IF('CG. MPB'!E33="CONCRETO",G32,'RMCV.PB'!H32+'RMCV.PB'!I32+'RMCV.PB'!J32+K32+L32+M32)</f>
        <v>150</v>
      </c>
      <c r="G32" s="542">
        <f>IF('CG. MPB'!E33="CONCRETO",0.6*$G$24,0)</f>
        <v>150</v>
      </c>
      <c r="H32" s="574">
        <f>IF(AND('CG. MPB'!E33="TABIQUE",'CG. MPB'!F33="MACIZO"),15,0)</f>
        <v>0</v>
      </c>
      <c r="I32" s="574">
        <f>IF(AND('CG. MPB'!E33="TABIQUE",'CG. MPB'!F33="HUECO"),IF(E20="III",30,40),0)</f>
        <v>0</v>
      </c>
      <c r="J32" s="574">
        <f>IF('CG. MPB'!E33="TABICON",IF(E20="I",20,15),0)</f>
        <v>0</v>
      </c>
      <c r="K32" s="574">
        <f>IF('CG. MPB'!E33="ADOBE",10,0)</f>
        <v>0</v>
      </c>
      <c r="L32" s="574">
        <f>IF('CG. MPB'!E33="LIGERO",10,0)</f>
        <v>0</v>
      </c>
      <c r="M32" s="574">
        <f>IF('CG. MPB'!E33="CANTERA",30,0)</f>
        <v>0</v>
      </c>
      <c r="N32" s="575">
        <f t="shared" si="6"/>
        <v>4125</v>
      </c>
      <c r="O32" s="918">
        <f>ABS('ELEM. MECA.'!D9)</f>
        <v>41051.636743044459</v>
      </c>
      <c r="P32" s="919">
        <f>IF(AND('CG. MPB'!D33="CONFINADO",'CG. MPB'!E33="TABIQUE",'CG. MPB'!F33="MACIZO"),'RMCV.PB'!Y32,IF(AND('CG. MPB'!D33="CONFINADO",'CG. MPB'!E33="TABICON",'CG. MPB'!F33="MACIZO"),'RMCV.PB'!Y32,IF(AND('CG. MPB'!D33="CONFINADO",'CG. MPB'!E33="LIGERO",'CG. MPB'!F33="MACIZO"),'RMCV.PB'!Y32,IF(AND('CG. MPB'!D33="NO CONFINADO",'CG. MPB'!E33="TABIQUE",'CG. MPB'!F33="MACIZO"),Z32,IF(AND('CG. MPB'!D33="NO CONFINADO",'CG. MPB'!E33="TABICON",'CG. MPB'!F33="MACIZO"),Z32,IF(AND('CG. MPB'!D33="NO CONFINADO",'CG. MPB'!E33="LIGERO",'CG. MPB'!F33="MACIZO"),Z32,IF(AND('CG. MPB'!E33="TABIQUE",'CG. MPB'!F33="HUECO"),X32,IF('CG. MPB'!E33="ADOBE",'RMCV.PB'!AA32,'RMCV.PB'!AB32))))))))</f>
        <v>593627.61606685875</v>
      </c>
      <c r="Q32" s="685" t="str">
        <f t="shared" si="7"/>
        <v>PASA</v>
      </c>
      <c r="R32" s="4">
        <f>IF(D32*E32*(F32*N32+'CASTILLOS-PB'!W32*FY)&gt;1.25*D32*E32*F32*N32,1.25*D32*E32*F32*N32,D32*E32*(F32*N32+'CASTILLOS-PB'!W32*FY))</f>
        <v>315607.67999999999</v>
      </c>
      <c r="S32" s="4">
        <f>D32*E32*(F32*N32+'CASTILLOS-PB'!G32*FY*2)</f>
        <v>308450.88</v>
      </c>
      <c r="T32" s="4">
        <f t="shared" si="2"/>
        <v>297000</v>
      </c>
      <c r="U32" s="521">
        <f t="shared" si="3"/>
        <v>297000</v>
      </c>
      <c r="V32" s="533">
        <f>D32*(0.7*$G$24*(B32*C32)+2000*'MUR.CONC-PB'!K32)</f>
        <v>593627.61606685875</v>
      </c>
      <c r="W32" s="533">
        <f t="shared" si="4"/>
        <v>22680.000361607137</v>
      </c>
      <c r="X32" s="543">
        <f>IF(AND('CG. MPB'!E33="TABIQUE",'CG. MPB'!F33="HUECO"),R32,0)</f>
        <v>0</v>
      </c>
      <c r="Y32" s="543">
        <f>IF(AND('CG. MPB'!D33="CONFINADO",'CG. MPB'!E33="TABIQUE",'CG. MPB'!F33="MACIZO"),'RMCV.PB'!S32,IF(AND('CG. MPB'!D33="CONFINADO",'CG. MPB'!E33="TABICON",'CG. MPB'!F33="MACIZO"),'RMCV.PB'!S32,IF(AND('CG. MPB'!D33="CONFINADO",'CG. MPB'!E33="LIGERO",'CG. MPB'!F33="MACIZO"),'RMCV.PB'!S32,0)))</f>
        <v>0</v>
      </c>
      <c r="Z32" s="543">
        <f>IF(AND('CG. MPB'!D33="NO CONFINADO",'CG. MPB'!E33="TABIQUE",'CG. MPB'!F33="MACIZO"),T32,IF(AND('CG. MPB'!D33="NO CONFINADO",'CG. MPB'!E33="TABICON",'CG. MPB'!F33="MACIZO"),T32,IF(AND('CG. MPB'!D33="NO CONFINADO",'CG. MPB'!E33="LIGERO",'CG. MPB'!F33="MACIZO"),T32,0)))</f>
        <v>0</v>
      </c>
      <c r="AA32" s="543">
        <f>IF('CG. MPB'!E33="ADOBE",'RMCV.PB'!U32,0)</f>
        <v>0</v>
      </c>
      <c r="AB32" s="543">
        <f>IF('CG. MPB'!E33="CONCRETO",'RMCV.PB'!V32,0)</f>
        <v>593627.61606685875</v>
      </c>
      <c r="AC32" s="900">
        <f>IF('CG. MPB'!E33="CANTERA",'RMCV.PB'!W32,0)</f>
        <v>0</v>
      </c>
      <c r="AD32" s="93">
        <f t="shared" si="5"/>
        <v>3.125</v>
      </c>
      <c r="AE32" s="428">
        <v>0.6</v>
      </c>
      <c r="AF32" s="4">
        <f>(1-2*AD32/C32)*(1-(AE32*'CG. MPB'!C33*10/(30*C32))^2)</f>
        <v>0.5825202962962962</v>
      </c>
      <c r="AG32" s="350">
        <f>(1-(2*AD32/C32))*(1-(AE32*'CG. MPB'!C33*10/(30*C32))^2)*(1-('CG. MPB'!C33*10/B32))+('CG. MPB'!C33*10/B32)</f>
        <v>0.62502732067340061</v>
      </c>
      <c r="AH32" s="429">
        <f t="shared" si="8"/>
        <v>0.62502732067340061</v>
      </c>
    </row>
    <row r="33" spans="1:34">
      <c r="A33" s="684">
        <f>'CG. MPB'!A34</f>
        <v>5</v>
      </c>
      <c r="B33" s="578">
        <f>'CG. MPB'!B34*100</f>
        <v>280.00000446428567</v>
      </c>
      <c r="C33" s="68">
        <f>'ELEM. MECA.'!J10</f>
        <v>15</v>
      </c>
      <c r="D33" s="38">
        <f>IF(AND('CG. MPB'!D34="CONFINADO",'CG. MPB'!E34="CONCRETO"),0.8,IF('CG. MPB'!D34="NO CONFINADO",0.3,0.6))</f>
        <v>0.6</v>
      </c>
      <c r="E33" s="68">
        <v>0.6</v>
      </c>
      <c r="F33" s="38">
        <f>IF('CG. MPB'!E34="CONCRETO",G33,'RMCV.PB'!H33+'RMCV.PB'!I33+'RMCV.PB'!J33+K33+L33+M33)</f>
        <v>15</v>
      </c>
      <c r="G33" s="542">
        <f>IF('CG. MPB'!E34="CONCRETO",0.6*$G$24,0)</f>
        <v>0</v>
      </c>
      <c r="H33" s="574">
        <f>IF(AND('CG. MPB'!E34="TABIQUE",'CG. MPB'!F34="MACIZO"),15,0)</f>
        <v>0</v>
      </c>
      <c r="I33" s="574">
        <f>IF(AND('CG. MPB'!E34="TABIQUE",'CG. MPB'!F34="HUECO"),IF(E21="III",30,40),0)</f>
        <v>0</v>
      </c>
      <c r="J33" s="574">
        <f>IF('CG. MPB'!E34="TABICON",IF(E21="I",20,15),0)</f>
        <v>15</v>
      </c>
      <c r="K33" s="574">
        <f>IF('CG. MPB'!E34="ADOBE",10,0)</f>
        <v>0</v>
      </c>
      <c r="L33" s="574">
        <f>IF('CG. MPB'!E34="LIGERO",10,0)</f>
        <v>0</v>
      </c>
      <c r="M33" s="574">
        <f>IF('CG. MPB'!E34="CANTERA",30,0)</f>
        <v>0</v>
      </c>
      <c r="N33" s="575">
        <f t="shared" si="6"/>
        <v>4200.000066964285</v>
      </c>
      <c r="O33" s="918">
        <f>ABS('ELEM. MECA.'!D10)</f>
        <v>18427.914121591271</v>
      </c>
      <c r="P33" s="919">
        <f>IF(AND('CG. MPB'!D34="CONFINADO",'CG. MPB'!E34="TABIQUE",'CG. MPB'!F34="MACIZO"),'RMCV.PB'!Y33,IF(AND('CG. MPB'!D34="CONFINADO",'CG. MPB'!E34="TABICON",'CG. MPB'!F34="MACIZO"),'RMCV.PB'!Y33,IF(AND('CG. MPB'!D34="CONFINADO",'CG. MPB'!E34="LIGERO",'CG. MPB'!F34="MACIZO"),'RMCV.PB'!Y33,IF(AND('CG. MPB'!D34="NO CONFINADO",'CG. MPB'!E34="TABIQUE",'CG. MPB'!F34="MACIZO"),Z33,IF(AND('CG. MPB'!D34="NO CONFINADO",'CG. MPB'!E34="TABICON",'CG. MPB'!F34="MACIZO"),Z33,IF(AND('CG. MPB'!D34="NO CONFINADO",'CG. MPB'!E34="LIGERO",'CG. MPB'!F34="MACIZO"),Z33,IF(AND('CG. MPB'!E34="TABIQUE",'CG. MPB'!F34="HUECO"),X33,IF('CG. MPB'!E34="ADOBE",'RMCV.PB'!AA33,'RMCV.PB'!AB33))))))))</f>
        <v>31268.160361607141</v>
      </c>
      <c r="Q33" s="685" t="str">
        <f t="shared" si="7"/>
        <v>PASA</v>
      </c>
      <c r="R33" s="4">
        <f>IF(D33*E33*(F33*N33+'CASTILLOS-PB'!W33*FY)&gt;1.25*D33*E33*F33*N33,1.25*D33*E33*F33*N33,D33*E33*(F33*N33+'CASTILLOS-PB'!W33*FY))</f>
        <v>28350.000452008921</v>
      </c>
      <c r="S33" s="4">
        <f>D33*E33*(F33*N33+'CASTILLOS-PB'!G33*FY*2)</f>
        <v>31268.160361607141</v>
      </c>
      <c r="T33" s="4">
        <f t="shared" si="2"/>
        <v>22680.000361607137</v>
      </c>
      <c r="U33" s="521">
        <f t="shared" si="3"/>
        <v>22680.000361607137</v>
      </c>
      <c r="V33" s="533">
        <f>D33*(0.7*$G$24*(B33*C33)+2000*'MUR.CONC-PB'!K33)</f>
        <v>441000.00703124993</v>
      </c>
      <c r="W33" s="533">
        <f t="shared" si="4"/>
        <v>278100.02097087295</v>
      </c>
      <c r="X33" s="543">
        <f>IF(AND('CG. MPB'!E34="TABIQUE",'CG. MPB'!F34="HUECO"),R33,0)</f>
        <v>0</v>
      </c>
      <c r="Y33" s="543">
        <f>IF(AND('CG. MPB'!D34="CONFINADO",'CG. MPB'!E34="TABIQUE",'CG. MPB'!F34="MACIZO"),'RMCV.PB'!S33,IF(AND('CG. MPB'!D34="CONFINADO",'CG. MPB'!E34="TABICON",'CG. MPB'!F34="MACIZO"),'RMCV.PB'!S33,IF(AND('CG. MPB'!D34="CONFINADO",'CG. MPB'!E34="LIGERO",'CG. MPB'!F34="MACIZO"),'RMCV.PB'!S33,0)))</f>
        <v>31268.160361607141</v>
      </c>
      <c r="Z33" s="543">
        <f>IF(AND('CG. MPB'!D34="NO CONFINADO",'CG. MPB'!E34="TABIQUE",'CG. MPB'!F34="MACIZO"),T33,IF(AND('CG. MPB'!D34="NO CONFINADO",'CG. MPB'!E34="TABICON",'CG. MPB'!F34="MACIZO"),T33,IF(AND('CG. MPB'!D34="NO CONFINADO",'CG. MPB'!E34="LIGERO",'CG. MPB'!F34="MACIZO"),T33,0)))</f>
        <v>0</v>
      </c>
      <c r="AA33" s="543">
        <f>IF('CG. MPB'!E34="ADOBE",'RMCV.PB'!U33,0)</f>
        <v>0</v>
      </c>
      <c r="AB33" s="543">
        <f>IF('CG. MPB'!E34="CONCRETO",'RMCV.PB'!V33,0)</f>
        <v>0</v>
      </c>
      <c r="AC33" s="900">
        <f>IF('CG. MPB'!E34="CANTERA",'RMCV.PB'!W33,0)</f>
        <v>0</v>
      </c>
      <c r="AD33" s="93">
        <f t="shared" si="5"/>
        <v>3.125</v>
      </c>
      <c r="AE33" s="428">
        <v>0.6</v>
      </c>
      <c r="AF33" s="4">
        <f>(1-2*AD33/C33)*(1-(AE33*'CG. MPB'!C34*10/(30*C33))^2)</f>
        <v>0.5825202962962962</v>
      </c>
      <c r="AG33" s="350">
        <f>(1-(2*AD33/C33))*(1-(AE33*'CG. MPB'!C34*10/(30*C33))^2)*(1-('CG. MPB'!C34*10/B33))+('CG. MPB'!C34*10/B33)</f>
        <v>0.62426826600104202</v>
      </c>
      <c r="AH33" s="429">
        <f t="shared" si="8"/>
        <v>0.62426826600104202</v>
      </c>
    </row>
    <row r="34" spans="1:34">
      <c r="A34" s="684">
        <f>'CG. MPB'!A35</f>
        <v>6</v>
      </c>
      <c r="B34" s="578">
        <f>'CG. MPB'!B35*100</f>
        <v>257.50001941747496</v>
      </c>
      <c r="C34" s="68">
        <f>'ELEM. MECA.'!J11</f>
        <v>15</v>
      </c>
      <c r="D34" s="38">
        <f>IF(AND('CG. MPB'!D35="CONFINADO",'CG. MPB'!E35="CONCRETO"),0.8,IF('CG. MPB'!D35="NO CONFINADO",0.3,0.6))</f>
        <v>0.8</v>
      </c>
      <c r="E34" s="68">
        <v>0.6</v>
      </c>
      <c r="F34" s="38">
        <f>IF('CG. MPB'!E35="CONCRETO",G34,'RMCV.PB'!H34+'RMCV.PB'!I34+'RMCV.PB'!J34+K34+L34+M34)</f>
        <v>150</v>
      </c>
      <c r="G34" s="542">
        <f>IF('CG. MPB'!E35="CONCRETO",0.6*$G$24,0)</f>
        <v>150</v>
      </c>
      <c r="H34" s="574">
        <f>IF(AND('CG. MPB'!E35="TABIQUE",'CG. MPB'!F35="MACIZO"),15,0)</f>
        <v>0</v>
      </c>
      <c r="I34" s="574">
        <f>IF(AND('CG. MPB'!E35="TABIQUE",'CG. MPB'!F35="HUECO"),IF(E22="III",30,40),0)</f>
        <v>0</v>
      </c>
      <c r="J34" s="574">
        <f>IF('CG. MPB'!E35="TABICON",IF(E22="I",20,15),0)</f>
        <v>0</v>
      </c>
      <c r="K34" s="574">
        <f>IF('CG. MPB'!E35="ADOBE",10,0)</f>
        <v>0</v>
      </c>
      <c r="L34" s="574">
        <f>IF('CG. MPB'!E35="LIGERO",10,0)</f>
        <v>0</v>
      </c>
      <c r="M34" s="574">
        <f>IF('CG. MPB'!E35="CANTERA",30,0)</f>
        <v>0</v>
      </c>
      <c r="N34" s="575">
        <f t="shared" si="6"/>
        <v>3862.5002912621244</v>
      </c>
      <c r="O34" s="918">
        <f>ABS('ELEM. MECA.'!D11)</f>
        <v>53206.39340613805</v>
      </c>
      <c r="P34" s="919">
        <f>IF(AND('CG. MPB'!D35="CONFINADO",'CG. MPB'!E35="TABIQUE",'CG. MPB'!F35="MACIZO"),'RMCV.PB'!Y34,IF(AND('CG. MPB'!D35="CONFINADO",'CG. MPB'!E35="TABICON",'CG. MPB'!F35="MACIZO"),'RMCV.PB'!Y34,IF(AND('CG. MPB'!D35="CONFINADO",'CG. MPB'!E35="LIGERO",'CG. MPB'!F35="MACIZO"),'RMCV.PB'!Y34,IF(AND('CG. MPB'!D35="NO CONFINADO",'CG. MPB'!E35="TABIQUE",'CG. MPB'!F35="MACIZO"),Z34,IF(AND('CG. MPB'!D35="NO CONFINADO",'CG. MPB'!E35="TABICON",'CG. MPB'!F35="MACIZO"),Z34,IF(AND('CG. MPB'!D35="NO CONFINADO",'CG. MPB'!E35="LIGERO",'CG. MPB'!F35="MACIZO"),Z34,IF(AND('CG. MPB'!E35="TABIQUE",'CG. MPB'!F35="HUECO"),X34,IF('CG. MPB'!E35="ADOBE",'RMCV.PB'!AA34,'RMCV.PB'!AB34))))))))</f>
        <v>555454.63312454929</v>
      </c>
      <c r="Q34" s="685" t="str">
        <f t="shared" si="7"/>
        <v>PASA</v>
      </c>
      <c r="R34" s="4">
        <f>IF(D34*E34*(F34*N34+'CASTILLOS-PB'!W34*FY)&gt;1.25*D34*E34*F34*N34,1.25*D34*E34*F34*N34,D34*E34*(F34*N34+'CASTILLOS-PB'!W34*FY))</f>
        <v>299570.42097087298</v>
      </c>
      <c r="S34" s="4">
        <f>D34*E34*(F34*N34+'CASTILLOS-PB'!G34*FY*2)</f>
        <v>289550.90097087296</v>
      </c>
      <c r="T34" s="4">
        <f t="shared" si="2"/>
        <v>278100.02097087295</v>
      </c>
      <c r="U34" s="521">
        <f t="shared" si="3"/>
        <v>278100.02097087295</v>
      </c>
      <c r="V34" s="533">
        <f>D34*(0.7*$G$24*(B34*C34)+2000*'MUR.CONC-PB'!K34)</f>
        <v>555454.63312454929</v>
      </c>
      <c r="W34" s="533">
        <f t="shared" si="4"/>
        <v>22680.000361607148</v>
      </c>
      <c r="X34" s="543">
        <f>IF(AND('CG. MPB'!E35="TABIQUE",'CG. MPB'!F35="HUECO"),R34,0)</f>
        <v>0</v>
      </c>
      <c r="Y34" s="543">
        <f>IF(AND('CG. MPB'!D35="CONFINADO",'CG. MPB'!E35="TABIQUE",'CG. MPB'!F35="MACIZO"),'RMCV.PB'!S34,IF(AND('CG. MPB'!D35="CONFINADO",'CG. MPB'!E35="TABICON",'CG. MPB'!F35="MACIZO"),'RMCV.PB'!S34,IF(AND('CG. MPB'!D35="CONFINADO",'CG. MPB'!E35="LIGERO",'CG. MPB'!F35="MACIZO"),'RMCV.PB'!S34,0)))</f>
        <v>0</v>
      </c>
      <c r="Z34" s="543">
        <f>IF(AND('CG. MPB'!D35="NO CONFINADO",'CG. MPB'!E35="TABIQUE",'CG. MPB'!F35="MACIZO"),T34,IF(AND('CG. MPB'!D35="NO CONFINADO",'CG. MPB'!E35="TABICON",'CG. MPB'!F35="MACIZO"),T34,IF(AND('CG. MPB'!D35="NO CONFINADO",'CG. MPB'!E35="LIGERO",'CG. MPB'!F35="MACIZO"),T34,0)))</f>
        <v>0</v>
      </c>
      <c r="AA34" s="543">
        <f>IF('CG. MPB'!E35="ADOBE",'RMCV.PB'!U34,0)</f>
        <v>0</v>
      </c>
      <c r="AB34" s="543">
        <f>IF('CG. MPB'!E35="CONCRETO",'RMCV.PB'!V34,0)</f>
        <v>555454.63312454929</v>
      </c>
      <c r="AC34" s="900">
        <f>IF('CG. MPB'!E35="CANTERA",'RMCV.PB'!W34,0)</f>
        <v>0</v>
      </c>
      <c r="AD34" s="93">
        <f t="shared" si="5"/>
        <v>3.125</v>
      </c>
      <c r="AE34" s="428">
        <v>0.6</v>
      </c>
      <c r="AF34" s="4">
        <f>(1-2*AD34/C34)*(1-(AE34*'CG. MPB'!C35*10/(30*C34))^2)</f>
        <v>0.5825202962962962</v>
      </c>
      <c r="AG34" s="350">
        <f>(1-(2*AD34/C34))*(1-(AE34*'CG. MPB'!C35*10/(30*C34))^2)*(1-('CG. MPB'!C35*10/B34))+('CG. MPB'!C35*10/B34)</f>
        <v>0.62791614414962038</v>
      </c>
      <c r="AH34" s="429">
        <f t="shared" si="8"/>
        <v>0.62791614414962038</v>
      </c>
    </row>
    <row r="35" spans="1:34" ht="15.75" thickBot="1">
      <c r="A35" s="684">
        <f>'CG. MPB'!A36</f>
        <v>7</v>
      </c>
      <c r="B35" s="578">
        <f>'CG. MPB'!B36*100</f>
        <v>280.00000446428578</v>
      </c>
      <c r="C35" s="68">
        <f>'ELEM. MECA.'!J12</f>
        <v>15</v>
      </c>
      <c r="D35" s="38">
        <f>IF(AND('CG. MPB'!D36="CONFINADO",'CG. MPB'!E36="CONCRETO"),0.8,IF('CG. MPB'!D36="NO CONFINADO",0.3,0.6))</f>
        <v>0.6</v>
      </c>
      <c r="E35" s="68">
        <v>0.6</v>
      </c>
      <c r="F35" s="38">
        <f>IF('CG. MPB'!E36="CONCRETO",G35,'RMCV.PB'!H35+'RMCV.PB'!I35+'RMCV.PB'!J35+K35+L35+M35)</f>
        <v>15</v>
      </c>
      <c r="G35" s="542">
        <f>IF('CG. MPB'!E36="CONCRETO",0.6*$G$24,0)</f>
        <v>0</v>
      </c>
      <c r="H35" s="574">
        <f>IF(AND('CG. MPB'!E36="TABIQUE",'CG. MPB'!F36="MACIZO"),15,0)</f>
        <v>0</v>
      </c>
      <c r="I35" s="574">
        <f>IF(AND('CG. MPB'!E36="TABIQUE",'CG. MPB'!F36="HUECO"),IF(E23="III",30,40),0)</f>
        <v>0</v>
      </c>
      <c r="J35" s="574">
        <f>IF('CG. MPB'!E36="TABICON",IF(E23="I",20,15),0)</f>
        <v>15</v>
      </c>
      <c r="K35" s="574">
        <f>IF('CG. MPB'!E36="ADOBE",10,0)</f>
        <v>0</v>
      </c>
      <c r="L35" s="574">
        <f>IF('CG. MPB'!E36="LIGERO",10,0)</f>
        <v>0</v>
      </c>
      <c r="M35" s="574">
        <f>IF('CG. MPB'!E36="CANTERA",30,0)</f>
        <v>0</v>
      </c>
      <c r="N35" s="575">
        <f t="shared" si="6"/>
        <v>4200.0000669642868</v>
      </c>
      <c r="O35" s="918">
        <f>ABS('ELEM. MECA.'!D12)</f>
        <v>8253.5939178855915</v>
      </c>
      <c r="P35" s="919">
        <f>IF(AND('CG. MPB'!D36="CONFINADO",'CG. MPB'!E36="TABIQUE",'CG. MPB'!F36="MACIZO"),'RMCV.PB'!Y35,IF(AND('CG. MPB'!D36="CONFINADO",'CG. MPB'!E36="TABICON",'CG. MPB'!F36="MACIZO"),'RMCV.PB'!Y35,IF(AND('CG. MPB'!D36="CONFINADO",'CG. MPB'!E36="LIGERO",'CG. MPB'!F36="MACIZO"),'RMCV.PB'!Y35,IF(AND('CG. MPB'!D36="NO CONFINADO",'CG. MPB'!E36="TABIQUE",'CG. MPB'!F36="MACIZO"),Z35,IF(AND('CG. MPB'!D36="NO CONFINADO",'CG. MPB'!E36="TABICON",'CG. MPB'!F36="MACIZO"),Z35,IF(AND('CG. MPB'!D36="NO CONFINADO",'CG. MPB'!E36="LIGERO",'CG. MPB'!F36="MACIZO"),Z35,IF(AND('CG. MPB'!E36="TABIQUE",'CG. MPB'!F36="HUECO"),X35,IF('CG. MPB'!E36="ADOBE",'RMCV.PB'!AA35,'RMCV.PB'!AB35))))))))</f>
        <v>31268.160361607148</v>
      </c>
      <c r="Q35" s="685" t="str">
        <f t="shared" si="7"/>
        <v>PASA</v>
      </c>
      <c r="R35" s="4">
        <f>IF(D35*E35*(F35*N35+'CASTILLOS-PB'!W35*FY)&gt;1.25*D35*E35*F35*N35,1.25*D35*E35*F35*N35,D35*E35*(F35*N35+'CASTILLOS-PB'!W35*FY))</f>
        <v>28350.000452008931</v>
      </c>
      <c r="S35" s="4">
        <f>D35*E35*(F35*N35+'CASTILLOS-PB'!G35*FY*2)</f>
        <v>31268.160361607148</v>
      </c>
      <c r="T35" s="4">
        <f t="shared" si="2"/>
        <v>22680.000361607148</v>
      </c>
      <c r="U35" s="521">
        <f t="shared" si="3"/>
        <v>22680.000361607148</v>
      </c>
      <c r="V35" s="533">
        <f>D35*(0.7*$G$24*(B35*C35)+2000*'MUR.CONC-PB'!K35)</f>
        <v>441000.0070312501</v>
      </c>
      <c r="W35" s="533" t="e">
        <f t="shared" si="4"/>
        <v>#VALUE!</v>
      </c>
      <c r="X35" s="543">
        <f>IF(AND('CG. MPB'!E36="TABIQUE",'CG. MPB'!F36="HUECO"),R35,0)</f>
        <v>0</v>
      </c>
      <c r="Y35" s="543">
        <f>IF(AND('CG. MPB'!D36="CONFINADO",'CG. MPB'!E36="TABIQUE",'CG. MPB'!F36="MACIZO"),'RMCV.PB'!S35,IF(AND('CG. MPB'!D36="CONFINADO",'CG. MPB'!E36="TABICON",'CG. MPB'!F36="MACIZO"),'RMCV.PB'!S35,IF(AND('CG. MPB'!D36="CONFINADO",'CG. MPB'!E36="LIGERO",'CG. MPB'!F36="MACIZO"),'RMCV.PB'!S35,0)))</f>
        <v>31268.160361607148</v>
      </c>
      <c r="Z35" s="543">
        <f>IF(AND('CG. MPB'!D36="NO CONFINADO",'CG. MPB'!E36="TABIQUE",'CG. MPB'!F36="MACIZO"),T35,IF(AND('CG. MPB'!D36="NO CONFINADO",'CG. MPB'!E36="TABICON",'CG. MPB'!F36="MACIZO"),T35,IF(AND('CG. MPB'!D36="NO CONFINADO",'CG. MPB'!E36="LIGERO",'CG. MPB'!F36="MACIZO"),T35,0)))</f>
        <v>0</v>
      </c>
      <c r="AA35" s="543">
        <f>IF('CG. MPB'!E36="ADOBE",'RMCV.PB'!U35,0)</f>
        <v>0</v>
      </c>
      <c r="AB35" s="543">
        <f>IF('CG. MPB'!E36="CONCRETO",'RMCV.PB'!V35,0)</f>
        <v>0</v>
      </c>
      <c r="AC35" s="900">
        <f>IF('CG. MPB'!E36="CANTERA",'RMCV.PB'!W35,0)</f>
        <v>0</v>
      </c>
      <c r="AD35" s="93">
        <f t="shared" si="5"/>
        <v>3.125</v>
      </c>
      <c r="AE35" s="428">
        <v>0.6</v>
      </c>
      <c r="AF35" s="4">
        <f>(1-2*AD35/C35)*(1-(AE35*'CG. MPB'!C36*10/(30*C35))^2)</f>
        <v>0.5825202962962962</v>
      </c>
      <c r="AG35" s="350">
        <f>(1-(2*AD35/C35))*(1-(AE35*'CG. MPB'!C36*10/(30*C35))^2)*(1-('CG. MPB'!C36*10/B35))+('CG. MPB'!C36*10/B35)</f>
        <v>0.62426826600104202</v>
      </c>
      <c r="AH35" s="429">
        <f t="shared" si="8"/>
        <v>0.62426826600104202</v>
      </c>
    </row>
    <row r="36" spans="1:34" hidden="1">
      <c r="A36" s="684">
        <f>'CG. MPB'!A37</f>
        <v>8</v>
      </c>
      <c r="B36" s="578">
        <f>'CG. MPB'!B37*100</f>
        <v>0</v>
      </c>
      <c r="C36" s="68" t="str">
        <f>'ELEM. MECA.'!J13</f>
        <v>-</v>
      </c>
      <c r="D36" s="38">
        <f>IF(AND('CG. MPB'!D37="CONFINADO",'CG. MPB'!E37="CONCRETO"),0.8,IF('CG. MPB'!D37="NO CONFINADO",0.3,0.6))</f>
        <v>0.6</v>
      </c>
      <c r="E36" s="68">
        <v>0.6</v>
      </c>
      <c r="F36" s="38">
        <f>IF('CG. MPB'!E37="CONCRETO",G36,'RMCV.PB'!H36+'RMCV.PB'!I36+'RMCV.PB'!J36+K36+L36+M36)</f>
        <v>0</v>
      </c>
      <c r="G36" s="542">
        <f>IF('CG. MPB'!E37="CONCRETO",0.6*$G$24,0)</f>
        <v>0</v>
      </c>
      <c r="H36" s="574">
        <f>IF(AND('CG. MPB'!E37="TABIQUE",'CG. MPB'!F37="MACIZO"),15,0)</f>
        <v>0</v>
      </c>
      <c r="I36" s="574">
        <f>IF(AND('CG. MPB'!E37="TABIQUE",'CG. MPB'!F37="HUECO"),IF(E24="III",30,40),0)</f>
        <v>0</v>
      </c>
      <c r="J36" s="574">
        <f>IF('CG. MPB'!E37="TABICON",IF(E24="I",20,15),0)</f>
        <v>0</v>
      </c>
      <c r="K36" s="574">
        <f>IF('CG. MPB'!E37="ADOBE",10,0)</f>
        <v>0</v>
      </c>
      <c r="L36" s="574">
        <f>IF('CG. MPB'!E37="LIGERO",10,0)</f>
        <v>0</v>
      </c>
      <c r="M36" s="574">
        <f>IF('CG. MPB'!E37="CANTERA",30,0)</f>
        <v>0</v>
      </c>
      <c r="N36" s="575" t="e">
        <f t="shared" si="6"/>
        <v>#VALUE!</v>
      </c>
      <c r="O36" s="918" t="e">
        <f>ABS('ELEM. MECA.'!D13)</f>
        <v>#VALUE!</v>
      </c>
      <c r="P36" s="919">
        <f>IF(AND('CG. MPB'!D37="CONFINADO",'CG. MPB'!E37="TABIQUE",'CG. MPB'!F37="MACIZO"),'RMCV.PB'!Y36,IF(AND('CG. MPB'!D37="CONFINADO",'CG. MPB'!E37="TABICON",'CG. MPB'!F37="MACIZO"),'RMCV.PB'!Y36,IF(AND('CG. MPB'!D37="CONFINADO",'CG. MPB'!E37="LIGERO",'CG. MPB'!F37="MACIZO"),'RMCV.PB'!Y36,IF(AND('CG. MPB'!D37="NO CONFINADO",'CG. MPB'!E37="TABIQUE",'CG. MPB'!F37="MACIZO"),Z36,IF(AND('CG. MPB'!D37="NO CONFINADO",'CG. MPB'!E37="TABICON",'CG. MPB'!F37="MACIZO"),Z36,IF(AND('CG. MPB'!D37="NO CONFINADO",'CG. MPB'!E37="LIGERO",'CG. MPB'!F37="MACIZO"),Z36,IF(AND('CG. MPB'!E37="TABIQUE",'CG. MPB'!F37="HUECO"),X36,IF('CG. MPB'!E37="ADOBE",'RMCV.PB'!AA36,'RMCV.PB'!AB36))))))))</f>
        <v>0</v>
      </c>
      <c r="Q36" s="685" t="e">
        <f t="shared" si="7"/>
        <v>#VALUE!</v>
      </c>
      <c r="R36" s="4" t="e">
        <f>IF(D36*E36*(F36*N36+'CASTILLOS-PB'!W36*FY)&gt;1.25*D36*E36*F36*N36,1.25*D36*E36*F36*N36,D36*E36*(F36*N36+'CASTILLOS-PB'!W36*FY))</f>
        <v>#VALUE!</v>
      </c>
      <c r="S36" s="4" t="e">
        <f>D36*E36*(F36*N36+'CASTILLOS-PB'!G36*FY*2)</f>
        <v>#VALUE!</v>
      </c>
      <c r="T36" s="4" t="e">
        <f t="shared" si="2"/>
        <v>#VALUE!</v>
      </c>
      <c r="U36" s="521" t="e">
        <f t="shared" si="3"/>
        <v>#VALUE!</v>
      </c>
      <c r="V36" s="533" t="e">
        <f>D36*(0.7*$G$24*(B36*C36)+2000*'MUR.CONC-PB'!K36)</f>
        <v>#VALUE!</v>
      </c>
      <c r="W36" s="533" t="e">
        <f t="shared" si="4"/>
        <v>#VALUE!</v>
      </c>
      <c r="X36" s="543">
        <f>IF(AND('CG. MPB'!E37="TABIQUE",'CG. MPB'!F37="HUECO"),R36,0)</f>
        <v>0</v>
      </c>
      <c r="Y36" s="543">
        <f>IF(AND('CG. MPB'!D37="CONFINADO",'CG. MPB'!E37="TABIQUE",'CG. MPB'!F37="MACIZO"),'RMCV.PB'!S36,IF(AND('CG. MPB'!D37="CONFINADO",'CG. MPB'!E37="TABICON",'CG. MPB'!F37="MACIZO"),'RMCV.PB'!S36,IF(AND('CG. MPB'!D37="CONFINADO",'CG. MPB'!E37="LIGERO",'CG. MPB'!F37="MACIZO"),'RMCV.PB'!S36,0)))</f>
        <v>0</v>
      </c>
      <c r="Z36" s="543">
        <f>IF(AND('CG. MPB'!D37="NO CONFINADO",'CG. MPB'!E37="TABIQUE",'CG. MPB'!F37="MACIZO"),T36,IF(AND('CG. MPB'!D37="NO CONFINADO",'CG. MPB'!E37="TABICON",'CG. MPB'!F37="MACIZO"),T36,IF(AND('CG. MPB'!D37="NO CONFINADO",'CG. MPB'!E37="LIGERO",'CG. MPB'!F37="MACIZO"),T36,0)))</f>
        <v>0</v>
      </c>
      <c r="AA36" s="543">
        <f>IF('CG. MPB'!E37="ADOBE",'RMCV.PB'!U36,0)</f>
        <v>0</v>
      </c>
      <c r="AB36" s="543">
        <f>IF('CG. MPB'!E37="CONCRETO",'RMCV.PB'!V36,0)</f>
        <v>0</v>
      </c>
      <c r="AC36" s="900">
        <f>IF('CG. MPB'!E37="CANTERA",'RMCV.PB'!W36,0)</f>
        <v>0</v>
      </c>
      <c r="AD36" s="93" t="e">
        <f t="shared" si="5"/>
        <v>#VALUE!</v>
      </c>
      <c r="AE36" s="428">
        <v>0.6</v>
      </c>
      <c r="AF36" s="4" t="e">
        <f>(1-2*AD36/C36)*(1-(AE36*'CG. MPB'!C37*10/(30*C36))^2)</f>
        <v>#VALUE!</v>
      </c>
      <c r="AG36" s="350" t="e">
        <f>(1-(2*AD36/C36))*(1-(AE36*'CG. MPB'!C37*10/(30*C36))^2)*(1-('CG. MPB'!C37*10/B36))+('CG. MPB'!C37*10/B36)</f>
        <v>#VALUE!</v>
      </c>
      <c r="AH36" s="429" t="e">
        <f t="shared" si="8"/>
        <v>#VALUE!</v>
      </c>
    </row>
    <row r="37" spans="1:34" hidden="1">
      <c r="A37" s="684">
        <f>'CG. MPB'!A38</f>
        <v>9</v>
      </c>
      <c r="B37" s="578">
        <f>'CG. MPB'!B38*100</f>
        <v>0</v>
      </c>
      <c r="C37" s="68" t="str">
        <f>'ELEM. MECA.'!J14</f>
        <v>-</v>
      </c>
      <c r="D37" s="38">
        <f>IF(AND('CG. MPB'!D38="CONFINADO",'CG. MPB'!E38="CONCRETO"),0.8,IF('CG. MPB'!D38="NO CONFINADO",0.3,0.6))</f>
        <v>0.6</v>
      </c>
      <c r="E37" s="68">
        <v>0.6</v>
      </c>
      <c r="F37" s="38">
        <f>IF('CG. MPB'!E38="CONCRETO",G37,'RMCV.PB'!H37+'RMCV.PB'!I37+'RMCV.PB'!J37+K37+L37+M37)</f>
        <v>0</v>
      </c>
      <c r="G37" s="542">
        <f>IF('CG. MPB'!E38="CONCRETO",0.6*$G$24,0)</f>
        <v>0</v>
      </c>
      <c r="H37" s="574">
        <f>IF(AND('CG. MPB'!E38="TABIQUE",'CG. MPB'!F38="MACIZO"),15,0)</f>
        <v>0</v>
      </c>
      <c r="I37" s="574">
        <f>IF(AND('CG. MPB'!E38="TABIQUE",'CG. MPB'!F38="HUECO"),IF(E25="III",30,40),0)</f>
        <v>0</v>
      </c>
      <c r="J37" s="574">
        <f>IF('CG. MPB'!E38="TABICON",IF(E25="I",20,15),0)</f>
        <v>0</v>
      </c>
      <c r="K37" s="574">
        <f>IF('CG. MPB'!E38="ADOBE",10,0)</f>
        <v>0</v>
      </c>
      <c r="L37" s="574">
        <f>IF('CG. MPB'!E38="LIGERO",10,0)</f>
        <v>0</v>
      </c>
      <c r="M37" s="574">
        <f>IF('CG. MPB'!E38="CANTERA",30,0)</f>
        <v>0</v>
      </c>
      <c r="N37" s="575" t="e">
        <f t="shared" si="6"/>
        <v>#VALUE!</v>
      </c>
      <c r="O37" s="918" t="e">
        <f>ABS('ELEM. MECA.'!D14)</f>
        <v>#VALUE!</v>
      </c>
      <c r="P37" s="919">
        <f>IF(AND('CG. MPB'!D38="CONFINADO",'CG. MPB'!E38="TABIQUE",'CG. MPB'!F38="MACIZO"),'RMCV.PB'!Y37,IF(AND('CG. MPB'!D38="CONFINADO",'CG. MPB'!E38="TABICON",'CG. MPB'!F38="MACIZO"),'RMCV.PB'!Y37,IF(AND('CG. MPB'!D38="CONFINADO",'CG. MPB'!E38="LIGERO",'CG. MPB'!F38="MACIZO"),'RMCV.PB'!Y37,IF(AND('CG. MPB'!D38="NO CONFINADO",'CG. MPB'!E38="TABIQUE",'CG. MPB'!F38="MACIZO"),Z37,IF(AND('CG. MPB'!D38="NO CONFINADO",'CG. MPB'!E38="TABICON",'CG. MPB'!F38="MACIZO"),Z37,IF(AND('CG. MPB'!D38="NO CONFINADO",'CG. MPB'!E38="LIGERO",'CG. MPB'!F38="MACIZO"),Z37,IF(AND('CG. MPB'!E38="TABIQUE",'CG. MPB'!F38="HUECO"),X37,IF('CG. MPB'!E38="ADOBE",'RMCV.PB'!AA37,'RMCV.PB'!AB37))))))))</f>
        <v>0</v>
      </c>
      <c r="Q37" s="685" t="e">
        <f t="shared" si="7"/>
        <v>#VALUE!</v>
      </c>
      <c r="R37" s="4" t="e">
        <f>IF(D37*E37*(F37*N37+'CASTILLOS-PB'!W37*FY)&gt;1.25*D37*E37*F37*N37,1.25*D37*E37*F37*N37,D37*E37*(F37*N37+'CASTILLOS-PB'!W37*FY))</f>
        <v>#VALUE!</v>
      </c>
      <c r="S37" s="4" t="e">
        <f>D37*E37*(F37*N37+'CASTILLOS-PB'!G37*FY*2)</f>
        <v>#VALUE!</v>
      </c>
      <c r="T37" s="4" t="e">
        <f t="shared" si="2"/>
        <v>#VALUE!</v>
      </c>
      <c r="U37" s="521" t="e">
        <f t="shared" si="3"/>
        <v>#VALUE!</v>
      </c>
      <c r="V37" s="533" t="e">
        <f>D37*(0.7*$G$24*(B37*C37)+2000*'MUR.CONC-PB'!K37)</f>
        <v>#VALUE!</v>
      </c>
      <c r="W37" s="533" t="e">
        <f t="shared" si="4"/>
        <v>#VALUE!</v>
      </c>
      <c r="X37" s="543">
        <f>IF(AND('CG. MPB'!E38="TABIQUE",'CG. MPB'!F38="HUECO"),R37,0)</f>
        <v>0</v>
      </c>
      <c r="Y37" s="543">
        <f>IF(AND('CG. MPB'!D38="CONFINADO",'CG. MPB'!E38="TABIQUE",'CG. MPB'!F38="MACIZO"),'RMCV.PB'!S37,IF(AND('CG. MPB'!D38="CONFINADO",'CG. MPB'!E38="TABICON",'CG. MPB'!F38="MACIZO"),'RMCV.PB'!S37,IF(AND('CG. MPB'!D38="CONFINADO",'CG. MPB'!E38="LIGERO",'CG. MPB'!F38="MACIZO"),'RMCV.PB'!S37,0)))</f>
        <v>0</v>
      </c>
      <c r="Z37" s="543">
        <f>IF(AND('CG. MPB'!D38="NO CONFINADO",'CG. MPB'!E38="TABIQUE",'CG. MPB'!F38="MACIZO"),T37,IF(AND('CG. MPB'!D38="NO CONFINADO",'CG. MPB'!E38="TABICON",'CG. MPB'!F38="MACIZO"),T37,IF(AND('CG. MPB'!D38="NO CONFINADO",'CG. MPB'!E38="LIGERO",'CG. MPB'!F38="MACIZO"),T37,0)))</f>
        <v>0</v>
      </c>
      <c r="AA37" s="543">
        <f>IF('CG. MPB'!E38="ADOBE",'RMCV.PB'!U37,0)</f>
        <v>0</v>
      </c>
      <c r="AB37" s="543">
        <f>IF('CG. MPB'!E38="CONCRETO",'RMCV.PB'!V37,0)</f>
        <v>0</v>
      </c>
      <c r="AC37" s="900">
        <f>IF('CG. MPB'!E38="CANTERA",'RMCV.PB'!W37,0)</f>
        <v>0</v>
      </c>
      <c r="AD37" s="93" t="e">
        <f t="shared" si="5"/>
        <v>#VALUE!</v>
      </c>
      <c r="AE37" s="428">
        <v>0.6</v>
      </c>
      <c r="AF37" s="4" t="e">
        <f>(1-2*AD37/C37)*(1-(AE37*'CG. MPB'!C38*10/(30*C37))^2)</f>
        <v>#VALUE!</v>
      </c>
      <c r="AG37" s="350" t="e">
        <f>(1-(2*AD37/C37))*(1-(AE37*'CG. MPB'!C38*10/(30*C37))^2)*(1-('CG. MPB'!C38*10/B37))+('CG. MPB'!C38*10/B37)</f>
        <v>#VALUE!</v>
      </c>
      <c r="AH37" s="429" t="e">
        <f t="shared" si="8"/>
        <v>#VALUE!</v>
      </c>
    </row>
    <row r="38" spans="1:34" hidden="1">
      <c r="A38" s="684">
        <f>'CG. MPB'!A39</f>
        <v>10</v>
      </c>
      <c r="B38" s="578">
        <f>'CG. MPB'!B39*100</f>
        <v>0</v>
      </c>
      <c r="C38" s="68" t="str">
        <f>'ELEM. MECA.'!J15</f>
        <v>-</v>
      </c>
      <c r="D38" s="38">
        <f>IF(AND('CG. MPB'!D39="CONFINADO",'CG. MPB'!E39="CONCRETO"),0.8,IF('CG. MPB'!D39="NO CONFINADO",0.3,0.6))</f>
        <v>0.6</v>
      </c>
      <c r="E38" s="68">
        <v>0.6</v>
      </c>
      <c r="F38" s="38">
        <f>IF('CG. MPB'!E39="CONCRETO",G38,'RMCV.PB'!H38+'RMCV.PB'!I38+'RMCV.PB'!J38+K38+L38+M38)</f>
        <v>0</v>
      </c>
      <c r="G38" s="542">
        <f>IF('CG. MPB'!E39="CONCRETO",0.6*$G$24,0)</f>
        <v>0</v>
      </c>
      <c r="H38" s="574">
        <f>IF(AND('CG. MPB'!E39="TABIQUE",'CG. MPB'!F39="MACIZO"),15,0)</f>
        <v>0</v>
      </c>
      <c r="I38" s="574">
        <f>IF(AND('CG. MPB'!E39="TABIQUE",'CG. MPB'!F39="HUECO"),IF(E26="III",30,40),0)</f>
        <v>0</v>
      </c>
      <c r="J38" s="574">
        <f>IF('CG. MPB'!E39="TABICON",IF(E26="I",20,15),0)</f>
        <v>0</v>
      </c>
      <c r="K38" s="574">
        <f>IF('CG. MPB'!E39="ADOBE",10,0)</f>
        <v>0</v>
      </c>
      <c r="L38" s="574">
        <f>IF('CG. MPB'!E39="LIGERO",10,0)</f>
        <v>0</v>
      </c>
      <c r="M38" s="574">
        <f>IF('CG. MPB'!E39="CANTERA",30,0)</f>
        <v>0</v>
      </c>
      <c r="N38" s="575" t="e">
        <f t="shared" si="6"/>
        <v>#VALUE!</v>
      </c>
      <c r="O38" s="918" t="e">
        <f>ABS('ELEM. MECA.'!D15)</f>
        <v>#VALUE!</v>
      </c>
      <c r="P38" s="919">
        <f>IF(AND('CG. MPB'!D39="CONFINADO",'CG. MPB'!E39="TABIQUE",'CG. MPB'!F39="MACIZO"),'RMCV.PB'!Y38,IF(AND('CG. MPB'!D39="CONFINADO",'CG. MPB'!E39="TABICON",'CG. MPB'!F39="MACIZO"),'RMCV.PB'!Y38,IF(AND('CG. MPB'!D39="CONFINADO",'CG. MPB'!E39="LIGERO",'CG. MPB'!F39="MACIZO"),'RMCV.PB'!Y38,IF(AND('CG. MPB'!D39="NO CONFINADO",'CG. MPB'!E39="TABIQUE",'CG. MPB'!F39="MACIZO"),Z38,IF(AND('CG. MPB'!D39="NO CONFINADO",'CG. MPB'!E39="TABICON",'CG. MPB'!F39="MACIZO"),Z38,IF(AND('CG. MPB'!D39="NO CONFINADO",'CG. MPB'!E39="LIGERO",'CG. MPB'!F39="MACIZO"),Z38,IF(AND('CG. MPB'!E39="TABIQUE",'CG. MPB'!F39="HUECO"),X38,IF('CG. MPB'!E39="ADOBE",'RMCV.PB'!AA38,'RMCV.PB'!AB38))))))))</f>
        <v>0</v>
      </c>
      <c r="Q38" s="685" t="e">
        <f t="shared" si="7"/>
        <v>#VALUE!</v>
      </c>
      <c r="R38" s="4" t="e">
        <f>IF(D38*E38*(F38*N38+'CASTILLOS-PB'!W38*FY)&gt;1.25*D38*E38*F38*N38,1.25*D38*E38*F38*N38,D38*E38*(F38*N38+'CASTILLOS-PB'!W38*FY))</f>
        <v>#VALUE!</v>
      </c>
      <c r="S38" s="4" t="e">
        <f>D38*E38*(F38*N38+'CASTILLOS-PB'!G38*FY*2)</f>
        <v>#VALUE!</v>
      </c>
      <c r="T38" s="4" t="e">
        <f t="shared" si="2"/>
        <v>#VALUE!</v>
      </c>
      <c r="U38" s="521" t="e">
        <f t="shared" si="3"/>
        <v>#VALUE!</v>
      </c>
      <c r="V38" s="533" t="e">
        <f>D38*(0.7*$G$24*(B38*C38)+2000*'MUR.CONC-PB'!K38)</f>
        <v>#VALUE!</v>
      </c>
      <c r="W38" s="533" t="e">
        <f t="shared" si="4"/>
        <v>#VALUE!</v>
      </c>
      <c r="X38" s="543">
        <f>IF(AND('CG. MPB'!E39="TABIQUE",'CG. MPB'!F39="HUECO"),R38,0)</f>
        <v>0</v>
      </c>
      <c r="Y38" s="543">
        <f>IF(AND('CG. MPB'!D39="CONFINADO",'CG. MPB'!E39="TABIQUE",'CG. MPB'!F39="MACIZO"),'RMCV.PB'!S38,IF(AND('CG. MPB'!D39="CONFINADO",'CG. MPB'!E39="TABICON",'CG. MPB'!F39="MACIZO"),'RMCV.PB'!S38,IF(AND('CG. MPB'!D39="CONFINADO",'CG. MPB'!E39="LIGERO",'CG. MPB'!F39="MACIZO"),'RMCV.PB'!S38,0)))</f>
        <v>0</v>
      </c>
      <c r="Z38" s="543">
        <f>IF(AND('CG. MPB'!D39="NO CONFINADO",'CG. MPB'!E39="TABIQUE",'CG. MPB'!F39="MACIZO"),T38,IF(AND('CG. MPB'!D39="NO CONFINADO",'CG. MPB'!E39="TABICON",'CG. MPB'!F39="MACIZO"),T38,IF(AND('CG. MPB'!D39="NO CONFINADO",'CG. MPB'!E39="LIGERO",'CG. MPB'!F39="MACIZO"),T38,0)))</f>
        <v>0</v>
      </c>
      <c r="AA38" s="543">
        <f>IF('CG. MPB'!E39="ADOBE",'RMCV.PB'!U38,0)</f>
        <v>0</v>
      </c>
      <c r="AB38" s="543">
        <f>IF('CG. MPB'!E39="CONCRETO",'RMCV.PB'!V38,0)</f>
        <v>0</v>
      </c>
      <c r="AC38" s="900">
        <f>IF('CG. MPB'!E39="CANTERA",'RMCV.PB'!W38,0)</f>
        <v>0</v>
      </c>
      <c r="AD38" s="93" t="e">
        <f t="shared" si="5"/>
        <v>#VALUE!</v>
      </c>
      <c r="AE38" s="428">
        <v>0.6</v>
      </c>
      <c r="AF38" s="4" t="e">
        <f>(1-2*AD38/C38)*(1-(AE38*'CG. MPB'!C39*10/(30*C38))^2)</f>
        <v>#VALUE!</v>
      </c>
      <c r="AG38" s="350" t="e">
        <f>(1-(2*AD38/C38))*(1-(AE38*'CG. MPB'!C39*10/(30*C38))^2)*(1-('CG. MPB'!C39*10/B38))+('CG. MPB'!C39*10/B38)</f>
        <v>#VALUE!</v>
      </c>
      <c r="AH38" s="429" t="e">
        <f t="shared" si="8"/>
        <v>#VALUE!</v>
      </c>
    </row>
    <row r="39" spans="1:34" hidden="1">
      <c r="A39" s="684">
        <f>'CG. MPB'!A40</f>
        <v>11</v>
      </c>
      <c r="B39" s="578">
        <f>'CG. MPB'!B40*100</f>
        <v>0</v>
      </c>
      <c r="C39" s="68" t="str">
        <f>'ELEM. MECA.'!J16</f>
        <v>-</v>
      </c>
      <c r="D39" s="38">
        <f>IF(AND('CG. MPB'!D40="CONFINADO",'CG. MPB'!E40="CONCRETO"),0.8,IF('CG. MPB'!D40="NO CONFINADO",0.3,0.6))</f>
        <v>0.6</v>
      </c>
      <c r="E39" s="68">
        <v>0.6</v>
      </c>
      <c r="F39" s="38">
        <f>IF('CG. MPB'!E40="CONCRETO",G39,'RMCV.PB'!H39+'RMCV.PB'!I39+'RMCV.PB'!J39+K39+L39+M39)</f>
        <v>0</v>
      </c>
      <c r="G39" s="542">
        <f>IF('CG. MPB'!E40="CONCRETO",0.6*$G$24,0)</f>
        <v>0</v>
      </c>
      <c r="H39" s="574">
        <f>IF(AND('CG. MPB'!E40="TABIQUE",'CG. MPB'!F40="MACIZO"),15,0)</f>
        <v>0</v>
      </c>
      <c r="I39" s="574">
        <f>IF(AND('CG. MPB'!E40="TABIQUE",'CG. MPB'!F40="HUECO"),IF(E27="III",30,40),0)</f>
        <v>0</v>
      </c>
      <c r="J39" s="574">
        <f>IF('CG. MPB'!E40="TABICON",IF(E27="I",20,15),0)</f>
        <v>0</v>
      </c>
      <c r="K39" s="574">
        <f>IF('CG. MPB'!E40="ADOBE",10,0)</f>
        <v>0</v>
      </c>
      <c r="L39" s="574">
        <f>IF('CG. MPB'!E40="LIGERO",10,0)</f>
        <v>0</v>
      </c>
      <c r="M39" s="574">
        <f>IF('CG. MPB'!E40="CANTERA",30,0)</f>
        <v>0</v>
      </c>
      <c r="N39" s="575" t="e">
        <f t="shared" si="6"/>
        <v>#VALUE!</v>
      </c>
      <c r="O39" s="918" t="e">
        <f>ABS('ELEM. MECA.'!D16)</f>
        <v>#VALUE!</v>
      </c>
      <c r="P39" s="919">
        <f>IF(AND('CG. MPB'!D40="CONFINADO",'CG. MPB'!E40="TABIQUE",'CG. MPB'!F40="MACIZO"),'RMCV.PB'!Y39,IF(AND('CG. MPB'!D40="CONFINADO",'CG. MPB'!E40="TABICON",'CG. MPB'!F40="MACIZO"),'RMCV.PB'!Y39,IF(AND('CG. MPB'!D40="CONFINADO",'CG. MPB'!E40="LIGERO",'CG. MPB'!F40="MACIZO"),'RMCV.PB'!Y39,IF(AND('CG. MPB'!D40="NO CONFINADO",'CG. MPB'!E40="TABIQUE",'CG. MPB'!F40="MACIZO"),Z39,IF(AND('CG. MPB'!D40="NO CONFINADO",'CG. MPB'!E40="TABICON",'CG. MPB'!F40="MACIZO"),Z39,IF(AND('CG. MPB'!D40="NO CONFINADO",'CG. MPB'!E40="LIGERO",'CG. MPB'!F40="MACIZO"),Z39,IF(AND('CG. MPB'!E40="TABIQUE",'CG. MPB'!F40="HUECO"),X39,IF('CG. MPB'!E40="ADOBE",'RMCV.PB'!AA39,'RMCV.PB'!AB39))))))))</f>
        <v>0</v>
      </c>
      <c r="Q39" s="685" t="e">
        <f t="shared" si="7"/>
        <v>#VALUE!</v>
      </c>
      <c r="R39" s="4" t="e">
        <f>IF(D39*E39*(F39*N39+'CASTILLOS-PB'!W39*FY)&gt;1.25*D39*E39*F39*N39,1.25*D39*E39*F39*N39,D39*E39*(F39*N39+'CASTILLOS-PB'!W39*FY))</f>
        <v>#VALUE!</v>
      </c>
      <c r="S39" s="4" t="e">
        <f>D39*E39*(F39*N39+'CASTILLOS-PB'!G39*FY*2)</f>
        <v>#VALUE!</v>
      </c>
      <c r="T39" s="4" t="e">
        <f t="shared" si="2"/>
        <v>#VALUE!</v>
      </c>
      <c r="U39" s="521" t="e">
        <f t="shared" si="3"/>
        <v>#VALUE!</v>
      </c>
      <c r="V39" s="533" t="e">
        <f>D39*(0.7*$G$24*(B39*C39)+2000*'MUR.CONC-PB'!K39)</f>
        <v>#VALUE!</v>
      </c>
      <c r="W39" s="533" t="e">
        <f t="shared" si="4"/>
        <v>#VALUE!</v>
      </c>
      <c r="X39" s="543">
        <f>IF(AND('CG. MPB'!E40="TABIQUE",'CG. MPB'!F40="HUECO"),R39,0)</f>
        <v>0</v>
      </c>
      <c r="Y39" s="543">
        <f>IF(AND('CG. MPB'!D40="CONFINADO",'CG. MPB'!E40="TABIQUE",'CG. MPB'!F40="MACIZO"),'RMCV.PB'!S39,IF(AND('CG. MPB'!D40="CONFINADO",'CG. MPB'!E40="TABICON",'CG. MPB'!F40="MACIZO"),'RMCV.PB'!S39,IF(AND('CG. MPB'!D40="CONFINADO",'CG. MPB'!E40="LIGERO",'CG. MPB'!F40="MACIZO"),'RMCV.PB'!S39,0)))</f>
        <v>0</v>
      </c>
      <c r="Z39" s="543">
        <f>IF(AND('CG. MPB'!D40="NO CONFINADO",'CG. MPB'!E40="TABIQUE",'CG. MPB'!F40="MACIZO"),T39,IF(AND('CG. MPB'!D40="NO CONFINADO",'CG. MPB'!E40="TABICON",'CG. MPB'!F40="MACIZO"),T39,IF(AND('CG. MPB'!D40="NO CONFINADO",'CG. MPB'!E40="LIGERO",'CG. MPB'!F40="MACIZO"),T39,0)))</f>
        <v>0</v>
      </c>
      <c r="AA39" s="543">
        <f>IF('CG. MPB'!E40="ADOBE",'RMCV.PB'!U39,0)</f>
        <v>0</v>
      </c>
      <c r="AB39" s="543">
        <f>IF('CG. MPB'!E40="CONCRETO",'RMCV.PB'!V39,0)</f>
        <v>0</v>
      </c>
      <c r="AC39" s="900">
        <f>IF('CG. MPB'!E40="CANTERA",'RMCV.PB'!W39,0)</f>
        <v>0</v>
      </c>
      <c r="AD39" s="93" t="e">
        <f t="shared" si="5"/>
        <v>#VALUE!</v>
      </c>
      <c r="AE39" s="428">
        <v>0.6</v>
      </c>
      <c r="AF39" s="4" t="e">
        <f>(1-2*AD39/C39)*(1-(AE39*'CG. MPB'!C40*10/(30*C39))^2)</f>
        <v>#VALUE!</v>
      </c>
      <c r="AG39" s="350" t="e">
        <f>(1-(2*AD39/C39))*(1-(AE39*'CG. MPB'!C40*10/(30*C39))^2)*(1-('CG. MPB'!C40*10/B39))+('CG. MPB'!C40*10/B39)</f>
        <v>#VALUE!</v>
      </c>
      <c r="AH39" s="429" t="e">
        <f t="shared" si="8"/>
        <v>#VALUE!</v>
      </c>
    </row>
    <row r="40" spans="1:34" hidden="1">
      <c r="A40" s="684">
        <f>'CG. MPB'!A41</f>
        <v>12</v>
      </c>
      <c r="B40" s="578">
        <f>'CG. MPB'!B41*100</f>
        <v>0</v>
      </c>
      <c r="C40" s="68" t="str">
        <f>'ELEM. MECA.'!J17</f>
        <v>-</v>
      </c>
      <c r="D40" s="38">
        <f>IF(AND('CG. MPB'!D41="CONFINADO",'CG. MPB'!E41="CONCRETO"),0.8,IF('CG. MPB'!D41="NO CONFINADO",0.3,0.6))</f>
        <v>0.6</v>
      </c>
      <c r="E40" s="68">
        <v>0.6</v>
      </c>
      <c r="F40" s="38">
        <f>IF('CG. MPB'!E41="CONCRETO",G40,'RMCV.PB'!H40+'RMCV.PB'!I40+'RMCV.PB'!J40+K40+L40+M40)</f>
        <v>0</v>
      </c>
      <c r="G40" s="542">
        <f>IF('CG. MPB'!E41="CONCRETO",0.6*$G$24,0)</f>
        <v>0</v>
      </c>
      <c r="H40" s="574">
        <f>IF(AND('CG. MPB'!E41="TABIQUE",'CG. MPB'!F41="MACIZO"),15,0)</f>
        <v>0</v>
      </c>
      <c r="I40" s="574">
        <f>IF(AND('CG. MPB'!E41="TABIQUE",'CG. MPB'!F41="HUECO"),IF(E28="III",30,40),0)</f>
        <v>0</v>
      </c>
      <c r="J40" s="574">
        <f>IF('CG. MPB'!E41="TABICON",IF(E28="I",20,15),0)</f>
        <v>0</v>
      </c>
      <c r="K40" s="574">
        <f>IF('CG. MPB'!E41="ADOBE",10,0)</f>
        <v>0</v>
      </c>
      <c r="L40" s="574">
        <f>IF('CG. MPB'!E41="LIGERO",10,0)</f>
        <v>0</v>
      </c>
      <c r="M40" s="574">
        <f>IF('CG. MPB'!E41="CANTERA",30,0)</f>
        <v>0</v>
      </c>
      <c r="N40" s="575" t="e">
        <f t="shared" si="6"/>
        <v>#VALUE!</v>
      </c>
      <c r="O40" s="918" t="e">
        <f>ABS('ELEM. MECA.'!D17)</f>
        <v>#VALUE!</v>
      </c>
      <c r="P40" s="919">
        <f>IF(AND('CG. MPB'!D41="CONFINADO",'CG. MPB'!E41="TABIQUE",'CG. MPB'!F41="MACIZO"),'RMCV.PB'!Y40,IF(AND('CG. MPB'!D41="CONFINADO",'CG. MPB'!E41="TABICON",'CG. MPB'!F41="MACIZO"),'RMCV.PB'!Y40,IF(AND('CG. MPB'!D41="CONFINADO",'CG. MPB'!E41="LIGERO",'CG. MPB'!F41="MACIZO"),'RMCV.PB'!Y40,IF(AND('CG. MPB'!D41="NO CONFINADO",'CG. MPB'!E41="TABIQUE",'CG. MPB'!F41="MACIZO"),Z40,IF(AND('CG. MPB'!D41="NO CONFINADO",'CG. MPB'!E41="TABICON",'CG. MPB'!F41="MACIZO"),Z40,IF(AND('CG. MPB'!D41="NO CONFINADO",'CG. MPB'!E41="LIGERO",'CG. MPB'!F41="MACIZO"),Z40,IF(AND('CG. MPB'!E41="TABIQUE",'CG. MPB'!F41="HUECO"),X40,IF('CG. MPB'!E41="ADOBE",'RMCV.PB'!AA40,'RMCV.PB'!AB40))))))))</f>
        <v>0</v>
      </c>
      <c r="Q40" s="685" t="e">
        <f t="shared" si="7"/>
        <v>#VALUE!</v>
      </c>
      <c r="R40" s="4" t="e">
        <f>IF(D40*E40*(F40*N40+'CASTILLOS-PB'!W40*FY)&gt;1.25*D40*E40*F40*N40,1.25*D40*E40*F40*N40,D40*E40*(F40*N40+'CASTILLOS-PB'!W40*FY))</f>
        <v>#VALUE!</v>
      </c>
      <c r="S40" s="4" t="e">
        <f>D40*E40*(F40*N40+'CASTILLOS-PB'!G40*FY*2)</f>
        <v>#VALUE!</v>
      </c>
      <c r="T40" s="4" t="e">
        <f t="shared" si="2"/>
        <v>#VALUE!</v>
      </c>
      <c r="U40" s="521" t="e">
        <f t="shared" si="3"/>
        <v>#VALUE!</v>
      </c>
      <c r="V40" s="533" t="e">
        <f>D40*(0.7*$G$24*(B40*C40)+2000*'MUR.CONC-PB'!K40)</f>
        <v>#VALUE!</v>
      </c>
      <c r="W40" s="533" t="e">
        <f t="shared" si="4"/>
        <v>#VALUE!</v>
      </c>
      <c r="X40" s="543">
        <f>IF(AND('CG. MPB'!E41="TABIQUE",'CG. MPB'!F41="HUECO"),R40,0)</f>
        <v>0</v>
      </c>
      <c r="Y40" s="543">
        <f>IF(AND('CG. MPB'!D41="CONFINADO",'CG. MPB'!E41="TABIQUE",'CG. MPB'!F41="MACIZO"),'RMCV.PB'!S40,IF(AND('CG. MPB'!D41="CONFINADO",'CG. MPB'!E41="TABICON",'CG. MPB'!F41="MACIZO"),'RMCV.PB'!S40,IF(AND('CG. MPB'!D41="CONFINADO",'CG. MPB'!E41="LIGERO",'CG. MPB'!F41="MACIZO"),'RMCV.PB'!S40,0)))</f>
        <v>0</v>
      </c>
      <c r="Z40" s="543">
        <f>IF(AND('CG. MPB'!D41="NO CONFINADO",'CG. MPB'!E41="TABIQUE",'CG. MPB'!F41="MACIZO"),T40,IF(AND('CG. MPB'!D41="NO CONFINADO",'CG. MPB'!E41="TABICON",'CG. MPB'!F41="MACIZO"),T40,IF(AND('CG. MPB'!D41="NO CONFINADO",'CG. MPB'!E41="LIGERO",'CG. MPB'!F41="MACIZO"),T40,0)))</f>
        <v>0</v>
      </c>
      <c r="AA40" s="543">
        <f>IF('CG. MPB'!E41="ADOBE",'RMCV.PB'!U40,0)</f>
        <v>0</v>
      </c>
      <c r="AB40" s="543">
        <f>IF('CG. MPB'!E41="CONCRETO",'RMCV.PB'!V40,0)</f>
        <v>0</v>
      </c>
      <c r="AC40" s="900">
        <f>IF('CG. MPB'!E41="CANTERA",'RMCV.PB'!W40,0)</f>
        <v>0</v>
      </c>
      <c r="AD40" s="93" t="e">
        <f t="shared" si="5"/>
        <v>#VALUE!</v>
      </c>
      <c r="AE40" s="428">
        <v>0.6</v>
      </c>
      <c r="AF40" s="4" t="e">
        <f>(1-2*AD40/C40)*(1-(AE40*'CG. MPB'!C41*10/(30*C40))^2)</f>
        <v>#VALUE!</v>
      </c>
      <c r="AG40" s="350" t="e">
        <f>(1-(2*AD40/C40))*(1-(AE40*'CG. MPB'!C41*10/(30*C40))^2)*(1-('CG. MPB'!C41*10/B40))+('CG. MPB'!C41*10/B40)</f>
        <v>#VALUE!</v>
      </c>
      <c r="AH40" s="429" t="e">
        <f t="shared" si="8"/>
        <v>#VALUE!</v>
      </c>
    </row>
    <row r="41" spans="1:34" hidden="1">
      <c r="A41" s="684">
        <f>'CG. MPB'!A42</f>
        <v>13</v>
      </c>
      <c r="B41" s="578">
        <f>'CG. MPB'!B42*100</f>
        <v>0</v>
      </c>
      <c r="C41" s="68" t="str">
        <f>'ELEM. MECA.'!J18</f>
        <v>-</v>
      </c>
      <c r="D41" s="38">
        <f>IF(AND('CG. MPB'!D42="CONFINADO",'CG. MPB'!E42="CONCRETO"),0.8,IF('CG. MPB'!D42="NO CONFINADO",0.3,0.6))</f>
        <v>0.6</v>
      </c>
      <c r="E41" s="68">
        <v>0.6</v>
      </c>
      <c r="F41" s="38">
        <f>IF('CG. MPB'!E42="CONCRETO",G41,'RMCV.PB'!H41+'RMCV.PB'!I41+'RMCV.PB'!J41+K41+L41+M41)</f>
        <v>0</v>
      </c>
      <c r="G41" s="542">
        <f>IF('CG. MPB'!E42="CONCRETO",0.6*$G$24,0)</f>
        <v>0</v>
      </c>
      <c r="H41" s="574">
        <f>IF(AND('CG. MPB'!E42="TABIQUE",'CG. MPB'!F42="MACIZO"),15,0)</f>
        <v>0</v>
      </c>
      <c r="I41" s="574">
        <f>IF(AND('CG. MPB'!E42="TABIQUE",'CG. MPB'!F42="HUECO"),IF(E29="III",30,40),0)</f>
        <v>0</v>
      </c>
      <c r="J41" s="574">
        <f>IF('CG. MPB'!E42="TABICON",IF(E29="I",20,15),0)</f>
        <v>0</v>
      </c>
      <c r="K41" s="574">
        <f>IF('CG. MPB'!E42="ADOBE",10,0)</f>
        <v>0</v>
      </c>
      <c r="L41" s="574">
        <f>IF('CG. MPB'!E42="LIGERO",10,0)</f>
        <v>0</v>
      </c>
      <c r="M41" s="574">
        <f>IF('CG. MPB'!E42="CANTERA",30,0)</f>
        <v>0</v>
      </c>
      <c r="N41" s="575" t="e">
        <f t="shared" si="6"/>
        <v>#VALUE!</v>
      </c>
      <c r="O41" s="918" t="e">
        <f>ABS('ELEM. MECA.'!D18)</f>
        <v>#VALUE!</v>
      </c>
      <c r="P41" s="919">
        <f>IF(AND('CG. MPB'!D42="CONFINADO",'CG. MPB'!E42="TABIQUE",'CG. MPB'!F42="MACIZO"),'RMCV.PB'!Y41,IF(AND('CG. MPB'!D42="CONFINADO",'CG. MPB'!E42="TABICON",'CG. MPB'!F42="MACIZO"),'RMCV.PB'!Y41,IF(AND('CG. MPB'!D42="CONFINADO",'CG. MPB'!E42="LIGERO",'CG. MPB'!F42="MACIZO"),'RMCV.PB'!Y41,IF(AND('CG. MPB'!D42="NO CONFINADO",'CG. MPB'!E42="TABIQUE",'CG. MPB'!F42="MACIZO"),Z41,IF(AND('CG. MPB'!D42="NO CONFINADO",'CG. MPB'!E42="TABICON",'CG. MPB'!F42="MACIZO"),Z41,IF(AND('CG. MPB'!D42="NO CONFINADO",'CG. MPB'!E42="LIGERO",'CG. MPB'!F42="MACIZO"),Z41,IF(AND('CG. MPB'!E42="TABIQUE",'CG. MPB'!F42="HUECO"),X41,IF('CG. MPB'!E42="ADOBE",'RMCV.PB'!AA41,'RMCV.PB'!AB41))))))))</f>
        <v>0</v>
      </c>
      <c r="Q41" s="685" t="e">
        <f t="shared" si="7"/>
        <v>#VALUE!</v>
      </c>
      <c r="R41" s="4" t="e">
        <f>IF(D41*E41*(F41*N41+'CASTILLOS-PB'!W41*FY)&gt;1.25*D41*E41*F41*N41,1.25*D41*E41*F41*N41,D41*E41*(F41*N41+'CASTILLOS-PB'!W41*FY))</f>
        <v>#VALUE!</v>
      </c>
      <c r="S41" s="4" t="e">
        <f>D41*E41*(F41*N41+'CASTILLOS-PB'!G41*FY*2)</f>
        <v>#VALUE!</v>
      </c>
      <c r="T41" s="4" t="e">
        <f t="shared" si="2"/>
        <v>#VALUE!</v>
      </c>
      <c r="U41" s="521" t="e">
        <f t="shared" si="3"/>
        <v>#VALUE!</v>
      </c>
      <c r="V41" s="533" t="e">
        <f>D41*(0.7*$G$24*(B41*C41)+2000*'MUR.CONC-PB'!K41)</f>
        <v>#VALUE!</v>
      </c>
      <c r="W41" s="533" t="e">
        <f t="shared" si="4"/>
        <v>#VALUE!</v>
      </c>
      <c r="X41" s="543">
        <f>IF(AND('CG. MPB'!E42="TABIQUE",'CG. MPB'!F42="HUECO"),R41,0)</f>
        <v>0</v>
      </c>
      <c r="Y41" s="543">
        <f>IF(AND('CG. MPB'!D42="CONFINADO",'CG. MPB'!E42="TABIQUE",'CG. MPB'!F42="MACIZO"),'RMCV.PB'!S41,IF(AND('CG. MPB'!D42="CONFINADO",'CG. MPB'!E42="TABICON",'CG. MPB'!F42="MACIZO"),'RMCV.PB'!S41,IF(AND('CG. MPB'!D42="CONFINADO",'CG. MPB'!E42="LIGERO",'CG. MPB'!F42="MACIZO"),'RMCV.PB'!S41,0)))</f>
        <v>0</v>
      </c>
      <c r="Z41" s="543">
        <f>IF(AND('CG. MPB'!D42="NO CONFINADO",'CG. MPB'!E42="TABIQUE",'CG. MPB'!F42="MACIZO"),T41,IF(AND('CG. MPB'!D42="NO CONFINADO",'CG. MPB'!E42="TABICON",'CG. MPB'!F42="MACIZO"),T41,IF(AND('CG. MPB'!D42="NO CONFINADO",'CG. MPB'!E42="LIGERO",'CG. MPB'!F42="MACIZO"),T41,0)))</f>
        <v>0</v>
      </c>
      <c r="AA41" s="543">
        <f>IF('CG. MPB'!E42="ADOBE",'RMCV.PB'!U41,0)</f>
        <v>0</v>
      </c>
      <c r="AB41" s="543">
        <f>IF('CG. MPB'!E42="CONCRETO",'RMCV.PB'!V41,0)</f>
        <v>0</v>
      </c>
      <c r="AC41" s="900">
        <f>IF('CG. MPB'!E42="CANTERA",'RMCV.PB'!W41,0)</f>
        <v>0</v>
      </c>
      <c r="AD41" s="93" t="e">
        <f t="shared" si="5"/>
        <v>#VALUE!</v>
      </c>
      <c r="AE41" s="428">
        <v>0.6</v>
      </c>
      <c r="AF41" s="4" t="e">
        <f>(1-2*AD41/C41)*(1-(AE41*'CG. MPB'!C42*10/(30*C41))^2)</f>
        <v>#VALUE!</v>
      </c>
      <c r="AG41" s="350" t="e">
        <f>(1-(2*AD41/C41))*(1-(AE41*'CG. MPB'!C42*10/(30*C41))^2)*(1-('CG. MPB'!C42*10/B41))+('CG. MPB'!C42*10/B41)</f>
        <v>#VALUE!</v>
      </c>
      <c r="AH41" s="429" t="e">
        <f t="shared" si="8"/>
        <v>#VALUE!</v>
      </c>
    </row>
    <row r="42" spans="1:34" hidden="1">
      <c r="A42" s="684">
        <f>'CG. MPB'!A43</f>
        <v>14</v>
      </c>
      <c r="B42" s="578">
        <f>'CG. MPB'!B43*100</f>
        <v>0</v>
      </c>
      <c r="C42" s="68" t="str">
        <f>'ELEM. MECA.'!J19</f>
        <v>-</v>
      </c>
      <c r="D42" s="38">
        <f>IF(AND('CG. MPB'!D43="CONFINADO",'CG. MPB'!E43="CONCRETO"),0.8,IF('CG. MPB'!D43="NO CONFINADO",0.3,0.6))</f>
        <v>0.6</v>
      </c>
      <c r="E42" s="68">
        <v>0.6</v>
      </c>
      <c r="F42" s="38">
        <f>IF('CG. MPB'!E43="CONCRETO",G42,'RMCV.PB'!H42+'RMCV.PB'!I42+'RMCV.PB'!J42+K42+L42+M42)</f>
        <v>0</v>
      </c>
      <c r="G42" s="542">
        <f>IF('CG. MPB'!E43="CONCRETO",0.6*$G$24,0)</f>
        <v>0</v>
      </c>
      <c r="H42" s="574">
        <f>IF(AND('CG. MPB'!E43="TABIQUE",'CG. MPB'!F43="MACIZO"),15,0)</f>
        <v>0</v>
      </c>
      <c r="I42" s="574">
        <f>IF(AND('CG. MPB'!E43="TABIQUE",'CG. MPB'!F43="HUECO"),IF(E30="III",30,40),0)</f>
        <v>0</v>
      </c>
      <c r="J42" s="574">
        <f>IF('CG. MPB'!E43="TABICON",IF(E30="I",20,15),0)</f>
        <v>0</v>
      </c>
      <c r="K42" s="574">
        <f>IF('CG. MPB'!E43="ADOBE",10,0)</f>
        <v>0</v>
      </c>
      <c r="L42" s="574">
        <f>IF('CG. MPB'!E43="LIGERO",10,0)</f>
        <v>0</v>
      </c>
      <c r="M42" s="574">
        <f>IF('CG. MPB'!E43="CANTERA",30,0)</f>
        <v>0</v>
      </c>
      <c r="N42" s="575" t="e">
        <f t="shared" si="6"/>
        <v>#VALUE!</v>
      </c>
      <c r="O42" s="918" t="e">
        <f>ABS('ELEM. MECA.'!D19)</f>
        <v>#VALUE!</v>
      </c>
      <c r="P42" s="919">
        <f>IF(AND('CG. MPB'!D43="CONFINADO",'CG. MPB'!E43="TABIQUE",'CG. MPB'!F43="MACIZO"),'RMCV.PB'!Y42,IF(AND('CG. MPB'!D43="CONFINADO",'CG. MPB'!E43="TABICON",'CG. MPB'!F43="MACIZO"),'RMCV.PB'!Y42,IF(AND('CG. MPB'!D43="CONFINADO",'CG. MPB'!E43="LIGERO",'CG. MPB'!F43="MACIZO"),'RMCV.PB'!Y42,IF(AND('CG. MPB'!D43="NO CONFINADO",'CG. MPB'!E43="TABIQUE",'CG. MPB'!F43="MACIZO"),Z42,IF(AND('CG. MPB'!D43="NO CONFINADO",'CG. MPB'!E43="TABICON",'CG. MPB'!F43="MACIZO"),Z42,IF(AND('CG. MPB'!D43="NO CONFINADO",'CG. MPB'!E43="LIGERO",'CG. MPB'!F43="MACIZO"),Z42,IF(AND('CG. MPB'!E43="TABIQUE",'CG. MPB'!F43="HUECO"),X42,IF('CG. MPB'!E43="ADOBE",'RMCV.PB'!AA42,'RMCV.PB'!AB42))))))))</f>
        <v>0</v>
      </c>
      <c r="Q42" s="685" t="e">
        <f t="shared" si="7"/>
        <v>#VALUE!</v>
      </c>
      <c r="R42" s="4" t="e">
        <f>IF(D42*E42*(F42*N42+'CASTILLOS-PB'!W42*FY)&gt;1.25*D42*E42*F42*N42,1.25*D42*E42*F42*N42,D42*E42*(F42*N42+'CASTILLOS-PB'!W42*FY))</f>
        <v>#VALUE!</v>
      </c>
      <c r="S42" s="4" t="e">
        <f>D42*E42*(F42*N42+'CASTILLOS-PB'!G42*FY*2)</f>
        <v>#VALUE!</v>
      </c>
      <c r="T42" s="4" t="e">
        <f t="shared" si="2"/>
        <v>#VALUE!</v>
      </c>
      <c r="U42" s="521" t="e">
        <f t="shared" si="3"/>
        <v>#VALUE!</v>
      </c>
      <c r="V42" s="533" t="e">
        <f>D42*(0.7*$G$24*(B42*C42)+2000*'MUR.CONC-PB'!K42)</f>
        <v>#VALUE!</v>
      </c>
      <c r="W42" s="533" t="e">
        <f t="shared" si="4"/>
        <v>#VALUE!</v>
      </c>
      <c r="X42" s="543">
        <f>IF(AND('CG. MPB'!E43="TABIQUE",'CG. MPB'!F43="HUECO"),R42,0)</f>
        <v>0</v>
      </c>
      <c r="Y42" s="543">
        <f>IF(AND('CG. MPB'!D43="CONFINADO",'CG. MPB'!E43="TABIQUE",'CG. MPB'!F43="MACIZO"),'RMCV.PB'!S42,IF(AND('CG. MPB'!D43="CONFINADO",'CG. MPB'!E43="TABICON",'CG. MPB'!F43="MACIZO"),'RMCV.PB'!S42,IF(AND('CG. MPB'!D43="CONFINADO",'CG. MPB'!E43="LIGERO",'CG. MPB'!F43="MACIZO"),'RMCV.PB'!S42,0)))</f>
        <v>0</v>
      </c>
      <c r="Z42" s="543">
        <f>IF(AND('CG. MPB'!D43="NO CONFINADO",'CG. MPB'!E43="TABIQUE",'CG. MPB'!F43="MACIZO"),T42,IF(AND('CG. MPB'!D43="NO CONFINADO",'CG. MPB'!E43="TABICON",'CG. MPB'!F43="MACIZO"),T42,IF(AND('CG. MPB'!D43="NO CONFINADO",'CG. MPB'!E43="LIGERO",'CG. MPB'!F43="MACIZO"),T42,0)))</f>
        <v>0</v>
      </c>
      <c r="AA42" s="543">
        <f>IF('CG. MPB'!E43="ADOBE",'RMCV.PB'!U42,0)</f>
        <v>0</v>
      </c>
      <c r="AB42" s="543">
        <f>IF('CG. MPB'!E43="CONCRETO",'RMCV.PB'!V42,0)</f>
        <v>0</v>
      </c>
      <c r="AC42" s="900">
        <f>IF('CG. MPB'!E43="CANTERA",'RMCV.PB'!W42,0)</f>
        <v>0</v>
      </c>
      <c r="AD42" s="93" t="e">
        <f t="shared" si="5"/>
        <v>#VALUE!</v>
      </c>
      <c r="AE42" s="428">
        <v>0.6</v>
      </c>
      <c r="AF42" s="4" t="e">
        <f>(1-2*AD42/C42)*(1-(AE42*'CG. MPB'!C43*10/(30*C42))^2)</f>
        <v>#VALUE!</v>
      </c>
      <c r="AG42" s="350" t="e">
        <f>(1-(2*AD42/C42))*(1-(AE42*'CG. MPB'!C43*10/(30*C42))^2)*(1-('CG. MPB'!C43*10/B42))+('CG. MPB'!C43*10/B42)</f>
        <v>#VALUE!</v>
      </c>
      <c r="AH42" s="429" t="e">
        <f t="shared" si="8"/>
        <v>#VALUE!</v>
      </c>
    </row>
    <row r="43" spans="1:34" hidden="1">
      <c r="A43" s="684">
        <f>'CG. MPB'!A44</f>
        <v>15</v>
      </c>
      <c r="B43" s="578">
        <f>'CG. MPB'!B44*100</f>
        <v>0</v>
      </c>
      <c r="C43" s="68" t="str">
        <f>'ELEM. MECA.'!J20</f>
        <v>-</v>
      </c>
      <c r="D43" s="38">
        <f>IF(AND('CG. MPB'!D44="CONFINADO",'CG. MPB'!E44="CONCRETO"),0.8,IF('CG. MPB'!D44="NO CONFINADO",0.3,0.6))</f>
        <v>0.6</v>
      </c>
      <c r="E43" s="68">
        <v>0.6</v>
      </c>
      <c r="F43" s="38">
        <f>IF('CG. MPB'!E44="CONCRETO",G43,'RMCV.PB'!H43+'RMCV.PB'!I43+'RMCV.PB'!J43+K43+L43+M43)</f>
        <v>0</v>
      </c>
      <c r="G43" s="542">
        <f>IF('CG. MPB'!E44="CONCRETO",0.6*$G$24,0)</f>
        <v>0</v>
      </c>
      <c r="H43" s="574">
        <f>IF(AND('CG. MPB'!E44="TABIQUE",'CG. MPB'!F44="MACIZO"),15,0)</f>
        <v>0</v>
      </c>
      <c r="I43" s="574">
        <f>IF(AND('CG. MPB'!E44="TABIQUE",'CG. MPB'!F44="HUECO"),IF(E31="III",30,40),0)</f>
        <v>0</v>
      </c>
      <c r="J43" s="574">
        <f>IF('CG. MPB'!E44="TABICON",IF(E31="I",20,15),0)</f>
        <v>0</v>
      </c>
      <c r="K43" s="574">
        <f>IF('CG. MPB'!E44="ADOBE",10,0)</f>
        <v>0</v>
      </c>
      <c r="L43" s="574">
        <f>IF('CG. MPB'!E44="LIGERO",10,0)</f>
        <v>0</v>
      </c>
      <c r="M43" s="574">
        <f>IF('CG. MPB'!E44="CANTERA",30,0)</f>
        <v>0</v>
      </c>
      <c r="N43" s="575" t="e">
        <f t="shared" si="6"/>
        <v>#VALUE!</v>
      </c>
      <c r="O43" s="918" t="e">
        <f>ABS('ELEM. MECA.'!D20)</f>
        <v>#VALUE!</v>
      </c>
      <c r="P43" s="919">
        <f>IF(AND('CG. MPB'!D44="CONFINADO",'CG. MPB'!E44="TABIQUE",'CG. MPB'!F44="MACIZO"),'RMCV.PB'!Y43,IF(AND('CG. MPB'!D44="CONFINADO",'CG. MPB'!E44="TABICON",'CG. MPB'!F44="MACIZO"),'RMCV.PB'!Y43,IF(AND('CG. MPB'!D44="CONFINADO",'CG. MPB'!E44="LIGERO",'CG. MPB'!F44="MACIZO"),'RMCV.PB'!Y43,IF(AND('CG. MPB'!D44="NO CONFINADO",'CG. MPB'!E44="TABIQUE",'CG. MPB'!F44="MACIZO"),Z43,IF(AND('CG. MPB'!D44="NO CONFINADO",'CG. MPB'!E44="TABICON",'CG. MPB'!F44="MACIZO"),Z43,IF(AND('CG. MPB'!D44="NO CONFINADO",'CG. MPB'!E44="LIGERO",'CG. MPB'!F44="MACIZO"),Z43,IF(AND('CG. MPB'!E44="TABIQUE",'CG. MPB'!F44="HUECO"),X43,IF('CG. MPB'!E44="ADOBE",'RMCV.PB'!AA43,'RMCV.PB'!AB43))))))))</f>
        <v>0</v>
      </c>
      <c r="Q43" s="685" t="e">
        <f t="shared" si="7"/>
        <v>#VALUE!</v>
      </c>
      <c r="R43" s="4" t="e">
        <f>IF(D43*E43*(F43*N43+'CASTILLOS-PB'!W43*FY)&gt;1.25*D43*E43*F43*N43,1.25*D43*E43*F43*N43,D43*E43*(F43*N43+'CASTILLOS-PB'!W43*FY))</f>
        <v>#VALUE!</v>
      </c>
      <c r="S43" s="4" t="e">
        <f>D43*E43*(F43*N43+'CASTILLOS-PB'!G43*FY*2)</f>
        <v>#VALUE!</v>
      </c>
      <c r="T43" s="4" t="e">
        <f t="shared" si="2"/>
        <v>#VALUE!</v>
      </c>
      <c r="U43" s="521" t="e">
        <f t="shared" si="3"/>
        <v>#VALUE!</v>
      </c>
      <c r="V43" s="533" t="e">
        <f>D43*(0.7*$G$24*(B43*C43)+2000*'MUR.CONC-PB'!K43)</f>
        <v>#VALUE!</v>
      </c>
      <c r="W43" s="533" t="e">
        <f t="shared" si="4"/>
        <v>#VALUE!</v>
      </c>
      <c r="X43" s="543">
        <f>IF(AND('CG. MPB'!E44="TABIQUE",'CG. MPB'!F44="HUECO"),R43,0)</f>
        <v>0</v>
      </c>
      <c r="Y43" s="543">
        <f>IF(AND('CG. MPB'!D44="CONFINADO",'CG. MPB'!E44="TABIQUE",'CG. MPB'!F44="MACIZO"),'RMCV.PB'!S43,IF(AND('CG. MPB'!D44="CONFINADO",'CG. MPB'!E44="TABICON",'CG. MPB'!F44="MACIZO"),'RMCV.PB'!S43,IF(AND('CG. MPB'!D44="CONFINADO",'CG. MPB'!E44="LIGERO",'CG. MPB'!F44="MACIZO"),'RMCV.PB'!S43,0)))</f>
        <v>0</v>
      </c>
      <c r="Z43" s="543">
        <f>IF(AND('CG. MPB'!D44="NO CONFINADO",'CG. MPB'!E44="TABIQUE",'CG. MPB'!F44="MACIZO"),T43,IF(AND('CG. MPB'!D44="NO CONFINADO",'CG. MPB'!E44="TABICON",'CG. MPB'!F44="MACIZO"),T43,IF(AND('CG. MPB'!D44="NO CONFINADO",'CG. MPB'!E44="LIGERO",'CG. MPB'!F44="MACIZO"),T43,0)))</f>
        <v>0</v>
      </c>
      <c r="AA43" s="543">
        <f>IF('CG. MPB'!E44="ADOBE",'RMCV.PB'!U43,0)</f>
        <v>0</v>
      </c>
      <c r="AB43" s="543">
        <f>IF('CG. MPB'!E44="CONCRETO",'RMCV.PB'!V43,0)</f>
        <v>0</v>
      </c>
      <c r="AC43" s="900">
        <f>IF('CG. MPB'!E44="CANTERA",'RMCV.PB'!W43,0)</f>
        <v>0</v>
      </c>
      <c r="AD43" s="93" t="e">
        <f t="shared" si="5"/>
        <v>#VALUE!</v>
      </c>
      <c r="AE43" s="428">
        <v>0.6</v>
      </c>
      <c r="AF43" s="4" t="e">
        <f>(1-2*AD43/C43)*(1-(AE43*'CG. MPB'!C44*10/(30*C43))^2)</f>
        <v>#VALUE!</v>
      </c>
      <c r="AG43" s="350" t="e">
        <f>(1-(2*AD43/C43))*(1-(AE43*'CG. MPB'!C44*10/(30*C43))^2)*(1-('CG. MPB'!C44*10/B43))+('CG. MPB'!C44*10/B43)</f>
        <v>#VALUE!</v>
      </c>
      <c r="AH43" s="429" t="e">
        <f t="shared" si="8"/>
        <v>#VALUE!</v>
      </c>
    </row>
    <row r="44" spans="1:34" hidden="1">
      <c r="A44" s="684">
        <f>'CG. MPB'!A45</f>
        <v>16</v>
      </c>
      <c r="B44" s="578">
        <f>'CG. MPB'!B45*100</f>
        <v>0</v>
      </c>
      <c r="C44" s="68" t="str">
        <f>'ELEM. MECA.'!J21</f>
        <v>-</v>
      </c>
      <c r="D44" s="38">
        <f>IF(AND('CG. MPB'!D45="CONFINADO",'CG. MPB'!E45="CONCRETO"),0.8,IF('CG. MPB'!D45="NO CONFINADO",0.3,0.6))</f>
        <v>0.6</v>
      </c>
      <c r="E44" s="68">
        <v>0.6</v>
      </c>
      <c r="F44" s="38">
        <f>IF('CG. MPB'!E45="CONCRETO",G44,'RMCV.PB'!H44+'RMCV.PB'!I44+'RMCV.PB'!J44+K44+L44+M44)</f>
        <v>0</v>
      </c>
      <c r="G44" s="542">
        <f>IF('CG. MPB'!E45="CONCRETO",0.6*$G$24,0)</f>
        <v>0</v>
      </c>
      <c r="H44" s="574">
        <f>IF(AND('CG. MPB'!E45="TABIQUE",'CG. MPB'!F45="MACIZO"),15,0)</f>
        <v>0</v>
      </c>
      <c r="I44" s="574">
        <f>IF(AND('CG. MPB'!E45="TABIQUE",'CG. MPB'!F45="HUECO"),IF(E32="III",30,40),0)</f>
        <v>0</v>
      </c>
      <c r="J44" s="574">
        <f>IF('CG. MPB'!E45="TABICON",IF(E32="I",20,15),0)</f>
        <v>0</v>
      </c>
      <c r="K44" s="574">
        <f>IF('CG. MPB'!E45="ADOBE",10,0)</f>
        <v>0</v>
      </c>
      <c r="L44" s="574">
        <f>IF('CG. MPB'!E45="LIGERO",10,0)</f>
        <v>0</v>
      </c>
      <c r="M44" s="574">
        <f>IF('CG. MPB'!E45="CANTERA",30,0)</f>
        <v>0</v>
      </c>
      <c r="N44" s="575" t="e">
        <f t="shared" si="6"/>
        <v>#VALUE!</v>
      </c>
      <c r="O44" s="918" t="e">
        <f>ABS('ELEM. MECA.'!D21)</f>
        <v>#VALUE!</v>
      </c>
      <c r="P44" s="919">
        <f>IF(AND('CG. MPB'!D45="CONFINADO",'CG. MPB'!E45="TABIQUE",'CG. MPB'!F45="MACIZO"),'RMCV.PB'!Y44,IF(AND('CG. MPB'!D45="CONFINADO",'CG. MPB'!E45="TABICON",'CG. MPB'!F45="MACIZO"),'RMCV.PB'!Y44,IF(AND('CG. MPB'!D45="CONFINADO",'CG. MPB'!E45="LIGERO",'CG. MPB'!F45="MACIZO"),'RMCV.PB'!Y44,IF(AND('CG. MPB'!D45="NO CONFINADO",'CG. MPB'!E45="TABIQUE",'CG. MPB'!F45="MACIZO"),Z44,IF(AND('CG. MPB'!D45="NO CONFINADO",'CG. MPB'!E45="TABICON",'CG. MPB'!F45="MACIZO"),Z44,IF(AND('CG. MPB'!D45="NO CONFINADO",'CG. MPB'!E45="LIGERO",'CG. MPB'!F45="MACIZO"),Z44,IF(AND('CG. MPB'!E45="TABIQUE",'CG. MPB'!F45="HUECO"),X44,IF('CG. MPB'!E45="ADOBE",'RMCV.PB'!AA44,'RMCV.PB'!AB44))))))))</f>
        <v>0</v>
      </c>
      <c r="Q44" s="685" t="e">
        <f t="shared" si="7"/>
        <v>#VALUE!</v>
      </c>
      <c r="R44" s="4" t="e">
        <f>IF(D44*E44*(F44*N44+'CASTILLOS-PB'!W44*FY)&gt;1.25*D44*E44*F44*N44,1.25*D44*E44*F44*N44,D44*E44*(F44*N44+'CASTILLOS-PB'!W44*FY))</f>
        <v>#VALUE!</v>
      </c>
      <c r="S44" s="4" t="e">
        <f>D44*E44*(F44*N44+'CASTILLOS-PB'!G44*FY*2)</f>
        <v>#VALUE!</v>
      </c>
      <c r="T44" s="4" t="e">
        <f t="shared" si="2"/>
        <v>#VALUE!</v>
      </c>
      <c r="U44" s="521" t="e">
        <f t="shared" si="3"/>
        <v>#VALUE!</v>
      </c>
      <c r="V44" s="533" t="e">
        <f>D44*(0.7*$G$24*(B44*C44)+2000*'MUR.CONC-PB'!K44)</f>
        <v>#VALUE!</v>
      </c>
      <c r="W44" s="533">
        <f t="shared" si="4"/>
        <v>0</v>
      </c>
      <c r="X44" s="543">
        <f>IF(AND('CG. MPB'!E45="TABIQUE",'CG. MPB'!F45="HUECO"),R44,0)</f>
        <v>0</v>
      </c>
      <c r="Y44" s="543">
        <f>IF(AND('CG. MPB'!D45="CONFINADO",'CG. MPB'!E45="TABIQUE",'CG. MPB'!F45="MACIZO"),'RMCV.PB'!S44,IF(AND('CG. MPB'!D45="CONFINADO",'CG. MPB'!E45="TABICON",'CG. MPB'!F45="MACIZO"),'RMCV.PB'!S44,IF(AND('CG. MPB'!D45="CONFINADO",'CG. MPB'!E45="LIGERO",'CG. MPB'!F45="MACIZO"),'RMCV.PB'!S44,0)))</f>
        <v>0</v>
      </c>
      <c r="Z44" s="543">
        <f>IF(AND('CG. MPB'!D45="NO CONFINADO",'CG. MPB'!E45="TABIQUE",'CG. MPB'!F45="MACIZO"),T44,IF(AND('CG. MPB'!D45="NO CONFINADO",'CG. MPB'!E45="TABICON",'CG. MPB'!F45="MACIZO"),T44,IF(AND('CG. MPB'!D45="NO CONFINADO",'CG. MPB'!E45="LIGERO",'CG. MPB'!F45="MACIZO"),T44,0)))</f>
        <v>0</v>
      </c>
      <c r="AA44" s="543">
        <f>IF('CG. MPB'!E45="ADOBE",'RMCV.PB'!U44,0)</f>
        <v>0</v>
      </c>
      <c r="AB44" s="543">
        <f>IF('CG. MPB'!E45="CONCRETO",'RMCV.PB'!V44,0)</f>
        <v>0</v>
      </c>
      <c r="AC44" s="900">
        <f>IF('CG. MPB'!E45="CANTERA",'RMCV.PB'!W44,0)</f>
        <v>0</v>
      </c>
      <c r="AD44" s="93" t="e">
        <f t="shared" si="5"/>
        <v>#VALUE!</v>
      </c>
      <c r="AE44" s="428">
        <v>0.6</v>
      </c>
      <c r="AF44" s="4" t="e">
        <f>(1-2*AD44/C44)*(1-(AE44*'CG. MPB'!C45*10/(30*C44))^2)</f>
        <v>#VALUE!</v>
      </c>
      <c r="AG44" s="350" t="e">
        <f>(1-(2*AD44/C44))*(1-(AE44*'CG. MPB'!C45*10/(30*C44))^2)*(1-('CG. MPB'!C45*10/B44))+('CG. MPB'!C45*10/B44)</f>
        <v>#VALUE!</v>
      </c>
      <c r="AH44" s="429" t="e">
        <f t="shared" si="8"/>
        <v>#VALUE!</v>
      </c>
    </row>
    <row r="45" spans="1:34" hidden="1">
      <c r="A45" s="684">
        <f>'CG. MPB'!A46</f>
        <v>17</v>
      </c>
      <c r="B45" s="578">
        <f>'CG. MPB'!B46*100</f>
        <v>0</v>
      </c>
      <c r="C45" s="68">
        <f>'ELEM. MECA.'!J22</f>
        <v>0</v>
      </c>
      <c r="D45" s="38">
        <f>IF(AND('CG. MPB'!D46="CONFINADO",'CG. MPB'!E46="CONCRETO"),0.8,IF('CG. MPB'!D46="NO CONFINADO",0.3,0.6))</f>
        <v>0.6</v>
      </c>
      <c r="E45" s="68">
        <v>0.6</v>
      </c>
      <c r="F45" s="38">
        <f>IF('CG. MPB'!E46="CONCRETO",G45,'RMCV.PB'!H45+'RMCV.PB'!I45+'RMCV.PB'!J45+K45+L45+M45)</f>
        <v>0</v>
      </c>
      <c r="G45" s="542">
        <f>IF('CG. MPB'!E46="CONCRETO",0.6*$G$24,0)</f>
        <v>0</v>
      </c>
      <c r="H45" s="574">
        <f>IF(AND('CG. MPB'!E46="TABIQUE",'CG. MPB'!F46="MACIZO"),15,0)</f>
        <v>0</v>
      </c>
      <c r="I45" s="574">
        <f>IF(AND('CG. MPB'!E46="TABIQUE",'CG. MPB'!F46="HUECO"),IF(E33="III",30,40),0)</f>
        <v>0</v>
      </c>
      <c r="J45" s="574">
        <f>IF('CG. MPB'!E46="TABICON",IF(E33="I",20,15),0)</f>
        <v>0</v>
      </c>
      <c r="K45" s="574">
        <f>IF('CG. MPB'!E46="ADOBE",10,0)</f>
        <v>0</v>
      </c>
      <c r="L45" s="574">
        <f>IF('CG. MPB'!E46="LIGERO",10,0)</f>
        <v>0</v>
      </c>
      <c r="M45" s="574">
        <f>IF('CG. MPB'!E46="CANTERA",30,0)</f>
        <v>0</v>
      </c>
      <c r="N45" s="575">
        <f t="shared" si="6"/>
        <v>0</v>
      </c>
      <c r="O45" s="918">
        <f>ABS('ELEM. MECA.'!D22)</f>
        <v>0</v>
      </c>
      <c r="P45" s="919">
        <f>IF(AND('CG. MPB'!D46="CONFINADO",'CG. MPB'!E46="TABIQUE",'CG. MPB'!F46="MACIZO"),'RMCV.PB'!Y45,IF(AND('CG. MPB'!D46="CONFINADO",'CG. MPB'!E46="TABICON",'CG. MPB'!F46="MACIZO"),'RMCV.PB'!Y45,IF(AND('CG. MPB'!D46="CONFINADO",'CG. MPB'!E46="LIGERO",'CG. MPB'!F46="MACIZO"),'RMCV.PB'!Y45,IF(AND('CG. MPB'!D46="NO CONFINADO",'CG. MPB'!E46="TABIQUE",'CG. MPB'!F46="MACIZO"),Z45,IF(AND('CG. MPB'!D46="NO CONFINADO",'CG. MPB'!E46="TABICON",'CG. MPB'!F46="MACIZO"),Z45,IF(AND('CG. MPB'!D46="NO CONFINADO",'CG. MPB'!E46="LIGERO",'CG. MPB'!F46="MACIZO"),Z45,IF(AND('CG. MPB'!E46="TABIQUE",'CG. MPB'!F46="HUECO"),X45,IF('CG. MPB'!E46="ADOBE",'RMCV.PB'!AA45,'RMCV.PB'!AB45))))))))</f>
        <v>0</v>
      </c>
      <c r="Q45" s="685" t="str">
        <f t="shared" si="7"/>
        <v>PASA</v>
      </c>
      <c r="R45" s="4">
        <f>IF(D45*E45*(F45*N45+'CASTILLOS-PB'!W45*FY)&gt;1.25*D45*E45*F45*N45,1.25*D45*E45*F45*N45,D45*E45*(F45*N45+'CASTILLOS-PB'!W45*FY))</f>
        <v>0</v>
      </c>
      <c r="S45" s="4">
        <f>D45*E45*(F45*N45+'CASTILLOS-PB'!G45*FY*2)</f>
        <v>8588.16</v>
      </c>
      <c r="T45" s="4">
        <f t="shared" si="2"/>
        <v>0</v>
      </c>
      <c r="U45" s="521">
        <f t="shared" si="3"/>
        <v>0</v>
      </c>
      <c r="V45" s="533">
        <f>D45*(0.7*$G$24*(B45*C45)+2000*'MUR.CONC-PB'!K45)</f>
        <v>0</v>
      </c>
      <c r="W45" s="533">
        <f t="shared" si="4"/>
        <v>0</v>
      </c>
      <c r="X45" s="543">
        <f>IF(AND('CG. MPB'!E46="TABIQUE",'CG. MPB'!F46="HUECO"),R45,0)</f>
        <v>0</v>
      </c>
      <c r="Y45" s="543">
        <f>IF(AND('CG. MPB'!D46="CONFINADO",'CG. MPB'!E46="TABIQUE",'CG. MPB'!F46="MACIZO"),'RMCV.PB'!S45,IF(AND('CG. MPB'!D46="CONFINADO",'CG. MPB'!E46="TABICON",'CG. MPB'!F46="MACIZO"),'RMCV.PB'!S45,IF(AND('CG. MPB'!D46="CONFINADO",'CG. MPB'!E46="LIGERO",'CG. MPB'!F46="MACIZO"),'RMCV.PB'!S45,0)))</f>
        <v>0</v>
      </c>
      <c r="Z45" s="543">
        <f>IF(AND('CG. MPB'!D46="NO CONFINADO",'CG. MPB'!E46="TABIQUE",'CG. MPB'!F46="MACIZO"),T45,IF(AND('CG. MPB'!D46="NO CONFINADO",'CG. MPB'!E46="TABICON",'CG. MPB'!F46="MACIZO"),T45,IF(AND('CG. MPB'!D46="NO CONFINADO",'CG. MPB'!E46="LIGERO",'CG. MPB'!F46="MACIZO"),T45,0)))</f>
        <v>0</v>
      </c>
      <c r="AA45" s="543">
        <f>IF('CG. MPB'!E46="ADOBE",'RMCV.PB'!U45,0)</f>
        <v>0</v>
      </c>
      <c r="AB45" s="543">
        <f>IF('CG. MPB'!E46="CONCRETO",'RMCV.PB'!V45,0)</f>
        <v>0</v>
      </c>
      <c r="AC45" s="900">
        <f>IF('CG. MPB'!E46="CANTERA",'RMCV.PB'!W45,0)</f>
        <v>0</v>
      </c>
      <c r="AD45" s="93">
        <f t="shared" si="5"/>
        <v>0</v>
      </c>
      <c r="AE45" s="428">
        <v>0.6</v>
      </c>
      <c r="AF45" s="4" t="e">
        <f>(1-2*AD45/C45)*(1-(AE45*'CG. MPB'!C46*10/(30*C45))^2)</f>
        <v>#DIV/0!</v>
      </c>
      <c r="AG45" s="350" t="e">
        <f>(1-(2*AD45/C45))*(1-(AE45*'CG. MPB'!C46*10/(30*C45))^2)*(1-('CG. MPB'!C46*10/B45))+('CG. MPB'!C46*10/B45)</f>
        <v>#DIV/0!</v>
      </c>
      <c r="AH45" s="429" t="e">
        <f t="shared" si="8"/>
        <v>#DIV/0!</v>
      </c>
    </row>
    <row r="46" spans="1:34" hidden="1">
      <c r="A46" s="684">
        <f>'CG. MPB'!A47</f>
        <v>18</v>
      </c>
      <c r="B46" s="578">
        <f>'CG. MPB'!B47*100</f>
        <v>0</v>
      </c>
      <c r="C46" s="68">
        <f>'ELEM. MECA.'!J23</f>
        <v>0</v>
      </c>
      <c r="D46" s="38">
        <f>IF(AND('CG. MPB'!D47="CONFINADO",'CG. MPB'!E47="CONCRETO"),0.8,IF('CG. MPB'!D47="NO CONFINADO",0.3,0.6))</f>
        <v>0.6</v>
      </c>
      <c r="E46" s="68">
        <v>0.6</v>
      </c>
      <c r="F46" s="38">
        <f>IF('CG. MPB'!E47="CONCRETO",G46,'RMCV.PB'!H46+'RMCV.PB'!I46+'RMCV.PB'!J46+K46+L46+M46)</f>
        <v>0</v>
      </c>
      <c r="G46" s="542">
        <f>IF('CG. MPB'!E47="CONCRETO",0.6*$G$24,0)</f>
        <v>0</v>
      </c>
      <c r="H46" s="574">
        <f>IF(AND('CG. MPB'!E47="TABIQUE",'CG. MPB'!F47="MACIZO"),15,0)</f>
        <v>0</v>
      </c>
      <c r="I46" s="574">
        <f>IF(AND('CG. MPB'!E47="TABIQUE",'CG. MPB'!F47="HUECO"),IF(E34="III",30,40),0)</f>
        <v>0</v>
      </c>
      <c r="J46" s="574">
        <f>IF('CG. MPB'!E47="TABICON",IF(E34="I",20,15),0)</f>
        <v>0</v>
      </c>
      <c r="K46" s="574">
        <f>IF('CG. MPB'!E47="ADOBE",10,0)</f>
        <v>0</v>
      </c>
      <c r="L46" s="574">
        <f>IF('CG. MPB'!E47="LIGERO",10,0)</f>
        <v>0</v>
      </c>
      <c r="M46" s="574">
        <f>IF('CG. MPB'!E47="CANTERA",30,0)</f>
        <v>0</v>
      </c>
      <c r="N46" s="575">
        <f t="shared" si="6"/>
        <v>0</v>
      </c>
      <c r="O46" s="918">
        <f>ABS('ELEM. MECA.'!D23)</f>
        <v>0</v>
      </c>
      <c r="P46" s="919">
        <f>IF(AND('CG. MPB'!D47="CONFINADO",'CG. MPB'!E47="TABIQUE",'CG. MPB'!F47="MACIZO"),'RMCV.PB'!Y46,IF(AND('CG. MPB'!D47="CONFINADO",'CG. MPB'!E47="TABICON",'CG. MPB'!F47="MACIZO"),'RMCV.PB'!Y46,IF(AND('CG. MPB'!D47="CONFINADO",'CG. MPB'!E47="LIGERO",'CG. MPB'!F47="MACIZO"),'RMCV.PB'!Y46,IF(AND('CG. MPB'!D47="NO CONFINADO",'CG. MPB'!E47="TABIQUE",'CG. MPB'!F47="MACIZO"),Z46,IF(AND('CG. MPB'!D47="NO CONFINADO",'CG. MPB'!E47="TABICON",'CG. MPB'!F47="MACIZO"),Z46,IF(AND('CG. MPB'!D47="NO CONFINADO",'CG. MPB'!E47="LIGERO",'CG. MPB'!F47="MACIZO"),Z46,IF(AND('CG. MPB'!E47="TABIQUE",'CG. MPB'!F47="HUECO"),X46,IF('CG. MPB'!E47="ADOBE",'RMCV.PB'!AA46,'RMCV.PB'!AB46))))))))</f>
        <v>0</v>
      </c>
      <c r="Q46" s="685" t="str">
        <f t="shared" si="7"/>
        <v>PASA</v>
      </c>
      <c r="R46" s="4">
        <f>IF(D46*E46*(F46*N46+'CASTILLOS-PB'!W46*FY)&gt;1.25*D46*E46*F46*N46,1.25*D46*E46*F46*N46,D46*E46*(F46*N46+'CASTILLOS-PB'!W46*FY))</f>
        <v>0</v>
      </c>
      <c r="S46" s="4">
        <f>D46*E46*(F46*N46+'CASTILLOS-PB'!G46*FY*2)</f>
        <v>8588.16</v>
      </c>
      <c r="T46" s="4">
        <f t="shared" si="2"/>
        <v>0</v>
      </c>
      <c r="U46" s="521">
        <f t="shared" si="3"/>
        <v>0</v>
      </c>
      <c r="V46" s="533">
        <f>D46*(0.7*$G$24*(B46*C46)+2000*'MUR.CONC-PB'!K46)</f>
        <v>0</v>
      </c>
      <c r="W46" s="533">
        <f t="shared" si="4"/>
        <v>0</v>
      </c>
      <c r="X46" s="543">
        <f>IF(AND('CG. MPB'!E47="TABIQUE",'CG. MPB'!F47="HUECO"),R46,0)</f>
        <v>0</v>
      </c>
      <c r="Y46" s="543">
        <f>IF(AND('CG. MPB'!D47="CONFINADO",'CG. MPB'!E47="TABIQUE",'CG. MPB'!F47="MACIZO"),'RMCV.PB'!S46,IF(AND('CG. MPB'!D47="CONFINADO",'CG. MPB'!E47="TABICON",'CG. MPB'!F47="MACIZO"),'RMCV.PB'!S46,IF(AND('CG. MPB'!D47="CONFINADO",'CG. MPB'!E47="LIGERO",'CG. MPB'!F47="MACIZO"),'RMCV.PB'!S46,0)))</f>
        <v>0</v>
      </c>
      <c r="Z46" s="543">
        <f>IF(AND('CG. MPB'!D47="NO CONFINADO",'CG. MPB'!E47="TABIQUE",'CG. MPB'!F47="MACIZO"),T46,IF(AND('CG. MPB'!D47="NO CONFINADO",'CG. MPB'!E47="TABICON",'CG. MPB'!F47="MACIZO"),T46,IF(AND('CG. MPB'!D47="NO CONFINADO",'CG. MPB'!E47="LIGERO",'CG. MPB'!F47="MACIZO"),T46,0)))</f>
        <v>0</v>
      </c>
      <c r="AA46" s="543">
        <f>IF('CG. MPB'!E47="ADOBE",'RMCV.PB'!U46,0)</f>
        <v>0</v>
      </c>
      <c r="AB46" s="543">
        <f>IF('CG. MPB'!E47="CONCRETO",'RMCV.PB'!V46,0)</f>
        <v>0</v>
      </c>
      <c r="AC46" s="900">
        <f>IF('CG. MPB'!E47="CANTERA",'RMCV.PB'!W46,0)</f>
        <v>0</v>
      </c>
      <c r="AD46" s="93">
        <f t="shared" si="5"/>
        <v>0</v>
      </c>
      <c r="AE46" s="428">
        <v>0.6</v>
      </c>
      <c r="AF46" s="4" t="e">
        <f>(1-2*AD46/C46)*(1-(AE46*'CG. MPB'!C47*10/(30*C46))^2)</f>
        <v>#DIV/0!</v>
      </c>
      <c r="AG46" s="350" t="e">
        <f>(1-(2*AD46/C46))*(1-(AE46*'CG. MPB'!C47*10/(30*C46))^2)*(1-('CG. MPB'!C47*10/B46))+('CG. MPB'!C47*10/B46)</f>
        <v>#DIV/0!</v>
      </c>
      <c r="AH46" s="429" t="e">
        <f t="shared" si="8"/>
        <v>#DIV/0!</v>
      </c>
    </row>
    <row r="47" spans="1:34" hidden="1">
      <c r="A47" s="684">
        <f>'CG. MPB'!A48</f>
        <v>19</v>
      </c>
      <c r="B47" s="578">
        <f>'CG. MPB'!B48*100</f>
        <v>0</v>
      </c>
      <c r="C47" s="68">
        <f>'ELEM. MECA.'!J24</f>
        <v>0</v>
      </c>
      <c r="D47" s="38">
        <f>IF(AND('CG. MPB'!D48="CONFINADO",'CG. MPB'!E48="CONCRETO"),0.8,IF('CG. MPB'!D48="NO CONFINADO",0.3,0.6))</f>
        <v>0.6</v>
      </c>
      <c r="E47" s="68">
        <v>0.6</v>
      </c>
      <c r="F47" s="38">
        <f>IF('CG. MPB'!E48="CONCRETO",G47,'RMCV.PB'!H47+'RMCV.PB'!I47+'RMCV.PB'!J47+K47+L47+M47)</f>
        <v>0</v>
      </c>
      <c r="G47" s="542">
        <f>IF('CG. MPB'!E48="CONCRETO",0.6*$G$24,0)</f>
        <v>0</v>
      </c>
      <c r="H47" s="574">
        <f>IF(AND('CG. MPB'!E48="TABIQUE",'CG. MPB'!F48="MACIZO"),15,0)</f>
        <v>0</v>
      </c>
      <c r="I47" s="574">
        <f>IF(AND('CG. MPB'!E48="TABIQUE",'CG. MPB'!F48="HUECO"),IF(E35="III",30,40),0)</f>
        <v>0</v>
      </c>
      <c r="J47" s="574">
        <f>IF('CG. MPB'!E48="TABICON",IF(E35="I",20,15),0)</f>
        <v>0</v>
      </c>
      <c r="K47" s="574">
        <f>IF('CG. MPB'!E48="ADOBE",10,0)</f>
        <v>0</v>
      </c>
      <c r="L47" s="574">
        <f>IF('CG. MPB'!E48="LIGERO",10,0)</f>
        <v>0</v>
      </c>
      <c r="M47" s="574">
        <f>IF('CG. MPB'!E48="CANTERA",30,0)</f>
        <v>0</v>
      </c>
      <c r="N47" s="575">
        <f t="shared" si="6"/>
        <v>0</v>
      </c>
      <c r="O47" s="918">
        <f>ABS('ELEM. MECA.'!D24)</f>
        <v>0</v>
      </c>
      <c r="P47" s="919">
        <f>IF(AND('CG. MPB'!D48="CONFINADO",'CG. MPB'!E48="TABIQUE",'CG. MPB'!F48="MACIZO"),'RMCV.PB'!Y47,IF(AND('CG. MPB'!D48="CONFINADO",'CG. MPB'!E48="TABICON",'CG. MPB'!F48="MACIZO"),'RMCV.PB'!Y47,IF(AND('CG. MPB'!D48="CONFINADO",'CG. MPB'!E48="LIGERO",'CG. MPB'!F48="MACIZO"),'RMCV.PB'!Y47,IF(AND('CG. MPB'!D48="NO CONFINADO",'CG. MPB'!E48="TABIQUE",'CG. MPB'!F48="MACIZO"),Z47,IF(AND('CG. MPB'!D48="NO CONFINADO",'CG. MPB'!E48="TABICON",'CG. MPB'!F48="MACIZO"),Z47,IF(AND('CG. MPB'!D48="NO CONFINADO",'CG. MPB'!E48="LIGERO",'CG. MPB'!F48="MACIZO"),Z47,IF(AND('CG. MPB'!E48="TABIQUE",'CG. MPB'!F48="HUECO"),X47,IF('CG. MPB'!E48="ADOBE",'RMCV.PB'!AA47,'RMCV.PB'!AB47))))))))</f>
        <v>0</v>
      </c>
      <c r="Q47" s="685" t="str">
        <f t="shared" si="7"/>
        <v>PASA</v>
      </c>
      <c r="R47" s="4">
        <f>IF(D47*E47*(F47*N47+'CASTILLOS-PB'!W47*FY)&gt;1.25*D47*E47*F47*N47,1.25*D47*E47*F47*N47,D47*E47*(F47*N47+'CASTILLOS-PB'!W47*FY))</f>
        <v>0</v>
      </c>
      <c r="S47" s="4">
        <f>D47*E47*(F47*N47+'CASTILLOS-PB'!G47*FY*2)</f>
        <v>8588.16</v>
      </c>
      <c r="T47" s="4">
        <f t="shared" si="2"/>
        <v>0</v>
      </c>
      <c r="U47" s="521">
        <f t="shared" si="3"/>
        <v>0</v>
      </c>
      <c r="V47" s="533">
        <f>D47*(0.7*$G$24*(B47*C47)+2000*'MUR.CONC-PB'!K47)</f>
        <v>0</v>
      </c>
      <c r="W47" s="533">
        <f t="shared" si="4"/>
        <v>0</v>
      </c>
      <c r="X47" s="543">
        <f>IF(AND('CG. MPB'!E48="TABIQUE",'CG. MPB'!F48="HUECO"),R47,0)</f>
        <v>0</v>
      </c>
      <c r="Y47" s="543">
        <f>IF(AND('CG. MPB'!D48="CONFINADO",'CG. MPB'!E48="TABIQUE",'CG. MPB'!F48="MACIZO"),'RMCV.PB'!S47,IF(AND('CG. MPB'!D48="CONFINADO",'CG. MPB'!E48="TABICON",'CG. MPB'!F48="MACIZO"),'RMCV.PB'!S47,IF(AND('CG. MPB'!D48="CONFINADO",'CG. MPB'!E48="LIGERO",'CG. MPB'!F48="MACIZO"),'RMCV.PB'!S47,0)))</f>
        <v>0</v>
      </c>
      <c r="Z47" s="543">
        <f>IF(AND('CG. MPB'!D48="NO CONFINADO",'CG. MPB'!E48="TABIQUE",'CG. MPB'!F48="MACIZO"),T47,IF(AND('CG. MPB'!D48="NO CONFINADO",'CG. MPB'!E48="TABICON",'CG. MPB'!F48="MACIZO"),T47,IF(AND('CG. MPB'!D48="NO CONFINADO",'CG. MPB'!E48="LIGERO",'CG. MPB'!F48="MACIZO"),T47,0)))</f>
        <v>0</v>
      </c>
      <c r="AA47" s="543">
        <f>IF('CG. MPB'!E48="ADOBE",'RMCV.PB'!U47,0)</f>
        <v>0</v>
      </c>
      <c r="AB47" s="543">
        <f>IF('CG. MPB'!E48="CONCRETO",'RMCV.PB'!V47,0)</f>
        <v>0</v>
      </c>
      <c r="AC47" s="900">
        <f>IF('CG. MPB'!E48="CANTERA",'RMCV.PB'!W47,0)</f>
        <v>0</v>
      </c>
      <c r="AD47" s="93">
        <f t="shared" si="5"/>
        <v>0</v>
      </c>
      <c r="AE47" s="428">
        <v>0.6</v>
      </c>
      <c r="AF47" s="4" t="e">
        <f>(1-2*AD47/C47)*(1-(AE47*'CG. MPB'!C48*10/(30*C47))^2)</f>
        <v>#DIV/0!</v>
      </c>
      <c r="AG47" s="350" t="e">
        <f>(1-(2*AD47/C47))*(1-(AE47*'CG. MPB'!C48*10/(30*C47))^2)*(1-('CG. MPB'!C48*10/B47))+('CG. MPB'!C48*10/B47)</f>
        <v>#DIV/0!</v>
      </c>
      <c r="AH47" s="429" t="e">
        <f t="shared" si="8"/>
        <v>#DIV/0!</v>
      </c>
    </row>
    <row r="48" spans="1:34" ht="15" hidden="1" customHeight="1">
      <c r="A48" s="684">
        <f>'CG. MPB'!A49</f>
        <v>20</v>
      </c>
      <c r="B48" s="578">
        <f>'CG. MPB'!B49*100</f>
        <v>0</v>
      </c>
      <c r="C48" s="68">
        <f>'ELEM. MECA.'!J25</f>
        <v>0</v>
      </c>
      <c r="D48" s="38">
        <f>IF(AND('CG. MPB'!D49="CONFINADO",'CG. MPB'!E49="CONCRETO"),0.8,IF('CG. MPB'!D49="NO CONFINADO",0.3,0.6))</f>
        <v>0.6</v>
      </c>
      <c r="E48" s="68">
        <v>0.6</v>
      </c>
      <c r="F48" s="38">
        <f>IF('CG. MPB'!E49="CONCRETO",G48,'RMCV.PB'!H48+'RMCV.PB'!I48+'RMCV.PB'!J48+K48+L48+M48)</f>
        <v>0</v>
      </c>
      <c r="G48" s="542">
        <f>IF('CG. MPB'!E49="CONCRETO",0.6*$G$24,0)</f>
        <v>0</v>
      </c>
      <c r="H48" s="574">
        <f>IF(AND('CG. MPB'!E49="TABIQUE",'CG. MPB'!F49="MACIZO"),15,0)</f>
        <v>0</v>
      </c>
      <c r="I48" s="574">
        <f>IF(AND('CG. MPB'!E49="TABIQUE",'CG. MPB'!F49="HUECO"),IF(E36="III",30,40),0)</f>
        <v>0</v>
      </c>
      <c r="J48" s="574">
        <f>IF('CG. MPB'!E49="TABICON",IF(E36="I",20,15),0)</f>
        <v>0</v>
      </c>
      <c r="K48" s="574">
        <f>IF('CG. MPB'!E49="ADOBE",10,0)</f>
        <v>0</v>
      </c>
      <c r="L48" s="574">
        <f>IF('CG. MPB'!E49="LIGERO",10,0)</f>
        <v>0</v>
      </c>
      <c r="M48" s="574">
        <f>IF('CG. MPB'!E49="CANTERA",30,0)</f>
        <v>0</v>
      </c>
      <c r="N48" s="575">
        <f t="shared" si="6"/>
        <v>0</v>
      </c>
      <c r="O48" s="918">
        <f>ABS('ELEM. MECA.'!D25)</f>
        <v>0</v>
      </c>
      <c r="P48" s="919">
        <f>IF(AND('CG. MPB'!D49="CONFINADO",'CG. MPB'!E49="TABIQUE",'CG. MPB'!F49="MACIZO"),'RMCV.PB'!Y48,IF(AND('CG. MPB'!D49="CONFINADO",'CG. MPB'!E49="TABICON",'CG. MPB'!F49="MACIZO"),'RMCV.PB'!Y48,IF(AND('CG. MPB'!D49="CONFINADO",'CG. MPB'!E49="LIGERO",'CG. MPB'!F49="MACIZO"),'RMCV.PB'!Y48,IF(AND('CG. MPB'!D49="NO CONFINADO",'CG. MPB'!E49="TABIQUE",'CG. MPB'!F49="MACIZO"),Z48,IF(AND('CG. MPB'!D49="NO CONFINADO",'CG. MPB'!E49="TABICON",'CG. MPB'!F49="MACIZO"),Z48,IF(AND('CG. MPB'!D49="NO CONFINADO",'CG. MPB'!E49="LIGERO",'CG. MPB'!F49="MACIZO"),Z48,IF(AND('CG. MPB'!E49="TABIQUE",'CG. MPB'!F49="HUECO"),X48,IF('CG. MPB'!E49="ADOBE",'RMCV.PB'!AA48,'RMCV.PB'!AB48))))))))</f>
        <v>0</v>
      </c>
      <c r="Q48" s="685" t="str">
        <f t="shared" si="7"/>
        <v>PASA</v>
      </c>
      <c r="R48" s="4">
        <f>IF(D48*E48*(F48*N48+'CASTILLOS-PB'!W48*FY)&gt;1.25*D48*E48*F48*N48,1.25*D48*E48*F48*N48,D48*E48*(F48*N48+'CASTILLOS-PB'!W48*FY))</f>
        <v>0</v>
      </c>
      <c r="S48" s="4">
        <f>D48*E48*(F48*N48+'CASTILLOS-PB'!G48*FY*2)</f>
        <v>8588.16</v>
      </c>
      <c r="T48" s="4">
        <f t="shared" si="2"/>
        <v>0</v>
      </c>
      <c r="U48" s="521">
        <f t="shared" si="3"/>
        <v>0</v>
      </c>
      <c r="V48" s="533">
        <f>D48*(0.7*$G$24*(B48*C48)+2000*'MUR.CONC-PB'!K48)</f>
        <v>0</v>
      </c>
      <c r="W48" s="533">
        <f t="shared" si="4"/>
        <v>0</v>
      </c>
      <c r="X48" s="543">
        <f>IF(AND('CG. MPB'!E49="TABIQUE",'CG. MPB'!F49="HUECO"),R48,0)</f>
        <v>0</v>
      </c>
      <c r="Y48" s="543">
        <f>IF(AND('CG. MPB'!D49="CONFINADO",'CG. MPB'!E49="TABIQUE",'CG. MPB'!F49="MACIZO"),'RMCV.PB'!S48,IF(AND('CG. MPB'!D49="CONFINADO",'CG. MPB'!E49="TABICON",'CG. MPB'!F49="MACIZO"),'RMCV.PB'!S48,IF(AND('CG. MPB'!D49="CONFINADO",'CG. MPB'!E49="LIGERO",'CG. MPB'!F49="MACIZO"),'RMCV.PB'!S48,0)))</f>
        <v>0</v>
      </c>
      <c r="Z48" s="543">
        <f>IF(AND('CG. MPB'!D49="NO CONFINADO",'CG. MPB'!E49="TABIQUE",'CG. MPB'!F49="MACIZO"),T48,IF(AND('CG. MPB'!D49="NO CONFINADO",'CG. MPB'!E49="TABICON",'CG. MPB'!F49="MACIZO"),T48,IF(AND('CG. MPB'!D49="NO CONFINADO",'CG. MPB'!E49="LIGERO",'CG. MPB'!F49="MACIZO"),T48,0)))</f>
        <v>0</v>
      </c>
      <c r="AA48" s="543">
        <f>IF('CG. MPB'!E49="ADOBE",'RMCV.PB'!U48,0)</f>
        <v>0</v>
      </c>
      <c r="AB48" s="543">
        <f>IF('CG. MPB'!E49="CONCRETO",'RMCV.PB'!V48,0)</f>
        <v>0</v>
      </c>
      <c r="AC48" s="900">
        <f>IF('CG. MPB'!E49="CANTERA",'RMCV.PB'!W48,0)</f>
        <v>0</v>
      </c>
      <c r="AD48" s="93">
        <f t="shared" si="5"/>
        <v>0</v>
      </c>
      <c r="AE48" s="428">
        <v>0.6</v>
      </c>
      <c r="AF48" s="4" t="e">
        <f>(1-2*AD48/C48)*(1-(AE48*'CG. MPB'!C49*10/(30*C48))^2)</f>
        <v>#DIV/0!</v>
      </c>
      <c r="AG48" s="350" t="e">
        <f>(1-(2*AD48/C48))*(1-(AE48*'CG. MPB'!C49*10/(30*C48))^2)*(1-('CG. MPB'!C49*10/B48))+('CG. MPB'!C49*10/B48)</f>
        <v>#DIV/0!</v>
      </c>
      <c r="AH48" s="429" t="e">
        <f t="shared" si="8"/>
        <v>#DIV/0!</v>
      </c>
    </row>
    <row r="49" spans="1:34" ht="15" hidden="1" customHeight="1">
      <c r="A49" s="684">
        <f>'CG. MPB'!A50</f>
        <v>21</v>
      </c>
      <c r="B49" s="578">
        <f>'CG. MPB'!B50*100</f>
        <v>0</v>
      </c>
      <c r="C49" s="68">
        <f>'ELEM. MECA.'!J26</f>
        <v>0</v>
      </c>
      <c r="D49" s="38">
        <f>IF(AND('CG. MPB'!D50="CONFINADO",'CG. MPB'!E50="CONCRETO"),0.8,IF('CG. MPB'!D50="NO CONFINADO",0.3,0.6))</f>
        <v>0.6</v>
      </c>
      <c r="E49" s="68">
        <v>0.6</v>
      </c>
      <c r="F49" s="38">
        <f>IF('CG. MPB'!E50="CONCRETO",G49,'RMCV.PB'!H49+'RMCV.PB'!I49+'RMCV.PB'!J49+K49+L49+M49)</f>
        <v>0</v>
      </c>
      <c r="G49" s="542">
        <f>IF('CG. MPB'!E50="CONCRETO",0.6*$G$24,0)</f>
        <v>0</v>
      </c>
      <c r="H49" s="574">
        <f>IF(AND('CG. MPB'!E50="TABIQUE",'CG. MPB'!F50="MACIZO"),15,0)</f>
        <v>0</v>
      </c>
      <c r="I49" s="574">
        <f>IF(AND('CG. MPB'!E50="TABIQUE",'CG. MPB'!F50="HUECO"),IF(E37="III",30,40),0)</f>
        <v>0</v>
      </c>
      <c r="J49" s="574">
        <f>IF('CG. MPB'!E50="TABICON",IF(E37="I",20,15),0)</f>
        <v>0</v>
      </c>
      <c r="K49" s="574">
        <f>IF('CG. MPB'!E50="ADOBE",10,0)</f>
        <v>0</v>
      </c>
      <c r="L49" s="574">
        <f>IF('CG. MPB'!E50="LIGERO",10,0)</f>
        <v>0</v>
      </c>
      <c r="M49" s="574">
        <f>IF('CG. MPB'!E50="CANTERA",30,0)</f>
        <v>0</v>
      </c>
      <c r="N49" s="575">
        <f t="shared" si="6"/>
        <v>0</v>
      </c>
      <c r="O49" s="918">
        <f>ABS('ELEM. MECA.'!D26)</f>
        <v>0</v>
      </c>
      <c r="P49" s="919">
        <f>IF(AND('CG. MPB'!D50="CONFINADO",'CG. MPB'!E50="TABIQUE",'CG. MPB'!F50="MACIZO"),'RMCV.PB'!Y49,IF(AND('CG. MPB'!D50="CONFINADO",'CG. MPB'!E50="TABICON",'CG. MPB'!F50="MACIZO"),'RMCV.PB'!Y49,IF(AND('CG. MPB'!D50="CONFINADO",'CG. MPB'!E50="LIGERO",'CG. MPB'!F50="MACIZO"),'RMCV.PB'!Y49,IF(AND('CG. MPB'!D50="NO CONFINADO",'CG. MPB'!E50="TABIQUE",'CG. MPB'!F50="MACIZO"),Z49,IF(AND('CG. MPB'!D50="NO CONFINADO",'CG. MPB'!E50="TABICON",'CG. MPB'!F50="MACIZO"),Z49,IF(AND('CG. MPB'!D50="NO CONFINADO",'CG. MPB'!E50="LIGERO",'CG. MPB'!F50="MACIZO"),Z49,IF(AND('CG. MPB'!E50="TABIQUE",'CG. MPB'!F50="HUECO"),X49,IF('CG. MPB'!E50="ADOBE",'RMCV.PB'!AA49,'RMCV.PB'!AB49))))))))</f>
        <v>0</v>
      </c>
      <c r="Q49" s="685" t="str">
        <f t="shared" si="7"/>
        <v>PASA</v>
      </c>
      <c r="R49" s="4">
        <f>IF(D49*E49*(F49*N49+'CASTILLOS-PB'!W49*FY)&gt;1.25*D49*E49*F49*N49,1.25*D49*E49*F49*N49,D49*E49*(F49*N49+'CASTILLOS-PB'!W49*FY))</f>
        <v>0</v>
      </c>
      <c r="S49" s="4">
        <f>D49*E49*(F49*N49+'CASTILLOS-PB'!G49*FY*2)</f>
        <v>8588.16</v>
      </c>
      <c r="T49" s="4">
        <f t="shared" si="2"/>
        <v>0</v>
      </c>
      <c r="U49" s="521">
        <f t="shared" si="3"/>
        <v>0</v>
      </c>
      <c r="V49" s="533">
        <f>D49*(0.7*$G$24*(B49*C49)+2000*'MUR.CONC-PB'!K49)</f>
        <v>0</v>
      </c>
      <c r="W49" s="533">
        <f t="shared" si="4"/>
        <v>0</v>
      </c>
      <c r="X49" s="543">
        <f>IF(AND('CG. MPB'!E50="TABIQUE",'CG. MPB'!F50="HUECO"),R49,0)</f>
        <v>0</v>
      </c>
      <c r="Y49" s="543">
        <f>IF(AND('CG. MPB'!D50="CONFINADO",'CG. MPB'!E50="TABIQUE",'CG. MPB'!F50="MACIZO"),'RMCV.PB'!S49,IF(AND('CG. MPB'!D50="CONFINADO",'CG. MPB'!E50="TABICON",'CG. MPB'!F50="MACIZO"),'RMCV.PB'!S49,IF(AND('CG. MPB'!D50="CONFINADO",'CG. MPB'!E50="LIGERO",'CG. MPB'!F50="MACIZO"),'RMCV.PB'!S49,0)))</f>
        <v>0</v>
      </c>
      <c r="Z49" s="543">
        <f>IF(AND('CG. MPB'!D50="NO CONFINADO",'CG. MPB'!E50="TABIQUE",'CG. MPB'!F50="MACIZO"),T49,IF(AND('CG. MPB'!D50="NO CONFINADO",'CG. MPB'!E50="TABICON",'CG. MPB'!F50="MACIZO"),T49,IF(AND('CG. MPB'!D50="NO CONFINADO",'CG. MPB'!E50="LIGERO",'CG. MPB'!F50="MACIZO"),T49,0)))</f>
        <v>0</v>
      </c>
      <c r="AA49" s="543">
        <f>IF('CG. MPB'!E50="ADOBE",'RMCV.PB'!U49,0)</f>
        <v>0</v>
      </c>
      <c r="AB49" s="543">
        <f>IF('CG. MPB'!E50="CONCRETO",'RMCV.PB'!V49,0)</f>
        <v>0</v>
      </c>
      <c r="AC49" s="900">
        <f>IF('CG. MPB'!E50="CANTERA",'RMCV.PB'!W49,0)</f>
        <v>0</v>
      </c>
      <c r="AD49" s="93">
        <f t="shared" si="5"/>
        <v>0</v>
      </c>
      <c r="AE49" s="428">
        <v>0.6</v>
      </c>
      <c r="AF49" s="4" t="e">
        <f>(1-2*AD49/C49)*(1-(AE49*'CG. MPB'!C50*10/(30*C49))^2)</f>
        <v>#DIV/0!</v>
      </c>
      <c r="AG49" s="350" t="e">
        <f>(1-(2*AD49/C49))*(1-(AE49*'CG. MPB'!C50*10/(30*C49))^2)*(1-('CG. MPB'!C50*10/B49))+('CG. MPB'!C50*10/B49)</f>
        <v>#DIV/0!</v>
      </c>
      <c r="AH49" s="429" t="e">
        <f t="shared" si="8"/>
        <v>#DIV/0!</v>
      </c>
    </row>
    <row r="50" spans="1:34" ht="15" hidden="1" customHeight="1">
      <c r="A50" s="684">
        <f>'CG. MPB'!A51</f>
        <v>22</v>
      </c>
      <c r="B50" s="578">
        <f>'CG. MPB'!B51*100</f>
        <v>0</v>
      </c>
      <c r="C50" s="68">
        <f>'ELEM. MECA.'!J27</f>
        <v>0</v>
      </c>
      <c r="D50" s="38">
        <f>IF(AND('CG. MPB'!D51="CONFINADO",'CG. MPB'!E51="CONCRETO"),0.8,IF('CG. MPB'!D51="NO CONFINADO",0.3,0.6))</f>
        <v>0.6</v>
      </c>
      <c r="E50" s="68">
        <v>0.6</v>
      </c>
      <c r="F50" s="38">
        <f>IF('CG. MPB'!E51="CONCRETO",G50,'RMCV.PB'!H50+'RMCV.PB'!I50+'RMCV.PB'!J50+K50+L50+M50)</f>
        <v>0</v>
      </c>
      <c r="G50" s="542">
        <f>IF('CG. MPB'!E51="CONCRETO",0.6*$G$24,0)</f>
        <v>0</v>
      </c>
      <c r="H50" s="574">
        <f>IF(AND('CG. MPB'!E51="TABIQUE",'CG. MPB'!F51="MACIZO"),15,0)</f>
        <v>0</v>
      </c>
      <c r="I50" s="574">
        <f>IF(AND('CG. MPB'!E51="TABIQUE",'CG. MPB'!F51="HUECO"),IF(E38="III",30,40),0)</f>
        <v>0</v>
      </c>
      <c r="J50" s="574">
        <f>IF('CG. MPB'!E51="TABICON",IF(E38="I",20,15),0)</f>
        <v>0</v>
      </c>
      <c r="K50" s="574">
        <f>IF('CG. MPB'!E51="ADOBE",10,0)</f>
        <v>0</v>
      </c>
      <c r="L50" s="574">
        <f>IF('CG. MPB'!E51="LIGERO",10,0)</f>
        <v>0</v>
      </c>
      <c r="M50" s="574">
        <f>IF('CG. MPB'!E51="CANTERA",30,0)</f>
        <v>0</v>
      </c>
      <c r="N50" s="575">
        <f t="shared" si="6"/>
        <v>0</v>
      </c>
      <c r="O50" s="918">
        <f>ABS('ELEM. MECA.'!D27)</f>
        <v>0</v>
      </c>
      <c r="P50" s="919">
        <f>IF(AND('CG. MPB'!D51="CONFINADO",'CG. MPB'!E51="TABIQUE",'CG. MPB'!F51="MACIZO"),'RMCV.PB'!Y50,IF(AND('CG. MPB'!D51="CONFINADO",'CG. MPB'!E51="TABICON",'CG. MPB'!F51="MACIZO"),'RMCV.PB'!Y50,IF(AND('CG. MPB'!D51="CONFINADO",'CG. MPB'!E51="LIGERO",'CG. MPB'!F51="MACIZO"),'RMCV.PB'!Y50,IF(AND('CG. MPB'!D51="NO CONFINADO",'CG. MPB'!E51="TABIQUE",'CG. MPB'!F51="MACIZO"),Z50,IF(AND('CG. MPB'!D51="NO CONFINADO",'CG. MPB'!E51="TABICON",'CG. MPB'!F51="MACIZO"),Z50,IF(AND('CG. MPB'!D51="NO CONFINADO",'CG. MPB'!E51="LIGERO",'CG. MPB'!F51="MACIZO"),Z50,IF(AND('CG. MPB'!E51="TABIQUE",'CG. MPB'!F51="HUECO"),X50,IF('CG. MPB'!E51="ADOBE",'RMCV.PB'!AA50,'RMCV.PB'!AB50))))))))</f>
        <v>0</v>
      </c>
      <c r="Q50" s="685" t="str">
        <f t="shared" si="7"/>
        <v>PASA</v>
      </c>
      <c r="R50" s="4">
        <f>IF(D50*E50*(F50*N50+'CASTILLOS-PB'!W50*FY)&gt;1.25*D50*E50*F50*N50,1.25*D50*E50*F50*N50,D50*E50*(F50*N50+'CASTILLOS-PB'!W50*FY))</f>
        <v>0</v>
      </c>
      <c r="S50" s="4">
        <f>D50*E50*(F50*N50+'CASTILLOS-PB'!G50*FY*2)</f>
        <v>8588.16</v>
      </c>
      <c r="T50" s="4">
        <f t="shared" si="2"/>
        <v>0</v>
      </c>
      <c r="U50" s="521">
        <f t="shared" si="3"/>
        <v>0</v>
      </c>
      <c r="V50" s="533">
        <f>D50*(0.7*$G$24*(B50*C50)+2000*'MUR.CONC-PB'!K50)</f>
        <v>0</v>
      </c>
      <c r="W50" s="533">
        <f t="shared" si="4"/>
        <v>0</v>
      </c>
      <c r="X50" s="543">
        <f>IF(AND('CG. MPB'!E51="TABIQUE",'CG. MPB'!F51="HUECO"),R50,0)</f>
        <v>0</v>
      </c>
      <c r="Y50" s="543">
        <f>IF(AND('CG. MPB'!D51="CONFINADO",'CG. MPB'!E51="TABIQUE",'CG. MPB'!F51="MACIZO"),'RMCV.PB'!S50,IF(AND('CG. MPB'!D51="CONFINADO",'CG. MPB'!E51="TABICON",'CG. MPB'!F51="MACIZO"),'RMCV.PB'!S50,IF(AND('CG. MPB'!D51="CONFINADO",'CG. MPB'!E51="LIGERO",'CG. MPB'!F51="MACIZO"),'RMCV.PB'!S50,0)))</f>
        <v>0</v>
      </c>
      <c r="Z50" s="543">
        <f>IF(AND('CG. MPB'!D51="NO CONFINADO",'CG. MPB'!E51="TABIQUE",'CG. MPB'!F51="MACIZO"),T50,IF(AND('CG. MPB'!D51="NO CONFINADO",'CG. MPB'!E51="TABICON",'CG. MPB'!F51="MACIZO"),T50,IF(AND('CG. MPB'!D51="NO CONFINADO",'CG. MPB'!E51="LIGERO",'CG. MPB'!F51="MACIZO"),T50,0)))</f>
        <v>0</v>
      </c>
      <c r="AA50" s="543">
        <f>IF('CG. MPB'!E51="ADOBE",'RMCV.PB'!U50,0)</f>
        <v>0</v>
      </c>
      <c r="AB50" s="543">
        <f>IF('CG. MPB'!E51="CONCRETO",'RMCV.PB'!V50,0)</f>
        <v>0</v>
      </c>
      <c r="AC50" s="900">
        <f>IF('CG. MPB'!E51="CANTERA",'RMCV.PB'!W50,0)</f>
        <v>0</v>
      </c>
      <c r="AD50" s="93">
        <f t="shared" si="5"/>
        <v>0</v>
      </c>
      <c r="AE50" s="428">
        <v>0.6</v>
      </c>
      <c r="AF50" s="4" t="e">
        <f>(1-2*AD50/C50)*(1-(AE50*'CG. MPB'!C51*10/(30*C50))^2)</f>
        <v>#DIV/0!</v>
      </c>
      <c r="AG50" s="350" t="e">
        <f>(1-(2*AD50/C50))*(1-(AE50*'CG. MPB'!C51*10/(30*C50))^2)*(1-('CG. MPB'!C51*10/B50))+('CG. MPB'!C51*10/B50)</f>
        <v>#DIV/0!</v>
      </c>
      <c r="AH50" s="429" t="e">
        <f t="shared" si="8"/>
        <v>#DIV/0!</v>
      </c>
    </row>
    <row r="51" spans="1:34" ht="15" hidden="1" customHeight="1">
      <c r="A51" s="684">
        <f>'CG. MPB'!A52</f>
        <v>23</v>
      </c>
      <c r="B51" s="578">
        <f>'CG. MPB'!B52*100</f>
        <v>0</v>
      </c>
      <c r="C51" s="68">
        <f>'ELEM. MECA.'!J28</f>
        <v>0</v>
      </c>
      <c r="D51" s="38">
        <f>IF(AND('CG. MPB'!D52="CONFINADO",'CG. MPB'!E52="CONCRETO"),0.8,IF('CG. MPB'!D52="NO CONFINADO",0.3,0.6))</f>
        <v>0.6</v>
      </c>
      <c r="E51" s="68">
        <v>0.6</v>
      </c>
      <c r="F51" s="38">
        <f>IF('CG. MPB'!E52="CONCRETO",G51,'RMCV.PB'!H51+'RMCV.PB'!I51+'RMCV.PB'!J51+K51+L51+M51)</f>
        <v>0</v>
      </c>
      <c r="G51" s="542">
        <f>IF('CG. MPB'!E52="CONCRETO",0.6*$G$24,0)</f>
        <v>0</v>
      </c>
      <c r="H51" s="574">
        <f>IF(AND('CG. MPB'!E52="TABIQUE",'CG. MPB'!F52="MACIZO"),15,0)</f>
        <v>0</v>
      </c>
      <c r="I51" s="574">
        <f>IF(AND('CG. MPB'!E52="TABIQUE",'CG. MPB'!F52="HUECO"),IF(E39="III",30,40),0)</f>
        <v>0</v>
      </c>
      <c r="J51" s="574">
        <f>IF('CG. MPB'!E52="TABICON",IF(E39="I",20,15),0)</f>
        <v>0</v>
      </c>
      <c r="K51" s="574">
        <f>IF('CG. MPB'!E52="ADOBE",10,0)</f>
        <v>0</v>
      </c>
      <c r="L51" s="574">
        <f>IF('CG. MPB'!E52="LIGERO",10,0)</f>
        <v>0</v>
      </c>
      <c r="M51" s="574">
        <f>IF('CG. MPB'!E52="CANTERA",30,0)</f>
        <v>0</v>
      </c>
      <c r="N51" s="575">
        <f t="shared" si="6"/>
        <v>0</v>
      </c>
      <c r="O51" s="918">
        <f>ABS('ELEM. MECA.'!D28)</f>
        <v>0</v>
      </c>
      <c r="P51" s="919">
        <f>IF(AND('CG. MPB'!D52="CONFINADO",'CG. MPB'!E52="TABIQUE",'CG. MPB'!F52="MACIZO"),'RMCV.PB'!Y51,IF(AND('CG. MPB'!D52="CONFINADO",'CG. MPB'!E52="TABICON",'CG. MPB'!F52="MACIZO"),'RMCV.PB'!Y51,IF(AND('CG. MPB'!D52="CONFINADO",'CG. MPB'!E52="LIGERO",'CG. MPB'!F52="MACIZO"),'RMCV.PB'!Y51,IF(AND('CG. MPB'!D52="NO CONFINADO",'CG. MPB'!E52="TABIQUE",'CG. MPB'!F52="MACIZO"),Z51,IF(AND('CG. MPB'!D52="NO CONFINADO",'CG. MPB'!E52="TABICON",'CG. MPB'!F52="MACIZO"),Z51,IF(AND('CG. MPB'!D52="NO CONFINADO",'CG. MPB'!E52="LIGERO",'CG. MPB'!F52="MACIZO"),Z51,IF(AND('CG. MPB'!E52="TABIQUE",'CG. MPB'!F52="HUECO"),X51,IF('CG. MPB'!E52="ADOBE",'RMCV.PB'!AA51,'RMCV.PB'!AB51))))))))</f>
        <v>0</v>
      </c>
      <c r="Q51" s="685" t="str">
        <f t="shared" si="7"/>
        <v>PASA</v>
      </c>
      <c r="R51" s="4">
        <f>IF(D51*E51*(F51*N51+'CASTILLOS-PB'!W51*FY)&gt;1.25*D51*E51*F51*N51,1.25*D51*E51*F51*N51,D51*E51*(F51*N51+'CASTILLOS-PB'!W51*FY))</f>
        <v>0</v>
      </c>
      <c r="S51" s="4">
        <f>D51*E51*(F51*N51+'CASTILLOS-PB'!G51*FY*2)</f>
        <v>8588.16</v>
      </c>
      <c r="T51" s="4">
        <f t="shared" si="2"/>
        <v>0</v>
      </c>
      <c r="U51" s="521">
        <f t="shared" si="3"/>
        <v>0</v>
      </c>
      <c r="V51" s="533">
        <f>D51*(0.7*$G$24*(B51*C51)+2000*'MUR.CONC-PB'!K51)</f>
        <v>0</v>
      </c>
      <c r="W51" s="533">
        <f t="shared" si="4"/>
        <v>0</v>
      </c>
      <c r="X51" s="543">
        <f>IF(AND('CG. MPB'!E52="TABIQUE",'CG. MPB'!F52="HUECO"),R51,0)</f>
        <v>0</v>
      </c>
      <c r="Y51" s="543">
        <f>IF(AND('CG. MPB'!D52="CONFINADO",'CG. MPB'!E52="TABIQUE",'CG. MPB'!F52="MACIZO"),'RMCV.PB'!S51,IF(AND('CG. MPB'!D52="CONFINADO",'CG. MPB'!E52="TABICON",'CG. MPB'!F52="MACIZO"),'RMCV.PB'!S51,IF(AND('CG. MPB'!D52="CONFINADO",'CG. MPB'!E52="LIGERO",'CG. MPB'!F52="MACIZO"),'RMCV.PB'!S51,0)))</f>
        <v>0</v>
      </c>
      <c r="Z51" s="543">
        <f>IF(AND('CG. MPB'!D52="NO CONFINADO",'CG. MPB'!E52="TABIQUE",'CG. MPB'!F52="MACIZO"),T51,IF(AND('CG. MPB'!D52="NO CONFINADO",'CG. MPB'!E52="TABICON",'CG. MPB'!F52="MACIZO"),T51,IF(AND('CG. MPB'!D52="NO CONFINADO",'CG. MPB'!E52="LIGERO",'CG. MPB'!F52="MACIZO"),T51,0)))</f>
        <v>0</v>
      </c>
      <c r="AA51" s="543">
        <f>IF('CG. MPB'!E52="ADOBE",'RMCV.PB'!U51,0)</f>
        <v>0</v>
      </c>
      <c r="AB51" s="543">
        <f>IF('CG. MPB'!E52="CONCRETO",'RMCV.PB'!V51,0)</f>
        <v>0</v>
      </c>
      <c r="AC51" s="900">
        <f>IF('CG. MPB'!E52="CANTERA",'RMCV.PB'!W51,0)</f>
        <v>0</v>
      </c>
      <c r="AD51" s="93">
        <f t="shared" si="5"/>
        <v>0</v>
      </c>
      <c r="AE51" s="428">
        <v>0.6</v>
      </c>
      <c r="AF51" s="4" t="e">
        <f>(1-2*AD51/C51)*(1-(AE51*'CG. MPB'!C52*10/(30*C51))^2)</f>
        <v>#DIV/0!</v>
      </c>
      <c r="AG51" s="350" t="e">
        <f>(1-(2*AD51/C51))*(1-(AE51*'CG. MPB'!C52*10/(30*C51))^2)*(1-('CG. MPB'!C52*10/B51))+('CG. MPB'!C52*10/B51)</f>
        <v>#DIV/0!</v>
      </c>
      <c r="AH51" s="429" t="e">
        <f t="shared" si="8"/>
        <v>#DIV/0!</v>
      </c>
    </row>
    <row r="52" spans="1:34" ht="15" hidden="1" customHeight="1" thickBot="1">
      <c r="A52" s="684">
        <f>'CG. MPB'!A53</f>
        <v>24</v>
      </c>
      <c r="B52" s="578">
        <f>'CG. MPB'!B53*100</f>
        <v>0</v>
      </c>
      <c r="C52" s="68">
        <f>'ELEM. MECA.'!J29</f>
        <v>0</v>
      </c>
      <c r="D52" s="38">
        <f>IF(AND('CG. MPB'!D53="CONFINADO",'CG. MPB'!E53="CONCRETO"),0.8,IF('CG. MPB'!D53="NO CONFINADO",0.3,0.6))</f>
        <v>0.6</v>
      </c>
      <c r="E52" s="68">
        <v>0.6</v>
      </c>
      <c r="F52" s="38">
        <f>IF('CG. MPB'!E53="CONCRETO",G52,'RMCV.PB'!H52+'RMCV.PB'!I52+'RMCV.PB'!J52+K52+L52+M52)</f>
        <v>0</v>
      </c>
      <c r="G52" s="542">
        <f>IF('CG. MPB'!E53="CONCRETO",0.6*$G$24,0)</f>
        <v>0</v>
      </c>
      <c r="H52" s="574">
        <f>IF(AND('CG. MPB'!E53="TABIQUE",'CG. MPB'!F53="MACIZO"),15,0)</f>
        <v>0</v>
      </c>
      <c r="I52" s="574">
        <f>IF(AND('CG. MPB'!E53="TABIQUE",'CG. MPB'!F53="HUECO"),IF(E40="III",30,40),0)</f>
        <v>0</v>
      </c>
      <c r="J52" s="574">
        <f>IF('CG. MPB'!E53="TABICON",IF(E40="I",20,15),0)</f>
        <v>0</v>
      </c>
      <c r="K52" s="574">
        <f>IF('CG. MPB'!E53="ADOBE",10,0)</f>
        <v>0</v>
      </c>
      <c r="L52" s="574">
        <f>IF('CG. MPB'!E53="LIGERO",10,0)</f>
        <v>0</v>
      </c>
      <c r="M52" s="574">
        <f>IF('CG. MPB'!E53="CANTERA",30,0)</f>
        <v>0</v>
      </c>
      <c r="N52" s="575">
        <f t="shared" si="6"/>
        <v>0</v>
      </c>
      <c r="O52" s="918">
        <f>ABS('ELEM. MECA.'!D29)</f>
        <v>0</v>
      </c>
      <c r="P52" s="919">
        <f>IF(AND('CG. MPB'!D53="CONFINADO",'CG. MPB'!E53="TABIQUE",'CG. MPB'!F53="MACIZO"),'RMCV.PB'!Y52,IF(AND('CG. MPB'!D53="CONFINADO",'CG. MPB'!E53="TABICON",'CG. MPB'!F53="MACIZO"),'RMCV.PB'!Y52,IF(AND('CG. MPB'!D53="CONFINADO",'CG. MPB'!E53="LIGERO",'CG. MPB'!F53="MACIZO"),'RMCV.PB'!Y52,IF(AND('CG. MPB'!D53="NO CONFINADO",'CG. MPB'!E53="TABIQUE",'CG. MPB'!F53="MACIZO"),Z52,IF(AND('CG. MPB'!D53="NO CONFINADO",'CG. MPB'!E53="TABICON",'CG. MPB'!F53="MACIZO"),Z52,IF(AND('CG. MPB'!D53="NO CONFINADO",'CG. MPB'!E53="LIGERO",'CG. MPB'!F53="MACIZO"),Z52,IF(AND('CG. MPB'!E53="TABIQUE",'CG. MPB'!F53="HUECO"),X52,IF('CG. MPB'!E53="ADOBE",'RMCV.PB'!AA52,'RMCV.PB'!AB52))))))))</f>
        <v>0</v>
      </c>
      <c r="Q52" s="685" t="str">
        <f t="shared" si="7"/>
        <v>PASA</v>
      </c>
      <c r="R52" s="4">
        <f>IF(D52*E52*(F52*N52+'CASTILLOS-PB'!W52*FY)&gt;1.25*D52*E52*F52*N52,1.25*D52*E52*F52*N52,D52*E52*(F52*N52+'CASTILLOS-PB'!W52*FY))</f>
        <v>0</v>
      </c>
      <c r="S52" s="4">
        <f>D52*E52*(F52*N52+'CASTILLOS-PB'!G52*FY*2)</f>
        <v>8588.16</v>
      </c>
      <c r="T52" s="4">
        <f t="shared" si="2"/>
        <v>0</v>
      </c>
      <c r="U52" s="521">
        <f t="shared" si="3"/>
        <v>0</v>
      </c>
      <c r="V52" s="533">
        <f>D52*(0.7*$G$24*(B52*C52)+2000*'MUR.CONC-PB'!K52)</f>
        <v>0</v>
      </c>
      <c r="W52" s="533">
        <f t="shared" si="4"/>
        <v>0</v>
      </c>
      <c r="X52" s="543">
        <f>IF(AND('CG. MPB'!E53="TABIQUE",'CG. MPB'!F53="HUECO"),R52,0)</f>
        <v>0</v>
      </c>
      <c r="Y52" s="543">
        <f>IF(AND('CG. MPB'!D53="CONFINADO",'CG. MPB'!E53="TABIQUE",'CG. MPB'!F53="MACIZO"),'RMCV.PB'!S52,IF(AND('CG. MPB'!D53="CONFINADO",'CG. MPB'!E53="TABICON",'CG. MPB'!F53="MACIZO"),'RMCV.PB'!S52,IF(AND('CG. MPB'!D53="CONFINADO",'CG. MPB'!E53="LIGERO",'CG. MPB'!F53="MACIZO"),'RMCV.PB'!S52,0)))</f>
        <v>0</v>
      </c>
      <c r="Z52" s="543">
        <f>IF(AND('CG. MPB'!D53="NO CONFINADO",'CG. MPB'!E53="TABIQUE",'CG. MPB'!F53="MACIZO"),T52,IF(AND('CG. MPB'!D53="NO CONFINADO",'CG. MPB'!E53="TABICON",'CG. MPB'!F53="MACIZO"),T52,IF(AND('CG. MPB'!D53="NO CONFINADO",'CG. MPB'!E53="LIGERO",'CG. MPB'!F53="MACIZO"),T52,0)))</f>
        <v>0</v>
      </c>
      <c r="AA52" s="543">
        <f>IF('CG. MPB'!E53="ADOBE",'RMCV.PB'!U52,0)</f>
        <v>0</v>
      </c>
      <c r="AB52" s="543">
        <f>IF('CG. MPB'!E53="CONCRETO",'RMCV.PB'!V52,0)</f>
        <v>0</v>
      </c>
      <c r="AC52" s="900">
        <f>IF('CG. MPB'!E53="CANTERA",'RMCV.PB'!W52,0)</f>
        <v>0</v>
      </c>
      <c r="AD52" s="93">
        <f t="shared" si="5"/>
        <v>0</v>
      </c>
      <c r="AE52" s="428">
        <v>0.6</v>
      </c>
      <c r="AF52" s="4" t="e">
        <f>(1-2*AD52/C52)*(1-(AE52*'CG. MPB'!C53*10/(30*C52))^2)</f>
        <v>#DIV/0!</v>
      </c>
      <c r="AG52" s="350" t="e">
        <f>(1-(2*AD52/C52))*(1-(AE52*'CG. MPB'!C53*10/(30*C52))^2)*(1-('CG. MPB'!C53*10/B52))+('CG. MPB'!C53*10/B52)</f>
        <v>#DIV/0!</v>
      </c>
      <c r="AH52" s="429" t="e">
        <f t="shared" si="8"/>
        <v>#DIV/0!</v>
      </c>
    </row>
    <row r="53" spans="1:34" ht="15" hidden="1" customHeight="1">
      <c r="A53" s="684">
        <f>'CG. MPB'!A54</f>
        <v>25</v>
      </c>
      <c r="B53" s="578">
        <f>'CG. MPB'!B54*100</f>
        <v>0</v>
      </c>
      <c r="C53" s="68">
        <f>'ELEM. MECA.'!J30</f>
        <v>0</v>
      </c>
      <c r="D53" s="38">
        <f>IF(AND('CG. MPB'!D54="CONFINADO",'CG. MPB'!E54="CONCRETO"),0.8,IF('CG. MPB'!D54="NO CONFINADO",0.3,0.6))</f>
        <v>0.6</v>
      </c>
      <c r="E53" s="68">
        <v>0.6</v>
      </c>
      <c r="F53" s="38">
        <f>IF('CG. MPB'!E54="CONCRETO",G53,'RMCV.PB'!H53+'RMCV.PB'!I53+'RMCV.PB'!J53+K53+L53+M53)</f>
        <v>0</v>
      </c>
      <c r="G53" s="542">
        <f>IF('CG. MPB'!E54="CONCRETO",0.6*$G$24,0)</f>
        <v>0</v>
      </c>
      <c r="H53" s="574">
        <f>IF(AND('CG. MPB'!E54="TABIQUE",'CG. MPB'!F54="MACIZO"),15,0)</f>
        <v>0</v>
      </c>
      <c r="I53" s="574">
        <f>IF(AND('CG. MPB'!E54="TABIQUE",'CG. MPB'!F54="HUECO"),IF(E41="III",30,40),0)</f>
        <v>0</v>
      </c>
      <c r="J53" s="574">
        <f>IF('CG. MPB'!E54="TABICON",IF(E41="I",20,15),0)</f>
        <v>0</v>
      </c>
      <c r="K53" s="574">
        <f>IF('CG. MPB'!E54="ADOBE",10,0)</f>
        <v>0</v>
      </c>
      <c r="L53" s="574">
        <f>IF('CG. MPB'!E54="LIGERO",10,0)</f>
        <v>0</v>
      </c>
      <c r="M53" s="574">
        <f>IF('CG. MPB'!E54="CANTERA",30,0)</f>
        <v>0</v>
      </c>
      <c r="N53" s="575">
        <f t="shared" si="6"/>
        <v>0</v>
      </c>
      <c r="O53" s="918">
        <f>ABS('ELEM. MECA.'!D30)</f>
        <v>0</v>
      </c>
      <c r="P53" s="919">
        <f>IF(AND('CG. MPB'!D54="CONFINADO",'CG. MPB'!E54="TABIQUE",'CG. MPB'!F54="MACIZO"),'RMCV.PB'!Y53,IF(AND('CG. MPB'!D54="CONFINADO",'CG. MPB'!E54="TABICON",'CG. MPB'!F54="MACIZO"),'RMCV.PB'!Y53,IF(AND('CG. MPB'!D54="CONFINADO",'CG. MPB'!E54="LIGERO",'CG. MPB'!F54="MACIZO"),'RMCV.PB'!Y53,IF(AND('CG. MPB'!D54="NO CONFINADO",'CG. MPB'!E54="TABIQUE",'CG. MPB'!F54="MACIZO"),Z53,IF(AND('CG. MPB'!D54="NO CONFINADO",'CG. MPB'!E54="TABICON",'CG. MPB'!F54="MACIZO"),Z53,IF(AND('CG. MPB'!D54="NO CONFINADO",'CG. MPB'!E54="LIGERO",'CG. MPB'!F54="MACIZO"),Z53,IF(AND('CG. MPB'!E54="TABIQUE",'CG. MPB'!F54="HUECO"),X53,IF('CG. MPB'!E54="ADOBE",'RMCV.PB'!AA53,'RMCV.PB'!AB53))))))))</f>
        <v>0</v>
      </c>
      <c r="Q53" s="685" t="str">
        <f t="shared" si="7"/>
        <v>PASA</v>
      </c>
      <c r="R53" s="4">
        <f>IF(D53*E53*(F53*N53+'CASTILLOS-PB'!W53*FY)&gt;1.25*D53*E53*F53*N53,1.25*D53*E53*F53*N53,D53*E53*(F53*N53+'CASTILLOS-PB'!W53*FY))</f>
        <v>0</v>
      </c>
      <c r="S53" s="4">
        <f>D53*E53*(F53*N53+'CASTILLOS-PB'!G53*FY*2)</f>
        <v>8588.16</v>
      </c>
      <c r="T53" s="4">
        <f t="shared" si="2"/>
        <v>0</v>
      </c>
      <c r="U53" s="521">
        <f t="shared" si="3"/>
        <v>0</v>
      </c>
      <c r="V53" s="533">
        <f>D53*(0.7*$G$24*(B53*C53)+2000*'MUR.CONC-PB'!K53)</f>
        <v>0</v>
      </c>
      <c r="W53" s="533">
        <f t="shared" si="4"/>
        <v>0</v>
      </c>
      <c r="X53" s="543">
        <f>IF(AND('CG. MPB'!E54="TABIQUE",'CG. MPB'!F54="HUECO"),R53,0)</f>
        <v>0</v>
      </c>
      <c r="Y53" s="543">
        <f>IF(AND('CG. MPB'!D54="CONFINADO",'CG. MPB'!E54="TABIQUE",'CG. MPB'!F54="MACIZO"),'RMCV.PB'!S53,IF(AND('CG. MPB'!D54="CONFINADO",'CG. MPB'!E54="TABICON",'CG. MPB'!F54="MACIZO"),'RMCV.PB'!S53,IF(AND('CG. MPB'!D54="CONFINADO",'CG. MPB'!E54="LIGERO",'CG. MPB'!F54="MACIZO"),'RMCV.PB'!S53,0)))</f>
        <v>0</v>
      </c>
      <c r="Z53" s="543">
        <f>IF(AND('CG. MPB'!D54="NO CONFINADO",'CG. MPB'!E54="TABIQUE",'CG. MPB'!F54="MACIZO"),T53,IF(AND('CG. MPB'!D54="NO CONFINADO",'CG. MPB'!E54="TABICON",'CG. MPB'!F54="MACIZO"),T53,IF(AND('CG. MPB'!D54="NO CONFINADO",'CG. MPB'!E54="LIGERO",'CG. MPB'!F54="MACIZO"),T53,0)))</f>
        <v>0</v>
      </c>
      <c r="AA53" s="543">
        <f>IF('CG. MPB'!E54="ADOBE",'RMCV.PB'!U53,0)</f>
        <v>0</v>
      </c>
      <c r="AB53" s="543">
        <f>IF('CG. MPB'!E54="CONCRETO",'RMCV.PB'!V53,0)</f>
        <v>0</v>
      </c>
      <c r="AC53" s="900">
        <f>IF('CG. MPB'!E54="CANTERA",'RMCV.PB'!W53,0)</f>
        <v>0</v>
      </c>
      <c r="AD53" s="93">
        <f t="shared" si="5"/>
        <v>0</v>
      </c>
      <c r="AE53" s="428">
        <v>0.6</v>
      </c>
      <c r="AF53" s="4" t="e">
        <f>(1-2*AD53/C53)*(1-(AE53*'CG. MPB'!C54*10/(30*C53))^2)</f>
        <v>#DIV/0!</v>
      </c>
      <c r="AG53" s="350" t="e">
        <f>(1-(2*AD53/C53))*(1-(AE53*'CG. MPB'!C54*10/(30*C53))^2)*(1-('CG. MPB'!C54*10/B53))+('CG. MPB'!C54*10/B53)</f>
        <v>#DIV/0!</v>
      </c>
      <c r="AH53" s="429" t="e">
        <f t="shared" si="8"/>
        <v>#DIV/0!</v>
      </c>
    </row>
    <row r="54" spans="1:34" ht="15" hidden="1" customHeight="1">
      <c r="A54" s="684">
        <f>'CG. MPB'!A55</f>
        <v>26</v>
      </c>
      <c r="B54" s="578">
        <f>'CG. MPB'!B55*100</f>
        <v>0</v>
      </c>
      <c r="C54" s="68">
        <f>'ELEM. MECA.'!J31</f>
        <v>0</v>
      </c>
      <c r="D54" s="38">
        <f>IF(AND('CG. MPB'!D55="CONFINADO",'CG. MPB'!E55="CONCRETO"),0.8,IF('CG. MPB'!D55="NO CONFINADO",0.3,0.6))</f>
        <v>0.6</v>
      </c>
      <c r="E54" s="68">
        <v>0.6</v>
      </c>
      <c r="F54" s="38">
        <f>IF('CG. MPB'!E55="CONCRETO",G54,'RMCV.PB'!H54+'RMCV.PB'!I54+'RMCV.PB'!J54+K54+L54+M54)</f>
        <v>0</v>
      </c>
      <c r="G54" s="542">
        <f>IF('CG. MPB'!E55="CONCRETO",0.6*$G$24,0)</f>
        <v>0</v>
      </c>
      <c r="H54" s="574">
        <f>IF(AND('CG. MPB'!E55="TABIQUE",'CG. MPB'!F55="MACIZO"),15,0)</f>
        <v>0</v>
      </c>
      <c r="I54" s="574">
        <f>IF(AND('CG. MPB'!E55="TABIQUE",'CG. MPB'!F55="HUECO"),IF(E42="III",30,40),0)</f>
        <v>0</v>
      </c>
      <c r="J54" s="574">
        <f>IF('CG. MPB'!E55="TABICON",IF(E42="I",20,15),0)</f>
        <v>0</v>
      </c>
      <c r="K54" s="574">
        <f>IF('CG. MPB'!E55="ADOBE",10,0)</f>
        <v>0</v>
      </c>
      <c r="L54" s="574">
        <f>IF('CG. MPB'!E55="LIGERO",10,0)</f>
        <v>0</v>
      </c>
      <c r="M54" s="574">
        <f>IF('CG. MPB'!E55="CANTERA",30,0)</f>
        <v>0</v>
      </c>
      <c r="N54" s="575">
        <f t="shared" si="6"/>
        <v>0</v>
      </c>
      <c r="O54" s="918">
        <f>ABS('ELEM. MECA.'!D31)</f>
        <v>0</v>
      </c>
      <c r="P54" s="919">
        <f>IF(AND('CG. MPB'!D55="CONFINADO",'CG. MPB'!E55="TABIQUE",'CG. MPB'!F55="MACIZO"),'RMCV.PB'!Y54,IF(AND('CG. MPB'!D55="CONFINADO",'CG. MPB'!E55="TABICON",'CG. MPB'!F55="MACIZO"),'RMCV.PB'!Y54,IF(AND('CG. MPB'!D55="CONFINADO",'CG. MPB'!E55="LIGERO",'CG. MPB'!F55="MACIZO"),'RMCV.PB'!Y54,IF(AND('CG. MPB'!D55="NO CONFINADO",'CG. MPB'!E55="TABIQUE",'CG. MPB'!F55="MACIZO"),Z54,IF(AND('CG. MPB'!D55="NO CONFINADO",'CG. MPB'!E55="TABICON",'CG. MPB'!F55="MACIZO"),Z54,IF(AND('CG. MPB'!D55="NO CONFINADO",'CG. MPB'!E55="LIGERO",'CG. MPB'!F55="MACIZO"),Z54,IF(AND('CG. MPB'!E55="TABIQUE",'CG. MPB'!F55="HUECO"),X54,IF('CG. MPB'!E55="ADOBE",'RMCV.PB'!AA54,'RMCV.PB'!AB54))))))))</f>
        <v>0</v>
      </c>
      <c r="Q54" s="685" t="str">
        <f t="shared" si="7"/>
        <v>PASA</v>
      </c>
      <c r="R54" s="4">
        <f>IF(D54*E54*(F54*N54+'CASTILLOS-PB'!W54*FY)&gt;1.25*D54*E54*F54*N54,1.25*D54*E54*F54*N54,D54*E54*(F54*N54+'CASTILLOS-PB'!W54*FY))</f>
        <v>0</v>
      </c>
      <c r="S54" s="4">
        <f>D54*E54*(F54*N54+'CASTILLOS-PB'!G54*FY*2)</f>
        <v>8588.16</v>
      </c>
      <c r="T54" s="4">
        <f t="shared" si="2"/>
        <v>0</v>
      </c>
      <c r="U54" s="521">
        <f t="shared" si="3"/>
        <v>0</v>
      </c>
      <c r="V54" s="533">
        <f>D54*(0.7*$G$24*(B54*C54)+2000*'MUR.CONC-PB'!K54)</f>
        <v>0</v>
      </c>
      <c r="W54" s="533">
        <f t="shared" si="4"/>
        <v>0</v>
      </c>
      <c r="X54" s="543">
        <f>IF(AND('CG. MPB'!E55="TABIQUE",'CG. MPB'!F55="HUECO"),R54,0)</f>
        <v>0</v>
      </c>
      <c r="Y54" s="543">
        <f>IF(AND('CG. MPB'!D55="CONFINADO",'CG. MPB'!E55="TABIQUE",'CG. MPB'!F55="MACIZO"),'RMCV.PB'!S54,IF(AND('CG. MPB'!D55="CONFINADO",'CG. MPB'!E55="TABICON",'CG. MPB'!F55="MACIZO"),'RMCV.PB'!S54,IF(AND('CG. MPB'!D55="CONFINADO",'CG. MPB'!E55="LIGERO",'CG. MPB'!F55="MACIZO"),'RMCV.PB'!S54,0)))</f>
        <v>0</v>
      </c>
      <c r="Z54" s="543">
        <f>IF(AND('CG. MPB'!D55="NO CONFINADO",'CG. MPB'!E55="TABIQUE",'CG. MPB'!F55="MACIZO"),T54,IF(AND('CG. MPB'!D55="NO CONFINADO",'CG. MPB'!E55="TABICON",'CG. MPB'!F55="MACIZO"),T54,IF(AND('CG. MPB'!D55="NO CONFINADO",'CG. MPB'!E55="LIGERO",'CG. MPB'!F55="MACIZO"),T54,0)))</f>
        <v>0</v>
      </c>
      <c r="AA54" s="543">
        <f>IF('CG. MPB'!E55="ADOBE",'RMCV.PB'!U54,0)</f>
        <v>0</v>
      </c>
      <c r="AB54" s="543">
        <f>IF('CG. MPB'!E55="CONCRETO",'RMCV.PB'!V54,0)</f>
        <v>0</v>
      </c>
      <c r="AC54" s="900">
        <f>IF('CG. MPB'!E55="CANTERA",'RMCV.PB'!W54,0)</f>
        <v>0</v>
      </c>
      <c r="AD54" s="93">
        <f t="shared" si="5"/>
        <v>0</v>
      </c>
      <c r="AE54" s="428">
        <v>0.6</v>
      </c>
      <c r="AF54" s="4" t="e">
        <f>(1-2*AD54/C54)*(1-(AE54*'CG. MPB'!C55*10/(30*C54))^2)</f>
        <v>#DIV/0!</v>
      </c>
      <c r="AG54" s="350" t="e">
        <f>(1-(2*AD54/C54))*(1-(AE54*'CG. MPB'!C55*10/(30*C54))^2)*(1-('CG. MPB'!C55*10/B54))+('CG. MPB'!C55*10/B54)</f>
        <v>#DIV/0!</v>
      </c>
      <c r="AH54" s="429" t="e">
        <f t="shared" si="8"/>
        <v>#DIV/0!</v>
      </c>
    </row>
    <row r="55" spans="1:34" ht="15" hidden="1" customHeight="1">
      <c r="A55" s="684">
        <f>'CG. MPB'!A56</f>
        <v>27</v>
      </c>
      <c r="B55" s="578">
        <f>'CG. MPB'!B56*100</f>
        <v>0</v>
      </c>
      <c r="C55" s="68">
        <f>'ELEM. MECA.'!J32</f>
        <v>0</v>
      </c>
      <c r="D55" s="38">
        <f>IF(AND('CG. MPB'!D56="CONFINADO",'CG. MPB'!E56="CONCRETO"),0.8,IF('CG. MPB'!D56="NO CONFINADO",0.3,0.6))</f>
        <v>0.6</v>
      </c>
      <c r="E55" s="68">
        <v>0.6</v>
      </c>
      <c r="F55" s="38">
        <f>IF('CG. MPB'!E56="CONCRETO",G55,'RMCV.PB'!H55+'RMCV.PB'!I55+'RMCV.PB'!J55+K55+L55+M55)</f>
        <v>0</v>
      </c>
      <c r="G55" s="542">
        <f>IF('CG. MPB'!E56="CONCRETO",0.6*$G$24,0)</f>
        <v>0</v>
      </c>
      <c r="H55" s="574">
        <f>IF(AND('CG. MPB'!E56="TABIQUE",'CG. MPB'!F56="MACIZO"),15,0)</f>
        <v>0</v>
      </c>
      <c r="I55" s="574">
        <f>IF(AND('CG. MPB'!E56="TABIQUE",'CG. MPB'!F56="HUECO"),IF(E43="III",30,40),0)</f>
        <v>0</v>
      </c>
      <c r="J55" s="574">
        <f>IF('CG. MPB'!E56="TABICON",IF(E43="I",20,15),0)</f>
        <v>0</v>
      </c>
      <c r="K55" s="574">
        <f>IF('CG. MPB'!E56="ADOBE",10,0)</f>
        <v>0</v>
      </c>
      <c r="L55" s="574">
        <f>IF('CG. MPB'!E56="LIGERO",10,0)</f>
        <v>0</v>
      </c>
      <c r="M55" s="574">
        <f>IF('CG. MPB'!E56="CANTERA",30,0)</f>
        <v>0</v>
      </c>
      <c r="N55" s="575">
        <f t="shared" si="6"/>
        <v>0</v>
      </c>
      <c r="O55" s="918">
        <f>ABS('ELEM. MECA.'!D32)</f>
        <v>0</v>
      </c>
      <c r="P55" s="919">
        <f>IF(AND('CG. MPB'!D56="CONFINADO",'CG. MPB'!E56="TABIQUE",'CG. MPB'!F56="MACIZO"),'RMCV.PB'!Y55,IF(AND('CG. MPB'!D56="CONFINADO",'CG. MPB'!E56="TABICON",'CG. MPB'!F56="MACIZO"),'RMCV.PB'!Y55,IF(AND('CG. MPB'!D56="CONFINADO",'CG. MPB'!E56="LIGERO",'CG. MPB'!F56="MACIZO"),'RMCV.PB'!Y55,IF(AND('CG. MPB'!D56="NO CONFINADO",'CG. MPB'!E56="TABIQUE",'CG. MPB'!F56="MACIZO"),Z55,IF(AND('CG. MPB'!D56="NO CONFINADO",'CG. MPB'!E56="TABICON",'CG. MPB'!F56="MACIZO"),Z55,IF(AND('CG. MPB'!D56="NO CONFINADO",'CG. MPB'!E56="LIGERO",'CG. MPB'!F56="MACIZO"),Z55,IF(AND('CG. MPB'!E56="TABIQUE",'CG. MPB'!F56="HUECO"),X55,IF('CG. MPB'!E56="ADOBE",'RMCV.PB'!AA55,'RMCV.PB'!AB55))))))))</f>
        <v>0</v>
      </c>
      <c r="Q55" s="685" t="str">
        <f t="shared" si="7"/>
        <v>PASA</v>
      </c>
      <c r="R55" s="4">
        <f>IF(D55*E55*(F55*N55+'CASTILLOS-PB'!W55*FY)&gt;1.25*D55*E55*F55*N55,1.25*D55*E55*F55*N55,D55*E55*(F55*N55+'CASTILLOS-PB'!W55*FY))</f>
        <v>0</v>
      </c>
      <c r="S55" s="4">
        <f>D55*E55*(F55*N55+'CASTILLOS-PB'!G55*FY*2)</f>
        <v>8588.16</v>
      </c>
      <c r="T55" s="4">
        <f t="shared" si="2"/>
        <v>0</v>
      </c>
      <c r="U55" s="521">
        <f t="shared" si="3"/>
        <v>0</v>
      </c>
      <c r="V55" s="533">
        <f>D55*(0.7*$G$24*(B55*C55)+2000*'MUR.CONC-PB'!K55)</f>
        <v>0</v>
      </c>
      <c r="W55" s="533">
        <f t="shared" si="4"/>
        <v>0</v>
      </c>
      <c r="X55" s="543">
        <f>IF(AND('CG. MPB'!E56="TABIQUE",'CG. MPB'!F56="HUECO"),R55,0)</f>
        <v>0</v>
      </c>
      <c r="Y55" s="543">
        <f>IF(AND('CG. MPB'!D56="CONFINADO",'CG. MPB'!E56="TABIQUE",'CG. MPB'!F56="MACIZO"),'RMCV.PB'!S55,IF(AND('CG. MPB'!D56="CONFINADO",'CG. MPB'!E56="TABICON",'CG. MPB'!F56="MACIZO"),'RMCV.PB'!S55,IF(AND('CG. MPB'!D56="CONFINADO",'CG. MPB'!E56="LIGERO",'CG. MPB'!F56="MACIZO"),'RMCV.PB'!S55,0)))</f>
        <v>0</v>
      </c>
      <c r="Z55" s="543">
        <f>IF(AND('CG. MPB'!D56="NO CONFINADO",'CG. MPB'!E56="TABIQUE",'CG. MPB'!F56="MACIZO"),T55,IF(AND('CG. MPB'!D56="NO CONFINADO",'CG. MPB'!E56="TABICON",'CG. MPB'!F56="MACIZO"),T55,IF(AND('CG. MPB'!D56="NO CONFINADO",'CG. MPB'!E56="LIGERO",'CG. MPB'!F56="MACIZO"),T55,0)))</f>
        <v>0</v>
      </c>
      <c r="AA55" s="543">
        <f>IF('CG. MPB'!E56="ADOBE",'RMCV.PB'!U55,0)</f>
        <v>0</v>
      </c>
      <c r="AB55" s="543">
        <f>IF('CG. MPB'!E56="CONCRETO",'RMCV.PB'!V55,0)</f>
        <v>0</v>
      </c>
      <c r="AC55" s="900">
        <f>IF('CG. MPB'!E56="CANTERA",'RMCV.PB'!W55,0)</f>
        <v>0</v>
      </c>
      <c r="AD55" s="93">
        <f t="shared" si="5"/>
        <v>0</v>
      </c>
      <c r="AE55" s="428">
        <v>0.6</v>
      </c>
      <c r="AF55" s="4" t="e">
        <f>(1-2*AD55/C55)*(1-(AE55*'CG. MPB'!C56*10/(30*C55))^2)</f>
        <v>#DIV/0!</v>
      </c>
      <c r="AG55" s="350" t="e">
        <f>(1-(2*AD55/C55))*(1-(AE55*'CG. MPB'!C56*10/(30*C55))^2)*(1-('CG. MPB'!C56*10/B55))+('CG. MPB'!C56*10/B55)</f>
        <v>#DIV/0!</v>
      </c>
      <c r="AH55" s="429" t="e">
        <f t="shared" si="8"/>
        <v>#DIV/0!</v>
      </c>
    </row>
    <row r="56" spans="1:34" ht="15" hidden="1" customHeight="1">
      <c r="A56" s="684">
        <f>'CG. MPB'!A57</f>
        <v>28</v>
      </c>
      <c r="B56" s="578">
        <f>'CG. MPB'!B57*100</f>
        <v>0</v>
      </c>
      <c r="C56" s="68">
        <f>'ELEM. MECA.'!J33</f>
        <v>0</v>
      </c>
      <c r="D56" s="38">
        <f>IF(AND('CG. MPB'!D57="CONFINADO",'CG. MPB'!E57="CONCRETO"),0.8,IF('CG. MPB'!D57="NO CONFINADO",0.3,0.6))</f>
        <v>0.6</v>
      </c>
      <c r="E56" s="68">
        <v>0.6</v>
      </c>
      <c r="F56" s="38">
        <f>IF('CG. MPB'!E57="CONCRETO",G56,'RMCV.PB'!H56+'RMCV.PB'!I56+'RMCV.PB'!J56+K56+L56+M56)</f>
        <v>0</v>
      </c>
      <c r="G56" s="542">
        <f>IF('CG. MPB'!E57="CONCRETO",0.6*$G$24,0)</f>
        <v>0</v>
      </c>
      <c r="H56" s="574">
        <f>IF(AND('CG. MPB'!E57="TABIQUE",'CG. MPB'!F57="MACIZO"),15,0)</f>
        <v>0</v>
      </c>
      <c r="I56" s="574">
        <f>IF(AND('CG. MPB'!E57="TABIQUE",'CG. MPB'!F57="HUECO"),IF(E44="III",30,40),0)</f>
        <v>0</v>
      </c>
      <c r="J56" s="574">
        <f>IF('CG. MPB'!E57="TABICON",IF(E44="I",20,15),0)</f>
        <v>0</v>
      </c>
      <c r="K56" s="574">
        <f>IF('CG. MPB'!E57="ADOBE",10,0)</f>
        <v>0</v>
      </c>
      <c r="L56" s="574">
        <f>IF('CG. MPB'!E57="LIGERO",10,0)</f>
        <v>0</v>
      </c>
      <c r="M56" s="574">
        <f>IF('CG. MPB'!E57="CANTERA",30,0)</f>
        <v>0</v>
      </c>
      <c r="N56" s="575">
        <f t="shared" si="6"/>
        <v>0</v>
      </c>
      <c r="O56" s="918">
        <f>ABS('ELEM. MECA.'!D33)</f>
        <v>0</v>
      </c>
      <c r="P56" s="919">
        <f>IF(AND('CG. MPB'!D57="CONFINADO",'CG. MPB'!E57="TABIQUE",'CG. MPB'!F57="MACIZO"),'RMCV.PB'!Y56,IF(AND('CG. MPB'!D57="CONFINADO",'CG. MPB'!E57="TABICON",'CG. MPB'!F57="MACIZO"),'RMCV.PB'!Y56,IF(AND('CG. MPB'!D57="CONFINADO",'CG. MPB'!E57="LIGERO",'CG. MPB'!F57="MACIZO"),'RMCV.PB'!Y56,IF(AND('CG. MPB'!D57="NO CONFINADO",'CG. MPB'!E57="TABIQUE",'CG. MPB'!F57="MACIZO"),Z56,IF(AND('CG. MPB'!D57="NO CONFINADO",'CG. MPB'!E57="TABICON",'CG. MPB'!F57="MACIZO"),Z56,IF(AND('CG. MPB'!D57="NO CONFINADO",'CG. MPB'!E57="LIGERO",'CG. MPB'!F57="MACIZO"),Z56,IF(AND('CG. MPB'!E57="TABIQUE",'CG. MPB'!F57="HUECO"),X56,IF('CG. MPB'!E57="ADOBE",'RMCV.PB'!AA56,'RMCV.PB'!AB56))))))))</f>
        <v>0</v>
      </c>
      <c r="Q56" s="685" t="str">
        <f t="shared" si="7"/>
        <v>PASA</v>
      </c>
      <c r="R56" s="4">
        <f>IF(D56*E56*(F56*N56+'CASTILLOS-PB'!W56*FY)&gt;1.25*D56*E56*F56*N56,1.25*D56*E56*F56*N56,D56*E56*(F56*N56+'CASTILLOS-PB'!W56*FY))</f>
        <v>0</v>
      </c>
      <c r="S56" s="4">
        <f>D56*E56*(F56*N56+'CASTILLOS-PB'!G56*FY*2)</f>
        <v>8588.16</v>
      </c>
      <c r="T56" s="4">
        <f t="shared" si="2"/>
        <v>0</v>
      </c>
      <c r="U56" s="521">
        <f t="shared" si="3"/>
        <v>0</v>
      </c>
      <c r="V56" s="533">
        <f>D56*(0.7*$G$24*(B56*C56)+2000*'MUR.CONC-PB'!K56)</f>
        <v>0</v>
      </c>
      <c r="W56" s="533">
        <f t="shared" si="4"/>
        <v>0</v>
      </c>
      <c r="X56" s="543">
        <f>IF(AND('CG. MPB'!E57="TABIQUE",'CG. MPB'!F57="HUECO"),R56,0)</f>
        <v>0</v>
      </c>
      <c r="Y56" s="543">
        <f>IF(AND('CG. MPB'!D57="CONFINADO",'CG. MPB'!E57="TABIQUE",'CG. MPB'!F57="MACIZO"),'RMCV.PB'!S56,IF(AND('CG. MPB'!D57="CONFINADO",'CG. MPB'!E57="TABICON",'CG. MPB'!F57="MACIZO"),'RMCV.PB'!S56,IF(AND('CG. MPB'!D57="CONFINADO",'CG. MPB'!E57="LIGERO",'CG. MPB'!F57="MACIZO"),'RMCV.PB'!S56,0)))</f>
        <v>0</v>
      </c>
      <c r="Z56" s="543">
        <f>IF(AND('CG. MPB'!D57="NO CONFINADO",'CG. MPB'!E57="TABIQUE",'CG. MPB'!F57="MACIZO"),T56,IF(AND('CG. MPB'!D57="NO CONFINADO",'CG. MPB'!E57="TABICON",'CG. MPB'!F57="MACIZO"),T56,IF(AND('CG. MPB'!D57="NO CONFINADO",'CG. MPB'!E57="LIGERO",'CG. MPB'!F57="MACIZO"),T56,0)))</f>
        <v>0</v>
      </c>
      <c r="AA56" s="543">
        <f>IF('CG. MPB'!E57="ADOBE",'RMCV.PB'!U56,0)</f>
        <v>0</v>
      </c>
      <c r="AB56" s="543">
        <f>IF('CG. MPB'!E57="CONCRETO",'RMCV.PB'!V56,0)</f>
        <v>0</v>
      </c>
      <c r="AC56" s="900">
        <f>IF('CG. MPB'!E57="CANTERA",'RMCV.PB'!W56,0)</f>
        <v>0</v>
      </c>
      <c r="AD56" s="93">
        <f t="shared" si="5"/>
        <v>0</v>
      </c>
      <c r="AE56" s="428">
        <v>0.6</v>
      </c>
      <c r="AF56" s="4" t="e">
        <f>(1-2*AD56/C56)*(1-(AE56*'CG. MPB'!C57*10/(30*C56))^2)</f>
        <v>#DIV/0!</v>
      </c>
      <c r="AG56" s="350" t="e">
        <f>(1-(2*AD56/C56))*(1-(AE56*'CG. MPB'!C57*10/(30*C56))^2)*(1-('CG. MPB'!C57*10/B56))+('CG. MPB'!C57*10/B56)</f>
        <v>#DIV/0!</v>
      </c>
      <c r="AH56" s="429" t="e">
        <f t="shared" si="8"/>
        <v>#DIV/0!</v>
      </c>
    </row>
    <row r="57" spans="1:34" ht="15" hidden="1" customHeight="1">
      <c r="A57" s="684">
        <f>'CG. MPB'!A58</f>
        <v>29</v>
      </c>
      <c r="B57" s="578">
        <f>'CG. MPB'!B58*100</f>
        <v>0</v>
      </c>
      <c r="C57" s="68">
        <f>'ELEM. MECA.'!J34</f>
        <v>0</v>
      </c>
      <c r="D57" s="38">
        <f>IF(AND('CG. MPB'!D58="CONFINADO",'CG. MPB'!E58="CONCRETO"),0.8,IF('CG. MPB'!D58="NO CONFINADO",0.3,0.6))</f>
        <v>0.6</v>
      </c>
      <c r="E57" s="68">
        <v>0.6</v>
      </c>
      <c r="F57" s="38">
        <f>IF('CG. MPB'!E58="CONCRETO",G57,'RMCV.PB'!H57+'RMCV.PB'!I57+'RMCV.PB'!J57+K57+L57+M57)</f>
        <v>0</v>
      </c>
      <c r="G57" s="542">
        <f>IF('CG. MPB'!E58="CONCRETO",0.6*$G$24,0)</f>
        <v>0</v>
      </c>
      <c r="H57" s="574">
        <f>IF(AND('CG. MPB'!E58="TABIQUE",'CG. MPB'!F58="MACIZO"),15,0)</f>
        <v>0</v>
      </c>
      <c r="I57" s="574">
        <f>IF(AND('CG. MPB'!E58="TABIQUE",'CG. MPB'!F58="HUECO"),IF(E45="III",30,40),0)</f>
        <v>0</v>
      </c>
      <c r="J57" s="574">
        <f>IF('CG. MPB'!E58="TABICON",IF(E45="I",20,15),0)</f>
        <v>0</v>
      </c>
      <c r="K57" s="574">
        <f>IF('CG. MPB'!E58="ADOBE",10,0)</f>
        <v>0</v>
      </c>
      <c r="L57" s="574">
        <f>IF('CG. MPB'!E58="LIGERO",10,0)</f>
        <v>0</v>
      </c>
      <c r="M57" s="574">
        <f>IF('CG. MPB'!E58="CANTERA",30,0)</f>
        <v>0</v>
      </c>
      <c r="N57" s="575">
        <f t="shared" si="6"/>
        <v>0</v>
      </c>
      <c r="O57" s="918">
        <f>ABS('ELEM. MECA.'!D34)</f>
        <v>0</v>
      </c>
      <c r="P57" s="919">
        <f>IF(AND('CG. MPB'!D58="CONFINADO",'CG. MPB'!E58="TABIQUE",'CG. MPB'!F58="MACIZO"),'RMCV.PB'!Y57,IF(AND('CG. MPB'!D58="CONFINADO",'CG. MPB'!E58="TABICON",'CG. MPB'!F58="MACIZO"),'RMCV.PB'!Y57,IF(AND('CG. MPB'!D58="CONFINADO",'CG. MPB'!E58="LIGERO",'CG. MPB'!F58="MACIZO"),'RMCV.PB'!Y57,IF(AND('CG. MPB'!D58="NO CONFINADO",'CG. MPB'!E58="TABIQUE",'CG. MPB'!F58="MACIZO"),Z57,IF(AND('CG. MPB'!D58="NO CONFINADO",'CG. MPB'!E58="TABICON",'CG. MPB'!F58="MACIZO"),Z57,IF(AND('CG. MPB'!D58="NO CONFINADO",'CG. MPB'!E58="LIGERO",'CG. MPB'!F58="MACIZO"),Z57,IF(AND('CG. MPB'!E58="TABIQUE",'CG. MPB'!F58="HUECO"),X57,IF('CG. MPB'!E58="ADOBE",'RMCV.PB'!AA57,'RMCV.PB'!AB57))))))))</f>
        <v>0</v>
      </c>
      <c r="Q57" s="685" t="str">
        <f t="shared" si="7"/>
        <v>PASA</v>
      </c>
      <c r="R57" s="4">
        <f>IF(D57*E57*(F57*N57+'CASTILLOS-PB'!W57*FY)&gt;1.25*D57*E57*F57*N57,1.25*D57*E57*F57*N57,D57*E57*(F57*N57+'CASTILLOS-PB'!W57*FY))</f>
        <v>0</v>
      </c>
      <c r="S57" s="4">
        <f>D57*E57*(F57*N57+'CASTILLOS-PB'!G57*FY*2)</f>
        <v>8588.16</v>
      </c>
      <c r="T57" s="4">
        <f t="shared" si="2"/>
        <v>0</v>
      </c>
      <c r="U57" s="521">
        <f t="shared" si="3"/>
        <v>0</v>
      </c>
      <c r="V57" s="533">
        <f>D57*(0.7*$G$24*(B57*C57)+2000*'MUR.CONC-PB'!K57)</f>
        <v>0</v>
      </c>
      <c r="W57" s="533">
        <f t="shared" si="4"/>
        <v>0</v>
      </c>
      <c r="X57" s="543">
        <f>IF(AND('CG. MPB'!E58="TABIQUE",'CG. MPB'!F58="HUECO"),R57,0)</f>
        <v>0</v>
      </c>
      <c r="Y57" s="543">
        <f>IF(AND('CG. MPB'!D58="CONFINADO",'CG. MPB'!E58="TABIQUE",'CG. MPB'!F58="MACIZO"),'RMCV.PB'!S57,IF(AND('CG. MPB'!D58="CONFINADO",'CG. MPB'!E58="TABICON",'CG. MPB'!F58="MACIZO"),'RMCV.PB'!S57,IF(AND('CG. MPB'!D58="CONFINADO",'CG. MPB'!E58="LIGERO",'CG. MPB'!F58="MACIZO"),'RMCV.PB'!S57,0)))</f>
        <v>0</v>
      </c>
      <c r="Z57" s="543">
        <f>IF(AND('CG. MPB'!D58="NO CONFINADO",'CG. MPB'!E58="TABIQUE",'CG. MPB'!F58="MACIZO"),T57,IF(AND('CG. MPB'!D58="NO CONFINADO",'CG. MPB'!E58="TABICON",'CG. MPB'!F58="MACIZO"),T57,IF(AND('CG. MPB'!D58="NO CONFINADO",'CG. MPB'!E58="LIGERO",'CG. MPB'!F58="MACIZO"),T57,0)))</f>
        <v>0</v>
      </c>
      <c r="AA57" s="543">
        <f>IF('CG. MPB'!E58="ADOBE",'RMCV.PB'!U57,0)</f>
        <v>0</v>
      </c>
      <c r="AB57" s="543">
        <f>IF('CG. MPB'!E58="CONCRETO",'RMCV.PB'!V57,0)</f>
        <v>0</v>
      </c>
      <c r="AC57" s="900">
        <f>IF('CG. MPB'!E58="CANTERA",'RMCV.PB'!W57,0)</f>
        <v>0</v>
      </c>
      <c r="AD57" s="93">
        <f t="shared" si="5"/>
        <v>0</v>
      </c>
      <c r="AE57" s="428">
        <v>0.6</v>
      </c>
      <c r="AF57" s="4" t="e">
        <f>(1-2*AD57/C57)*(1-(AE57*'CG. MPB'!C58*10/(30*C57))^2)</f>
        <v>#DIV/0!</v>
      </c>
      <c r="AG57" s="350" t="e">
        <f>(1-(2*AD57/C57))*(1-(AE57*'CG. MPB'!C58*10/(30*C57))^2)*(1-('CG. MPB'!C58*10/B57))+('CG. MPB'!C58*10/B57)</f>
        <v>#DIV/0!</v>
      </c>
      <c r="AH57" s="429" t="e">
        <f t="shared" si="8"/>
        <v>#DIV/0!</v>
      </c>
    </row>
    <row r="58" spans="1:34" ht="15" hidden="1" customHeight="1">
      <c r="A58" s="684">
        <f>'CG. MPB'!A59</f>
        <v>30</v>
      </c>
      <c r="B58" s="578">
        <f>'CG. MPB'!B59*100</f>
        <v>0</v>
      </c>
      <c r="C58" s="68">
        <f>'ELEM. MECA.'!J35</f>
        <v>0</v>
      </c>
      <c r="D58" s="38">
        <f>IF(AND('CG. MPB'!D59="CONFINADO",'CG. MPB'!E59="CONCRETO"),0.8,IF('CG. MPB'!D59="NO CONFINADO",0.3,0.6))</f>
        <v>0.6</v>
      </c>
      <c r="E58" s="68">
        <v>0.6</v>
      </c>
      <c r="F58" s="38">
        <f>IF('CG. MPB'!E59="CONCRETO",G58,'RMCV.PB'!H58+'RMCV.PB'!I58+'RMCV.PB'!J58+K58+L58+M58)</f>
        <v>0</v>
      </c>
      <c r="G58" s="542">
        <f>IF('CG. MPB'!E59="CONCRETO",0.6*$G$24,0)</f>
        <v>0</v>
      </c>
      <c r="H58" s="574">
        <f>IF(AND('CG. MPB'!E59="TABIQUE",'CG. MPB'!F59="MACIZO"),15,0)</f>
        <v>0</v>
      </c>
      <c r="I58" s="574">
        <f>IF(AND('CG. MPB'!E59="TABIQUE",'CG. MPB'!F59="HUECO"),IF(E46="III",30,40),0)</f>
        <v>0</v>
      </c>
      <c r="J58" s="574">
        <f>IF('CG. MPB'!E59="TABICON",IF(E46="I",20,15),0)</f>
        <v>0</v>
      </c>
      <c r="K58" s="574">
        <f>IF('CG. MPB'!E59="ADOBE",10,0)</f>
        <v>0</v>
      </c>
      <c r="L58" s="574">
        <f>IF('CG. MPB'!E59="LIGERO",10,0)</f>
        <v>0</v>
      </c>
      <c r="M58" s="574">
        <f>IF('CG. MPB'!E59="CANTERA",30,0)</f>
        <v>0</v>
      </c>
      <c r="N58" s="575">
        <f t="shared" si="6"/>
        <v>0</v>
      </c>
      <c r="O58" s="918">
        <f>ABS('ELEM. MECA.'!D35)</f>
        <v>0</v>
      </c>
      <c r="P58" s="919">
        <f>IF(AND('CG. MPB'!D59="CONFINADO",'CG. MPB'!E59="TABIQUE",'CG. MPB'!F59="MACIZO"),'RMCV.PB'!Y58,IF(AND('CG. MPB'!D59="CONFINADO",'CG. MPB'!E59="TABICON",'CG. MPB'!F59="MACIZO"),'RMCV.PB'!Y58,IF(AND('CG. MPB'!D59="CONFINADO",'CG. MPB'!E59="LIGERO",'CG. MPB'!F59="MACIZO"),'RMCV.PB'!Y58,IF(AND('CG. MPB'!D59="NO CONFINADO",'CG. MPB'!E59="TABIQUE",'CG. MPB'!F59="MACIZO"),Z58,IF(AND('CG. MPB'!D59="NO CONFINADO",'CG. MPB'!E59="TABICON",'CG. MPB'!F59="MACIZO"),Z58,IF(AND('CG. MPB'!D59="NO CONFINADO",'CG. MPB'!E59="LIGERO",'CG. MPB'!F59="MACIZO"),Z58,IF(AND('CG. MPB'!E59="TABIQUE",'CG. MPB'!F59="HUECO"),X58,IF('CG. MPB'!E59="ADOBE",'RMCV.PB'!AA58,'RMCV.PB'!AB58))))))))</f>
        <v>0</v>
      </c>
      <c r="Q58" s="685" t="str">
        <f t="shared" si="7"/>
        <v>PASA</v>
      </c>
      <c r="R58" s="4">
        <f>IF(D58*E58*(F58*N58+'CASTILLOS-PB'!W58*FY)&gt;1.25*D58*E58*F58*N58,1.25*D58*E58*F58*N58,D58*E58*(F58*N58+'CASTILLOS-PB'!W58*FY))</f>
        <v>0</v>
      </c>
      <c r="S58" s="4">
        <f>D58*E58*(F58*N58+'CASTILLOS-PB'!G58*FY*2)</f>
        <v>8588.16</v>
      </c>
      <c r="T58" s="4">
        <f t="shared" si="2"/>
        <v>0</v>
      </c>
      <c r="U58" s="521">
        <f t="shared" si="3"/>
        <v>0</v>
      </c>
      <c r="V58" s="533">
        <f>D58*(0.7*$G$24*(B58*C58)+2000*'MUR.CONC-PB'!K58)</f>
        <v>0</v>
      </c>
      <c r="W58" s="533">
        <f t="shared" si="4"/>
        <v>0</v>
      </c>
      <c r="X58" s="543">
        <f>IF(AND('CG. MPB'!E59="TABIQUE",'CG. MPB'!F59="HUECO"),R58,0)</f>
        <v>0</v>
      </c>
      <c r="Y58" s="543">
        <f>IF(AND('CG. MPB'!D59="CONFINADO",'CG. MPB'!E59="TABIQUE",'CG. MPB'!F59="MACIZO"),'RMCV.PB'!S58,IF(AND('CG. MPB'!D59="CONFINADO",'CG. MPB'!E59="TABICON",'CG. MPB'!F59="MACIZO"),'RMCV.PB'!S58,IF(AND('CG. MPB'!D59="CONFINADO",'CG. MPB'!E59="LIGERO",'CG. MPB'!F59="MACIZO"),'RMCV.PB'!S58,0)))</f>
        <v>0</v>
      </c>
      <c r="Z58" s="543">
        <f>IF(AND('CG. MPB'!D59="NO CONFINADO",'CG. MPB'!E59="TABIQUE",'CG. MPB'!F59="MACIZO"),T58,IF(AND('CG. MPB'!D59="NO CONFINADO",'CG. MPB'!E59="TABICON",'CG. MPB'!F59="MACIZO"),T58,IF(AND('CG. MPB'!D59="NO CONFINADO",'CG. MPB'!E59="LIGERO",'CG. MPB'!F59="MACIZO"),T58,0)))</f>
        <v>0</v>
      </c>
      <c r="AA58" s="543">
        <f>IF('CG. MPB'!E59="ADOBE",'RMCV.PB'!U58,0)</f>
        <v>0</v>
      </c>
      <c r="AB58" s="543">
        <f>IF('CG. MPB'!E59="CONCRETO",'RMCV.PB'!V58,0)</f>
        <v>0</v>
      </c>
      <c r="AC58" s="900">
        <f>IF('CG. MPB'!E59="CANTERA",'RMCV.PB'!W58,0)</f>
        <v>0</v>
      </c>
      <c r="AD58" s="93">
        <f t="shared" si="5"/>
        <v>0</v>
      </c>
      <c r="AE58" s="428">
        <v>0.6</v>
      </c>
      <c r="AF58" s="4" t="e">
        <f>(1-2*AD58/C58)*(1-(AE58*'CG. MPB'!C59*10/(30*C58))^2)</f>
        <v>#DIV/0!</v>
      </c>
      <c r="AG58" s="350" t="e">
        <f>(1-(2*AD58/C58))*(1-(AE58*'CG. MPB'!C59*10/(30*C58))^2)*(1-('CG. MPB'!C59*10/B58))+('CG. MPB'!C59*10/B58)</f>
        <v>#DIV/0!</v>
      </c>
      <c r="AH58" s="429" t="e">
        <f t="shared" si="8"/>
        <v>#DIV/0!</v>
      </c>
    </row>
    <row r="59" spans="1:34" ht="15" hidden="1" customHeight="1">
      <c r="A59" s="684">
        <f>'CG. MPB'!A60</f>
        <v>31</v>
      </c>
      <c r="B59" s="578">
        <f>'CG. MPB'!B60*100</f>
        <v>0</v>
      </c>
      <c r="C59" s="68">
        <f>'ELEM. MECA.'!J36</f>
        <v>0</v>
      </c>
      <c r="D59" s="38">
        <f>IF(AND('CG. MPB'!D60="CONFINADO",'CG. MPB'!E60="CONCRETO"),0.8,IF('CG. MPB'!D60="NO CONFINADO",0.3,0.6))</f>
        <v>0.6</v>
      </c>
      <c r="E59" s="68">
        <v>0.6</v>
      </c>
      <c r="F59" s="38">
        <f>IF('CG. MPB'!E60="CONCRETO",G59,'RMCV.PB'!H59+'RMCV.PB'!I59+'RMCV.PB'!J59+K59+L59+M59)</f>
        <v>0</v>
      </c>
      <c r="G59" s="542">
        <f>IF('CG. MPB'!E60="CONCRETO",0.6*$G$24,0)</f>
        <v>0</v>
      </c>
      <c r="H59" s="574">
        <f>IF(AND('CG. MPB'!E60="TABIQUE",'CG. MPB'!F60="MACIZO"),15,0)</f>
        <v>0</v>
      </c>
      <c r="I59" s="574">
        <f>IF(AND('CG. MPB'!E60="TABIQUE",'CG. MPB'!F60="HUECO"),IF(E47="III",30,40),0)</f>
        <v>0</v>
      </c>
      <c r="J59" s="574">
        <f>IF('CG. MPB'!E60="TABICON",IF(E47="I",20,15),0)</f>
        <v>0</v>
      </c>
      <c r="K59" s="574">
        <f>IF('CG. MPB'!E60="ADOBE",10,0)</f>
        <v>0</v>
      </c>
      <c r="L59" s="574">
        <f>IF('CG. MPB'!E60="LIGERO",10,0)</f>
        <v>0</v>
      </c>
      <c r="M59" s="574">
        <f>IF('CG. MPB'!E60="CANTERA",30,0)</f>
        <v>0</v>
      </c>
      <c r="N59" s="575">
        <f t="shared" si="6"/>
        <v>0</v>
      </c>
      <c r="O59" s="918">
        <f>ABS('ELEM. MECA.'!D36)</f>
        <v>0</v>
      </c>
      <c r="P59" s="919">
        <f>IF(AND('CG. MPB'!D60="CONFINADO",'CG. MPB'!E60="TABIQUE",'CG. MPB'!F60="MACIZO"),'RMCV.PB'!Y59,IF(AND('CG. MPB'!D60="CONFINADO",'CG. MPB'!E60="TABICON",'CG. MPB'!F60="MACIZO"),'RMCV.PB'!Y59,IF(AND('CG. MPB'!D60="CONFINADO",'CG. MPB'!E60="LIGERO",'CG. MPB'!F60="MACIZO"),'RMCV.PB'!Y59,IF(AND('CG. MPB'!D60="NO CONFINADO",'CG. MPB'!E60="TABIQUE",'CG. MPB'!F60="MACIZO"),Z59,IF(AND('CG. MPB'!D60="NO CONFINADO",'CG. MPB'!E60="TABICON",'CG. MPB'!F60="MACIZO"),Z59,IF(AND('CG. MPB'!D60="NO CONFINADO",'CG. MPB'!E60="LIGERO",'CG. MPB'!F60="MACIZO"),Z59,IF(AND('CG. MPB'!E60="TABIQUE",'CG. MPB'!F60="HUECO"),X59,IF('CG. MPB'!E60="ADOBE",'RMCV.PB'!AA59,'RMCV.PB'!AB59))))))))</f>
        <v>0</v>
      </c>
      <c r="Q59" s="685" t="str">
        <f t="shared" si="7"/>
        <v>PASA</v>
      </c>
      <c r="R59" s="4">
        <f>IF(D59*E59*(F59*N59+'CASTILLOS-PB'!W59*FY)&gt;1.25*D59*E59*F59*N59,1.25*D59*E59*F59*N59,D59*E59*(F59*N59+'CASTILLOS-PB'!W59*FY))</f>
        <v>0</v>
      </c>
      <c r="S59" s="4">
        <f>D59*E59*(F59*N59+'CASTILLOS-PB'!G59*FY*2)</f>
        <v>8588.16</v>
      </c>
      <c r="T59" s="4">
        <f t="shared" si="2"/>
        <v>0</v>
      </c>
      <c r="U59" s="521">
        <f t="shared" si="3"/>
        <v>0</v>
      </c>
      <c r="V59" s="533">
        <f>D59*(0.7*$G$24*(B59*C59)+2000*'MUR.CONC-PB'!K59)</f>
        <v>0</v>
      </c>
      <c r="W59" s="533">
        <f t="shared" si="4"/>
        <v>0</v>
      </c>
      <c r="X59" s="543">
        <f>IF(AND('CG. MPB'!E60="TABIQUE",'CG. MPB'!F60="HUECO"),R59,0)</f>
        <v>0</v>
      </c>
      <c r="Y59" s="543">
        <f>IF(AND('CG. MPB'!D60="CONFINADO",'CG. MPB'!E60="TABIQUE",'CG. MPB'!F60="MACIZO"),'RMCV.PB'!S59,IF(AND('CG. MPB'!D60="CONFINADO",'CG. MPB'!E60="TABICON",'CG. MPB'!F60="MACIZO"),'RMCV.PB'!S59,IF(AND('CG. MPB'!D60="CONFINADO",'CG. MPB'!E60="LIGERO",'CG. MPB'!F60="MACIZO"),'RMCV.PB'!S59,0)))</f>
        <v>0</v>
      </c>
      <c r="Z59" s="543">
        <f>IF(AND('CG. MPB'!D60="NO CONFINADO",'CG. MPB'!E60="TABIQUE",'CG. MPB'!F60="MACIZO"),T59,IF(AND('CG. MPB'!D60="NO CONFINADO",'CG. MPB'!E60="TABICON",'CG. MPB'!F60="MACIZO"),T59,IF(AND('CG. MPB'!D60="NO CONFINADO",'CG. MPB'!E60="LIGERO",'CG. MPB'!F60="MACIZO"),T59,0)))</f>
        <v>0</v>
      </c>
      <c r="AA59" s="543">
        <f>IF('CG. MPB'!E60="ADOBE",'RMCV.PB'!U59,0)</f>
        <v>0</v>
      </c>
      <c r="AB59" s="543">
        <f>IF('CG. MPB'!E60="CONCRETO",'RMCV.PB'!V59,0)</f>
        <v>0</v>
      </c>
      <c r="AC59" s="900">
        <f>IF('CG. MPB'!E60="CANTERA",'RMCV.PB'!W59,0)</f>
        <v>0</v>
      </c>
      <c r="AD59" s="93">
        <f t="shared" si="5"/>
        <v>0</v>
      </c>
      <c r="AE59" s="428">
        <v>0.6</v>
      </c>
      <c r="AF59" s="4" t="e">
        <f>(1-2*AD59/C59)*(1-(AE59*'CG. MPB'!C60*10/(30*C59))^2)</f>
        <v>#DIV/0!</v>
      </c>
      <c r="AG59" s="350" t="e">
        <f>(1-(2*AD59/C59))*(1-(AE59*'CG. MPB'!C60*10/(30*C59))^2)*(1-('CG. MPB'!C60*10/B59))+('CG. MPB'!C60*10/B59)</f>
        <v>#DIV/0!</v>
      </c>
      <c r="AH59" s="429" t="e">
        <f t="shared" si="8"/>
        <v>#DIV/0!</v>
      </c>
    </row>
    <row r="60" spans="1:34" ht="15" hidden="1" customHeight="1">
      <c r="A60" s="684">
        <f>'CG. MPB'!A61</f>
        <v>32</v>
      </c>
      <c r="B60" s="578">
        <f>'CG. MPB'!B61*100</f>
        <v>0</v>
      </c>
      <c r="C60" s="68">
        <f>'ELEM. MECA.'!J37</f>
        <v>0</v>
      </c>
      <c r="D60" s="38">
        <f>IF(AND('CG. MPB'!D61="CONFINADO",'CG. MPB'!E61="CONCRETO"),0.8,IF('CG. MPB'!D61="NO CONFINADO",0.3,0.6))</f>
        <v>0.6</v>
      </c>
      <c r="E60" s="68">
        <v>0.6</v>
      </c>
      <c r="F60" s="38">
        <f>IF('CG. MPB'!E61="CONCRETO",G60,'RMCV.PB'!H60+'RMCV.PB'!I60+'RMCV.PB'!J60+K60+L60+M60)</f>
        <v>0</v>
      </c>
      <c r="G60" s="542">
        <f>IF('CG. MPB'!E61="CONCRETO",0.6*$G$24,0)</f>
        <v>0</v>
      </c>
      <c r="H60" s="574">
        <f>IF(AND('CG. MPB'!E61="TABIQUE",'CG. MPB'!F61="MACIZO"),15,0)</f>
        <v>0</v>
      </c>
      <c r="I60" s="574">
        <f>IF(AND('CG. MPB'!E61="TABIQUE",'CG. MPB'!F61="HUECO"),IF(E48="III",30,40),0)</f>
        <v>0</v>
      </c>
      <c r="J60" s="574">
        <f>IF('CG. MPB'!E61="TABICON",IF(E48="I",20,15),0)</f>
        <v>0</v>
      </c>
      <c r="K60" s="574">
        <f>IF('CG. MPB'!E61="ADOBE",10,0)</f>
        <v>0</v>
      </c>
      <c r="L60" s="574">
        <f>IF('CG. MPB'!E61="LIGERO",10,0)</f>
        <v>0</v>
      </c>
      <c r="M60" s="574">
        <f>IF('CG. MPB'!E61="CANTERA",30,0)</f>
        <v>0</v>
      </c>
      <c r="N60" s="575">
        <f t="shared" si="6"/>
        <v>0</v>
      </c>
      <c r="O60" s="918">
        <f>ABS('ELEM. MECA.'!D37)</f>
        <v>0</v>
      </c>
      <c r="P60" s="919">
        <f>IF(AND('CG. MPB'!D61="CONFINADO",'CG. MPB'!E61="TABIQUE",'CG. MPB'!F61="MACIZO"),'RMCV.PB'!Y60,IF(AND('CG. MPB'!D61="CONFINADO",'CG. MPB'!E61="TABICON",'CG. MPB'!F61="MACIZO"),'RMCV.PB'!Y60,IF(AND('CG. MPB'!D61="CONFINADO",'CG. MPB'!E61="LIGERO",'CG. MPB'!F61="MACIZO"),'RMCV.PB'!Y60,IF(AND('CG. MPB'!D61="NO CONFINADO",'CG. MPB'!E61="TABIQUE",'CG. MPB'!F61="MACIZO"),Z60,IF(AND('CG. MPB'!D61="NO CONFINADO",'CG. MPB'!E61="TABICON",'CG. MPB'!F61="MACIZO"),Z60,IF(AND('CG. MPB'!D61="NO CONFINADO",'CG. MPB'!E61="LIGERO",'CG. MPB'!F61="MACIZO"),Z60,IF(AND('CG. MPB'!E61="TABIQUE",'CG. MPB'!F61="HUECO"),X60,IF('CG. MPB'!E61="ADOBE",'RMCV.PB'!AA60,'RMCV.PB'!AB60))))))))</f>
        <v>0</v>
      </c>
      <c r="Q60" s="685" t="str">
        <f t="shared" si="7"/>
        <v>PASA</v>
      </c>
      <c r="R60" s="4">
        <f>IF(D60*E60*(F60*N60+'CASTILLOS-PB'!W60*FY)&gt;1.25*D60*E60*F60*N60,1.25*D60*E60*F60*N60,D60*E60*(F60*N60+'CASTILLOS-PB'!W60*FY))</f>
        <v>0</v>
      </c>
      <c r="S60" s="4">
        <f>D60*E60*(F60*N60+'CASTILLOS-PB'!G60*FY*2)</f>
        <v>8588.16</v>
      </c>
      <c r="T60" s="4">
        <f t="shared" si="2"/>
        <v>0</v>
      </c>
      <c r="U60" s="521">
        <f t="shared" si="3"/>
        <v>0</v>
      </c>
      <c r="V60" s="533">
        <f>D60*(0.7*$G$24*(B60*C60)+2000*'MUR.CONC-PB'!K60)</f>
        <v>0</v>
      </c>
      <c r="W60" s="533">
        <f t="shared" si="4"/>
        <v>0</v>
      </c>
      <c r="X60" s="543">
        <f>IF(AND('CG. MPB'!E61="TABIQUE",'CG. MPB'!F61="HUECO"),R60,0)</f>
        <v>0</v>
      </c>
      <c r="Y60" s="543">
        <f>IF(AND('CG. MPB'!D61="CONFINADO",'CG. MPB'!E61="TABIQUE",'CG. MPB'!F61="MACIZO"),'RMCV.PB'!S60,IF(AND('CG. MPB'!D61="CONFINADO",'CG. MPB'!E61="TABICON",'CG. MPB'!F61="MACIZO"),'RMCV.PB'!S60,IF(AND('CG. MPB'!D61="CONFINADO",'CG. MPB'!E61="LIGERO",'CG. MPB'!F61="MACIZO"),'RMCV.PB'!S60,0)))</f>
        <v>0</v>
      </c>
      <c r="Z60" s="543">
        <f>IF(AND('CG. MPB'!D61="NO CONFINADO",'CG. MPB'!E61="TABIQUE",'CG. MPB'!F61="MACIZO"),T60,IF(AND('CG. MPB'!D61="NO CONFINADO",'CG. MPB'!E61="TABICON",'CG. MPB'!F61="MACIZO"),T60,IF(AND('CG. MPB'!D61="NO CONFINADO",'CG. MPB'!E61="LIGERO",'CG. MPB'!F61="MACIZO"),T60,0)))</f>
        <v>0</v>
      </c>
      <c r="AA60" s="543">
        <f>IF('CG. MPB'!E61="ADOBE",'RMCV.PB'!U60,0)</f>
        <v>0</v>
      </c>
      <c r="AB60" s="543">
        <f>IF('CG. MPB'!E61="CONCRETO",'RMCV.PB'!V60,0)</f>
        <v>0</v>
      </c>
      <c r="AC60" s="900">
        <f>IF('CG. MPB'!E61="CANTERA",'RMCV.PB'!W60,0)</f>
        <v>0</v>
      </c>
      <c r="AD60" s="93">
        <f t="shared" si="5"/>
        <v>0</v>
      </c>
      <c r="AE60" s="428">
        <v>0.6</v>
      </c>
      <c r="AF60" s="4" t="e">
        <f>(1-2*AD60/C60)*(1-(AE60*'CG. MPB'!C61*10/(30*C60))^2)</f>
        <v>#DIV/0!</v>
      </c>
      <c r="AG60" s="350" t="e">
        <f>(1-(2*AD60/C60))*(1-(AE60*'CG. MPB'!C61*10/(30*C60))^2)*(1-('CG. MPB'!C61*10/B60))+('CG. MPB'!C61*10/B60)</f>
        <v>#DIV/0!</v>
      </c>
      <c r="AH60" s="429" t="e">
        <f t="shared" si="8"/>
        <v>#DIV/0!</v>
      </c>
    </row>
    <row r="61" spans="1:34" ht="15" hidden="1" customHeight="1">
      <c r="A61" s="684">
        <f>'CG. MPB'!A62</f>
        <v>33</v>
      </c>
      <c r="B61" s="578">
        <f>'CG. MPB'!B62*100</f>
        <v>0</v>
      </c>
      <c r="C61" s="68">
        <f>'ELEM. MECA.'!J38</f>
        <v>0</v>
      </c>
      <c r="D61" s="38">
        <f>IF(AND('CG. MPB'!D62="CONFINADO",'CG. MPB'!E62="CONCRETO"),0.8,IF('CG. MPB'!D62="NO CONFINADO",0.3,0.6))</f>
        <v>0.6</v>
      </c>
      <c r="E61" s="68">
        <v>0.6</v>
      </c>
      <c r="F61" s="38">
        <f>IF('CG. MPB'!E62="CONCRETO",G61,'RMCV.PB'!H61+'RMCV.PB'!I61+'RMCV.PB'!J61+K61+L61+M61)</f>
        <v>0</v>
      </c>
      <c r="G61" s="542">
        <f>IF('CG. MPB'!E62="CONCRETO",0.6*$G$24,0)</f>
        <v>0</v>
      </c>
      <c r="H61" s="574">
        <f>IF(AND('CG. MPB'!E62="TABIQUE",'CG. MPB'!F62="MACIZO"),15,0)</f>
        <v>0</v>
      </c>
      <c r="I61" s="574">
        <f>IF(AND('CG. MPB'!E62="TABIQUE",'CG. MPB'!F62="HUECO"),IF(E49="III",30,40),0)</f>
        <v>0</v>
      </c>
      <c r="J61" s="574">
        <f>IF('CG. MPB'!E62="TABICON",IF(E49="I",20,15),0)</f>
        <v>0</v>
      </c>
      <c r="K61" s="574">
        <f>IF('CG. MPB'!E62="ADOBE",10,0)</f>
        <v>0</v>
      </c>
      <c r="L61" s="574">
        <f>IF('CG. MPB'!E62="LIGERO",10,0)</f>
        <v>0</v>
      </c>
      <c r="M61" s="574">
        <f>IF('CG. MPB'!E62="CANTERA",30,0)</f>
        <v>0</v>
      </c>
      <c r="N61" s="575">
        <f t="shared" si="6"/>
        <v>0</v>
      </c>
      <c r="O61" s="918">
        <f>ABS('ELEM. MECA.'!D38)</f>
        <v>0</v>
      </c>
      <c r="P61" s="919">
        <f>IF(AND('CG. MPB'!D62="CONFINADO",'CG. MPB'!E62="TABIQUE",'CG. MPB'!F62="MACIZO"),'RMCV.PB'!Y61,IF(AND('CG. MPB'!D62="CONFINADO",'CG. MPB'!E62="TABICON",'CG. MPB'!F62="MACIZO"),'RMCV.PB'!Y61,IF(AND('CG. MPB'!D62="CONFINADO",'CG. MPB'!E62="LIGERO",'CG. MPB'!F62="MACIZO"),'RMCV.PB'!Y61,IF(AND('CG. MPB'!D62="NO CONFINADO",'CG. MPB'!E62="TABIQUE",'CG. MPB'!F62="MACIZO"),Z61,IF(AND('CG. MPB'!D62="NO CONFINADO",'CG. MPB'!E62="TABICON",'CG. MPB'!F62="MACIZO"),Z61,IF(AND('CG. MPB'!D62="NO CONFINADO",'CG. MPB'!E62="LIGERO",'CG. MPB'!F62="MACIZO"),Z61,IF(AND('CG. MPB'!E62="TABIQUE",'CG. MPB'!F62="HUECO"),X61,IF('CG. MPB'!E62="ADOBE",'RMCV.PB'!AA61,'RMCV.PB'!AB61))))))))</f>
        <v>0</v>
      </c>
      <c r="Q61" s="685" t="str">
        <f t="shared" si="7"/>
        <v>PASA</v>
      </c>
      <c r="R61" s="4">
        <f>IF(D61*E61*(F61*N61+'CASTILLOS-PB'!W61*FY)&gt;1.25*D61*E61*F61*N61,1.25*D61*E61*F61*N61,D61*E61*(F61*N61+'CASTILLOS-PB'!W61*FY))</f>
        <v>0</v>
      </c>
      <c r="S61" s="4">
        <f>D61*E61*(F61*N61+'CASTILLOS-PB'!G61*FY*2)</f>
        <v>8588.16</v>
      </c>
      <c r="T61" s="4">
        <f t="shared" si="2"/>
        <v>0</v>
      </c>
      <c r="U61" s="521">
        <f t="shared" si="3"/>
        <v>0</v>
      </c>
      <c r="V61" s="533">
        <f>D61*(0.7*$G$24*(B61*C61)+2000*'MUR.CONC-PB'!K61)</f>
        <v>0</v>
      </c>
      <c r="W61" s="533">
        <f t="shared" si="4"/>
        <v>0</v>
      </c>
      <c r="X61" s="543">
        <f>IF(AND('CG. MPB'!E62="TABIQUE",'CG. MPB'!F62="HUECO"),R61,0)</f>
        <v>0</v>
      </c>
      <c r="Y61" s="543">
        <f>IF(AND('CG. MPB'!D62="CONFINADO",'CG. MPB'!E62="TABIQUE",'CG. MPB'!F62="MACIZO"),'RMCV.PB'!S61,IF(AND('CG. MPB'!D62="CONFINADO",'CG. MPB'!E62="TABICON",'CG. MPB'!F62="MACIZO"),'RMCV.PB'!S61,IF(AND('CG. MPB'!D62="CONFINADO",'CG. MPB'!E62="LIGERO",'CG. MPB'!F62="MACIZO"),'RMCV.PB'!S61,0)))</f>
        <v>0</v>
      </c>
      <c r="Z61" s="543">
        <f>IF(AND('CG. MPB'!D62="NO CONFINADO",'CG. MPB'!E62="TABIQUE",'CG. MPB'!F62="MACIZO"),T61,IF(AND('CG. MPB'!D62="NO CONFINADO",'CG. MPB'!E62="TABICON",'CG. MPB'!F62="MACIZO"),T61,IF(AND('CG. MPB'!D62="NO CONFINADO",'CG. MPB'!E62="LIGERO",'CG. MPB'!F62="MACIZO"),T61,0)))</f>
        <v>0</v>
      </c>
      <c r="AA61" s="543">
        <f>IF('CG. MPB'!E62="ADOBE",'RMCV.PB'!U61,0)</f>
        <v>0</v>
      </c>
      <c r="AB61" s="543">
        <f>IF('CG. MPB'!E62="CONCRETO",'RMCV.PB'!V61,0)</f>
        <v>0</v>
      </c>
      <c r="AC61" s="900">
        <f>IF('CG. MPB'!E62="CANTERA",'RMCV.PB'!W61,0)</f>
        <v>0</v>
      </c>
      <c r="AD61" s="93">
        <f t="shared" si="5"/>
        <v>0</v>
      </c>
      <c r="AE61" s="428">
        <v>0.6</v>
      </c>
      <c r="AF61" s="4" t="e">
        <f>(1-2*AD61/C61)*(1-(AE61*'CG. MPB'!C62*10/(30*C61))^2)</f>
        <v>#DIV/0!</v>
      </c>
      <c r="AG61" s="350" t="e">
        <f>(1-(2*AD61/C61))*(1-(AE61*'CG. MPB'!C62*10/(30*C61))^2)*(1-('CG. MPB'!C62*10/B61))+('CG. MPB'!C62*10/B61)</f>
        <v>#DIV/0!</v>
      </c>
      <c r="AH61" s="429" t="e">
        <f t="shared" si="8"/>
        <v>#DIV/0!</v>
      </c>
    </row>
    <row r="62" spans="1:34" ht="15" hidden="1" customHeight="1">
      <c r="A62" s="684">
        <f>'CG. MPB'!A63</f>
        <v>34</v>
      </c>
      <c r="B62" s="578">
        <f>'CG. MPB'!B63*100</f>
        <v>0</v>
      </c>
      <c r="C62" s="68">
        <f>'ELEM. MECA.'!J39</f>
        <v>0</v>
      </c>
      <c r="D62" s="38">
        <f>IF(AND('CG. MPB'!D63="CONFINADO",'CG. MPB'!E63="CONCRETO"),0.8,IF('CG. MPB'!D63="NO CONFINADO",0.3,0.6))</f>
        <v>0.6</v>
      </c>
      <c r="E62" s="68">
        <v>0.6</v>
      </c>
      <c r="F62" s="38">
        <f>IF('CG. MPB'!E63="CONCRETO",G62,'RMCV.PB'!H62+'RMCV.PB'!I62+'RMCV.PB'!J62+K62+L62+M62)</f>
        <v>0</v>
      </c>
      <c r="G62" s="542">
        <f>IF('CG. MPB'!E63="CONCRETO",0.6*$G$24,0)</f>
        <v>0</v>
      </c>
      <c r="H62" s="574">
        <f>IF(AND('CG. MPB'!E63="TABIQUE",'CG. MPB'!F63="MACIZO"),15,0)</f>
        <v>0</v>
      </c>
      <c r="I62" s="574">
        <f>IF(AND('CG. MPB'!E63="TABIQUE",'CG. MPB'!F63="HUECO"),IF(E50="III",30,40),0)</f>
        <v>0</v>
      </c>
      <c r="J62" s="574">
        <f>IF('CG. MPB'!E63="TABICON",IF(E50="I",20,15),0)</f>
        <v>0</v>
      </c>
      <c r="K62" s="574">
        <f>IF('CG. MPB'!E63="ADOBE",10,0)</f>
        <v>0</v>
      </c>
      <c r="L62" s="574">
        <f>IF('CG. MPB'!E63="LIGERO",10,0)</f>
        <v>0</v>
      </c>
      <c r="M62" s="574">
        <f>IF('CG. MPB'!E63="CANTERA",30,0)</f>
        <v>0</v>
      </c>
      <c r="N62" s="575">
        <f t="shared" si="6"/>
        <v>0</v>
      </c>
      <c r="O62" s="918">
        <f>ABS('ELEM. MECA.'!D39)</f>
        <v>0</v>
      </c>
      <c r="P62" s="919">
        <f>IF(AND('CG. MPB'!D63="CONFINADO",'CG. MPB'!E63="TABIQUE",'CG. MPB'!F63="MACIZO"),'RMCV.PB'!Y62,IF(AND('CG. MPB'!D63="CONFINADO",'CG. MPB'!E63="TABICON",'CG. MPB'!F63="MACIZO"),'RMCV.PB'!Y62,IF(AND('CG. MPB'!D63="CONFINADO",'CG. MPB'!E63="LIGERO",'CG. MPB'!F63="MACIZO"),'RMCV.PB'!Y62,IF(AND('CG. MPB'!D63="NO CONFINADO",'CG. MPB'!E63="TABIQUE",'CG. MPB'!F63="MACIZO"),Z62,IF(AND('CG. MPB'!D63="NO CONFINADO",'CG. MPB'!E63="TABICON",'CG. MPB'!F63="MACIZO"),Z62,IF(AND('CG. MPB'!D63="NO CONFINADO",'CG. MPB'!E63="LIGERO",'CG. MPB'!F63="MACIZO"),Z62,IF(AND('CG. MPB'!E63="TABIQUE",'CG. MPB'!F63="HUECO"),X62,IF('CG. MPB'!E63="ADOBE",'RMCV.PB'!AA62,'RMCV.PB'!AB62))))))))</f>
        <v>0</v>
      </c>
      <c r="Q62" s="685" t="str">
        <f t="shared" si="7"/>
        <v>PASA</v>
      </c>
      <c r="R62" s="4">
        <f>IF(D62*E62*(F62*N62+'CASTILLOS-PB'!W62*FY)&gt;1.25*D62*E62*F62*N62,1.25*D62*E62*F62*N62,D62*E62*(F62*N62+'CASTILLOS-PB'!W62*FY))</f>
        <v>0</v>
      </c>
      <c r="S62" s="4">
        <f>D62*E62*(F62*N62+'CASTILLOS-PB'!G62*FY*2)</f>
        <v>8588.16</v>
      </c>
      <c r="T62" s="4">
        <f t="shared" si="2"/>
        <v>0</v>
      </c>
      <c r="U62" s="521">
        <f t="shared" si="3"/>
        <v>0</v>
      </c>
      <c r="V62" s="533">
        <f>D62*(0.7*$G$24*(B62*C62)+2000*'MUR.CONC-PB'!K62)</f>
        <v>0</v>
      </c>
      <c r="W62" s="533">
        <f t="shared" si="4"/>
        <v>0</v>
      </c>
      <c r="X62" s="543">
        <f>IF(AND('CG. MPB'!E63="TABIQUE",'CG. MPB'!F63="HUECO"),R62,0)</f>
        <v>0</v>
      </c>
      <c r="Y62" s="543">
        <f>IF(AND('CG. MPB'!D63="CONFINADO",'CG. MPB'!E63="TABIQUE",'CG. MPB'!F63="MACIZO"),'RMCV.PB'!S62,IF(AND('CG. MPB'!D63="CONFINADO",'CG. MPB'!E63="TABICON",'CG. MPB'!F63="MACIZO"),'RMCV.PB'!S62,IF(AND('CG. MPB'!D63="CONFINADO",'CG. MPB'!E63="LIGERO",'CG. MPB'!F63="MACIZO"),'RMCV.PB'!S62,0)))</f>
        <v>0</v>
      </c>
      <c r="Z62" s="543">
        <f>IF(AND('CG. MPB'!D63="NO CONFINADO",'CG. MPB'!E63="TABIQUE",'CG. MPB'!F63="MACIZO"),T62,IF(AND('CG. MPB'!D63="NO CONFINADO",'CG. MPB'!E63="TABICON",'CG. MPB'!F63="MACIZO"),T62,IF(AND('CG. MPB'!D63="NO CONFINADO",'CG. MPB'!E63="LIGERO",'CG. MPB'!F63="MACIZO"),T62,0)))</f>
        <v>0</v>
      </c>
      <c r="AA62" s="543">
        <f>IF('CG. MPB'!E63="ADOBE",'RMCV.PB'!U62,0)</f>
        <v>0</v>
      </c>
      <c r="AB62" s="543">
        <f>IF('CG. MPB'!E63="CONCRETO",'RMCV.PB'!V62,0)</f>
        <v>0</v>
      </c>
      <c r="AC62" s="900">
        <f>IF('CG. MPB'!E63="CANTERA",'RMCV.PB'!W62,0)</f>
        <v>0</v>
      </c>
      <c r="AD62" s="93">
        <f t="shared" si="5"/>
        <v>0</v>
      </c>
      <c r="AE62" s="428">
        <v>0.6</v>
      </c>
      <c r="AF62" s="4" t="e">
        <f>(1-2*AD62/C62)*(1-(AE62*'CG. MPB'!C63*10/(30*C62))^2)</f>
        <v>#DIV/0!</v>
      </c>
      <c r="AG62" s="350" t="e">
        <f>(1-(2*AD62/C62))*(1-(AE62*'CG. MPB'!C63*10/(30*C62))^2)*(1-('CG. MPB'!C63*10/B62))+('CG. MPB'!C63*10/B62)</f>
        <v>#DIV/0!</v>
      </c>
      <c r="AH62" s="429" t="e">
        <f t="shared" si="8"/>
        <v>#DIV/0!</v>
      </c>
    </row>
    <row r="63" spans="1:34" ht="15" hidden="1" customHeight="1">
      <c r="A63" s="684">
        <f>'CG. MPB'!A64</f>
        <v>35</v>
      </c>
      <c r="B63" s="578">
        <f>'CG. MPB'!B64*100</f>
        <v>0</v>
      </c>
      <c r="C63" s="68">
        <f>'ELEM. MECA.'!J40</f>
        <v>0</v>
      </c>
      <c r="D63" s="38">
        <f>IF(AND('CG. MPB'!D64="CONFINADO",'CG. MPB'!E64="CONCRETO"),0.8,IF('CG. MPB'!D64="NO CONFINADO",0.3,0.6))</f>
        <v>0.6</v>
      </c>
      <c r="E63" s="68">
        <v>0.6</v>
      </c>
      <c r="F63" s="38">
        <f>IF('CG. MPB'!E64="CONCRETO",G63,'RMCV.PB'!H63+'RMCV.PB'!I63+'RMCV.PB'!J63+K63+L63+M63)</f>
        <v>0</v>
      </c>
      <c r="G63" s="542">
        <f>IF('CG. MPB'!E64="CONCRETO",0.6*$G$24,0)</f>
        <v>0</v>
      </c>
      <c r="H63" s="574">
        <f>IF(AND('CG. MPB'!E64="TABIQUE",'CG. MPB'!F64="MACIZO"),15,0)</f>
        <v>0</v>
      </c>
      <c r="I63" s="574">
        <f>IF(AND('CG. MPB'!E64="TABIQUE",'CG. MPB'!F64="HUECO"),IF(E51="III",30,40),0)</f>
        <v>0</v>
      </c>
      <c r="J63" s="574">
        <f>IF('CG. MPB'!E64="TABICON",IF(E51="I",20,15),0)</f>
        <v>0</v>
      </c>
      <c r="K63" s="574">
        <f>IF('CG. MPB'!E64="ADOBE",10,0)</f>
        <v>0</v>
      </c>
      <c r="L63" s="574">
        <f>IF('CG. MPB'!E64="LIGERO",10,0)</f>
        <v>0</v>
      </c>
      <c r="M63" s="574">
        <f>IF('CG. MPB'!E64="CANTERA",30,0)</f>
        <v>0</v>
      </c>
      <c r="N63" s="575">
        <f t="shared" si="6"/>
        <v>0</v>
      </c>
      <c r="O63" s="918">
        <f>ABS('ELEM. MECA.'!D40)</f>
        <v>0</v>
      </c>
      <c r="P63" s="919">
        <f>IF(AND('CG. MPB'!D64="CONFINADO",'CG. MPB'!E64="TABIQUE",'CG. MPB'!F64="MACIZO"),'RMCV.PB'!Y63,IF(AND('CG. MPB'!D64="CONFINADO",'CG. MPB'!E64="TABICON",'CG. MPB'!F64="MACIZO"),'RMCV.PB'!Y63,IF(AND('CG. MPB'!D64="CONFINADO",'CG. MPB'!E64="LIGERO",'CG. MPB'!F64="MACIZO"),'RMCV.PB'!Y63,IF(AND('CG. MPB'!D64="NO CONFINADO",'CG. MPB'!E64="TABIQUE",'CG. MPB'!F64="MACIZO"),Z63,IF(AND('CG. MPB'!D64="NO CONFINADO",'CG. MPB'!E64="TABICON",'CG. MPB'!F64="MACIZO"),Z63,IF(AND('CG. MPB'!D64="NO CONFINADO",'CG. MPB'!E64="LIGERO",'CG. MPB'!F64="MACIZO"),Z63,IF(AND('CG. MPB'!E64="TABIQUE",'CG. MPB'!F64="HUECO"),X63,IF('CG. MPB'!E64="ADOBE",'RMCV.PB'!AA63,'RMCV.PB'!AB63))))))))</f>
        <v>0</v>
      </c>
      <c r="Q63" s="685" t="str">
        <f t="shared" si="7"/>
        <v>PASA</v>
      </c>
      <c r="R63" s="4">
        <f>IF(D63*E63*(F63*N63+'CASTILLOS-PB'!W63*FY)&gt;1.25*D63*E63*F63*N63,1.25*D63*E63*F63*N63,D63*E63*(F63*N63+'CASTILLOS-PB'!W63*FY))</f>
        <v>0</v>
      </c>
      <c r="S63" s="4">
        <f>D63*E63*(F63*N63+'CASTILLOS-PB'!G63*FY*2)</f>
        <v>8588.16</v>
      </c>
      <c r="T63" s="4">
        <f t="shared" si="2"/>
        <v>0</v>
      </c>
      <c r="U63" s="521">
        <f t="shared" si="3"/>
        <v>0</v>
      </c>
      <c r="V63" s="533">
        <f>D63*(0.7*$G$24*(B63*C63)+2000*'MUR.CONC-PB'!K63)</f>
        <v>0</v>
      </c>
      <c r="W63" s="533">
        <f t="shared" si="4"/>
        <v>0</v>
      </c>
      <c r="X63" s="543">
        <f>IF(AND('CG. MPB'!E64="TABIQUE",'CG. MPB'!F64="HUECO"),R63,0)</f>
        <v>0</v>
      </c>
      <c r="Y63" s="543">
        <f>IF(AND('CG. MPB'!D64="CONFINADO",'CG. MPB'!E64="TABIQUE",'CG. MPB'!F64="MACIZO"),'RMCV.PB'!S63,IF(AND('CG. MPB'!D64="CONFINADO",'CG. MPB'!E64="TABICON",'CG. MPB'!F64="MACIZO"),'RMCV.PB'!S63,IF(AND('CG. MPB'!D64="CONFINADO",'CG. MPB'!E64="LIGERO",'CG. MPB'!F64="MACIZO"),'RMCV.PB'!S63,0)))</f>
        <v>0</v>
      </c>
      <c r="Z63" s="543">
        <f>IF(AND('CG. MPB'!D64="NO CONFINADO",'CG. MPB'!E64="TABIQUE",'CG. MPB'!F64="MACIZO"),T63,IF(AND('CG. MPB'!D64="NO CONFINADO",'CG. MPB'!E64="TABICON",'CG. MPB'!F64="MACIZO"),T63,IF(AND('CG. MPB'!D64="NO CONFINADO",'CG. MPB'!E64="LIGERO",'CG. MPB'!F64="MACIZO"),T63,0)))</f>
        <v>0</v>
      </c>
      <c r="AA63" s="543">
        <f>IF('CG. MPB'!E64="ADOBE",'RMCV.PB'!U63,0)</f>
        <v>0</v>
      </c>
      <c r="AB63" s="543">
        <f>IF('CG. MPB'!E64="CONCRETO",'RMCV.PB'!V63,0)</f>
        <v>0</v>
      </c>
      <c r="AC63" s="900">
        <f>IF('CG. MPB'!E64="CANTERA",'RMCV.PB'!W63,0)</f>
        <v>0</v>
      </c>
      <c r="AD63" s="93">
        <f t="shared" si="5"/>
        <v>0</v>
      </c>
      <c r="AE63" s="428">
        <v>0.6</v>
      </c>
      <c r="AF63" s="4" t="e">
        <f>(1-2*AD63/C63)*(1-(AE63*'CG. MPB'!C64*10/(30*C63))^2)</f>
        <v>#DIV/0!</v>
      </c>
      <c r="AG63" s="350" t="e">
        <f>(1-(2*AD63/C63))*(1-(AE63*'CG. MPB'!C64*10/(30*C63))^2)*(1-('CG. MPB'!C64*10/B63))+('CG. MPB'!C64*10/B63)</f>
        <v>#DIV/0!</v>
      </c>
      <c r="AH63" s="429" t="e">
        <f t="shared" si="8"/>
        <v>#DIV/0!</v>
      </c>
    </row>
    <row r="64" spans="1:34" ht="15" hidden="1" customHeight="1">
      <c r="A64" s="684">
        <f>'CG. MPB'!A65</f>
        <v>36</v>
      </c>
      <c r="B64" s="578">
        <f>'CG. MPB'!B65*100</f>
        <v>0</v>
      </c>
      <c r="C64" s="68">
        <f>'ELEM. MECA.'!J41</f>
        <v>0</v>
      </c>
      <c r="D64" s="38">
        <f>IF(AND('CG. MPB'!D65="CONFINADO",'CG. MPB'!E65="CONCRETO"),0.8,IF('CG. MPB'!D65="NO CONFINADO",0.3,0.6))</f>
        <v>0.6</v>
      </c>
      <c r="E64" s="68">
        <v>0.6</v>
      </c>
      <c r="F64" s="38">
        <f>IF('CG. MPB'!E65="CONCRETO",G64,'RMCV.PB'!H64+'RMCV.PB'!I64+'RMCV.PB'!J64+K64+L64+M64)</f>
        <v>0</v>
      </c>
      <c r="G64" s="542">
        <f>IF('CG. MPB'!E65="CONCRETO",0.6*$G$24,0)</f>
        <v>0</v>
      </c>
      <c r="H64" s="574">
        <f>IF(AND('CG. MPB'!E65="TABIQUE",'CG. MPB'!F65="MACIZO"),15,0)</f>
        <v>0</v>
      </c>
      <c r="I64" s="574">
        <f>IF(AND('CG. MPB'!E65="TABIQUE",'CG. MPB'!F65="HUECO"),IF(E52="III",30,40),0)</f>
        <v>0</v>
      </c>
      <c r="J64" s="574">
        <f>IF('CG. MPB'!E65="TABICON",IF(E52="I",20,15),0)</f>
        <v>0</v>
      </c>
      <c r="K64" s="574">
        <f>IF('CG. MPB'!E65="ADOBE",10,0)</f>
        <v>0</v>
      </c>
      <c r="L64" s="574">
        <f>IF('CG. MPB'!E65="LIGERO",10,0)</f>
        <v>0</v>
      </c>
      <c r="M64" s="574">
        <f>IF('CG. MPB'!E65="CANTERA",30,0)</f>
        <v>0</v>
      </c>
      <c r="N64" s="575">
        <f t="shared" si="6"/>
        <v>0</v>
      </c>
      <c r="O64" s="918">
        <f>ABS('ELEM. MECA.'!D41)</f>
        <v>0</v>
      </c>
      <c r="P64" s="919">
        <f>IF(AND('CG. MPB'!D65="CONFINADO",'CG. MPB'!E65="TABIQUE",'CG. MPB'!F65="MACIZO"),'RMCV.PB'!Y64,IF(AND('CG. MPB'!D65="CONFINADO",'CG. MPB'!E65="TABICON",'CG. MPB'!F65="MACIZO"),'RMCV.PB'!Y64,IF(AND('CG. MPB'!D65="CONFINADO",'CG. MPB'!E65="LIGERO",'CG. MPB'!F65="MACIZO"),'RMCV.PB'!Y64,IF(AND('CG. MPB'!D65="NO CONFINADO",'CG. MPB'!E65="TABIQUE",'CG. MPB'!F65="MACIZO"),Z64,IF(AND('CG. MPB'!D65="NO CONFINADO",'CG. MPB'!E65="TABICON",'CG. MPB'!F65="MACIZO"),Z64,IF(AND('CG. MPB'!D65="NO CONFINADO",'CG. MPB'!E65="LIGERO",'CG. MPB'!F65="MACIZO"),Z64,IF(AND('CG. MPB'!E65="TABIQUE",'CG. MPB'!F65="HUECO"),X64,IF('CG. MPB'!E65="ADOBE",'RMCV.PB'!AA64,'RMCV.PB'!AB64))))))))</f>
        <v>0</v>
      </c>
      <c r="Q64" s="685" t="str">
        <f t="shared" si="7"/>
        <v>PASA</v>
      </c>
      <c r="R64" s="4">
        <f>IF(D64*E64*(F64*N64+'CASTILLOS-PB'!W64*FY)&gt;1.25*D64*E64*F64*N64,1.25*D64*E64*F64*N64,D64*E64*(F64*N64+'CASTILLOS-PB'!W64*FY))</f>
        <v>0</v>
      </c>
      <c r="S64" s="4">
        <f>D64*E64*(F64*N64+'CASTILLOS-PB'!G64*FY*2)</f>
        <v>8588.16</v>
      </c>
      <c r="T64" s="4">
        <f t="shared" si="2"/>
        <v>0</v>
      </c>
      <c r="U64" s="521">
        <f t="shared" si="3"/>
        <v>0</v>
      </c>
      <c r="V64" s="533">
        <f>D64*(0.7*$G$24*(B64*C64)+2000*'MUR.CONC-PB'!K64)</f>
        <v>0</v>
      </c>
      <c r="W64" s="533">
        <f t="shared" si="4"/>
        <v>0</v>
      </c>
      <c r="X64" s="543">
        <f>IF(AND('CG. MPB'!E65="TABIQUE",'CG. MPB'!F65="HUECO"),R64,0)</f>
        <v>0</v>
      </c>
      <c r="Y64" s="543">
        <f>IF(AND('CG. MPB'!D65="CONFINADO",'CG. MPB'!E65="TABIQUE",'CG. MPB'!F65="MACIZO"),'RMCV.PB'!S64,IF(AND('CG. MPB'!D65="CONFINADO",'CG. MPB'!E65="TABICON",'CG. MPB'!F65="MACIZO"),'RMCV.PB'!S64,IF(AND('CG. MPB'!D65="CONFINADO",'CG. MPB'!E65="LIGERO",'CG. MPB'!F65="MACIZO"),'RMCV.PB'!S64,0)))</f>
        <v>0</v>
      </c>
      <c r="Z64" s="543">
        <f>IF(AND('CG. MPB'!D65="NO CONFINADO",'CG. MPB'!E65="TABIQUE",'CG. MPB'!F65="MACIZO"),T64,IF(AND('CG. MPB'!D65="NO CONFINADO",'CG. MPB'!E65="TABICON",'CG. MPB'!F65="MACIZO"),T64,IF(AND('CG. MPB'!D65="NO CONFINADO",'CG. MPB'!E65="LIGERO",'CG. MPB'!F65="MACIZO"),T64,0)))</f>
        <v>0</v>
      </c>
      <c r="AA64" s="543">
        <f>IF('CG. MPB'!E65="ADOBE",'RMCV.PB'!U64,0)</f>
        <v>0</v>
      </c>
      <c r="AB64" s="543">
        <f>IF('CG. MPB'!E65="CONCRETO",'RMCV.PB'!V64,0)</f>
        <v>0</v>
      </c>
      <c r="AC64" s="900">
        <f>IF('CG. MPB'!E65="CANTERA",'RMCV.PB'!W64,0)</f>
        <v>0</v>
      </c>
      <c r="AD64" s="93">
        <f t="shared" si="5"/>
        <v>0</v>
      </c>
      <c r="AE64" s="428">
        <v>0.6</v>
      </c>
      <c r="AF64" s="4" t="e">
        <f>(1-2*AD64/C64)*(1-(AE64*'CG. MPB'!C65*10/(30*C64))^2)</f>
        <v>#DIV/0!</v>
      </c>
      <c r="AG64" s="350" t="e">
        <f>(1-(2*AD64/C64))*(1-(AE64*'CG. MPB'!C65*10/(30*C64))^2)*(1-('CG. MPB'!C65*10/B64))+('CG. MPB'!C65*10/B64)</f>
        <v>#DIV/0!</v>
      </c>
      <c r="AH64" s="429" t="e">
        <f t="shared" si="8"/>
        <v>#DIV/0!</v>
      </c>
    </row>
    <row r="65" spans="1:37" ht="15" hidden="1" customHeight="1">
      <c r="A65" s="684">
        <f>'CG. MPB'!A66</f>
        <v>37</v>
      </c>
      <c r="B65" s="578">
        <f>'CG. MPB'!B66*100</f>
        <v>0</v>
      </c>
      <c r="C65" s="68">
        <f>'ELEM. MECA.'!J42</f>
        <v>0</v>
      </c>
      <c r="D65" s="38">
        <f>IF(AND('CG. MPB'!D66="CONFINADO",'CG. MPB'!E66="CONCRETO"),0.8,IF('CG. MPB'!D66="NO CONFINADO",0.3,0.6))</f>
        <v>0.6</v>
      </c>
      <c r="E65" s="68">
        <v>0.6</v>
      </c>
      <c r="F65" s="38">
        <f>IF('CG. MPB'!E66="CONCRETO",G65,'RMCV.PB'!H65+'RMCV.PB'!I65+'RMCV.PB'!J65+K65+L65+M65)</f>
        <v>0</v>
      </c>
      <c r="G65" s="542">
        <f>IF('CG. MPB'!E66="CONCRETO",0.6*$G$24,0)</f>
        <v>0</v>
      </c>
      <c r="H65" s="574">
        <f>IF(AND('CG. MPB'!E66="TABIQUE",'CG. MPB'!F66="MACIZO"),15,0)</f>
        <v>0</v>
      </c>
      <c r="I65" s="574">
        <f>IF(AND('CG. MPB'!E66="TABIQUE",'CG. MPB'!F66="HUECO"),IF(E53="III",30,40),0)</f>
        <v>0</v>
      </c>
      <c r="J65" s="574">
        <f>IF('CG. MPB'!E66="TABICON",IF(E53="I",20,15),0)</f>
        <v>0</v>
      </c>
      <c r="K65" s="574">
        <f>IF('CG. MPB'!E66="ADOBE",10,0)</f>
        <v>0</v>
      </c>
      <c r="L65" s="574">
        <f>IF('CG. MPB'!E66="LIGERO",10,0)</f>
        <v>0</v>
      </c>
      <c r="M65" s="574">
        <f>IF('CG. MPB'!E66="CANTERA",30,0)</f>
        <v>0</v>
      </c>
      <c r="N65" s="575">
        <f t="shared" si="6"/>
        <v>0</v>
      </c>
      <c r="O65" s="918">
        <f>ABS('ELEM. MECA.'!D42)</f>
        <v>0</v>
      </c>
      <c r="P65" s="919">
        <f>IF(AND('CG. MPB'!D66="CONFINADO",'CG. MPB'!E66="TABIQUE",'CG. MPB'!F66="MACIZO"),'RMCV.PB'!Y65,IF(AND('CG. MPB'!D66="CONFINADO",'CG. MPB'!E66="TABICON",'CG. MPB'!F66="MACIZO"),'RMCV.PB'!Y65,IF(AND('CG. MPB'!D66="CONFINADO",'CG. MPB'!E66="LIGERO",'CG. MPB'!F66="MACIZO"),'RMCV.PB'!Y65,IF(AND('CG. MPB'!D66="NO CONFINADO",'CG. MPB'!E66="TABIQUE",'CG. MPB'!F66="MACIZO"),Z65,IF(AND('CG. MPB'!D66="NO CONFINADO",'CG. MPB'!E66="TABICON",'CG. MPB'!F66="MACIZO"),Z65,IF(AND('CG. MPB'!D66="NO CONFINADO",'CG. MPB'!E66="LIGERO",'CG. MPB'!F66="MACIZO"),Z65,IF(AND('CG. MPB'!E66="TABIQUE",'CG. MPB'!F66="HUECO"),X65,IF('CG. MPB'!E66="ADOBE",'RMCV.PB'!AA65,'RMCV.PB'!AB65))))))))</f>
        <v>0</v>
      </c>
      <c r="Q65" s="685" t="str">
        <f t="shared" si="7"/>
        <v>PASA</v>
      </c>
      <c r="R65" s="4">
        <f>IF(D65*E65*(F65*N65+'CASTILLOS-PB'!W65*FY)&gt;1.25*D65*E65*F65*N65,1.25*D65*E65*F65*N65,D65*E65*(F65*N65+'CASTILLOS-PB'!W65*FY))</f>
        <v>0</v>
      </c>
      <c r="S65" s="4">
        <f>D65*E65*(F65*N65+'CASTILLOS-PB'!G65*FY*2)</f>
        <v>8588.16</v>
      </c>
      <c r="T65" s="4">
        <f t="shared" si="2"/>
        <v>0</v>
      </c>
      <c r="U65" s="521">
        <f t="shared" si="3"/>
        <v>0</v>
      </c>
      <c r="V65" s="533">
        <f>D65*(0.7*$G$24*(B65*C65)+2000*'MUR.CONC-PB'!K65)</f>
        <v>0</v>
      </c>
      <c r="W65" s="533">
        <f t="shared" si="4"/>
        <v>0</v>
      </c>
      <c r="X65" s="543">
        <f>IF(AND('CG. MPB'!E66="TABIQUE",'CG. MPB'!F66="HUECO"),R65,0)</f>
        <v>0</v>
      </c>
      <c r="Y65" s="543">
        <f>IF(AND('CG. MPB'!D66="CONFINADO",'CG. MPB'!E66="TABIQUE",'CG. MPB'!F66="MACIZO"),'RMCV.PB'!S65,IF(AND('CG. MPB'!D66="CONFINADO",'CG. MPB'!E66="TABICON",'CG. MPB'!F66="MACIZO"),'RMCV.PB'!S65,IF(AND('CG. MPB'!D66="CONFINADO",'CG. MPB'!E66="LIGERO",'CG. MPB'!F66="MACIZO"),'RMCV.PB'!S65,0)))</f>
        <v>0</v>
      </c>
      <c r="Z65" s="543">
        <f>IF(AND('CG. MPB'!D66="NO CONFINADO",'CG. MPB'!E66="TABIQUE",'CG. MPB'!F66="MACIZO"),T65,IF(AND('CG. MPB'!D66="NO CONFINADO",'CG. MPB'!E66="TABICON",'CG. MPB'!F66="MACIZO"),T65,IF(AND('CG. MPB'!D66="NO CONFINADO",'CG. MPB'!E66="LIGERO",'CG. MPB'!F66="MACIZO"),T65,0)))</f>
        <v>0</v>
      </c>
      <c r="AA65" s="543">
        <f>IF('CG. MPB'!E66="ADOBE",'RMCV.PB'!U65,0)</f>
        <v>0</v>
      </c>
      <c r="AB65" s="543">
        <f>IF('CG. MPB'!E66="CONCRETO",'RMCV.PB'!V65,0)</f>
        <v>0</v>
      </c>
      <c r="AC65" s="900">
        <f>IF('CG. MPB'!E66="CANTERA",'RMCV.PB'!W65,0)</f>
        <v>0</v>
      </c>
      <c r="AD65" s="93">
        <f t="shared" si="5"/>
        <v>0</v>
      </c>
      <c r="AE65" s="428">
        <v>0.6</v>
      </c>
      <c r="AF65" s="4" t="e">
        <f>(1-2*AD65/C65)*(1-(AE65*'CG. MPB'!C66*10/(30*C65))^2)</f>
        <v>#DIV/0!</v>
      </c>
      <c r="AG65" s="350" t="e">
        <f>(1-(2*AD65/C65))*(1-(AE65*'CG. MPB'!C66*10/(30*C65))^2)*(1-('CG. MPB'!C66*10/B65))+('CG. MPB'!C66*10/B65)</f>
        <v>#DIV/0!</v>
      </c>
      <c r="AH65" s="429" t="e">
        <f t="shared" si="8"/>
        <v>#DIV/0!</v>
      </c>
    </row>
    <row r="66" spans="1:37" ht="15" hidden="1" customHeight="1">
      <c r="A66" s="684">
        <f>'CG. MPB'!A67</f>
        <v>38</v>
      </c>
      <c r="B66" s="578">
        <f>'CG. MPB'!B67*100</f>
        <v>0</v>
      </c>
      <c r="C66" s="68">
        <f>'ELEM. MECA.'!J43</f>
        <v>0</v>
      </c>
      <c r="D66" s="38">
        <f>IF(AND('CG. MPB'!D67="CONFINADO",'CG. MPB'!E67="CONCRETO"),0.8,IF('CG. MPB'!D67="NO CONFINADO",0.3,0.6))</f>
        <v>0.6</v>
      </c>
      <c r="E66" s="68">
        <v>0.6</v>
      </c>
      <c r="F66" s="38">
        <f>IF('CG. MPB'!E67="CONCRETO",G66,'RMCV.PB'!H66+'RMCV.PB'!I66+'RMCV.PB'!J66+K66+L66+M66)</f>
        <v>0</v>
      </c>
      <c r="G66" s="542">
        <f>IF('CG. MPB'!E67="CONCRETO",0.6*$G$24,0)</f>
        <v>0</v>
      </c>
      <c r="H66" s="574">
        <f>IF(AND('CG. MPB'!E67="TABIQUE",'CG. MPB'!F67="MACIZO"),15,0)</f>
        <v>0</v>
      </c>
      <c r="I66" s="574">
        <f>IF(AND('CG. MPB'!E67="TABIQUE",'CG. MPB'!F67="HUECO"),IF(E54="III",30,40),0)</f>
        <v>0</v>
      </c>
      <c r="J66" s="574">
        <f>IF('CG. MPB'!E67="TABICON",IF(E54="I",20,15),0)</f>
        <v>0</v>
      </c>
      <c r="K66" s="574">
        <f>IF('CG. MPB'!E67="ADOBE",10,0)</f>
        <v>0</v>
      </c>
      <c r="L66" s="574">
        <f>IF('CG. MPB'!E67="LIGERO",10,0)</f>
        <v>0</v>
      </c>
      <c r="M66" s="574">
        <f>IF('CG. MPB'!E67="CANTERA",30,0)</f>
        <v>0</v>
      </c>
      <c r="N66" s="575">
        <f t="shared" si="6"/>
        <v>0</v>
      </c>
      <c r="O66" s="918">
        <f>ABS('ELEM. MECA.'!D43)</f>
        <v>0</v>
      </c>
      <c r="P66" s="919">
        <f>IF(AND('CG. MPB'!D67="CONFINADO",'CG. MPB'!E67="TABIQUE",'CG. MPB'!F67="MACIZO"),'RMCV.PB'!Y66,IF(AND('CG. MPB'!D67="CONFINADO",'CG. MPB'!E67="TABICON",'CG. MPB'!F67="MACIZO"),'RMCV.PB'!Y66,IF(AND('CG. MPB'!D67="CONFINADO",'CG. MPB'!E67="LIGERO",'CG. MPB'!F67="MACIZO"),'RMCV.PB'!Y66,IF(AND('CG. MPB'!D67="NO CONFINADO",'CG. MPB'!E67="TABIQUE",'CG. MPB'!F67="MACIZO"),Z66,IF(AND('CG. MPB'!D67="NO CONFINADO",'CG. MPB'!E67="TABICON",'CG. MPB'!F67="MACIZO"),Z66,IF(AND('CG. MPB'!D67="NO CONFINADO",'CG. MPB'!E67="LIGERO",'CG. MPB'!F67="MACIZO"),Z66,IF(AND('CG. MPB'!E67="TABIQUE",'CG. MPB'!F67="HUECO"),X66,IF('CG. MPB'!E67="ADOBE",'RMCV.PB'!AA66,'RMCV.PB'!AB66))))))))</f>
        <v>0</v>
      </c>
      <c r="Q66" s="685" t="str">
        <f t="shared" si="7"/>
        <v>PASA</v>
      </c>
      <c r="R66" s="4">
        <f>IF(D66*E66*(F66*N66+'CASTILLOS-PB'!W66*FY)&gt;1.25*D66*E66*F66*N66,1.25*D66*E66*F66*N66,D66*E66*(F66*N66+'CASTILLOS-PB'!W66*FY))</f>
        <v>0</v>
      </c>
      <c r="S66" s="4">
        <f>D66*E66*(F66*N66+'CASTILLOS-PB'!G66*FY*2)</f>
        <v>8588.16</v>
      </c>
      <c r="T66" s="4">
        <f t="shared" si="2"/>
        <v>0</v>
      </c>
      <c r="U66" s="521">
        <f t="shared" si="3"/>
        <v>0</v>
      </c>
      <c r="V66" s="533">
        <f>D66*(0.7*$G$24*(B66*C66)+2000*'MUR.CONC-PB'!K66)</f>
        <v>0</v>
      </c>
      <c r="W66" s="533">
        <f t="shared" si="4"/>
        <v>0</v>
      </c>
      <c r="X66" s="543">
        <f>IF(AND('CG. MPB'!E67="TABIQUE",'CG. MPB'!F67="HUECO"),R66,0)</f>
        <v>0</v>
      </c>
      <c r="Y66" s="543">
        <f>IF(AND('CG. MPB'!D67="CONFINADO",'CG. MPB'!E67="TABIQUE",'CG. MPB'!F67="MACIZO"),'RMCV.PB'!S66,IF(AND('CG. MPB'!D67="CONFINADO",'CG. MPB'!E67="TABICON",'CG. MPB'!F67="MACIZO"),'RMCV.PB'!S66,IF(AND('CG. MPB'!D67="CONFINADO",'CG. MPB'!E67="LIGERO",'CG. MPB'!F67="MACIZO"),'RMCV.PB'!S66,0)))</f>
        <v>0</v>
      </c>
      <c r="Z66" s="543">
        <f>IF(AND('CG. MPB'!D67="NO CONFINADO",'CG. MPB'!E67="TABIQUE",'CG. MPB'!F67="MACIZO"),T66,IF(AND('CG. MPB'!D67="NO CONFINADO",'CG. MPB'!E67="TABICON",'CG. MPB'!F67="MACIZO"),T66,IF(AND('CG. MPB'!D67="NO CONFINADO",'CG. MPB'!E67="LIGERO",'CG. MPB'!F67="MACIZO"),T66,0)))</f>
        <v>0</v>
      </c>
      <c r="AA66" s="543">
        <f>IF('CG. MPB'!E67="ADOBE",'RMCV.PB'!U66,0)</f>
        <v>0</v>
      </c>
      <c r="AB66" s="543">
        <f>IF('CG. MPB'!E67="CONCRETO",'RMCV.PB'!V66,0)</f>
        <v>0</v>
      </c>
      <c r="AC66" s="900">
        <f>IF('CG. MPB'!E67="CANTERA",'RMCV.PB'!W66,0)</f>
        <v>0</v>
      </c>
      <c r="AD66" s="93">
        <f t="shared" si="5"/>
        <v>0</v>
      </c>
      <c r="AE66" s="428">
        <v>0.6</v>
      </c>
      <c r="AF66" s="4" t="e">
        <f>(1-2*AD66/C66)*(1-(AE66*'CG. MPB'!C67*10/(30*C66))^2)</f>
        <v>#DIV/0!</v>
      </c>
      <c r="AG66" s="350" t="e">
        <f>(1-(2*AD66/C66))*(1-(AE66*'CG. MPB'!C67*10/(30*C66))^2)*(1-('CG. MPB'!C67*10/B66))+('CG. MPB'!C67*10/B66)</f>
        <v>#DIV/0!</v>
      </c>
      <c r="AH66" s="429" t="e">
        <f t="shared" si="8"/>
        <v>#DIV/0!</v>
      </c>
    </row>
    <row r="67" spans="1:37" ht="15" hidden="1" customHeight="1">
      <c r="A67" s="684">
        <f>'CG. MPB'!A68</f>
        <v>39</v>
      </c>
      <c r="B67" s="578">
        <f>'CG. MPB'!B68*100</f>
        <v>0</v>
      </c>
      <c r="C67" s="68">
        <f>'ELEM. MECA.'!J44</f>
        <v>0</v>
      </c>
      <c r="D67" s="38">
        <f>IF(AND('CG. MPB'!D68="CONFINADO",'CG. MPB'!E68="CONCRETO"),0.8,IF('CG. MPB'!D68="NO CONFINADO",0.3,0.6))</f>
        <v>0.6</v>
      </c>
      <c r="E67" s="68">
        <v>0.6</v>
      </c>
      <c r="F67" s="38">
        <f>IF('CG. MPB'!E68="CONCRETO",G67,'RMCV.PB'!H67+'RMCV.PB'!I67+'RMCV.PB'!J67+K67+L67+M67)</f>
        <v>0</v>
      </c>
      <c r="G67" s="542">
        <f>IF('CG. MPB'!E68="CONCRETO",0.6*$G$24,0)</f>
        <v>0</v>
      </c>
      <c r="H67" s="574">
        <f>IF(AND('CG. MPB'!E68="TABIQUE",'CG. MPB'!F68="MACIZO"),15,0)</f>
        <v>0</v>
      </c>
      <c r="I67" s="574">
        <f>IF(AND('CG. MPB'!E68="TABIQUE",'CG. MPB'!F68="HUECO"),IF(E55="III",30,40),0)</f>
        <v>0</v>
      </c>
      <c r="J67" s="574">
        <f>IF('CG. MPB'!E68="TABICON",IF(E55="I",20,15),0)</f>
        <v>0</v>
      </c>
      <c r="K67" s="574">
        <f>IF('CG. MPB'!E68="ADOBE",10,0)</f>
        <v>0</v>
      </c>
      <c r="L67" s="574">
        <f>IF('CG. MPB'!E68="LIGERO",10,0)</f>
        <v>0</v>
      </c>
      <c r="M67" s="574">
        <f>IF('CG. MPB'!E68="CANTERA",30,0)</f>
        <v>0</v>
      </c>
      <c r="N67" s="575">
        <f t="shared" si="6"/>
        <v>0</v>
      </c>
      <c r="O67" s="918">
        <f>ABS('ELEM. MECA.'!D44)</f>
        <v>0</v>
      </c>
      <c r="P67" s="919">
        <f>IF(AND('CG. MPB'!D68="CONFINADO",'CG. MPB'!E68="TABIQUE",'CG. MPB'!F68="MACIZO"),'RMCV.PB'!Y67,IF(AND('CG. MPB'!D68="CONFINADO",'CG. MPB'!E68="TABICON",'CG. MPB'!F68="MACIZO"),'RMCV.PB'!Y67,IF(AND('CG. MPB'!D68="CONFINADO",'CG. MPB'!E68="LIGERO",'CG. MPB'!F68="MACIZO"),'RMCV.PB'!Y67,IF(AND('CG. MPB'!D68="NO CONFINADO",'CG. MPB'!E68="TABIQUE",'CG. MPB'!F68="MACIZO"),Z67,IF(AND('CG. MPB'!D68="NO CONFINADO",'CG. MPB'!E68="TABICON",'CG. MPB'!F68="MACIZO"),Z67,IF(AND('CG. MPB'!D68="NO CONFINADO",'CG. MPB'!E68="LIGERO",'CG. MPB'!F68="MACIZO"),Z67,IF(AND('CG. MPB'!E68="TABIQUE",'CG. MPB'!F68="HUECO"),X67,IF('CG. MPB'!E68="ADOBE",'RMCV.PB'!AA67,'RMCV.PB'!AB67))))))))</f>
        <v>0</v>
      </c>
      <c r="Q67" s="685" t="str">
        <f t="shared" si="7"/>
        <v>PASA</v>
      </c>
      <c r="R67" s="4">
        <f>IF(D67*E67*(F67*N67+'CASTILLOS-PB'!W67*FY)&gt;1.25*D67*E67*F67*N67,1.25*D67*E67*F67*N67,D67*E67*(F67*N67+'CASTILLOS-PB'!W67*FY))</f>
        <v>0</v>
      </c>
      <c r="S67" s="4">
        <f>D67*E67*(F67*N67+'CASTILLOS-PB'!G67*FY*2)</f>
        <v>8588.16</v>
      </c>
      <c r="T67" s="4">
        <f t="shared" si="2"/>
        <v>0</v>
      </c>
      <c r="U67" s="521">
        <f t="shared" si="3"/>
        <v>0</v>
      </c>
      <c r="V67" s="533">
        <f>D67*(0.7*$G$24*(B67*C67)+2000*'MUR.CONC-PB'!K67)</f>
        <v>0</v>
      </c>
      <c r="W67" s="533">
        <f t="shared" si="4"/>
        <v>0</v>
      </c>
      <c r="X67" s="543">
        <f>IF(AND('CG. MPB'!E68="TABIQUE",'CG. MPB'!F68="HUECO"),R67,0)</f>
        <v>0</v>
      </c>
      <c r="Y67" s="543">
        <f>IF(AND('CG. MPB'!D68="CONFINADO",'CG. MPB'!E68="TABIQUE",'CG. MPB'!F68="MACIZO"),'RMCV.PB'!S67,IF(AND('CG. MPB'!D68="CONFINADO",'CG. MPB'!E68="TABICON",'CG. MPB'!F68="MACIZO"),'RMCV.PB'!S67,IF(AND('CG. MPB'!D68="CONFINADO",'CG. MPB'!E68="LIGERO",'CG. MPB'!F68="MACIZO"),'RMCV.PB'!S67,0)))</f>
        <v>0</v>
      </c>
      <c r="Z67" s="543">
        <f>IF(AND('CG. MPB'!D68="NO CONFINADO",'CG. MPB'!E68="TABIQUE",'CG. MPB'!F68="MACIZO"),T67,IF(AND('CG. MPB'!D68="NO CONFINADO",'CG. MPB'!E68="TABICON",'CG. MPB'!F68="MACIZO"),T67,IF(AND('CG. MPB'!D68="NO CONFINADO",'CG. MPB'!E68="LIGERO",'CG. MPB'!F68="MACIZO"),T67,0)))</f>
        <v>0</v>
      </c>
      <c r="AA67" s="543">
        <f>IF('CG. MPB'!E68="ADOBE",'RMCV.PB'!U67,0)</f>
        <v>0</v>
      </c>
      <c r="AB67" s="543">
        <f>IF('CG. MPB'!E68="CONCRETO",'RMCV.PB'!V67,0)</f>
        <v>0</v>
      </c>
      <c r="AC67" s="900">
        <f>IF('CG. MPB'!E68="CANTERA",'RMCV.PB'!W67,0)</f>
        <v>0</v>
      </c>
      <c r="AD67" s="93">
        <f t="shared" si="5"/>
        <v>0</v>
      </c>
      <c r="AE67" s="428">
        <v>0.6</v>
      </c>
      <c r="AF67" s="4" t="e">
        <f>(1-2*AD67/C67)*(1-(AE67*'CG. MPB'!C68*10/(30*C67))^2)</f>
        <v>#DIV/0!</v>
      </c>
      <c r="AG67" s="350" t="e">
        <f>(1-(2*AD67/C67))*(1-(AE67*'CG. MPB'!C68*10/(30*C67))^2)*(1-('CG. MPB'!C68*10/B67))+('CG. MPB'!C68*10/B67)</f>
        <v>#DIV/0!</v>
      </c>
      <c r="AH67" s="429" t="e">
        <f t="shared" si="8"/>
        <v>#DIV/0!</v>
      </c>
    </row>
    <row r="68" spans="1:37" ht="15" hidden="1" customHeight="1">
      <c r="A68" s="684">
        <f>'CG. MPB'!A69</f>
        <v>40</v>
      </c>
      <c r="B68" s="578">
        <f>'CG. MPB'!B69*100</f>
        <v>0</v>
      </c>
      <c r="C68" s="68">
        <f>'ELEM. MECA.'!J45</f>
        <v>0</v>
      </c>
      <c r="D68" s="38">
        <f>IF(AND('CG. MPB'!D69="CONFINADO",'CG. MPB'!E69="CONCRETO"),0.8,IF('CG. MPB'!D69="NO CONFINADO",0.3,0.6))</f>
        <v>0.6</v>
      </c>
      <c r="E68" s="68">
        <v>0.6</v>
      </c>
      <c r="F68" s="38">
        <f>IF('CG. MPB'!E69="CONCRETO",G68,'RMCV.PB'!H68+'RMCV.PB'!I68+'RMCV.PB'!J68+K68+L68+M68)</f>
        <v>0</v>
      </c>
      <c r="G68" s="542">
        <f>IF('CG. MPB'!E69="CONCRETO",0.6*$G$24,0)</f>
        <v>0</v>
      </c>
      <c r="H68" s="574">
        <f>IF(AND('CG. MPB'!E69="TABIQUE",'CG. MPB'!F69="MACIZO"),15,0)</f>
        <v>0</v>
      </c>
      <c r="I68" s="574">
        <f>IF(AND('CG. MPB'!E69="TABIQUE",'CG. MPB'!F69="HUECO"),IF(E56="III",30,40),0)</f>
        <v>0</v>
      </c>
      <c r="J68" s="574">
        <f>IF('CG. MPB'!E69="TABICON",IF(E56="I",20,15),0)</f>
        <v>0</v>
      </c>
      <c r="K68" s="574">
        <f>IF('CG. MPB'!E69="ADOBE",10,0)</f>
        <v>0</v>
      </c>
      <c r="L68" s="574">
        <f>IF('CG. MPB'!E69="LIGERO",10,0)</f>
        <v>0</v>
      </c>
      <c r="M68" s="574">
        <f>IF('CG. MPB'!E69="CANTERA",30,0)</f>
        <v>0</v>
      </c>
      <c r="N68" s="575">
        <f t="shared" si="6"/>
        <v>0</v>
      </c>
      <c r="O68" s="918">
        <f>ABS('ELEM. MECA.'!D45)</f>
        <v>0</v>
      </c>
      <c r="P68" s="919">
        <f>IF(AND('CG. MPB'!D69="CONFINADO",'CG. MPB'!E69="TABIQUE",'CG. MPB'!F69="MACIZO"),'RMCV.PB'!Y68,IF(AND('CG. MPB'!D69="CONFINADO",'CG. MPB'!E69="TABICON",'CG. MPB'!F69="MACIZO"),'RMCV.PB'!Y68,IF(AND('CG. MPB'!D69="CONFINADO",'CG. MPB'!E69="LIGERO",'CG. MPB'!F69="MACIZO"),'RMCV.PB'!Y68,IF(AND('CG. MPB'!D69="NO CONFINADO",'CG. MPB'!E69="TABIQUE",'CG. MPB'!F69="MACIZO"),Z68,IF(AND('CG. MPB'!D69="NO CONFINADO",'CG. MPB'!E69="TABICON",'CG. MPB'!F69="MACIZO"),Z68,IF(AND('CG. MPB'!D69="NO CONFINADO",'CG. MPB'!E69="LIGERO",'CG. MPB'!F69="MACIZO"),Z68,IF(AND('CG. MPB'!E69="TABIQUE",'CG. MPB'!F69="HUECO"),X68,IF('CG. MPB'!E69="ADOBE",'RMCV.PB'!AA68,'RMCV.PB'!AB68))))))))</f>
        <v>0</v>
      </c>
      <c r="Q68" s="685" t="str">
        <f t="shared" si="7"/>
        <v>PASA</v>
      </c>
      <c r="R68" s="4">
        <f>IF(D68*E68*(F68*N68+'CASTILLOS-PB'!W68*FY)&gt;1.25*D68*E68*F68*N68,1.25*D68*E68*F68*N68,D68*E68*(F68*N68+'CASTILLOS-PB'!W68*FY))</f>
        <v>0</v>
      </c>
      <c r="S68" s="4">
        <f>D68*E68*(F68*N68+'CASTILLOS-PB'!G68*FY*2)</f>
        <v>8588.16</v>
      </c>
      <c r="T68" s="4">
        <f t="shared" si="2"/>
        <v>0</v>
      </c>
      <c r="U68" s="521">
        <f t="shared" si="3"/>
        <v>0</v>
      </c>
      <c r="V68" s="533">
        <f>D68*(0.7*$G$24*(B68*C68)+2000*'MUR.CONC-PB'!K68)</f>
        <v>0</v>
      </c>
      <c r="W68" s="533">
        <f t="shared" si="4"/>
        <v>0</v>
      </c>
      <c r="X68" s="543">
        <f>IF(AND('CG. MPB'!E69="TABIQUE",'CG. MPB'!F69="HUECO"),R68,0)</f>
        <v>0</v>
      </c>
      <c r="Y68" s="543">
        <f>IF(AND('CG. MPB'!D69="CONFINADO",'CG. MPB'!E69="TABIQUE",'CG. MPB'!F69="MACIZO"),'RMCV.PB'!S68,IF(AND('CG. MPB'!D69="CONFINADO",'CG. MPB'!E69="TABICON",'CG. MPB'!F69="MACIZO"),'RMCV.PB'!S68,IF(AND('CG. MPB'!D69="CONFINADO",'CG. MPB'!E69="LIGERO",'CG. MPB'!F69="MACIZO"),'RMCV.PB'!S68,0)))</f>
        <v>0</v>
      </c>
      <c r="Z68" s="543">
        <f>IF(AND('CG. MPB'!D69="NO CONFINADO",'CG. MPB'!E69="TABIQUE",'CG. MPB'!F69="MACIZO"),T68,IF(AND('CG. MPB'!D69="NO CONFINADO",'CG. MPB'!E69="TABICON",'CG. MPB'!F69="MACIZO"),T68,IF(AND('CG. MPB'!D69="NO CONFINADO",'CG. MPB'!E69="LIGERO",'CG. MPB'!F69="MACIZO"),T68,0)))</f>
        <v>0</v>
      </c>
      <c r="AA68" s="543">
        <f>IF('CG. MPB'!E69="ADOBE",'RMCV.PB'!U68,0)</f>
        <v>0</v>
      </c>
      <c r="AB68" s="543">
        <f>IF('CG. MPB'!E69="CONCRETO",'RMCV.PB'!V68,0)</f>
        <v>0</v>
      </c>
      <c r="AC68" s="900">
        <f>IF('CG. MPB'!E69="CANTERA",'RMCV.PB'!W68,0)</f>
        <v>0</v>
      </c>
      <c r="AD68" s="93">
        <f t="shared" si="5"/>
        <v>0</v>
      </c>
      <c r="AE68" s="428">
        <v>0.6</v>
      </c>
      <c r="AF68" s="4" t="e">
        <f>(1-2*AD68/C68)*(1-(AE68*'CG. MPB'!C69*10/(30*C68))^2)</f>
        <v>#DIV/0!</v>
      </c>
      <c r="AG68" s="350" t="e">
        <f>(1-(2*AD68/C68))*(1-(AE68*'CG. MPB'!C69*10/(30*C68))^2)*(1-('CG. MPB'!C69*10/B68))+('CG. MPB'!C69*10/B68)</f>
        <v>#DIV/0!</v>
      </c>
      <c r="AH68" s="429" t="e">
        <f t="shared" si="8"/>
        <v>#DIV/0!</v>
      </c>
    </row>
    <row r="69" spans="1:37" ht="15" hidden="1" customHeight="1">
      <c r="A69" s="684">
        <f>'CG. MPB'!A70</f>
        <v>41</v>
      </c>
      <c r="B69" s="578">
        <f>'CG. MPB'!B70*100</f>
        <v>0</v>
      </c>
      <c r="C69" s="68">
        <f>'ELEM. MECA.'!J46</f>
        <v>0</v>
      </c>
      <c r="D69" s="38">
        <f>IF(AND('CG. MPB'!D70="CONFINADO",'CG. MPB'!E70="CONCRETO"),0.8,IF('CG. MPB'!D70="NO CONFINADO",0.3,0.6))</f>
        <v>0.6</v>
      </c>
      <c r="E69" s="68">
        <v>0.6</v>
      </c>
      <c r="F69" s="38">
        <f>IF('CG. MPB'!E70="CONCRETO",G69,'RMCV.PB'!H69+'RMCV.PB'!I69+'RMCV.PB'!J69+K69+L69+M69)</f>
        <v>0</v>
      </c>
      <c r="G69" s="542">
        <f>IF('CG. MPB'!E70="CONCRETO",0.6*$G$24,0)</f>
        <v>0</v>
      </c>
      <c r="H69" s="574">
        <f>IF(AND('CG. MPB'!E70="TABIQUE",'CG. MPB'!F70="MACIZO"),15,0)</f>
        <v>0</v>
      </c>
      <c r="I69" s="574">
        <f>IF(AND('CG. MPB'!E70="TABIQUE",'CG. MPB'!F70="HUECO"),IF(E57="III",30,40),0)</f>
        <v>0</v>
      </c>
      <c r="J69" s="574">
        <f>IF('CG. MPB'!E70="TABICON",IF(E57="I",20,15),0)</f>
        <v>0</v>
      </c>
      <c r="K69" s="574">
        <f>IF('CG. MPB'!E70="ADOBE",10,0)</f>
        <v>0</v>
      </c>
      <c r="L69" s="574">
        <f>IF('CG. MPB'!E70="LIGERO",10,0)</f>
        <v>0</v>
      </c>
      <c r="M69" s="574">
        <f>IF('CG. MPB'!E70="CANTERA",30,0)</f>
        <v>0</v>
      </c>
      <c r="N69" s="575">
        <f t="shared" si="6"/>
        <v>0</v>
      </c>
      <c r="O69" s="918">
        <f>ABS('ELEM. MECA.'!D46)</f>
        <v>0</v>
      </c>
      <c r="P69" s="919">
        <f>IF(AND('CG. MPB'!D70="CONFINADO",'CG. MPB'!E70="TABIQUE",'CG. MPB'!F70="MACIZO"),'RMCV.PB'!Y69,IF(AND('CG. MPB'!D70="CONFINADO",'CG. MPB'!E70="TABICON",'CG. MPB'!F70="MACIZO"),'RMCV.PB'!Y69,IF(AND('CG. MPB'!D70="CONFINADO",'CG. MPB'!E70="LIGERO",'CG. MPB'!F70="MACIZO"),'RMCV.PB'!Y69,IF(AND('CG. MPB'!D70="NO CONFINADO",'CG. MPB'!E70="TABIQUE",'CG. MPB'!F70="MACIZO"),Z69,IF(AND('CG. MPB'!D70="NO CONFINADO",'CG. MPB'!E70="TABICON",'CG. MPB'!F70="MACIZO"),Z69,IF(AND('CG. MPB'!D70="NO CONFINADO",'CG. MPB'!E70="LIGERO",'CG. MPB'!F70="MACIZO"),Z69,IF(AND('CG. MPB'!E70="TABIQUE",'CG. MPB'!F70="HUECO"),X69,IF('CG. MPB'!E70="ADOBE",'RMCV.PB'!AA69,'RMCV.PB'!AB69))))))))</f>
        <v>0</v>
      </c>
      <c r="Q69" s="685" t="str">
        <f t="shared" si="7"/>
        <v>PASA</v>
      </c>
      <c r="R69" s="4">
        <f>IF(D69*E69*(F69*N69+'CASTILLOS-PB'!W69*FY)&gt;1.25*D69*E69*F69*N69,1.25*D69*E69*F69*N69,D69*E69*(F69*N69+'CASTILLOS-PB'!W69*FY))</f>
        <v>0</v>
      </c>
      <c r="S69" s="4">
        <f>D69*E69*(F69*N69+'CASTILLOS-PB'!G69*FY*2)</f>
        <v>8588.16</v>
      </c>
      <c r="T69" s="4">
        <f t="shared" si="2"/>
        <v>0</v>
      </c>
      <c r="U69" s="521">
        <f t="shared" si="3"/>
        <v>0</v>
      </c>
      <c r="V69" s="533">
        <f>D69*(0.7*$G$24*(B69*C69)+2000*'MUR.CONC-PB'!K69)</f>
        <v>0</v>
      </c>
      <c r="W69" s="533">
        <f t="shared" si="4"/>
        <v>0</v>
      </c>
      <c r="X69" s="543">
        <f>IF(AND('CG. MPB'!E70="TABIQUE",'CG. MPB'!F70="HUECO"),R69,0)</f>
        <v>0</v>
      </c>
      <c r="Y69" s="543">
        <f>IF(AND('CG. MPB'!D70="CONFINADO",'CG. MPB'!E70="TABIQUE",'CG. MPB'!F70="MACIZO"),'RMCV.PB'!S69,IF(AND('CG. MPB'!D70="CONFINADO",'CG. MPB'!E70="TABICON",'CG. MPB'!F70="MACIZO"),'RMCV.PB'!S69,IF(AND('CG. MPB'!D70="CONFINADO",'CG. MPB'!E70="LIGERO",'CG. MPB'!F70="MACIZO"),'RMCV.PB'!S69,0)))</f>
        <v>0</v>
      </c>
      <c r="Z69" s="543">
        <f>IF(AND('CG. MPB'!D70="NO CONFINADO",'CG. MPB'!E70="TABIQUE",'CG. MPB'!F70="MACIZO"),T69,IF(AND('CG. MPB'!D70="NO CONFINADO",'CG. MPB'!E70="TABICON",'CG. MPB'!F70="MACIZO"),T69,IF(AND('CG. MPB'!D70="NO CONFINADO",'CG. MPB'!E70="LIGERO",'CG. MPB'!F70="MACIZO"),T69,0)))</f>
        <v>0</v>
      </c>
      <c r="AA69" s="543">
        <f>IF('CG. MPB'!E70="ADOBE",'RMCV.PB'!U69,0)</f>
        <v>0</v>
      </c>
      <c r="AB69" s="543">
        <f>IF('CG. MPB'!E70="CONCRETO",'RMCV.PB'!V69,0)</f>
        <v>0</v>
      </c>
      <c r="AC69" s="900">
        <f>IF('CG. MPB'!E70="CANTERA",'RMCV.PB'!W69,0)</f>
        <v>0</v>
      </c>
      <c r="AD69" s="93">
        <f t="shared" si="5"/>
        <v>0</v>
      </c>
      <c r="AE69" s="428">
        <v>0.6</v>
      </c>
      <c r="AF69" s="4" t="e">
        <f>(1-2*AD69/C69)*(1-(AE69*'CG. MPB'!C70*10/(30*C69))^2)</f>
        <v>#DIV/0!</v>
      </c>
      <c r="AG69" s="350" t="e">
        <f>(1-(2*AD69/C69))*(1-(AE69*'CG. MPB'!C70*10/(30*C69))^2)*(1-('CG. MPB'!C70*10/B69))+('CG. MPB'!C70*10/B69)</f>
        <v>#DIV/0!</v>
      </c>
      <c r="AH69" s="429" t="e">
        <f t="shared" si="8"/>
        <v>#DIV/0!</v>
      </c>
    </row>
    <row r="70" spans="1:37" ht="15" hidden="1" customHeight="1">
      <c r="A70" s="684">
        <f>'CG. MPB'!A71</f>
        <v>42</v>
      </c>
      <c r="B70" s="578">
        <f>'CG. MPB'!B71*100</f>
        <v>0</v>
      </c>
      <c r="C70" s="68">
        <f>'ELEM. MECA.'!J47</f>
        <v>0</v>
      </c>
      <c r="D70" s="38">
        <f>IF(AND('CG. MPB'!D71="CONFINADO",'CG. MPB'!E71="CONCRETO"),0.8,IF('CG. MPB'!D71="NO CONFINADO",0.3,0.6))</f>
        <v>0.6</v>
      </c>
      <c r="E70" s="68">
        <v>0.6</v>
      </c>
      <c r="F70" s="38">
        <f>IF('CG. MPB'!E71="CONCRETO",G70,'RMCV.PB'!H70+'RMCV.PB'!I70+'RMCV.PB'!J70+K70+L70+M70)</f>
        <v>0</v>
      </c>
      <c r="G70" s="542">
        <f>IF('CG. MPB'!E71="CONCRETO",0.6*$G$24,0)</f>
        <v>0</v>
      </c>
      <c r="H70" s="574">
        <f>IF(AND('CG. MPB'!E71="TABIQUE",'CG. MPB'!F71="MACIZO"),15,0)</f>
        <v>0</v>
      </c>
      <c r="I70" s="574">
        <f>IF(AND('CG. MPB'!E71="TABIQUE",'CG. MPB'!F71="HUECO"),IF(E58="III",30,40),0)</f>
        <v>0</v>
      </c>
      <c r="J70" s="574">
        <f>IF('CG. MPB'!E71="TABICON",IF(E58="I",20,15),0)</f>
        <v>0</v>
      </c>
      <c r="K70" s="574">
        <f>IF('CG. MPB'!E71="ADOBE",10,0)</f>
        <v>0</v>
      </c>
      <c r="L70" s="574">
        <f>IF('CG. MPB'!E71="LIGERO",10,0)</f>
        <v>0</v>
      </c>
      <c r="M70" s="574">
        <f>IF('CG. MPB'!E71="CANTERA",30,0)</f>
        <v>0</v>
      </c>
      <c r="N70" s="575">
        <f t="shared" si="6"/>
        <v>0</v>
      </c>
      <c r="O70" s="918">
        <f>ABS('ELEM. MECA.'!D47)</f>
        <v>0</v>
      </c>
      <c r="P70" s="919">
        <f>IF(AND('CG. MPB'!D71="CONFINADO",'CG. MPB'!E71="TABIQUE",'CG. MPB'!F71="MACIZO"),'RMCV.PB'!Y70,IF(AND('CG. MPB'!D71="CONFINADO",'CG. MPB'!E71="TABICON",'CG. MPB'!F71="MACIZO"),'RMCV.PB'!Y70,IF(AND('CG. MPB'!D71="CONFINADO",'CG. MPB'!E71="LIGERO",'CG. MPB'!F71="MACIZO"),'RMCV.PB'!Y70,IF(AND('CG. MPB'!D71="NO CONFINADO",'CG. MPB'!E71="TABIQUE",'CG. MPB'!F71="MACIZO"),Z70,IF(AND('CG. MPB'!D71="NO CONFINADO",'CG. MPB'!E71="TABICON",'CG. MPB'!F71="MACIZO"),Z70,IF(AND('CG. MPB'!D71="NO CONFINADO",'CG. MPB'!E71="LIGERO",'CG. MPB'!F71="MACIZO"),Z70,IF(AND('CG. MPB'!E71="TABIQUE",'CG. MPB'!F71="HUECO"),X70,IF('CG. MPB'!E71="ADOBE",'RMCV.PB'!AA70,'RMCV.PB'!AB70))))))))</f>
        <v>0</v>
      </c>
      <c r="Q70" s="685" t="str">
        <f t="shared" si="7"/>
        <v>PASA</v>
      </c>
      <c r="R70" s="4">
        <f>IF(D70*E70*(F70*N70+'CASTILLOS-PB'!W70*FY)&gt;1.25*D70*E70*F70*N70,1.25*D70*E70*F70*N70,D70*E70*(F70*N70+'CASTILLOS-PB'!W70*FY))</f>
        <v>0</v>
      </c>
      <c r="S70" s="4">
        <f>D70*E70*(F70*N70+'CASTILLOS-PB'!G70*FY*2)</f>
        <v>8588.16</v>
      </c>
      <c r="T70" s="4">
        <f t="shared" si="2"/>
        <v>0</v>
      </c>
      <c r="U70" s="521">
        <f t="shared" si="3"/>
        <v>0</v>
      </c>
      <c r="V70" s="533">
        <f>D70*(0.7*$G$24*(B70*C70)+2000*'MUR.CONC-PB'!K70)</f>
        <v>0</v>
      </c>
      <c r="W70" s="533">
        <f t="shared" si="4"/>
        <v>0</v>
      </c>
      <c r="X70" s="543">
        <f>IF(AND('CG. MPB'!E71="TABIQUE",'CG. MPB'!F71="HUECO"),R70,0)</f>
        <v>0</v>
      </c>
      <c r="Y70" s="543">
        <f>IF(AND('CG. MPB'!D71="CONFINADO",'CG. MPB'!E71="TABIQUE",'CG. MPB'!F71="MACIZO"),'RMCV.PB'!S70,IF(AND('CG. MPB'!D71="CONFINADO",'CG. MPB'!E71="TABICON",'CG. MPB'!F71="MACIZO"),'RMCV.PB'!S70,IF(AND('CG. MPB'!D71="CONFINADO",'CG. MPB'!E71="LIGERO",'CG. MPB'!F71="MACIZO"),'RMCV.PB'!S70,0)))</f>
        <v>0</v>
      </c>
      <c r="Z70" s="543">
        <f>IF(AND('CG. MPB'!D71="NO CONFINADO",'CG. MPB'!E71="TABIQUE",'CG. MPB'!F71="MACIZO"),T70,IF(AND('CG. MPB'!D71="NO CONFINADO",'CG. MPB'!E71="TABICON",'CG. MPB'!F71="MACIZO"),T70,IF(AND('CG. MPB'!D71="NO CONFINADO",'CG. MPB'!E71="LIGERO",'CG. MPB'!F71="MACIZO"),T70,0)))</f>
        <v>0</v>
      </c>
      <c r="AA70" s="543">
        <f>IF('CG. MPB'!E71="ADOBE",'RMCV.PB'!U70,0)</f>
        <v>0</v>
      </c>
      <c r="AB70" s="543">
        <f>IF('CG. MPB'!E71="CONCRETO",'RMCV.PB'!V70,0)</f>
        <v>0</v>
      </c>
      <c r="AC70" s="900">
        <f>IF('CG. MPB'!E71="CANTERA",'RMCV.PB'!W70,0)</f>
        <v>0</v>
      </c>
      <c r="AD70" s="93">
        <f t="shared" si="5"/>
        <v>0</v>
      </c>
      <c r="AE70" s="428">
        <v>0.6</v>
      </c>
      <c r="AF70" s="4" t="e">
        <f>(1-2*AD70/C70)*(1-(AE70*'CG. MPB'!C71*10/(30*C70))^2)</f>
        <v>#DIV/0!</v>
      </c>
      <c r="AG70" s="350" t="e">
        <f>(1-(2*AD70/C70))*(1-(AE70*'CG. MPB'!C71*10/(30*C70))^2)*(1-('CG. MPB'!C71*10/B70))+('CG. MPB'!C71*10/B70)</f>
        <v>#DIV/0!</v>
      </c>
      <c r="AH70" s="429" t="e">
        <f t="shared" si="8"/>
        <v>#DIV/0!</v>
      </c>
    </row>
    <row r="71" spans="1:37" ht="15" hidden="1" customHeight="1">
      <c r="A71" s="684">
        <f>'CG. MPB'!A72</f>
        <v>43</v>
      </c>
      <c r="B71" s="578">
        <f>'CG. MPB'!B72*100</f>
        <v>0</v>
      </c>
      <c r="C71" s="68">
        <f>'ELEM. MECA.'!J48</f>
        <v>0</v>
      </c>
      <c r="D71" s="38">
        <f>IF(AND('CG. MPB'!D72="CONFINADO",'CG. MPB'!E72="CONCRETO"),0.8,IF('CG. MPB'!D72="NO CONFINADO",0.3,0.6))</f>
        <v>0.6</v>
      </c>
      <c r="E71" s="68">
        <v>0.6</v>
      </c>
      <c r="F71" s="38">
        <f>IF('CG. MPB'!E72="CONCRETO",G71,'RMCV.PB'!H71+'RMCV.PB'!I71+'RMCV.PB'!J71+K71+L71+M71)</f>
        <v>0</v>
      </c>
      <c r="G71" s="542">
        <f>IF('CG. MPB'!E72="CONCRETO",0.6*$G$24,0)</f>
        <v>0</v>
      </c>
      <c r="H71" s="574">
        <f>IF(AND('CG. MPB'!E72="TABIQUE",'CG. MPB'!F72="MACIZO"),15,0)</f>
        <v>0</v>
      </c>
      <c r="I71" s="574">
        <f>IF(AND('CG. MPB'!E72="TABIQUE",'CG. MPB'!F72="HUECO"),IF(E59="III",30,40),0)</f>
        <v>0</v>
      </c>
      <c r="J71" s="574">
        <f>IF('CG. MPB'!E72="TABICON",IF(E59="I",20,15),0)</f>
        <v>0</v>
      </c>
      <c r="K71" s="574">
        <f>IF('CG. MPB'!E72="ADOBE",10,0)</f>
        <v>0</v>
      </c>
      <c r="L71" s="574">
        <f>IF('CG. MPB'!E72="LIGERO",10,0)</f>
        <v>0</v>
      </c>
      <c r="M71" s="574">
        <f>IF('CG. MPB'!E72="CANTERA",30,0)</f>
        <v>0</v>
      </c>
      <c r="N71" s="575">
        <f t="shared" si="6"/>
        <v>0</v>
      </c>
      <c r="O71" s="918">
        <f>ABS('ELEM. MECA.'!D48)</f>
        <v>0</v>
      </c>
      <c r="P71" s="919">
        <f>IF(AND('CG. MPB'!D72="CONFINADO",'CG. MPB'!E72="TABIQUE",'CG. MPB'!F72="MACIZO"),'RMCV.PB'!Y71,IF(AND('CG. MPB'!D72="CONFINADO",'CG. MPB'!E72="TABICON",'CG. MPB'!F72="MACIZO"),'RMCV.PB'!Y71,IF(AND('CG. MPB'!D72="CONFINADO",'CG. MPB'!E72="LIGERO",'CG. MPB'!F72="MACIZO"),'RMCV.PB'!Y71,IF(AND('CG. MPB'!D72="NO CONFINADO",'CG. MPB'!E72="TABIQUE",'CG. MPB'!F72="MACIZO"),Z71,IF(AND('CG. MPB'!D72="NO CONFINADO",'CG. MPB'!E72="TABICON",'CG. MPB'!F72="MACIZO"),Z71,IF(AND('CG. MPB'!D72="NO CONFINADO",'CG. MPB'!E72="LIGERO",'CG. MPB'!F72="MACIZO"),Z71,IF(AND('CG. MPB'!E72="TABIQUE",'CG. MPB'!F72="HUECO"),X71,IF('CG. MPB'!E72="ADOBE",'RMCV.PB'!AA71,'RMCV.PB'!AB71))))))))</f>
        <v>0</v>
      </c>
      <c r="Q71" s="685" t="str">
        <f t="shared" si="7"/>
        <v>PASA</v>
      </c>
      <c r="R71" s="4">
        <f>IF(D71*E71*(F71*N71+'CASTILLOS-PB'!W71*FY)&gt;1.25*D71*E71*F71*N71,1.25*D71*E71*F71*N71,D71*E71*(F71*N71+'CASTILLOS-PB'!W71*FY))</f>
        <v>0</v>
      </c>
      <c r="S71" s="4">
        <f>D71*E71*(F71*N71+'CASTILLOS-PB'!G71*FY*2)</f>
        <v>8588.16</v>
      </c>
      <c r="T71" s="4">
        <f t="shared" si="2"/>
        <v>0</v>
      </c>
      <c r="U71" s="521">
        <f t="shared" si="3"/>
        <v>0</v>
      </c>
      <c r="V71" s="533">
        <f>D71*(0.7*$G$24*(B71*C71)+2000*'MUR.CONC-PB'!K71)</f>
        <v>0</v>
      </c>
      <c r="W71" s="533">
        <f t="shared" si="4"/>
        <v>0</v>
      </c>
      <c r="X71" s="543">
        <f>IF(AND('CG. MPB'!E72="TABIQUE",'CG. MPB'!F72="HUECO"),R71,0)</f>
        <v>0</v>
      </c>
      <c r="Y71" s="543">
        <f>IF(AND('CG. MPB'!D72="CONFINADO",'CG. MPB'!E72="TABIQUE",'CG. MPB'!F72="MACIZO"),'RMCV.PB'!S71,IF(AND('CG. MPB'!D72="CONFINADO",'CG. MPB'!E72="TABICON",'CG. MPB'!F72="MACIZO"),'RMCV.PB'!S71,IF(AND('CG. MPB'!D72="CONFINADO",'CG. MPB'!E72="LIGERO",'CG. MPB'!F72="MACIZO"),'RMCV.PB'!S71,0)))</f>
        <v>0</v>
      </c>
      <c r="Z71" s="543">
        <f>IF(AND('CG. MPB'!D72="NO CONFINADO",'CG. MPB'!E72="TABIQUE",'CG. MPB'!F72="MACIZO"),T71,IF(AND('CG. MPB'!D72="NO CONFINADO",'CG. MPB'!E72="TABICON",'CG. MPB'!F72="MACIZO"),T71,IF(AND('CG. MPB'!D72="NO CONFINADO",'CG. MPB'!E72="LIGERO",'CG. MPB'!F72="MACIZO"),T71,0)))</f>
        <v>0</v>
      </c>
      <c r="AA71" s="543">
        <f>IF('CG. MPB'!E72="ADOBE",'RMCV.PB'!U71,0)</f>
        <v>0</v>
      </c>
      <c r="AB71" s="543">
        <f>IF('CG. MPB'!E72="CONCRETO",'RMCV.PB'!V71,0)</f>
        <v>0</v>
      </c>
      <c r="AC71" s="900">
        <f>IF('CG. MPB'!E72="CANTERA",'RMCV.PB'!W71,0)</f>
        <v>0</v>
      </c>
      <c r="AD71" s="93">
        <f t="shared" si="5"/>
        <v>0</v>
      </c>
      <c r="AE71" s="428">
        <v>0.6</v>
      </c>
      <c r="AF71" s="4" t="e">
        <f>(1-2*AD71/C71)*(1-(AE71*'CG. MPB'!C72*10/(30*C71))^2)</f>
        <v>#DIV/0!</v>
      </c>
      <c r="AG71" s="350" t="e">
        <f>(1-(2*AD71/C71))*(1-(AE71*'CG. MPB'!C72*10/(30*C71))^2)*(1-('CG. MPB'!C72*10/B71))+('CG. MPB'!C72*10/B71)</f>
        <v>#DIV/0!</v>
      </c>
      <c r="AH71" s="429" t="e">
        <f t="shared" si="8"/>
        <v>#DIV/0!</v>
      </c>
    </row>
    <row r="72" spans="1:37" ht="15" hidden="1" customHeight="1">
      <c r="A72" s="684">
        <f>'CG. MPB'!A73</f>
        <v>44</v>
      </c>
      <c r="B72" s="578">
        <f>'CG. MPB'!B73*100</f>
        <v>0</v>
      </c>
      <c r="C72" s="68">
        <f>'ELEM. MECA.'!J49</f>
        <v>0</v>
      </c>
      <c r="D72" s="38">
        <f>IF(AND('CG. MPB'!D73="CONFINADO",'CG. MPB'!E73="CONCRETO"),0.8,IF('CG. MPB'!D73="NO CONFINADO",0.3,0.6))</f>
        <v>0.6</v>
      </c>
      <c r="E72" s="68">
        <v>0.6</v>
      </c>
      <c r="F72" s="38">
        <f>IF('CG. MPB'!E73="CONCRETO",G72,'RMCV.PB'!H72+'RMCV.PB'!I72+'RMCV.PB'!J72+K72+L72+M72)</f>
        <v>0</v>
      </c>
      <c r="G72" s="542">
        <f>IF('CG. MPB'!E73="CONCRETO",0.6*$G$24,0)</f>
        <v>0</v>
      </c>
      <c r="H72" s="574">
        <f>IF(AND('CG. MPB'!E73="TABIQUE",'CG. MPB'!F73="MACIZO"),15,0)</f>
        <v>0</v>
      </c>
      <c r="I72" s="574">
        <f>IF(AND('CG. MPB'!E73="TABIQUE",'CG. MPB'!F73="HUECO"),IF(E60="III",30,40),0)</f>
        <v>0</v>
      </c>
      <c r="J72" s="574">
        <f>IF('CG. MPB'!E73="TABICON",IF(E60="I",20,15),0)</f>
        <v>0</v>
      </c>
      <c r="K72" s="574">
        <f>IF('CG. MPB'!E73="ADOBE",10,0)</f>
        <v>0</v>
      </c>
      <c r="L72" s="574">
        <f>IF('CG. MPB'!E73="LIGERO",10,0)</f>
        <v>0</v>
      </c>
      <c r="M72" s="574">
        <f>IF('CG. MPB'!E73="CANTERA",30,0)</f>
        <v>0</v>
      </c>
      <c r="N72" s="575">
        <f t="shared" si="6"/>
        <v>0</v>
      </c>
      <c r="O72" s="918">
        <f>ABS('ELEM. MECA.'!D49)</f>
        <v>0</v>
      </c>
      <c r="P72" s="919">
        <f>IF(AND('CG. MPB'!D73="CONFINADO",'CG. MPB'!E73="TABIQUE",'CG. MPB'!F73="MACIZO"),'RMCV.PB'!Y72,IF(AND('CG. MPB'!D73="CONFINADO",'CG. MPB'!E73="TABICON",'CG. MPB'!F73="MACIZO"),'RMCV.PB'!Y72,IF(AND('CG. MPB'!D73="CONFINADO",'CG. MPB'!E73="LIGERO",'CG. MPB'!F73="MACIZO"),'RMCV.PB'!Y72,IF(AND('CG. MPB'!D73="NO CONFINADO",'CG. MPB'!E73="TABIQUE",'CG. MPB'!F73="MACIZO"),Z72,IF(AND('CG. MPB'!D73="NO CONFINADO",'CG. MPB'!E73="TABICON",'CG. MPB'!F73="MACIZO"),Z72,IF(AND('CG. MPB'!D73="NO CONFINADO",'CG. MPB'!E73="LIGERO",'CG. MPB'!F73="MACIZO"),Z72,IF(AND('CG. MPB'!E73="TABIQUE",'CG. MPB'!F73="HUECO"),X72,IF('CG. MPB'!E73="ADOBE",'RMCV.PB'!AA72,'RMCV.PB'!AB72))))))))</f>
        <v>0</v>
      </c>
      <c r="Q72" s="685" t="str">
        <f t="shared" si="7"/>
        <v>PASA</v>
      </c>
      <c r="R72" s="4">
        <f>IF(D72*E72*(F72*N72+'CASTILLOS-PB'!W72*FY)&gt;1.25*D72*E72*F72*N72,1.25*D72*E72*F72*N72,D72*E72*(F72*N72+'CASTILLOS-PB'!W72*FY))</f>
        <v>0</v>
      </c>
      <c r="S72" s="4">
        <f>D72*E72*(F72*N72+'CASTILLOS-PB'!G72*FY*2)</f>
        <v>8588.16</v>
      </c>
      <c r="T72" s="4">
        <f t="shared" si="2"/>
        <v>0</v>
      </c>
      <c r="U72" s="521">
        <f t="shared" si="3"/>
        <v>0</v>
      </c>
      <c r="V72" s="533">
        <f>D72*(0.7*$G$24*(B72*C72)+2000*'MUR.CONC-PB'!K72)</f>
        <v>0</v>
      </c>
      <c r="W72" s="533">
        <f t="shared" si="4"/>
        <v>0</v>
      </c>
      <c r="X72" s="543">
        <f>IF(AND('CG. MPB'!E73="TABIQUE",'CG. MPB'!F73="HUECO"),R72,0)</f>
        <v>0</v>
      </c>
      <c r="Y72" s="543">
        <f>IF(AND('CG. MPB'!D73="CONFINADO",'CG. MPB'!E73="TABIQUE",'CG. MPB'!F73="MACIZO"),'RMCV.PB'!S72,IF(AND('CG. MPB'!D73="CONFINADO",'CG. MPB'!E73="TABICON",'CG. MPB'!F73="MACIZO"),'RMCV.PB'!S72,IF(AND('CG. MPB'!D73="CONFINADO",'CG. MPB'!E73="LIGERO",'CG. MPB'!F73="MACIZO"),'RMCV.PB'!S72,0)))</f>
        <v>0</v>
      </c>
      <c r="Z72" s="543">
        <f>IF(AND('CG. MPB'!D73="NO CONFINADO",'CG. MPB'!E73="TABIQUE",'CG. MPB'!F73="MACIZO"),T72,IF(AND('CG. MPB'!D73="NO CONFINADO",'CG. MPB'!E73="TABICON",'CG. MPB'!F73="MACIZO"),T72,IF(AND('CG. MPB'!D73="NO CONFINADO",'CG. MPB'!E73="LIGERO",'CG. MPB'!F73="MACIZO"),T72,0)))</f>
        <v>0</v>
      </c>
      <c r="AA72" s="543">
        <f>IF('CG. MPB'!E73="ADOBE",'RMCV.PB'!U72,0)</f>
        <v>0</v>
      </c>
      <c r="AB72" s="543">
        <f>IF('CG. MPB'!E73="CONCRETO",'RMCV.PB'!V72,0)</f>
        <v>0</v>
      </c>
      <c r="AC72" s="900">
        <f>IF('CG. MPB'!E73="CANTERA",'RMCV.PB'!W72,0)</f>
        <v>0</v>
      </c>
      <c r="AD72" s="93">
        <f t="shared" si="5"/>
        <v>0</v>
      </c>
      <c r="AE72" s="428">
        <v>0.6</v>
      </c>
      <c r="AF72" s="4" t="e">
        <f>(1-2*AD72/C72)*(1-(AE72*'CG. MPB'!C73*10/(30*C72))^2)</f>
        <v>#DIV/0!</v>
      </c>
      <c r="AG72" s="350" t="e">
        <f>(1-(2*AD72/C72))*(1-(AE72*'CG. MPB'!C73*10/(30*C72))^2)*(1-('CG. MPB'!C73*10/B72))+('CG. MPB'!C73*10/B72)</f>
        <v>#DIV/0!</v>
      </c>
      <c r="AH72" s="429" t="e">
        <f t="shared" si="8"/>
        <v>#DIV/0!</v>
      </c>
    </row>
    <row r="73" spans="1:37" ht="15" hidden="1" customHeight="1">
      <c r="A73" s="684">
        <f>'CG. MPB'!A74</f>
        <v>45</v>
      </c>
      <c r="B73" s="578">
        <f>'CG. MPB'!B74*100</f>
        <v>0</v>
      </c>
      <c r="C73" s="68">
        <f>'ELEM. MECA.'!J50</f>
        <v>0</v>
      </c>
      <c r="D73" s="38">
        <f>IF(AND('CG. MPB'!D74="CONFINADO",'CG. MPB'!E74="CONCRETO"),0.8,IF('CG. MPB'!D74="NO CONFINADO",0.3,0.6))</f>
        <v>0.6</v>
      </c>
      <c r="E73" s="68">
        <v>0.6</v>
      </c>
      <c r="F73" s="38">
        <f>IF('CG. MPB'!E74="CONCRETO",G73,'RMCV.PB'!H73+'RMCV.PB'!I73+'RMCV.PB'!J73+K73+L73+M73)</f>
        <v>0</v>
      </c>
      <c r="G73" s="542">
        <f>IF('CG. MPB'!E74="CONCRETO",0.6*$G$24,0)</f>
        <v>0</v>
      </c>
      <c r="H73" s="574">
        <f>IF(AND('CG. MPB'!E74="TABIQUE",'CG. MPB'!F74="MACIZO"),15,0)</f>
        <v>0</v>
      </c>
      <c r="I73" s="574">
        <f>IF(AND('CG. MPB'!E74="TABIQUE",'CG. MPB'!F74="HUECO"),IF(E61="III",30,40),0)</f>
        <v>0</v>
      </c>
      <c r="J73" s="574">
        <f>IF('CG. MPB'!E74="TABICON",IF(E61="I",20,15),0)</f>
        <v>0</v>
      </c>
      <c r="K73" s="574">
        <f>IF('CG. MPB'!E74="ADOBE",10,0)</f>
        <v>0</v>
      </c>
      <c r="L73" s="574">
        <f>IF('CG. MPB'!E74="LIGERO",10,0)</f>
        <v>0</v>
      </c>
      <c r="M73" s="574">
        <f>IF('CG. MPB'!E74="CANTERA",30,0)</f>
        <v>0</v>
      </c>
      <c r="N73" s="575">
        <f t="shared" si="6"/>
        <v>0</v>
      </c>
      <c r="O73" s="918">
        <f>ABS('ELEM. MECA.'!D50)</f>
        <v>0</v>
      </c>
      <c r="P73" s="919">
        <f>IF(AND('CG. MPB'!D74="CONFINADO",'CG. MPB'!E74="TABIQUE",'CG. MPB'!F74="MACIZO"),'RMCV.PB'!Y73,IF(AND('CG. MPB'!D74="CONFINADO",'CG. MPB'!E74="TABICON",'CG. MPB'!F74="MACIZO"),'RMCV.PB'!Y73,IF(AND('CG. MPB'!D74="CONFINADO",'CG. MPB'!E74="LIGERO",'CG. MPB'!F74="MACIZO"),'RMCV.PB'!Y73,IF(AND('CG. MPB'!D74="NO CONFINADO",'CG. MPB'!E74="TABIQUE",'CG. MPB'!F74="MACIZO"),Z73,IF(AND('CG. MPB'!D74="NO CONFINADO",'CG. MPB'!E74="TABICON",'CG. MPB'!F74="MACIZO"),Z73,IF(AND('CG. MPB'!D74="NO CONFINADO",'CG. MPB'!E74="LIGERO",'CG. MPB'!F74="MACIZO"),Z73,IF(AND('CG. MPB'!E74="TABIQUE",'CG. MPB'!F74="HUECO"),X73,IF('CG. MPB'!E74="ADOBE",'RMCV.PB'!AA73,'RMCV.PB'!AB73))))))))</f>
        <v>0</v>
      </c>
      <c r="Q73" s="685" t="str">
        <f t="shared" si="7"/>
        <v>PASA</v>
      </c>
      <c r="R73" s="4">
        <f>IF(D73*E73*(F73*N73+'CASTILLOS-PB'!W73*FY)&gt;1.25*D73*E73*F73*N73,1.25*D73*E73*F73*N73,D73*E73*(F73*N73+'CASTILLOS-PB'!W73*FY))</f>
        <v>0</v>
      </c>
      <c r="S73" s="4">
        <f>D73*E73*(F73*N73+'CASTILLOS-PB'!G73*FY*2)</f>
        <v>8588.16</v>
      </c>
      <c r="T73" s="4">
        <f t="shared" si="2"/>
        <v>0</v>
      </c>
      <c r="U73" s="521">
        <f t="shared" si="3"/>
        <v>0</v>
      </c>
      <c r="V73" s="533">
        <f>D73*(0.7*$G$24*(B73*C73)+2000*'MUR.CONC-PB'!K73)</f>
        <v>0</v>
      </c>
      <c r="W73" s="533">
        <f t="shared" si="4"/>
        <v>0</v>
      </c>
      <c r="X73" s="543">
        <f>IF(AND('CG. MPB'!E74="TABIQUE",'CG. MPB'!F74="HUECO"),R73,0)</f>
        <v>0</v>
      </c>
      <c r="Y73" s="543">
        <f>IF(AND('CG. MPB'!D74="CONFINADO",'CG. MPB'!E74="TABIQUE",'CG. MPB'!F74="MACIZO"),'RMCV.PB'!S73,IF(AND('CG. MPB'!D74="CONFINADO",'CG. MPB'!E74="TABICON",'CG. MPB'!F74="MACIZO"),'RMCV.PB'!S73,IF(AND('CG. MPB'!D74="CONFINADO",'CG. MPB'!E74="LIGERO",'CG. MPB'!F74="MACIZO"),'RMCV.PB'!S73,0)))</f>
        <v>0</v>
      </c>
      <c r="Z73" s="543">
        <f>IF(AND('CG. MPB'!D74="NO CONFINADO",'CG. MPB'!E74="TABIQUE",'CG. MPB'!F74="MACIZO"),T73,IF(AND('CG. MPB'!D74="NO CONFINADO",'CG. MPB'!E74="TABICON",'CG. MPB'!F74="MACIZO"),T73,IF(AND('CG. MPB'!D74="NO CONFINADO",'CG. MPB'!E74="LIGERO",'CG. MPB'!F74="MACIZO"),T73,0)))</f>
        <v>0</v>
      </c>
      <c r="AA73" s="543">
        <f>IF('CG. MPB'!E74="ADOBE",'RMCV.PB'!U73,0)</f>
        <v>0</v>
      </c>
      <c r="AB73" s="543">
        <f>IF('CG. MPB'!E74="CONCRETO",'RMCV.PB'!V73,0)</f>
        <v>0</v>
      </c>
      <c r="AC73" s="900">
        <f>IF('CG. MPB'!E74="CANTERA",'RMCV.PB'!W73,0)</f>
        <v>0</v>
      </c>
      <c r="AD73" s="93">
        <f t="shared" si="5"/>
        <v>0</v>
      </c>
      <c r="AE73" s="428">
        <v>0.6</v>
      </c>
      <c r="AF73" s="4" t="e">
        <f>(1-2*AD73/C73)*(1-(AE73*'CG. MPB'!C74*10/(30*C73))^2)</f>
        <v>#DIV/0!</v>
      </c>
      <c r="AG73" s="350" t="e">
        <f>(1-(2*AD73/C73))*(1-(AE73*'CG. MPB'!C74*10/(30*C73))^2)*(1-('CG. MPB'!C74*10/B73))+('CG. MPB'!C74*10/B73)</f>
        <v>#DIV/0!</v>
      </c>
      <c r="AH73" s="429" t="e">
        <f t="shared" si="8"/>
        <v>#DIV/0!</v>
      </c>
    </row>
    <row r="74" spans="1:37" ht="15.75" hidden="1" customHeight="1">
      <c r="A74" s="684">
        <f>'CG. MPB'!A75</f>
        <v>46</v>
      </c>
      <c r="B74" s="578">
        <f>'CG. MPB'!B75*100</f>
        <v>0</v>
      </c>
      <c r="C74" s="68">
        <f>'ELEM. MECA.'!J51</f>
        <v>0</v>
      </c>
      <c r="D74" s="38">
        <f>IF(AND('CG. MPB'!D75="CONFINADO",'CG. MPB'!E75="CONCRETO"),0.8,IF('CG. MPB'!D75="NO CONFINADO",0.3,0.6))</f>
        <v>0.6</v>
      </c>
      <c r="E74" s="68">
        <v>0.6</v>
      </c>
      <c r="F74" s="38">
        <f>IF('CG. MPB'!E75="CONCRETO",G74,'RMCV.PB'!H74+'RMCV.PB'!I74+'RMCV.PB'!J74+K74+L74+M74)</f>
        <v>0</v>
      </c>
      <c r="G74" s="542">
        <f>IF('CG. MPB'!E75="CONCRETO",0.6*$G$24,0)</f>
        <v>0</v>
      </c>
      <c r="H74" s="574">
        <f>IF(AND('CG. MPB'!E75="TABIQUE",'CG. MPB'!F75="MACIZO"),15,0)</f>
        <v>0</v>
      </c>
      <c r="I74" s="574">
        <f>IF(AND('CG. MPB'!E75="TABIQUE",'CG. MPB'!F75="HUECO"),IF(E62="III",30,40),0)</f>
        <v>0</v>
      </c>
      <c r="J74" s="574">
        <f>IF('CG. MPB'!E75="TABICON",IF(E62="I",20,15),0)</f>
        <v>0</v>
      </c>
      <c r="K74" s="574">
        <f>IF('CG. MPB'!E75="ADOBE",10,0)</f>
        <v>0</v>
      </c>
      <c r="L74" s="574">
        <f>IF('CG. MPB'!E75="LIGERO",10,0)</f>
        <v>0</v>
      </c>
      <c r="M74" s="574">
        <f>IF('CG. MPB'!E75="CANTERA",30,0)</f>
        <v>0</v>
      </c>
      <c r="N74" s="575">
        <f t="shared" si="6"/>
        <v>0</v>
      </c>
      <c r="O74" s="918">
        <f>ABS('ELEM. MECA.'!D51)</f>
        <v>0</v>
      </c>
      <c r="P74" s="919">
        <f>IF(AND('CG. MPB'!D75="CONFINADO",'CG. MPB'!E75="TABIQUE",'CG. MPB'!F75="MACIZO"),'RMCV.PB'!Y74,IF(AND('CG. MPB'!D75="CONFINADO",'CG. MPB'!E75="TABICON",'CG. MPB'!F75="MACIZO"),'RMCV.PB'!Y74,IF(AND('CG. MPB'!D75="CONFINADO",'CG. MPB'!E75="LIGERO",'CG. MPB'!F75="MACIZO"),'RMCV.PB'!Y74,IF(AND('CG. MPB'!D75="NO CONFINADO",'CG. MPB'!E75="TABIQUE",'CG. MPB'!F75="MACIZO"),Z74,IF(AND('CG. MPB'!D75="NO CONFINADO",'CG. MPB'!E75="TABICON",'CG. MPB'!F75="MACIZO"),Z74,IF(AND('CG. MPB'!D75="NO CONFINADO",'CG. MPB'!E75="LIGERO",'CG. MPB'!F75="MACIZO"),Z74,IF(AND('CG. MPB'!E75="TABIQUE",'CG. MPB'!F75="HUECO"),X74,IF('CG. MPB'!E75="ADOBE",'RMCV.PB'!AA74,'RMCV.PB'!AB74))))))))</f>
        <v>0</v>
      </c>
      <c r="Q74" s="685" t="str">
        <f t="shared" si="7"/>
        <v>PASA</v>
      </c>
      <c r="R74" s="4">
        <f>IF(D74*E74*(F74*N74+'CASTILLOS-PB'!W74*FY)&gt;1.25*D74*E74*F74*N74,1.25*D74*E74*F74*N74,D74*E74*(F74*N74+'CASTILLOS-PB'!W74*FY))</f>
        <v>0</v>
      </c>
      <c r="S74" s="4">
        <f>D74*E74*(F74*N74+'CASTILLOS-PB'!G74*FY*2)</f>
        <v>8588.16</v>
      </c>
      <c r="T74" s="4">
        <f t="shared" si="2"/>
        <v>0</v>
      </c>
      <c r="U74" s="521">
        <f t="shared" si="3"/>
        <v>0</v>
      </c>
      <c r="V74" s="533">
        <f>D74*(0.7*$G$24*(B74*C74)+2000*'MUR.CONC-PB'!K74)</f>
        <v>0</v>
      </c>
      <c r="W74" s="533">
        <f t="shared" si="4"/>
        <v>0</v>
      </c>
      <c r="X74" s="543">
        <f>IF(AND('CG. MPB'!E75="TABIQUE",'CG. MPB'!F75="HUECO"),R74,0)</f>
        <v>0</v>
      </c>
      <c r="Y74" s="543">
        <f>IF(AND('CG. MPB'!D75="CONFINADO",'CG. MPB'!E75="TABIQUE",'CG. MPB'!F75="MACIZO"),'RMCV.PB'!S74,IF(AND('CG. MPB'!D75="CONFINADO",'CG. MPB'!E75="TABICON",'CG. MPB'!F75="MACIZO"),'RMCV.PB'!S74,IF(AND('CG. MPB'!D75="CONFINADO",'CG. MPB'!E75="LIGERO",'CG. MPB'!F75="MACIZO"),'RMCV.PB'!S74,0)))</f>
        <v>0</v>
      </c>
      <c r="Z74" s="543">
        <f>IF(AND('CG. MPB'!D75="NO CONFINADO",'CG. MPB'!E75="TABIQUE",'CG. MPB'!F75="MACIZO"),T74,IF(AND('CG. MPB'!D75="NO CONFINADO",'CG. MPB'!E75="TABICON",'CG. MPB'!F75="MACIZO"),T74,IF(AND('CG. MPB'!D75="NO CONFINADO",'CG. MPB'!E75="LIGERO",'CG. MPB'!F75="MACIZO"),T74,0)))</f>
        <v>0</v>
      </c>
      <c r="AA74" s="543">
        <f>IF('CG. MPB'!E75="ADOBE",'RMCV.PB'!U74,0)</f>
        <v>0</v>
      </c>
      <c r="AB74" s="543">
        <f>IF('CG. MPB'!E75="CONCRETO",'RMCV.PB'!V74,0)</f>
        <v>0</v>
      </c>
      <c r="AC74" s="900">
        <f>IF('CG. MPB'!E75="CANTERA",'RMCV.PB'!W74,0)</f>
        <v>0</v>
      </c>
      <c r="AD74" s="93">
        <f t="shared" si="5"/>
        <v>0</v>
      </c>
      <c r="AE74" s="428">
        <v>0.6</v>
      </c>
      <c r="AF74" s="4" t="e">
        <f>(1-2*AD74/C74)*(1-(AE74*'CG. MPB'!C75*10/(30*C74))^2)</f>
        <v>#DIV/0!</v>
      </c>
      <c r="AG74" s="350" t="e">
        <f>(1-(2*AD74/C74))*(1-(AE74*'CG. MPB'!C75*10/(30*C74))^2)*(1-('CG. MPB'!C75*10/B74))+('CG. MPB'!C75*10/B74)</f>
        <v>#DIV/0!</v>
      </c>
      <c r="AH74" s="429" t="e">
        <f t="shared" si="8"/>
        <v>#DIV/0!</v>
      </c>
    </row>
    <row r="75" spans="1:37" ht="15.75" hidden="1" customHeight="1">
      <c r="A75" s="684">
        <f>'CG. MPB'!A76</f>
        <v>47</v>
      </c>
      <c r="B75" s="578">
        <f>'CG. MPB'!B76*100</f>
        <v>0</v>
      </c>
      <c r="C75" s="68">
        <f>'ELEM. MECA.'!J52</f>
        <v>0</v>
      </c>
      <c r="D75" s="38">
        <f>IF(AND('CG. MPB'!D76="CONFINADO",'CG. MPB'!E76="CONCRETO"),0.8,IF('CG. MPB'!D76="NO CONFINADO",0.3,0.6))</f>
        <v>0.6</v>
      </c>
      <c r="E75" s="68">
        <v>0.6</v>
      </c>
      <c r="F75" s="38">
        <f>IF('CG. MPB'!E76="CONCRETO",G75,'RMCV.PB'!H75+'RMCV.PB'!I75+'RMCV.PB'!J75+K75+L75+M75)</f>
        <v>0</v>
      </c>
      <c r="G75" s="542">
        <f>IF('CG. MPB'!E76="CONCRETO",0.6*$G$24,0)</f>
        <v>0</v>
      </c>
      <c r="H75" s="574">
        <f>IF(AND('CG. MPB'!E76="TABIQUE",'CG. MPB'!F76="MACIZO"),15,0)</f>
        <v>0</v>
      </c>
      <c r="I75" s="574">
        <f>IF(AND('CG. MPB'!E76="TABIQUE",'CG. MPB'!F76="HUECO"),IF(E63="III",30,40),0)</f>
        <v>0</v>
      </c>
      <c r="J75" s="574">
        <f>IF('CG. MPB'!E76="TABICON",IF(E63="I",20,15),0)</f>
        <v>0</v>
      </c>
      <c r="K75" s="574">
        <f>IF('CG. MPB'!E76="ADOBE",10,0)</f>
        <v>0</v>
      </c>
      <c r="L75" s="574">
        <f>IF('CG. MPB'!E76="LIGERO",10,0)</f>
        <v>0</v>
      </c>
      <c r="M75" s="574">
        <f>IF('CG. MPB'!E76="CANTERA",30,0)</f>
        <v>0</v>
      </c>
      <c r="N75" s="575">
        <f t="shared" si="6"/>
        <v>0</v>
      </c>
      <c r="O75" s="918">
        <f>ABS('ELEM. MECA.'!D52)</f>
        <v>0</v>
      </c>
      <c r="P75" s="919">
        <f>IF(AND('CG. MPB'!D76="CONFINADO",'CG. MPB'!E76="TABIQUE",'CG. MPB'!F76="MACIZO"),'RMCV.PB'!Y75,IF(AND('CG. MPB'!D76="CONFINADO",'CG. MPB'!E76="TABICON",'CG. MPB'!F76="MACIZO"),'RMCV.PB'!Y75,IF(AND('CG. MPB'!D76="CONFINADO",'CG. MPB'!E76="LIGERO",'CG. MPB'!F76="MACIZO"),'RMCV.PB'!Y75,IF(AND('CG. MPB'!D76="NO CONFINADO",'CG. MPB'!E76="TABIQUE",'CG. MPB'!F76="MACIZO"),Z75,IF(AND('CG. MPB'!D76="NO CONFINADO",'CG. MPB'!E76="TABICON",'CG. MPB'!F76="MACIZO"),Z75,IF(AND('CG. MPB'!D76="NO CONFINADO",'CG. MPB'!E76="LIGERO",'CG. MPB'!F76="MACIZO"),Z75,IF(AND('CG. MPB'!E76="TABIQUE",'CG. MPB'!F76="HUECO"),X75,IF('CG. MPB'!E76="ADOBE",'RMCV.PB'!AA75,'RMCV.PB'!AB75))))))))</f>
        <v>0</v>
      </c>
      <c r="Q75" s="685" t="str">
        <f t="shared" si="7"/>
        <v>PASA</v>
      </c>
      <c r="R75" s="4">
        <f>IF(D75*E75*(F75*N75+'CASTILLOS-PB'!W75*FY)&gt;1.25*D75*E75*F75*N75,1.25*D75*E75*F75*N75,D75*E75*(F75*N75+'CASTILLOS-PB'!W75*FY))</f>
        <v>0</v>
      </c>
      <c r="S75" s="4">
        <f>D75*E75*(F75*N75+'CASTILLOS-PB'!G75*FY*2)</f>
        <v>8588.16</v>
      </c>
      <c r="T75" s="4">
        <f t="shared" si="2"/>
        <v>0</v>
      </c>
      <c r="U75" s="521">
        <f t="shared" si="3"/>
        <v>0</v>
      </c>
      <c r="V75" s="533">
        <f>D75*(0.7*$G$24*(B75*C75)+2000*'MUR.CONC-PB'!K75)</f>
        <v>0</v>
      </c>
      <c r="W75" s="533">
        <f t="shared" si="4"/>
        <v>0</v>
      </c>
      <c r="X75" s="543">
        <f>IF(AND('CG. MPB'!E76="TABIQUE",'CG. MPB'!F76="HUECO"),R75,0)</f>
        <v>0</v>
      </c>
      <c r="Y75" s="543">
        <f>IF(AND('CG. MPB'!D76="CONFINADO",'CG. MPB'!E76="TABIQUE",'CG. MPB'!F76="MACIZO"),'RMCV.PB'!S75,IF(AND('CG. MPB'!D76="CONFINADO",'CG. MPB'!E76="TABICON",'CG. MPB'!F76="MACIZO"),'RMCV.PB'!S75,IF(AND('CG. MPB'!D76="CONFINADO",'CG. MPB'!E76="LIGERO",'CG. MPB'!F76="MACIZO"),'RMCV.PB'!S75,0)))</f>
        <v>0</v>
      </c>
      <c r="Z75" s="543">
        <f>IF(AND('CG. MPB'!D76="NO CONFINADO",'CG. MPB'!E76="TABIQUE",'CG. MPB'!F76="MACIZO"),T75,IF(AND('CG. MPB'!D76="NO CONFINADO",'CG. MPB'!E76="TABICON",'CG. MPB'!F76="MACIZO"),T75,IF(AND('CG. MPB'!D76="NO CONFINADO",'CG. MPB'!E76="LIGERO",'CG. MPB'!F76="MACIZO"),T75,0)))</f>
        <v>0</v>
      </c>
      <c r="AA75" s="543">
        <f>IF('CG. MPB'!E76="ADOBE",'RMCV.PB'!U75,0)</f>
        <v>0</v>
      </c>
      <c r="AB75" s="543">
        <f>IF('CG. MPB'!E76="CONCRETO",'RMCV.PB'!V75,0)</f>
        <v>0</v>
      </c>
      <c r="AC75" s="900">
        <f>IF('CG. MPB'!E76="CANTERA",'RMCV.PB'!W75,0)</f>
        <v>0</v>
      </c>
      <c r="AD75" s="93">
        <f t="shared" si="5"/>
        <v>0</v>
      </c>
      <c r="AE75" s="428">
        <v>0.6</v>
      </c>
      <c r="AF75" s="4" t="e">
        <f>(1-2*AD75/C75)*(1-(AE75*'CG. MPB'!C76*10/(30*C75))^2)</f>
        <v>#DIV/0!</v>
      </c>
      <c r="AG75" s="350" t="e">
        <f>(1-(2*AD75/C75))*(1-(AE75*'CG. MPB'!C76*10/(30*C75))^2)*(1-('CG. MPB'!C76*10/B75))+('CG. MPB'!C76*10/B75)</f>
        <v>#DIV/0!</v>
      </c>
      <c r="AH75" s="429" t="e">
        <f t="shared" si="8"/>
        <v>#DIV/0!</v>
      </c>
    </row>
    <row r="76" spans="1:37" ht="15.75" hidden="1" customHeight="1">
      <c r="A76" s="684">
        <f>'CG. MPB'!A77</f>
        <v>48</v>
      </c>
      <c r="B76" s="578">
        <f>'CG. MPB'!B77*100</f>
        <v>0</v>
      </c>
      <c r="C76" s="68">
        <f>'ELEM. MECA.'!J53</f>
        <v>0</v>
      </c>
      <c r="D76" s="38">
        <f>IF(AND('CG. MPB'!D77="CONFINADO",'CG. MPB'!E77="CONCRETO"),0.8,IF('CG. MPB'!D77="NO CONFINADO",0.3,0.6))</f>
        <v>0.6</v>
      </c>
      <c r="E76" s="68">
        <v>0.6</v>
      </c>
      <c r="F76" s="38">
        <f>IF('CG. MPB'!E77="CONCRETO",G76,'RMCV.PB'!H76+'RMCV.PB'!I76+'RMCV.PB'!J76+K76+L76+M76)</f>
        <v>0</v>
      </c>
      <c r="G76" s="542">
        <f>IF('CG. MPB'!E77="CONCRETO",0.6*$G$24,0)</f>
        <v>0</v>
      </c>
      <c r="H76" s="574">
        <f>IF(AND('CG. MPB'!E77="TABIQUE",'CG. MPB'!F77="MACIZO"),15,0)</f>
        <v>0</v>
      </c>
      <c r="I76" s="574">
        <f>IF(AND('CG. MPB'!E77="TABIQUE",'CG. MPB'!F77="HUECO"),IF(E64="III",30,40),0)</f>
        <v>0</v>
      </c>
      <c r="J76" s="574">
        <f>IF('CG. MPB'!E77="TABICON",IF(E64="I",20,15),0)</f>
        <v>0</v>
      </c>
      <c r="K76" s="574">
        <f>IF('CG. MPB'!E77="ADOBE",10,0)</f>
        <v>0</v>
      </c>
      <c r="L76" s="574">
        <f>IF('CG. MPB'!E77="LIGERO",10,0)</f>
        <v>0</v>
      </c>
      <c r="M76" s="574">
        <f>IF('CG. MPB'!E77="CANTERA",30,0)</f>
        <v>0</v>
      </c>
      <c r="N76" s="575">
        <f t="shared" si="6"/>
        <v>0</v>
      </c>
      <c r="O76" s="918">
        <f>ABS('ELEM. MECA.'!D53)</f>
        <v>0</v>
      </c>
      <c r="P76" s="919">
        <f>IF(AND('CG. MPB'!D77="CONFINADO",'CG. MPB'!E77="TABIQUE",'CG. MPB'!F77="MACIZO"),'RMCV.PB'!Y76,IF(AND('CG. MPB'!D77="CONFINADO",'CG. MPB'!E77="TABICON",'CG. MPB'!F77="MACIZO"),'RMCV.PB'!Y76,IF(AND('CG. MPB'!D77="CONFINADO",'CG. MPB'!E77="LIGERO",'CG. MPB'!F77="MACIZO"),'RMCV.PB'!Y76,IF(AND('CG. MPB'!D77="NO CONFINADO",'CG. MPB'!E77="TABIQUE",'CG. MPB'!F77="MACIZO"),Z76,IF(AND('CG. MPB'!D77="NO CONFINADO",'CG. MPB'!E77="TABICON",'CG. MPB'!F77="MACIZO"),Z76,IF(AND('CG. MPB'!D77="NO CONFINADO",'CG. MPB'!E77="LIGERO",'CG. MPB'!F77="MACIZO"),Z76,IF(AND('CG. MPB'!E77="TABIQUE",'CG. MPB'!F77="HUECO"),X76,IF('CG. MPB'!E77="ADOBE",'RMCV.PB'!AA76,'RMCV.PB'!AB76))))))))</f>
        <v>0</v>
      </c>
      <c r="Q76" s="685" t="str">
        <f t="shared" si="7"/>
        <v>PASA</v>
      </c>
      <c r="R76" s="4">
        <f>IF(D76*E76*(F76*N76+'CASTILLOS-PB'!W76*FY)&gt;1.25*D76*E76*F76*N76,1.25*D76*E76*F76*N76,D76*E76*(F76*N76+'CASTILLOS-PB'!W76*FY))</f>
        <v>0</v>
      </c>
      <c r="S76" s="4">
        <f>D76*E76*(F76*N76+'CASTILLOS-PB'!G76*FY*2)</f>
        <v>8588.16</v>
      </c>
      <c r="T76" s="4">
        <f t="shared" si="2"/>
        <v>0</v>
      </c>
      <c r="U76" s="521">
        <f t="shared" si="3"/>
        <v>0</v>
      </c>
      <c r="V76" s="533">
        <f>D76*(0.7*$G$24*(B76*C76)+2000*'MUR.CONC-PB'!K76)</f>
        <v>0</v>
      </c>
      <c r="W76" s="533">
        <f t="shared" si="4"/>
        <v>0</v>
      </c>
      <c r="X76" s="543">
        <f>IF(AND('CG. MPB'!E77="TABIQUE",'CG. MPB'!F77="HUECO"),R76,0)</f>
        <v>0</v>
      </c>
      <c r="Y76" s="543">
        <f>IF(AND('CG. MPB'!D77="CONFINADO",'CG. MPB'!E77="TABIQUE",'CG. MPB'!F77="MACIZO"),'RMCV.PB'!S76,IF(AND('CG. MPB'!D77="CONFINADO",'CG. MPB'!E77="TABICON",'CG. MPB'!F77="MACIZO"),'RMCV.PB'!S76,IF(AND('CG. MPB'!D77="CONFINADO",'CG. MPB'!E77="LIGERO",'CG. MPB'!F77="MACIZO"),'RMCV.PB'!S76,0)))</f>
        <v>0</v>
      </c>
      <c r="Z76" s="543">
        <f>IF(AND('CG. MPB'!D77="NO CONFINADO",'CG. MPB'!E77="TABIQUE",'CG. MPB'!F77="MACIZO"),T76,IF(AND('CG. MPB'!D77="NO CONFINADO",'CG. MPB'!E77="TABICON",'CG. MPB'!F77="MACIZO"),T76,IF(AND('CG. MPB'!D77="NO CONFINADO",'CG. MPB'!E77="LIGERO",'CG. MPB'!F77="MACIZO"),T76,0)))</f>
        <v>0</v>
      </c>
      <c r="AA76" s="543">
        <f>IF('CG. MPB'!E77="ADOBE",'RMCV.PB'!U76,0)</f>
        <v>0</v>
      </c>
      <c r="AB76" s="543">
        <f>IF('CG. MPB'!E77="CONCRETO",'RMCV.PB'!V76,0)</f>
        <v>0</v>
      </c>
      <c r="AC76" s="900">
        <f>IF('CG. MPB'!E77="CANTERA",'RMCV.PB'!W76,0)</f>
        <v>0</v>
      </c>
      <c r="AD76" s="93">
        <f t="shared" si="5"/>
        <v>0</v>
      </c>
      <c r="AE76" s="428">
        <v>0.6</v>
      </c>
      <c r="AF76" s="4" t="e">
        <f>(1-2*AD76/C76)*(1-(AE76*'CG. MPB'!C77*10/(30*C76))^2)</f>
        <v>#DIV/0!</v>
      </c>
      <c r="AG76" s="350" t="e">
        <f>(1-(2*AD76/C76))*(1-(AE76*'CG. MPB'!C77*10/(30*C76))^2)*(1-('CG. MPB'!C77*10/B76))+('CG. MPB'!C77*10/B76)</f>
        <v>#DIV/0!</v>
      </c>
      <c r="AH76" s="429" t="e">
        <f t="shared" si="8"/>
        <v>#DIV/0!</v>
      </c>
    </row>
    <row r="77" spans="1:37" ht="15.75" hidden="1" customHeight="1">
      <c r="A77" s="684">
        <f>'CG. MPB'!A78</f>
        <v>49</v>
      </c>
      <c r="B77" s="578">
        <f>'CG. MPB'!B78*100</f>
        <v>0</v>
      </c>
      <c r="C77" s="68">
        <f>'ELEM. MECA.'!J54</f>
        <v>0</v>
      </c>
      <c r="D77" s="38">
        <f>IF(AND('CG. MPB'!D78="CONFINADO",'CG. MPB'!E78="CONCRETO"),0.8,IF('CG. MPB'!D78="NO CONFINADO",0.3,0.6))</f>
        <v>0.6</v>
      </c>
      <c r="E77" s="68">
        <v>0.6</v>
      </c>
      <c r="F77" s="38">
        <f>IF('CG. MPB'!E78="CONCRETO",G77,'RMCV.PB'!H77+'RMCV.PB'!I77+'RMCV.PB'!J77+K77+L77+M77)</f>
        <v>0</v>
      </c>
      <c r="G77" s="542">
        <f>IF('CG. MPB'!E78="CONCRETO",0.6*$G$24,0)</f>
        <v>0</v>
      </c>
      <c r="H77" s="574">
        <f>IF(AND('CG. MPB'!E78="TABIQUE",'CG. MPB'!F78="MACIZO"),15,0)</f>
        <v>0</v>
      </c>
      <c r="I77" s="574">
        <f>IF(AND('CG. MPB'!E78="TABIQUE",'CG. MPB'!F78="HUECO"),IF(E65="III",30,40),0)</f>
        <v>0</v>
      </c>
      <c r="J77" s="574">
        <f>IF('CG. MPB'!E78="TABICON",IF(E65="I",20,15),0)</f>
        <v>0</v>
      </c>
      <c r="K77" s="574">
        <f>IF('CG. MPB'!E78="ADOBE",10,0)</f>
        <v>0</v>
      </c>
      <c r="L77" s="574">
        <f>IF('CG. MPB'!E78="LIGERO",10,0)</f>
        <v>0</v>
      </c>
      <c r="M77" s="574">
        <f>IF('CG. MPB'!E78="CANTERA",30,0)</f>
        <v>0</v>
      </c>
      <c r="N77" s="575">
        <f t="shared" si="6"/>
        <v>0</v>
      </c>
      <c r="O77" s="918">
        <f>ABS('ELEM. MECA.'!D54)</f>
        <v>0</v>
      </c>
      <c r="P77" s="919">
        <f>IF(AND('CG. MPB'!D78="CONFINADO",'CG. MPB'!E78="TABIQUE",'CG. MPB'!F78="MACIZO"),'RMCV.PB'!Y77,IF(AND('CG. MPB'!D78="CONFINADO",'CG. MPB'!E78="TABICON",'CG. MPB'!F78="MACIZO"),'RMCV.PB'!Y77,IF(AND('CG. MPB'!D78="CONFINADO",'CG. MPB'!E78="LIGERO",'CG. MPB'!F78="MACIZO"),'RMCV.PB'!Y77,IF(AND('CG. MPB'!D78="NO CONFINADO",'CG. MPB'!E78="TABIQUE",'CG. MPB'!F78="MACIZO"),Z77,IF(AND('CG. MPB'!D78="NO CONFINADO",'CG. MPB'!E78="TABICON",'CG. MPB'!F78="MACIZO"),Z77,IF(AND('CG. MPB'!D78="NO CONFINADO",'CG. MPB'!E78="LIGERO",'CG. MPB'!F78="MACIZO"),Z77,IF(AND('CG. MPB'!E78="TABIQUE",'CG. MPB'!F78="HUECO"),X77,IF('CG. MPB'!E78="ADOBE",'RMCV.PB'!AA77,'RMCV.PB'!AB77))))))))</f>
        <v>0</v>
      </c>
      <c r="Q77" s="685" t="str">
        <f t="shared" si="7"/>
        <v>PASA</v>
      </c>
      <c r="R77" s="4">
        <f>IF(D77*E77*(F77*N77+'CASTILLOS-PB'!W77*FY)&gt;1.25*D77*E77*F77*N77,1.25*D77*E77*F77*N77,D77*E77*(F77*N77+'CASTILLOS-PB'!W77*FY))</f>
        <v>0</v>
      </c>
      <c r="S77" s="4">
        <f>D77*E77*(F77*N77+'CASTILLOS-PB'!G77*FY*2)</f>
        <v>8588.16</v>
      </c>
      <c r="T77" s="4">
        <f t="shared" si="2"/>
        <v>0</v>
      </c>
      <c r="U77" s="521">
        <f t="shared" si="3"/>
        <v>0</v>
      </c>
      <c r="V77" s="533">
        <f>D77*(0.7*$G$24*(B77*C77)+2000*'MUR.CONC-PB'!K77)</f>
        <v>0</v>
      </c>
      <c r="W77" s="533">
        <f t="shared" si="4"/>
        <v>0</v>
      </c>
      <c r="X77" s="543">
        <f>IF(AND('CG. MPB'!E78="TABIQUE",'CG. MPB'!F78="HUECO"),R77,0)</f>
        <v>0</v>
      </c>
      <c r="Y77" s="543">
        <f>IF(AND('CG. MPB'!D78="CONFINADO",'CG. MPB'!E78="TABIQUE",'CG. MPB'!F78="MACIZO"),'RMCV.PB'!S77,IF(AND('CG. MPB'!D78="CONFINADO",'CG. MPB'!E78="TABICON",'CG. MPB'!F78="MACIZO"),'RMCV.PB'!S77,IF(AND('CG. MPB'!D78="CONFINADO",'CG. MPB'!E78="LIGERO",'CG. MPB'!F78="MACIZO"),'RMCV.PB'!S77,0)))</f>
        <v>0</v>
      </c>
      <c r="Z77" s="543">
        <f>IF(AND('CG. MPB'!D78="NO CONFINADO",'CG. MPB'!E78="TABIQUE",'CG. MPB'!F78="MACIZO"),T77,IF(AND('CG. MPB'!D78="NO CONFINADO",'CG. MPB'!E78="TABICON",'CG. MPB'!F78="MACIZO"),T77,IF(AND('CG. MPB'!D78="NO CONFINADO",'CG. MPB'!E78="LIGERO",'CG. MPB'!F78="MACIZO"),T77,0)))</f>
        <v>0</v>
      </c>
      <c r="AA77" s="543">
        <f>IF('CG. MPB'!E78="ADOBE",'RMCV.PB'!U77,0)</f>
        <v>0</v>
      </c>
      <c r="AB77" s="543">
        <f>IF('CG. MPB'!E78="CONCRETO",'RMCV.PB'!V77,0)</f>
        <v>0</v>
      </c>
      <c r="AC77" s="900">
        <f>IF('CG. MPB'!E78="CANTERA",'RMCV.PB'!W77,0)</f>
        <v>0</v>
      </c>
      <c r="AD77" s="93">
        <f t="shared" si="5"/>
        <v>0</v>
      </c>
      <c r="AE77" s="428">
        <v>0.6</v>
      </c>
      <c r="AF77" s="4" t="e">
        <f>(1-2*AD77/C77)*(1-(AE77*'CG. MPB'!C78*10/(30*C77))^2)</f>
        <v>#DIV/0!</v>
      </c>
      <c r="AG77" s="350" t="e">
        <f>(1-(2*AD77/C77))*(1-(AE77*'CG. MPB'!C78*10/(30*C77))^2)*(1-('CG. MPB'!C78*10/B77))+('CG. MPB'!C78*10/B77)</f>
        <v>#DIV/0!</v>
      </c>
      <c r="AH77" s="429" t="e">
        <f t="shared" si="8"/>
        <v>#DIV/0!</v>
      </c>
    </row>
    <row r="78" spans="1:37" ht="15.75" hidden="1" customHeight="1" thickBot="1">
      <c r="A78" s="684">
        <f>'CG. MPB'!A79</f>
        <v>50</v>
      </c>
      <c r="B78" s="578">
        <f>'CG. MPB'!B79*100</f>
        <v>0</v>
      </c>
      <c r="C78" s="68">
        <f>'ELEM. MECA.'!J55</f>
        <v>0</v>
      </c>
      <c r="D78" s="38">
        <f>IF(AND('CG. MPB'!D79="CONFINADO",'CG. MPB'!E79="CONCRETO"),0.8,IF('CG. MPB'!D79="NO CONFINADO",0.3,0.6))</f>
        <v>0.6</v>
      </c>
      <c r="E78" s="68">
        <v>0.6</v>
      </c>
      <c r="F78" s="38">
        <f>IF('CG. MPB'!E79="CONCRETO",G78,'RMCV.PB'!H78+'RMCV.PB'!I78+'RMCV.PB'!J78+K78+L78+M78)</f>
        <v>0</v>
      </c>
      <c r="G78" s="542">
        <f>IF('CG. MPB'!E79="CONCRETO",0.6*$G$24,0)</f>
        <v>0</v>
      </c>
      <c r="H78" s="574">
        <f>IF(AND('CG. MPB'!E79="TABIQUE",'CG. MPB'!F79="MACIZO"),15,0)</f>
        <v>0</v>
      </c>
      <c r="I78" s="574">
        <f>IF(AND('CG. MPB'!E79="TABIQUE",'CG. MPB'!F79="HUECO"),IF(E66="III",30,40),0)</f>
        <v>0</v>
      </c>
      <c r="J78" s="574">
        <f>IF('CG. MPB'!E79="TABICON",IF(E66="I",20,15),0)</f>
        <v>0</v>
      </c>
      <c r="K78" s="574">
        <f>IF('CG. MPB'!E79="ADOBE",10,0)</f>
        <v>0</v>
      </c>
      <c r="L78" s="574">
        <f>IF('CG. MPB'!E79="LIGERO",10,0)</f>
        <v>0</v>
      </c>
      <c r="M78" s="574">
        <f>IF('CG. MPB'!E79="CANTERA",30,0)</f>
        <v>0</v>
      </c>
      <c r="N78" s="575">
        <f t="shared" si="6"/>
        <v>0</v>
      </c>
      <c r="O78" s="918">
        <f>ABS('ELEM. MECA.'!D55)</f>
        <v>0</v>
      </c>
      <c r="P78" s="919">
        <f>IF(AND('CG. MPB'!D79="CONFINADO",'CG. MPB'!E79="TABIQUE",'CG. MPB'!F79="MACIZO"),'RMCV.PB'!Y78,IF(AND('CG. MPB'!D79="CONFINADO",'CG. MPB'!E79="TABICON",'CG. MPB'!F79="MACIZO"),'RMCV.PB'!Y78,IF(AND('CG. MPB'!D79="CONFINADO",'CG. MPB'!E79="LIGERO",'CG. MPB'!F79="MACIZO"),'RMCV.PB'!Y78,IF(AND('CG. MPB'!D79="NO CONFINADO",'CG. MPB'!E79="TABIQUE",'CG. MPB'!F79="MACIZO"),Z78,IF(AND('CG. MPB'!D79="NO CONFINADO",'CG. MPB'!E79="TABICON",'CG. MPB'!F79="MACIZO"),Z78,IF(AND('CG. MPB'!D79="NO CONFINADO",'CG. MPB'!E79="LIGERO",'CG. MPB'!F79="MACIZO"),Z78,IF(AND('CG. MPB'!E79="TABIQUE",'CG. MPB'!F79="HUECO"),X78,IF('CG. MPB'!E79="ADOBE",'RMCV.PB'!AA78,'RMCV.PB'!AB78))))))))</f>
        <v>0</v>
      </c>
      <c r="Q78" s="685" t="str">
        <f t="shared" si="7"/>
        <v>PASA</v>
      </c>
      <c r="R78" s="4">
        <f>IF(D78*E78*(F78*N78+'CASTILLOS-PB'!W78*FY)&gt;1.25*D78*E78*F78*N78,1.25*D78*E78*F78*N78,D78*E78*(F78*N78+'CASTILLOS-PB'!W78*FY))</f>
        <v>0</v>
      </c>
      <c r="S78" s="4">
        <f>D78*E78*(F78*N78+'CASTILLOS-PB'!G78*FY*2)</f>
        <v>8588.16</v>
      </c>
      <c r="T78" s="4">
        <f t="shared" si="2"/>
        <v>0</v>
      </c>
      <c r="U78" s="521">
        <f t="shared" si="3"/>
        <v>0</v>
      </c>
      <c r="V78" s="533">
        <f>D78*(0.7*$G$24*(B78*C78)+2000*'MUR.CONC-PB'!K78)</f>
        <v>0</v>
      </c>
      <c r="W78" s="533">
        <f t="shared" si="4"/>
        <v>0</v>
      </c>
      <c r="X78" s="543">
        <f>IF(AND('CG. MPB'!E79="TABIQUE",'CG. MPB'!F79="HUECO"),R78,0)</f>
        <v>0</v>
      </c>
      <c r="Y78" s="543">
        <f>IF(AND('CG. MPB'!D79="CONFINADO",'CG. MPB'!E79="TABIQUE",'CG. MPB'!F79="MACIZO"),'RMCV.PB'!S78,IF(AND('CG. MPB'!D79="CONFINADO",'CG. MPB'!E79="TABICON",'CG. MPB'!F79="MACIZO"),'RMCV.PB'!S78,IF(AND('CG. MPB'!D79="CONFINADO",'CG. MPB'!E79="LIGERO",'CG. MPB'!F79="MACIZO"),'RMCV.PB'!S78,0)))</f>
        <v>0</v>
      </c>
      <c r="Z78" s="543">
        <f>IF(AND('CG. MPB'!D79="NO CONFINADO",'CG. MPB'!E79="TABIQUE",'CG. MPB'!F79="MACIZO"),T78,IF(AND('CG. MPB'!D79="NO CONFINADO",'CG. MPB'!E79="TABICON",'CG. MPB'!F79="MACIZO"),T78,IF(AND('CG. MPB'!D79="NO CONFINADO",'CG. MPB'!E79="LIGERO",'CG. MPB'!F79="MACIZO"),T78,0)))</f>
        <v>0</v>
      </c>
      <c r="AA78" s="543">
        <f>IF('CG. MPB'!E79="ADOBE",'RMCV.PB'!U78,0)</f>
        <v>0</v>
      </c>
      <c r="AB78" s="543">
        <f>IF('CG. MPB'!E79="CONCRETO",'RMCV.PB'!V78,0)</f>
        <v>0</v>
      </c>
      <c r="AC78" s="900">
        <f>IF('CG. MPB'!E79="CANTERA",'RMCV.PB'!W78,0)</f>
        <v>0</v>
      </c>
      <c r="AD78" s="93">
        <f t="shared" si="5"/>
        <v>0</v>
      </c>
      <c r="AE78" s="428">
        <v>0.6</v>
      </c>
      <c r="AF78" s="4" t="e">
        <f>(1-2*AD78/C78)*(1-(AE78*'CG. MPB'!C79*10/(30*C78))^2)</f>
        <v>#DIV/0!</v>
      </c>
      <c r="AG78" s="350" t="e">
        <f>(1-(2*AD78/C78))*(1-(AE78*'CG. MPB'!C79*10/(30*C78))^2)*(1-('CG. MPB'!C79*10/B78))+('CG. MPB'!C79*10/B78)</f>
        <v>#DIV/0!</v>
      </c>
      <c r="AH78" s="429" t="e">
        <f t="shared" si="8"/>
        <v>#DIV/0!</v>
      </c>
    </row>
    <row r="79" spans="1:37" ht="15.75">
      <c r="A79" s="665" t="s">
        <v>88</v>
      </c>
      <c r="B79" s="973"/>
      <c r="C79" s="688"/>
      <c r="D79" s="689"/>
      <c r="E79" s="688"/>
      <c r="F79" s="689"/>
      <c r="G79" s="690"/>
      <c r="H79" s="749"/>
      <c r="I79" s="749"/>
      <c r="J79" s="749"/>
      <c r="K79" s="749"/>
      <c r="L79" s="749"/>
      <c r="M79" s="749">
        <f>IF('CG. MPB'!E80="CANTERA",30,0)</f>
        <v>0</v>
      </c>
      <c r="N79" s="691"/>
      <c r="O79" s="930"/>
      <c r="P79" s="921"/>
      <c r="Q79" s="694"/>
      <c r="V79" s="533">
        <f>D79*(0.7*$G$24*(B79*C79)+2000*'MUR.CONC-PB'!K79)</f>
        <v>0</v>
      </c>
      <c r="W79" s="533"/>
      <c r="X79" s="543"/>
      <c r="Y79" s="543">
        <f>IF(AND('CG. MPB'!D80="CONFINADO",'CG. MPB'!E80="TABIQUE",'CG. MPB'!F80="MACIZO"),'RMCV.PB'!S79,IF(AND('CG. MPB'!D80="CONFINADO",'CG. MPB'!E80="TABICON",'CG. MPB'!F80="MACIZO"),'RMCV.PB'!S79,IF(AND('CG. MPB'!D80="CONFINADO",'CG. MPB'!E80="LIGERO",'CG. MPB'!F80="MACIZO"),'RMCV.PB'!S79,0)))</f>
        <v>0</v>
      </c>
      <c r="Z79" s="543">
        <f>IF(AND('CG. MPB'!D80="NO CONFINADO",'CG. MPB'!E80="TABIQUE",'CG. MPB'!F80="MACIZO"),T79,IF(AND('CG. MPB'!D80="NO CONFINADO",'CG. MPB'!E80="TABICON",'CG. MPB'!F80="MACIZO"),T79,IF(AND('CG. MPB'!D80="NO CONFINADO",'CG. MPB'!E80="LIGERO",'CG. MPB'!F80="MACIZO"),T79,0)))</f>
        <v>0</v>
      </c>
      <c r="AA79" s="543"/>
      <c r="AB79" s="543"/>
      <c r="AC79" s="900">
        <f>IF('CG. MPB'!E80="CANTERA",'RMCV.PB'!W79,0)</f>
        <v>0</v>
      </c>
    </row>
    <row r="80" spans="1:37">
      <c r="A80" s="684">
        <f>'CG. MPB'!A81</f>
        <v>1</v>
      </c>
      <c r="B80" s="578">
        <f>'CG. MPB'!B81*100</f>
        <v>102.54999999999994</v>
      </c>
      <c r="C80" s="68">
        <f>'ELEM. MECA.'!J207</f>
        <v>15</v>
      </c>
      <c r="D80" s="38">
        <f>IF(AND('CG. MPB'!D81="CONFINADO",'CG. MPB'!D81="CONCRETO"),0.8,IF('CG. MPB'!D81="NO CONFINADO",0.3,0.6))</f>
        <v>0.6</v>
      </c>
      <c r="E80" s="68">
        <v>0.6</v>
      </c>
      <c r="F80" s="38">
        <f>IF('CG. MPB'!E81="CONCRETO",G80,'RMCV.PB'!H80+'RMCV.PB'!I80+'RMCV.PB'!J80+K80+L80+M80)</f>
        <v>20</v>
      </c>
      <c r="G80" s="542">
        <f>IF('CG. MPB'!E81="CONCRETO",0.6*$G$24,0)</f>
        <v>0</v>
      </c>
      <c r="H80" s="574">
        <f>IF(AND('CG. MPB'!E81="TABIQUE",'CG. MPB'!F81="MACIZO"),15,0)</f>
        <v>0</v>
      </c>
      <c r="I80" s="574">
        <f>IF(AND('CG. MPB'!E81="TABIQUE",'CG. MPB'!F81="HUECO"),IF(E17="III",30,40),0)</f>
        <v>0</v>
      </c>
      <c r="J80" s="574">
        <f>IF('CG. MPB'!E81="TABICON",IF(E17="I",20,15),0)</f>
        <v>20</v>
      </c>
      <c r="K80" s="574">
        <f>IF('CG. MPB'!E81="ADOBE",10,0)</f>
        <v>0</v>
      </c>
      <c r="L80" s="574">
        <f>IF('CG. MPB'!E81="LIGERO",10,0)</f>
        <v>0</v>
      </c>
      <c r="M80" s="574">
        <f>IF('CG. MPB'!E81="CANTERA",30,0)</f>
        <v>0</v>
      </c>
      <c r="N80" s="575">
        <f t="shared" ref="N80" si="9">B80*C80</f>
        <v>1538.2499999999991</v>
      </c>
      <c r="O80" s="918">
        <f>ABS('ELEM. MECA.'!D207)</f>
        <v>3459.5489465414221</v>
      </c>
      <c r="P80" s="919">
        <f>IF(AND('CG. MPB'!D81="CONFINADO",'CG. MPB'!E81="TABIQUE",'CG. MPB'!F81="MACIZO"),'RMCV.PB'!Y80,IF(AND('CG. MPB'!D81="CONFINADO",'CG. MPB'!E81="TABICON",'CG. MPB'!F81="MACIZO"),'RMCV.PB'!Y80,IF(AND('CG. MPB'!D81="CONFINADO",'CG. MPB'!E81="LIGERO",'CG. MPB'!F81="MACIZO"),'RMCV.PB'!Y80,IF(AND('CG. MPB'!D81="NO CONFINADO",'CG. MPB'!E81="TABIQUE",'CG. MPB'!F81="MACIZO"),Z80,IF(AND('CG. MPB'!D81="NO CONFINADO",'CG. MPB'!E81="TABICON",'CG. MPB'!F81="MACIZO"),Z80,IF(AND('CG. MPB'!D81="NO CONFINADO",'CG. MPB'!E81="LIGERO",'CG. MPB'!F81="MACIZO"),Z80,IF(AND('CG. MPB'!E81="TABIQUE",'CG. MPB'!F81="HUECO"),X80,IF('CG. MPB'!E81="ADOBE",'RMCV.PB'!AA80,'RMCV.PB'!AB80))))))))</f>
        <v>19663.559999999994</v>
      </c>
      <c r="Q80" s="685" t="str">
        <f t="shared" ref="Q80" si="10">IF(O80&gt;P80,"NO PASA","PASA")</f>
        <v>PASA</v>
      </c>
      <c r="R80" s="4">
        <f>IF(D80*E80*(F80*N80+'CASTILLOS-PB'!W80*FY)&gt;1.25*D80*E80*F80*N80,1.25*D80*E80*F80*N80,D80*E80*(F80*N80+'CASTILLOS-PB'!W80*FY))</f>
        <v>13844.249999999993</v>
      </c>
      <c r="S80" s="4">
        <f>D80*E80*(F80*N80+'CASTILLOS-PB'!G80*FY*2)</f>
        <v>19663.559999999994</v>
      </c>
      <c r="T80" s="4">
        <f t="shared" ref="T80:T109" si="11">D80*E80*F80*N80</f>
        <v>11075.399999999992</v>
      </c>
      <c r="U80" s="4">
        <f t="shared" ref="U80:U109" si="12">D80*E80*F80*N80</f>
        <v>11075.399999999992</v>
      </c>
      <c r="V80" s="533">
        <f>D80*(0.7*$G$24*(B80*C80)+2000*'MUR.CONC-PB'!K80)</f>
        <v>161516.24999999988</v>
      </c>
      <c r="W80" s="533">
        <f t="shared" si="4"/>
        <v>11773.350000000006</v>
      </c>
      <c r="X80" s="543">
        <f>IF(AND('CG. MPB'!E81="TABIQUE",'CG. MPB'!F81="HUECO"),R80,0)</f>
        <v>0</v>
      </c>
      <c r="Y80" s="543">
        <f>IF(AND('CG. MPB'!D81="CONFINADO",'CG. MPB'!E81="TABIQUE",'CG. MPB'!F81="MACIZO"),'RMCV.PB'!S80,IF(AND('CG. MPB'!D81="CONFINADO",'CG. MPB'!E81="TABICON",'CG. MPB'!F81="MACIZO"),'RMCV.PB'!S80,IF(AND('CG. MPB'!D81="CONFINADO",'CG. MPB'!E81="LIGERO",'CG. MPB'!F81="MACIZO"),'RMCV.PB'!S80,0)))</f>
        <v>19663.559999999994</v>
      </c>
      <c r="Z80" s="543">
        <f>IF(AND('CG. MPB'!D81="NO CONFINADO",'CG. MPB'!E81="TABIQUE",'CG. MPB'!F81="MACIZO"),T80,IF(AND('CG. MPB'!D81="NO CONFINADO",'CG. MPB'!E81="TABICON",'CG. MPB'!F81="MACIZO"),T80,IF(AND('CG. MPB'!D81="NO CONFINADO",'CG. MPB'!E81="LIGERO",'CG. MPB'!F81="MACIZO"),T80,0)))</f>
        <v>0</v>
      </c>
      <c r="AA80" s="543">
        <f>IF('CG. MPB'!E81="ADOBE",'RMCV.PB'!U80,0)</f>
        <v>0</v>
      </c>
      <c r="AB80" s="543">
        <f>IF('CG. MPB'!E81="CONCRETO",'RMCV.PB'!V80,0)</f>
        <v>0</v>
      </c>
      <c r="AC80" s="900">
        <f>IF('CG. MPB'!E81="CANTERA",'RMCV.PB'!W80,0)</f>
        <v>0</v>
      </c>
      <c r="AD80" s="93">
        <f t="shared" ref="AD80:AD127" si="13">C80/2-(C80/3)+C80/24</f>
        <v>3.125</v>
      </c>
      <c r="AE80" s="428">
        <v>0.6</v>
      </c>
      <c r="AF80" s="4">
        <f>(1-2*AD80/C80)*(1-(AE80*'CG. MPB'!C81*10/(30*C80))^2)</f>
        <v>0.5825202962962962</v>
      </c>
      <c r="AG80" s="350">
        <f>(1-(2*AD80/C80))*(1-(AE80*'CG. MPB'!C81*10/(30*C80))^2)*(1-('CG. MPB'!C81*10/B80))+('CG. MPB'!C81*10/B80)</f>
        <v>0.69650792870686384</v>
      </c>
      <c r="AH80" s="429">
        <f t="shared" ref="AH80:AH87" si="14">IF(AG80&gt;0.9,0.9,AG80)</f>
        <v>0.69650792870686384</v>
      </c>
      <c r="AK80" s="872"/>
    </row>
    <row r="81" spans="1:39">
      <c r="A81" s="684">
        <f>'CG. MPB'!A82</f>
        <v>2</v>
      </c>
      <c r="B81" s="578">
        <f>'CG. MPB'!B82*100</f>
        <v>145.35000000000008</v>
      </c>
      <c r="C81" s="68">
        <f>'ELEM. MECA.'!J208</f>
        <v>15</v>
      </c>
      <c r="D81" s="38">
        <f>IF(AND('CG. MPB'!D82="CONFINADO",'CG. MPB'!D82="CONCRETO"),0.8,IF('CG. MPB'!D82="NO CONFINADO",0.3,0.6))</f>
        <v>0.6</v>
      </c>
      <c r="E81" s="68">
        <v>0.6</v>
      </c>
      <c r="F81" s="38">
        <f>IF('CG. MPB'!E82="CONCRETO",G81,'RMCV.PB'!H81+'RMCV.PB'!I81+'RMCV.PB'!J81+K81+L81+M81)</f>
        <v>15</v>
      </c>
      <c r="G81" s="542">
        <f>IF('CG. MPB'!E82="CONCRETO",0.6*$G$24,0)</f>
        <v>0</v>
      </c>
      <c r="H81" s="574">
        <f>IF(AND('CG. MPB'!E82="TABIQUE",'CG. MPB'!F82="MACIZO"),15,0)</f>
        <v>0</v>
      </c>
      <c r="I81" s="574">
        <f>IF(AND('CG. MPB'!E82="TABIQUE",'CG. MPB'!F82="HUECO"),IF(E18="III",30,40),0)</f>
        <v>0</v>
      </c>
      <c r="J81" s="574">
        <f>IF('CG. MPB'!E82="TABICON",IF(E18="I",20,15),0)</f>
        <v>15</v>
      </c>
      <c r="K81" s="574">
        <f>IF('CG. MPB'!E82="ADOBE",10,0)</f>
        <v>0</v>
      </c>
      <c r="L81" s="574">
        <f>IF('CG. MPB'!E82="LIGERO",10,0)</f>
        <v>0</v>
      </c>
      <c r="M81" s="574">
        <f>IF('CG. MPB'!E82="CANTERA",30,0)</f>
        <v>0</v>
      </c>
      <c r="N81" s="575">
        <f t="shared" ref="N81:N127" si="15">B81*C81</f>
        <v>2180.2500000000014</v>
      </c>
      <c r="O81" s="918">
        <f>ABS('ELEM. MECA.'!D208)</f>
        <v>6758.7766909653892</v>
      </c>
      <c r="P81" s="919">
        <f>IF(AND('CG. MPB'!D82="CONFINADO",'CG. MPB'!E82="TABIQUE",'CG. MPB'!F82="MACIZO"),'RMCV.PB'!Y81,IF(AND('CG. MPB'!D82="CONFINADO",'CG. MPB'!E82="TABICON",'CG. MPB'!F82="MACIZO"),'RMCV.PB'!Y81,IF(AND('CG. MPB'!D82="CONFINADO",'CG. MPB'!E82="LIGERO",'CG. MPB'!F82="MACIZO"),'RMCV.PB'!Y81,IF(AND('CG. MPB'!D82="NO CONFINADO",'CG. MPB'!E82="TABIQUE",'CG. MPB'!F82="MACIZO"),Z81,IF(AND('CG. MPB'!D82="NO CONFINADO",'CG. MPB'!E82="TABICON",'CG. MPB'!F82="MACIZO"),Z81,IF(AND('CG. MPB'!D82="NO CONFINADO",'CG. MPB'!E82="LIGERO",'CG. MPB'!F82="MACIZO"),Z81,IF(AND('CG. MPB'!E82="TABIQUE",'CG. MPB'!F82="HUECO"),X81,IF('CG. MPB'!E82="ADOBE",'RMCV.PB'!AA81,'RMCV.PB'!AB81))))))))</f>
        <v>20361.510000000006</v>
      </c>
      <c r="Q81" s="685" t="str">
        <f t="shared" ref="Q81:Q127" si="16">IF(O81&gt;P81,"NO PASA","PASA")</f>
        <v>PASA</v>
      </c>
      <c r="R81" s="4">
        <f>IF(D81*E81*(F81*N81+'CASTILLOS-PB'!W81*FY)&gt;1.25*D81*E81*F81*N81,1.25*D81*E81*F81*N81,D81*E81*(F81*N81+'CASTILLOS-PB'!W81*FY))</f>
        <v>14716.687500000007</v>
      </c>
      <c r="S81" s="4">
        <f>D81*E81*(F81*N81+'CASTILLOS-PB'!G81*FY*2)</f>
        <v>20361.510000000006</v>
      </c>
      <c r="T81" s="4">
        <f t="shared" si="11"/>
        <v>11773.350000000006</v>
      </c>
      <c r="U81" s="4">
        <f t="shared" si="12"/>
        <v>11773.350000000006</v>
      </c>
      <c r="V81" s="533">
        <f>D81*(0.7*$G$24*(B81*C81)+2000*'MUR.CONC-PB'!K81)</f>
        <v>228926.25000000015</v>
      </c>
      <c r="W81" s="533">
        <f t="shared" si="4"/>
        <v>205577.99999999994</v>
      </c>
      <c r="X81" s="543">
        <f>IF(AND('CG. MPB'!E82="TABIQUE",'CG. MPB'!F82="HUECO"),R81,0)</f>
        <v>0</v>
      </c>
      <c r="Y81" s="543">
        <f>IF(AND('CG. MPB'!D82="CONFINADO",'CG. MPB'!E82="TABIQUE",'CG. MPB'!F82="MACIZO"),'RMCV.PB'!S81,IF(AND('CG. MPB'!D82="CONFINADO",'CG. MPB'!E82="TABICON",'CG. MPB'!F82="MACIZO"),'RMCV.PB'!S81,IF(AND('CG. MPB'!D82="CONFINADO",'CG. MPB'!E82="LIGERO",'CG. MPB'!F82="MACIZO"),'RMCV.PB'!S81,0)))</f>
        <v>20361.510000000006</v>
      </c>
      <c r="Z81" s="543">
        <f>IF(AND('CG. MPB'!D82="NO CONFINADO",'CG. MPB'!E82="TABIQUE",'CG. MPB'!F82="MACIZO"),T81,IF(AND('CG. MPB'!D82="NO CONFINADO",'CG. MPB'!E82="TABICON",'CG. MPB'!F82="MACIZO"),T81,IF(AND('CG. MPB'!D82="NO CONFINADO",'CG. MPB'!E82="LIGERO",'CG. MPB'!F82="MACIZO"),T81,0)))</f>
        <v>0</v>
      </c>
      <c r="AA81" s="543">
        <f>IF('CG. MPB'!E82="ADOBE",'RMCV.PB'!U81,0)</f>
        <v>0</v>
      </c>
      <c r="AB81" s="543">
        <f>IF('CG. MPB'!E82="CONCRETO",'RMCV.PB'!V81,0)</f>
        <v>0</v>
      </c>
      <c r="AC81" s="900">
        <f>IF('CG. MPB'!E82="CANTERA",'RMCV.PB'!W81,0)</f>
        <v>0</v>
      </c>
      <c r="AD81" s="93">
        <f t="shared" si="13"/>
        <v>3.125</v>
      </c>
      <c r="AE81" s="428">
        <v>0.6</v>
      </c>
      <c r="AF81" s="4">
        <f>(1-2*AD81/C81)*(1-(AE81*'CG. MPB'!C82*10/(30*C81))^2)</f>
        <v>0.5825202962962962</v>
      </c>
      <c r="AG81" s="350">
        <f>(1-(2*AD81/C81))*(1-(AE81*'CG. MPB'!C82*10/(30*C81))^2)*(1-('CG. MPB'!C82*10/B81))+('CG. MPB'!C82*10/B81)</f>
        <v>0.66294294303660373</v>
      </c>
      <c r="AH81" s="429">
        <f t="shared" si="14"/>
        <v>0.66294294303660373</v>
      </c>
    </row>
    <row r="82" spans="1:39">
      <c r="A82" s="684">
        <f>'CG. MPB'!A83</f>
        <v>3</v>
      </c>
      <c r="B82" s="578">
        <f>'CG. MPB'!B83*100</f>
        <v>253.79999999999993</v>
      </c>
      <c r="C82" s="68">
        <f>'ELEM. MECA.'!J209</f>
        <v>15</v>
      </c>
      <c r="D82" s="38">
        <f>IF(AND('CG. MPB'!D83="CONFINADO",'CG. MPB'!D83="CONCRETO"),0.8,IF('CG. MPB'!D83="NO CONFINADO",0.3,0.6))</f>
        <v>0.6</v>
      </c>
      <c r="E82" s="68">
        <v>0.6</v>
      </c>
      <c r="F82" s="38">
        <f>IF('CG. MPB'!E83="CONCRETO",G82,'RMCV.PB'!H82+'RMCV.PB'!I82+'RMCV.PB'!J82+K82+L82+M82)</f>
        <v>150</v>
      </c>
      <c r="G82" s="542">
        <f>IF('CG. MPB'!E83="CONCRETO",0.6*$G$24,0)</f>
        <v>150</v>
      </c>
      <c r="H82" s="574">
        <f>IF(AND('CG. MPB'!E83="TABIQUE",'CG. MPB'!F83="MACIZO"),15,0)</f>
        <v>0</v>
      </c>
      <c r="I82" s="574">
        <f>IF(AND('CG. MPB'!E83="TABIQUE",'CG. MPB'!F83="HUECO"),IF(E19="III",30,40),0)</f>
        <v>0</v>
      </c>
      <c r="J82" s="574">
        <f>IF('CG. MPB'!E83="TABICON",IF(E19="I",20,15),0)</f>
        <v>0</v>
      </c>
      <c r="K82" s="574">
        <f>IF('CG. MPB'!E83="ADOBE",10,0)</f>
        <v>0</v>
      </c>
      <c r="L82" s="574">
        <f>IF('CG. MPB'!E83="LIGERO",10,0)</f>
        <v>0</v>
      </c>
      <c r="M82" s="574">
        <f>IF('CG. MPB'!E83="CANTERA",30,0)</f>
        <v>0</v>
      </c>
      <c r="N82" s="575">
        <f t="shared" si="15"/>
        <v>3806.9999999999991</v>
      </c>
      <c r="O82" s="918">
        <f>ABS('ELEM. MECA.'!D209)</f>
        <v>15865.892857770548</v>
      </c>
      <c r="P82" s="919">
        <f>IF(AND('CG. MPB'!D83="CONFINADO",'CG. MPB'!E83="TABIQUE",'CG. MPB'!F83="MACIZO"),'RMCV.PB'!Y82,IF(AND('CG. MPB'!D83="CONFINADO",'CG. MPB'!E83="TABICON",'CG. MPB'!F83="MACIZO"),'RMCV.PB'!Y82,IF(AND('CG. MPB'!D83="CONFINADO",'CG. MPB'!E83="LIGERO",'CG. MPB'!F83="MACIZO"),'RMCV.PB'!Y82,IF(AND('CG. MPB'!D83="NO CONFINADO",'CG. MPB'!E83="TABIQUE",'CG. MPB'!F83="MACIZO"),Z82,IF(AND('CG. MPB'!D83="NO CONFINADO",'CG. MPB'!E83="TABICON",'CG. MPB'!F83="MACIZO"),Z82,IF(AND('CG. MPB'!D83="NO CONFINADO",'CG. MPB'!E83="LIGERO",'CG. MPB'!F83="MACIZO"),Z82,IF(AND('CG. MPB'!E83="TABIQUE",'CG. MPB'!F83="HUECO"),X82,IF('CG. MPB'!E83="ADOBE",'RMCV.PB'!AA82,'RMCV.PB'!AB82))))))))</f>
        <v>410587.93692969781</v>
      </c>
      <c r="Q82" s="685" t="str">
        <f t="shared" si="16"/>
        <v>PASA</v>
      </c>
      <c r="R82" s="4">
        <f>IF(D82*E82*(F82*N82+'CASTILLOS-PB'!W82*FY)&gt;1.25*D82*E82*F82*N82,1.25*D82*E82*F82*N82,D82*E82*(F82*N82+'CASTILLOS-PB'!W82*FY))</f>
        <v>217386.71999999994</v>
      </c>
      <c r="S82" s="4">
        <f>D82*E82*(F82*N82+'CASTILLOS-PB'!G82*FY*2)</f>
        <v>214166.15999999995</v>
      </c>
      <c r="T82" s="4">
        <f t="shared" si="11"/>
        <v>205577.99999999994</v>
      </c>
      <c r="U82" s="4">
        <f t="shared" si="12"/>
        <v>205577.99999999994</v>
      </c>
      <c r="V82" s="533">
        <f>D82*(0.7*$G$24*(B82*C82)+2000*'MUR.CONC-PB'!K82)</f>
        <v>410587.93692969781</v>
      </c>
      <c r="W82" s="533">
        <f t="shared" si="4"/>
        <v>205578</v>
      </c>
      <c r="X82" s="543">
        <f>IF(AND('CG. MPB'!E83="TABIQUE",'CG. MPB'!F83="HUECO"),R82,0)</f>
        <v>0</v>
      </c>
      <c r="Y82" s="543">
        <f>IF(AND('CG. MPB'!D83="CONFINADO",'CG. MPB'!E83="TABIQUE",'CG. MPB'!F83="MACIZO"),'RMCV.PB'!S82,IF(AND('CG. MPB'!D83="CONFINADO",'CG. MPB'!E83="TABICON",'CG. MPB'!F83="MACIZO"),'RMCV.PB'!S82,IF(AND('CG. MPB'!D83="CONFINADO",'CG. MPB'!E83="LIGERO",'CG. MPB'!F83="MACIZO"),'RMCV.PB'!S82,0)))</f>
        <v>0</v>
      </c>
      <c r="Z82" s="543">
        <f>IF(AND('CG. MPB'!D83="NO CONFINADO",'CG. MPB'!E83="TABIQUE",'CG. MPB'!F83="MACIZO"),T82,IF(AND('CG. MPB'!D83="NO CONFINADO",'CG. MPB'!E83="TABICON",'CG. MPB'!F83="MACIZO"),T82,IF(AND('CG. MPB'!D83="NO CONFINADO",'CG. MPB'!E83="LIGERO",'CG. MPB'!F83="MACIZO"),T82,0)))</f>
        <v>0</v>
      </c>
      <c r="AA82" s="543">
        <f>IF('CG. MPB'!E83="ADOBE",'RMCV.PB'!U82,0)</f>
        <v>0</v>
      </c>
      <c r="AB82" s="543">
        <f>IF('CG. MPB'!E83="CONCRETO",'RMCV.PB'!V82,0)</f>
        <v>410587.93692969781</v>
      </c>
      <c r="AC82" s="900">
        <f>IF('CG. MPB'!E83="CANTERA",'RMCV.PB'!W82,0)</f>
        <v>0</v>
      </c>
      <c r="AD82" s="93">
        <f t="shared" si="13"/>
        <v>3.125</v>
      </c>
      <c r="AE82" s="428">
        <v>0.6</v>
      </c>
      <c r="AF82" s="4">
        <f>(1-2*AD82/C82)*(1-(AE82*'CG. MPB'!C83*10/(30*C82))^2)</f>
        <v>0.5825202962962962</v>
      </c>
      <c r="AG82" s="350">
        <f>(1-(2*AD82/C82))*(1-(AE82*'CG. MPB'!C83*10/(30*C82))^2)*(1-('CG. MPB'!C83*10/B82))+('CG. MPB'!C83*10/B82)</f>
        <v>0.62857794682310353</v>
      </c>
      <c r="AH82" s="429">
        <f t="shared" si="14"/>
        <v>0.62857794682310353</v>
      </c>
      <c r="AM82" s="872"/>
    </row>
    <row r="83" spans="1:39" ht="18.600000000000001" customHeight="1">
      <c r="A83" s="684">
        <f>'CG. MPB'!A84</f>
        <v>4</v>
      </c>
      <c r="B83" s="578">
        <f>'CG. MPB'!B84*100</f>
        <v>253.8</v>
      </c>
      <c r="C83" s="68">
        <f>'ELEM. MECA.'!J210</f>
        <v>15</v>
      </c>
      <c r="D83" s="38">
        <f>IF(AND('CG. MPB'!D84="CONFINADO",'CG. MPB'!D84="CONCRETO"),0.8,IF('CG. MPB'!D84="NO CONFINADO",0.3,0.6))</f>
        <v>0.6</v>
      </c>
      <c r="E83" s="68">
        <v>0.6</v>
      </c>
      <c r="F83" s="38">
        <f>IF('CG. MPB'!E84="CONCRETO",G83,'RMCV.PB'!H83+'RMCV.PB'!I83+'RMCV.PB'!J83+K83+L83+M83)</f>
        <v>150</v>
      </c>
      <c r="G83" s="542">
        <f>IF('CG. MPB'!E84="CONCRETO",0.6*$G$24,0)</f>
        <v>150</v>
      </c>
      <c r="H83" s="574">
        <f>IF(AND('CG. MPB'!E84="TABIQUE",'CG. MPB'!F84="MACIZO"),15,0)</f>
        <v>0</v>
      </c>
      <c r="I83" s="574">
        <f>IF(AND('CG. MPB'!E84="TABIQUE",'CG. MPB'!F84="HUECO"),IF(E20="III",30,40),0)</f>
        <v>0</v>
      </c>
      <c r="J83" s="574">
        <f>IF('CG. MPB'!E84="TABICON",IF(E20="I",20,15),0)</f>
        <v>0</v>
      </c>
      <c r="K83" s="574">
        <f>IF('CG. MPB'!E84="ADOBE",10,0)</f>
        <v>0</v>
      </c>
      <c r="L83" s="574">
        <f>IF('CG. MPB'!E84="LIGERO",10,0)</f>
        <v>0</v>
      </c>
      <c r="M83" s="574">
        <f>IF('CG. MPB'!E84="CANTERA",30,0)</f>
        <v>0</v>
      </c>
      <c r="N83" s="575">
        <f t="shared" ref="N83" si="17">B83*C83</f>
        <v>3807</v>
      </c>
      <c r="O83" s="918">
        <f>ABS('ELEM. MECA.'!D210)</f>
        <v>39224.33363048765</v>
      </c>
      <c r="P83" s="919">
        <f>IF(AND('CG. MPB'!D84="CONFINADO",'CG. MPB'!E84="TABIQUE",'CG. MPB'!F84="MACIZO"),'RMCV.PB'!Y83,IF(AND('CG. MPB'!D84="CONFINADO",'CG. MPB'!E84="TABICON",'CG. MPB'!F84="MACIZO"),'RMCV.PB'!Y83,IF(AND('CG. MPB'!D84="CONFINADO",'CG. MPB'!E84="LIGERO",'CG. MPB'!F84="MACIZO"),'RMCV.PB'!Y83,IF(AND('CG. MPB'!D84="NO CONFINADO",'CG. MPB'!E84="TABIQUE",'CG. MPB'!F84="MACIZO"),Z83,IF(AND('CG. MPB'!D84="NO CONFINADO",'CG. MPB'!E84="TABICON",'CG. MPB'!F84="MACIZO"),Z83,IF(AND('CG. MPB'!D84="NO CONFINADO",'CG. MPB'!E84="LIGERO",'CG. MPB'!F84="MACIZO"),Z83,IF(AND('CG. MPB'!E84="TABIQUE",'CG. MPB'!F84="HUECO"),X83,IF('CG. MPB'!E84="ADOBE",'RMCV.PB'!AA83,'RMCV.PB'!AB83))))))))</f>
        <v>410587.93692969787</v>
      </c>
      <c r="Q83" s="685" t="str">
        <f t="shared" ref="Q83" si="18">IF(O83&gt;P83,"NO PASA","PASA")</f>
        <v>PASA</v>
      </c>
      <c r="R83" s="4">
        <f>IF(D83*E83*(F83*N83+'CASTILLOS-PB'!W83*FY)&gt;1.25*D83*E83*F83*N83,1.25*D83*E83*F83*N83,D83*E83*(F83*N83+'CASTILLOS-PB'!W83*FY))</f>
        <v>217386.72</v>
      </c>
      <c r="S83" s="4">
        <f>D83*E83*(F83*N83+'CASTILLOS-PB'!G83*FY*2)</f>
        <v>214166.16</v>
      </c>
      <c r="T83" s="4">
        <f t="shared" si="11"/>
        <v>205578</v>
      </c>
      <c r="U83" s="4">
        <f t="shared" si="12"/>
        <v>205578</v>
      </c>
      <c r="V83" s="533">
        <f>D83*(0.7*$G$24*(B83*C83)+2000*'MUR.CONC-PB'!K83)</f>
        <v>410587.93692969787</v>
      </c>
      <c r="W83" s="533">
        <f t="shared" si="4"/>
        <v>311890.5</v>
      </c>
      <c r="X83" s="543">
        <f>IF(AND('CG. MPB'!E84="TABIQUE",'CG. MPB'!F84="HUECO"),R83,0)</f>
        <v>0</v>
      </c>
      <c r="Y83" s="543">
        <f>IF(AND('CG. MPB'!D84="CONFINADO",'CG. MPB'!E84="TABIQUE",'CG. MPB'!F84="MACIZO"),'RMCV.PB'!S83,IF(AND('CG. MPB'!D84="CONFINADO",'CG. MPB'!E84="TABICON",'CG. MPB'!F84="MACIZO"),'RMCV.PB'!S83,IF(AND('CG. MPB'!D84="CONFINADO",'CG. MPB'!E84="LIGERO",'CG. MPB'!F84="MACIZO"),'RMCV.PB'!S83,0)))</f>
        <v>0</v>
      </c>
      <c r="Z83" s="543">
        <f>IF(AND('CG. MPB'!D84="NO CONFINADO",'CG. MPB'!E84="TABIQUE",'CG. MPB'!F84="MACIZO"),T83,IF(AND('CG. MPB'!D84="NO CONFINADO",'CG. MPB'!E84="TABICON",'CG. MPB'!F84="MACIZO"),T83,IF(AND('CG. MPB'!D84="NO CONFINADO",'CG. MPB'!E84="LIGERO",'CG. MPB'!F84="MACIZO"),T83,0)))</f>
        <v>0</v>
      </c>
      <c r="AA83" s="543">
        <f>IF('CG. MPB'!E84="ADOBE",'RMCV.PB'!U83,0)</f>
        <v>0</v>
      </c>
      <c r="AB83" s="543">
        <f>IF('CG. MPB'!E84="CONCRETO",'RMCV.PB'!V83,0)</f>
        <v>410587.93692969787</v>
      </c>
      <c r="AC83" s="900">
        <f>IF('CG. MPB'!E84="CANTERA",'RMCV.PB'!W83,0)</f>
        <v>0</v>
      </c>
      <c r="AD83" s="93">
        <f t="shared" si="13"/>
        <v>3.125</v>
      </c>
      <c r="AE83" s="428">
        <v>0.6</v>
      </c>
      <c r="AF83" s="4">
        <f>(1-2*AD83/C83)*(1-(AE83*'CG. MPB'!C84*10/(30*C83))^2)</f>
        <v>0.5825202962962962</v>
      </c>
      <c r="AG83" s="350">
        <f>(1-(2*AD83/C83))*(1-(AE83*'CG. MPB'!C84*10/(30*C83))^2)*(1-('CG. MPB'!C84*10/B83))+('CG. MPB'!C84*10/B83)</f>
        <v>0.62857794682310364</v>
      </c>
      <c r="AH83" s="429">
        <f t="shared" si="14"/>
        <v>0.62857794682310364</v>
      </c>
    </row>
    <row r="84" spans="1:39">
      <c r="A84" s="684">
        <f>'CG. MPB'!A85</f>
        <v>5</v>
      </c>
      <c r="B84" s="578">
        <f>'CG. MPB'!B85*100</f>
        <v>385.05</v>
      </c>
      <c r="C84" s="68">
        <f>'ELEM. MECA.'!J211</f>
        <v>15</v>
      </c>
      <c r="D84" s="38">
        <f>IF(AND('CG. MPB'!D85="CONFINADO",'CG. MPB'!D85="CONCRETO"),0.8,IF('CG. MPB'!D85="NO CONFINADO",0.3,0.6))</f>
        <v>0.6</v>
      </c>
      <c r="E84" s="68">
        <v>0.6</v>
      </c>
      <c r="F84" s="38">
        <f>IF('CG. MPB'!E85="CONCRETO",G84,'RMCV.PB'!H84+'RMCV.PB'!I84+'RMCV.PB'!J84+K84+L84+M84)</f>
        <v>150</v>
      </c>
      <c r="G84" s="970">
        <f>IF('CG. MPB'!E85="CONCRETO",0.6*$G$24,0)</f>
        <v>150</v>
      </c>
      <c r="H84" s="574">
        <f>IF(AND('CG. MPB'!E85="TABIQUE",'CG. MPB'!F85="MACIZO"),15,0)</f>
        <v>0</v>
      </c>
      <c r="I84" s="574">
        <f>IF(AND('CG. MPB'!E85="TABIQUE",'CG. MPB'!F85="HUECO"),IF(E21="III",30,40),0)</f>
        <v>0</v>
      </c>
      <c r="J84" s="574">
        <f>IF('CG. MPB'!E85="TABICON",IF(E21="I",20,15),0)</f>
        <v>0</v>
      </c>
      <c r="K84" s="574">
        <f>IF('CG. MPB'!E85="ADOBE",10,0)</f>
        <v>0</v>
      </c>
      <c r="L84" s="574">
        <f>IF('CG. MPB'!E85="LIGERO",10,0)</f>
        <v>0</v>
      </c>
      <c r="M84" s="574">
        <f>IF('CG. MPB'!E85="CANTERA",30,0)</f>
        <v>0</v>
      </c>
      <c r="N84" s="575">
        <f t="shared" si="15"/>
        <v>5775.75</v>
      </c>
      <c r="O84" s="918">
        <f>ABS('ELEM. MECA.'!D211)</f>
        <v>90340.100055556992</v>
      </c>
      <c r="P84" s="919">
        <f>IF(AND('CG. MPB'!D85="CONFINADO",'CG. MPB'!E85="TABIQUE",'CG. MPB'!F85="MACIZO"),'RMCV.PB'!Y84,IF(AND('CG. MPB'!D85="CONFINADO",'CG. MPB'!E85="TABICON",'CG. MPB'!F85="MACIZO"),'RMCV.PB'!Y84,IF(AND('CG. MPB'!D85="CONFINADO",'CG. MPB'!E85="LIGERO",'CG. MPB'!F85="MACIZO"),'RMCV.PB'!Y84,IF(AND('CG. MPB'!D85="NO CONFINADO",'CG. MPB'!E85="TABIQUE",'CG. MPB'!F85="MACIZO"),Z84,IF(AND('CG. MPB'!D85="NO CONFINADO",'CG. MPB'!E85="TABICON",'CG. MPB'!F85="MACIZO"),Z84,IF(AND('CG. MPB'!D85="NO CONFINADO",'CG. MPB'!E85="LIGERO",'CG. MPB'!F85="MACIZO"),Z84,IF(AND('CG. MPB'!E85="TABIQUE",'CG. MPB'!F85="HUECO"),X84,IF('CG. MPB'!E85="ADOBE",'RMCV.PB'!AA84,'RMCV.PB'!AB84))))))))</f>
        <v>623532.42107315431</v>
      </c>
      <c r="Q84" s="685" t="str">
        <f t="shared" si="16"/>
        <v>PASA</v>
      </c>
      <c r="R84" s="4">
        <f>IF(D84*E84*(F84*N84+'CASTILLOS-PB'!W84*FY)&gt;1.25*D84*E84*F84*N84,1.25*D84*E84*F84*N84,D84*E84*(F84*N84+'CASTILLOS-PB'!W84*FY))</f>
        <v>325846.26</v>
      </c>
      <c r="S84" s="4">
        <f>D84*E84*(F84*N84+'CASTILLOS-PB'!G84*FY*2)</f>
        <v>320478.65999999997</v>
      </c>
      <c r="T84" s="4">
        <f t="shared" si="11"/>
        <v>311890.5</v>
      </c>
      <c r="U84" s="4">
        <f t="shared" si="12"/>
        <v>311890.5</v>
      </c>
      <c r="V84" s="533">
        <f>D84*(0.7*$G$24*(B84*C84)+2000*'MUR.CONC-PB'!K84)</f>
        <v>623532.42107315431</v>
      </c>
      <c r="W84" s="533" t="e">
        <f t="shared" si="4"/>
        <v>#VALUE!</v>
      </c>
      <c r="X84" s="543">
        <f>IF(AND('CG. MPB'!E85="TABIQUE",'CG. MPB'!F85="HUECO"),R84,0)</f>
        <v>0</v>
      </c>
      <c r="Y84" s="543">
        <f>IF(AND('CG. MPB'!D85="CONFINADO",'CG. MPB'!E85="TABIQUE",'CG. MPB'!F85="MACIZO"),'RMCV.PB'!S84,IF(AND('CG. MPB'!D85="CONFINADO",'CG. MPB'!E85="TABICON",'CG. MPB'!F85="MACIZO"),'RMCV.PB'!S84,IF(AND('CG. MPB'!D85="CONFINADO",'CG. MPB'!E85="LIGERO",'CG. MPB'!F85="MACIZO"),'RMCV.PB'!S84,0)))</f>
        <v>0</v>
      </c>
      <c r="Z84" s="543">
        <f>IF(AND('CG. MPB'!D85="NO CONFINADO",'CG. MPB'!E85="TABIQUE",'CG. MPB'!F85="MACIZO"),T84,IF(AND('CG. MPB'!D85="NO CONFINADO",'CG. MPB'!E85="TABICON",'CG. MPB'!F85="MACIZO"),T84,IF(AND('CG. MPB'!D85="NO CONFINADO",'CG. MPB'!E85="LIGERO",'CG. MPB'!F85="MACIZO"),T84,0)))</f>
        <v>0</v>
      </c>
      <c r="AA84" s="543">
        <f>IF('CG. MPB'!E85="ADOBE",'RMCV.PB'!U84,0)</f>
        <v>0</v>
      </c>
      <c r="AB84" s="543">
        <f>IF('CG. MPB'!E85="CONCRETO",'RMCV.PB'!V84,0)</f>
        <v>623532.42107315431</v>
      </c>
      <c r="AC84" s="900">
        <f>IF('CG. MPB'!E85="CANTERA",'RMCV.PB'!W84,0)</f>
        <v>0</v>
      </c>
      <c r="AD84" s="93">
        <f t="shared" si="13"/>
        <v>3.125</v>
      </c>
      <c r="AE84" s="428">
        <v>0.6</v>
      </c>
      <c r="AF84" s="4">
        <f>(1-2*AD84/C84)*(1-(AE84*'CG. MPB'!C85*10/(30*C84))^2)</f>
        <v>0.5825202962962962</v>
      </c>
      <c r="AG84" s="350">
        <f>(1-(2*AD84/C84))*(1-(AE84*'CG. MPB'!C85*10/(30*C84))^2)*(1-('CG. MPB'!C85*10/B84))+('CG. MPB'!C85*10/B84)</f>
        <v>0.61287851393998849</v>
      </c>
      <c r="AH84" s="429">
        <f t="shared" si="14"/>
        <v>0.61287851393998849</v>
      </c>
    </row>
    <row r="85" spans="1:39">
      <c r="A85" s="684">
        <f>'CG. MPB'!A86</f>
        <v>6</v>
      </c>
      <c r="B85" s="578">
        <f>'CG. MPB'!B86*100</f>
        <v>0</v>
      </c>
      <c r="C85" s="68" t="str">
        <f>'ELEM. MECA.'!J212</f>
        <v>-</v>
      </c>
      <c r="D85" s="38">
        <f>IF(AND('CG. MPB'!D86="CONFINADO",'CG. MPB'!D86="CONCRETO"),0.8,IF('CG. MPB'!D86="NO CONFINADO",0.3,0.6))</f>
        <v>0.6</v>
      </c>
      <c r="E85" s="68">
        <v>0.6</v>
      </c>
      <c r="F85" s="38">
        <f>IF('CG. MPB'!E86="CONCRETO",G85,'RMCV.PB'!H85+'RMCV.PB'!I85+'RMCV.PB'!J85+K85+L85+M85)</f>
        <v>0</v>
      </c>
      <c r="G85" s="542">
        <f>IF('CG. MPB'!E86="CONCRETO",0.6*$G$24,0)</f>
        <v>0</v>
      </c>
      <c r="H85" s="574">
        <f>IF(AND('CG. MPB'!E86="TABIQUE",'CG. MPB'!F86="MACIZO"),15,0)</f>
        <v>0</v>
      </c>
      <c r="I85" s="574">
        <f>IF(AND('CG. MPB'!E86="TABIQUE",'CG. MPB'!F86="HUECO"),IF(E22="III",30,40),0)</f>
        <v>0</v>
      </c>
      <c r="J85" s="574">
        <f>IF('CG. MPB'!E86="TABICON",IF(E22="I",20,15),0)</f>
        <v>0</v>
      </c>
      <c r="K85" s="574">
        <f>IF('CG. MPB'!E86="ADOBE",10,0)</f>
        <v>0</v>
      </c>
      <c r="L85" s="574">
        <f>IF('CG. MPB'!E86="LIGERO",10,0)</f>
        <v>0</v>
      </c>
      <c r="M85" s="574">
        <f>IF('CG. MPB'!E86="CANTERA",30,0)</f>
        <v>0</v>
      </c>
      <c r="N85" s="575" t="e">
        <f t="shared" si="15"/>
        <v>#VALUE!</v>
      </c>
      <c r="O85" s="918" t="e">
        <f>ABS('ELEM. MECA.'!D212)</f>
        <v>#VALUE!</v>
      </c>
      <c r="P85" s="919">
        <f>IF(AND('CG. MPB'!D86="CONFINADO",'CG. MPB'!E86="TABIQUE",'CG. MPB'!F86="MACIZO"),'RMCV.PB'!Y85,IF(AND('CG. MPB'!D86="CONFINADO",'CG. MPB'!E86="TABICON",'CG. MPB'!F86="MACIZO"),'RMCV.PB'!Y85,IF(AND('CG. MPB'!D86="CONFINADO",'CG. MPB'!E86="LIGERO",'CG. MPB'!F86="MACIZO"),'RMCV.PB'!Y85,IF(AND('CG. MPB'!D86="NO CONFINADO",'CG. MPB'!E86="TABIQUE",'CG. MPB'!F86="MACIZO"),Z85,IF(AND('CG. MPB'!D86="NO CONFINADO",'CG. MPB'!E86="TABICON",'CG. MPB'!F86="MACIZO"),Z85,IF(AND('CG. MPB'!D86="NO CONFINADO",'CG. MPB'!E86="LIGERO",'CG. MPB'!F86="MACIZO"),Z85,IF(AND('CG. MPB'!E86="TABIQUE",'CG. MPB'!F86="HUECO"),X85,IF('CG. MPB'!E86="ADOBE",'RMCV.PB'!AA85,'RMCV.PB'!AB85))))))))</f>
        <v>0</v>
      </c>
      <c r="Q85" s="685" t="e">
        <f t="shared" si="16"/>
        <v>#VALUE!</v>
      </c>
      <c r="R85" s="4" t="e">
        <f>IF(D85*E85*(F85*N85+'CASTILLOS-PB'!W85*FY)&gt;1.25*D85*E85*F85*N85,1.25*D85*E85*F85*N85,D85*E85*(F85*N85+'CASTILLOS-PB'!W85*FY))</f>
        <v>#VALUE!</v>
      </c>
      <c r="S85" s="4" t="e">
        <f>D85*E85*(F85*N85+'CASTILLOS-PB'!G85*FY*2)</f>
        <v>#VALUE!</v>
      </c>
      <c r="T85" s="4" t="e">
        <f t="shared" si="11"/>
        <v>#VALUE!</v>
      </c>
      <c r="U85" s="4" t="e">
        <f t="shared" si="12"/>
        <v>#VALUE!</v>
      </c>
      <c r="V85" s="533" t="e">
        <f>D85*(0.7*$G$24*(B85*C85)+2000*'MUR.CONC-PB'!K85)</f>
        <v>#VALUE!</v>
      </c>
      <c r="W85" s="533" t="e">
        <f t="shared" si="4"/>
        <v>#VALUE!</v>
      </c>
      <c r="X85" s="543">
        <f>IF(AND('CG. MPB'!E86="TABIQUE",'CG. MPB'!F86="HUECO"),R85,0)</f>
        <v>0</v>
      </c>
      <c r="Y85" s="543">
        <f>IF(AND('CG. MPB'!D86="CONFINADO",'CG. MPB'!E86="TABIQUE",'CG. MPB'!F86="MACIZO"),'RMCV.PB'!S85,IF(AND('CG. MPB'!D86="CONFINADO",'CG. MPB'!E86="TABICON",'CG. MPB'!F86="MACIZO"),'RMCV.PB'!S85,IF(AND('CG. MPB'!D86="CONFINADO",'CG. MPB'!E86="LIGERO",'CG. MPB'!F86="MACIZO"),'RMCV.PB'!S85,0)))</f>
        <v>0</v>
      </c>
      <c r="Z85" s="543">
        <f>IF(AND('CG. MPB'!D86="NO CONFINADO",'CG. MPB'!E86="TABIQUE",'CG. MPB'!F86="MACIZO"),T85,IF(AND('CG. MPB'!D86="NO CONFINADO",'CG. MPB'!E86="TABICON",'CG. MPB'!F86="MACIZO"),T85,IF(AND('CG. MPB'!D86="NO CONFINADO",'CG. MPB'!E86="LIGERO",'CG. MPB'!F86="MACIZO"),T85,0)))</f>
        <v>0</v>
      </c>
      <c r="AA85" s="543">
        <f>IF('CG. MPB'!E86="ADOBE",'RMCV.PB'!U85,0)</f>
        <v>0</v>
      </c>
      <c r="AB85" s="543">
        <f>IF('CG. MPB'!E86="CONCRETO",'RMCV.PB'!V85,0)</f>
        <v>0</v>
      </c>
      <c r="AC85" s="900">
        <f>IF('CG. MPB'!E86="CANTERA",'RMCV.PB'!W85,0)</f>
        <v>0</v>
      </c>
      <c r="AD85" s="93" t="e">
        <f t="shared" si="13"/>
        <v>#VALUE!</v>
      </c>
      <c r="AE85" s="428">
        <v>0.6</v>
      </c>
      <c r="AF85" s="4" t="e">
        <f>(1-2*AD85/C85)*(1-(AE85*'CG. MPB'!C86*10/(30*C85))^2)</f>
        <v>#VALUE!</v>
      </c>
      <c r="AG85" s="350" t="e">
        <f>(1-(2*AD85/C85))*(1-(AE85*'CG. MPB'!C86*10/(30*C85))^2)*(1-('CG. MPB'!C86*10/B85))+('CG. MPB'!C86*10/B85)</f>
        <v>#VALUE!</v>
      </c>
      <c r="AH85" s="429" t="e">
        <f t="shared" si="14"/>
        <v>#VALUE!</v>
      </c>
    </row>
    <row r="86" spans="1:39">
      <c r="A86" s="684">
        <f>'CG. MPB'!A87</f>
        <v>7</v>
      </c>
      <c r="B86" s="578">
        <f>'CG. MPB'!B87*100</f>
        <v>0</v>
      </c>
      <c r="C86" s="68" t="str">
        <f>'ELEM. MECA.'!J213</f>
        <v>-</v>
      </c>
      <c r="D86" s="38">
        <f>IF(AND('CG. MPB'!D87="CONFINADO",'CG. MPB'!D87="CONCRETO"),0.8,IF('CG. MPB'!D87="NO CONFINADO",0.3,0.6))</f>
        <v>0.6</v>
      </c>
      <c r="E86" s="68">
        <v>0.6</v>
      </c>
      <c r="F86" s="38">
        <f>IF('CG. MPB'!E87="CONCRETO",G86,'RMCV.PB'!H86+'RMCV.PB'!I86+'RMCV.PB'!J86+K86+L86+M86)</f>
        <v>0</v>
      </c>
      <c r="G86" s="542">
        <f>IF('CG. MPB'!E87="CONCRETO",0.6*$G$24,0)</f>
        <v>0</v>
      </c>
      <c r="H86" s="574">
        <f>IF(AND('CG. MPB'!E87="TABIQUE",'CG. MPB'!F87="MACIZO"),15,0)</f>
        <v>0</v>
      </c>
      <c r="I86" s="574">
        <f>IF(AND('CG. MPB'!E87="TABIQUE",'CG. MPB'!F87="HUECO"),IF(E23="III",30,40),0)</f>
        <v>0</v>
      </c>
      <c r="J86" s="574">
        <f>IF('CG. MPB'!E87="TABICON",IF(E23="I",20,15),0)</f>
        <v>0</v>
      </c>
      <c r="K86" s="574">
        <f>IF('CG. MPB'!E87="ADOBE",10,0)</f>
        <v>0</v>
      </c>
      <c r="L86" s="574">
        <f>IF('CG. MPB'!E87="LIGERO",10,0)</f>
        <v>0</v>
      </c>
      <c r="M86" s="574">
        <f>IF('CG. MPB'!E87="CANTERA",30,0)</f>
        <v>0</v>
      </c>
      <c r="N86" s="575" t="e">
        <f t="shared" si="15"/>
        <v>#VALUE!</v>
      </c>
      <c r="O86" s="918" t="e">
        <f>ABS('ELEM. MECA.'!D213)</f>
        <v>#VALUE!</v>
      </c>
      <c r="P86" s="919">
        <f>IF(AND('CG. MPB'!D87="CONFINADO",'CG. MPB'!E87="TABIQUE",'CG. MPB'!F87="MACIZO"),'RMCV.PB'!Y86,IF(AND('CG. MPB'!D87="CONFINADO",'CG. MPB'!E87="TABICON",'CG. MPB'!F87="MACIZO"),'RMCV.PB'!Y86,IF(AND('CG. MPB'!D87="CONFINADO",'CG. MPB'!E87="LIGERO",'CG. MPB'!F87="MACIZO"),'RMCV.PB'!Y86,IF(AND('CG. MPB'!D87="NO CONFINADO",'CG. MPB'!E87="TABIQUE",'CG. MPB'!F87="MACIZO"),Z86,IF(AND('CG. MPB'!D87="NO CONFINADO",'CG. MPB'!E87="TABICON",'CG. MPB'!F87="MACIZO"),Z86,IF(AND('CG. MPB'!D87="NO CONFINADO",'CG. MPB'!E87="LIGERO",'CG. MPB'!F87="MACIZO"),Z86,IF(AND('CG. MPB'!E87="TABIQUE",'CG. MPB'!F87="HUECO"),X86,IF('CG. MPB'!E87="ADOBE",'RMCV.PB'!AA86,'RMCV.PB'!AB86))))))))</f>
        <v>0</v>
      </c>
      <c r="Q86" s="685" t="e">
        <f t="shared" si="16"/>
        <v>#VALUE!</v>
      </c>
      <c r="R86" s="4" t="e">
        <f>IF(D86*E86*(F86*N86+'CASTILLOS-PB'!W86*FY)&gt;1.25*D86*E86*F86*N86,1.25*D86*E86*F86*N86,D86*E86*(F86*N86+'CASTILLOS-PB'!W86*FY))</f>
        <v>#VALUE!</v>
      </c>
      <c r="S86" s="4" t="e">
        <f>D86*E86*(F86*N86+'CASTILLOS-PB'!G86*FY*2)</f>
        <v>#VALUE!</v>
      </c>
      <c r="T86" s="4" t="e">
        <f t="shared" si="11"/>
        <v>#VALUE!</v>
      </c>
      <c r="U86" s="4" t="e">
        <f t="shared" si="12"/>
        <v>#VALUE!</v>
      </c>
      <c r="V86" s="533" t="e">
        <f>D86*(0.7*$G$24*(B86*C86)+2000*'MUR.CONC-PB'!K86)</f>
        <v>#VALUE!</v>
      </c>
      <c r="W86" s="533" t="e">
        <f t="shared" si="4"/>
        <v>#VALUE!</v>
      </c>
      <c r="X86" s="543">
        <f>IF(AND('CG. MPB'!E87="TABIQUE",'CG. MPB'!F87="HUECO"),R86,0)</f>
        <v>0</v>
      </c>
      <c r="Y86" s="543">
        <f>IF(AND('CG. MPB'!D87="CONFINADO",'CG. MPB'!E87="TABIQUE",'CG. MPB'!F87="MACIZO"),'RMCV.PB'!S86,IF(AND('CG. MPB'!D87="CONFINADO",'CG. MPB'!E87="TABICON",'CG. MPB'!F87="MACIZO"),'RMCV.PB'!S86,IF(AND('CG. MPB'!D87="CONFINADO",'CG. MPB'!E87="LIGERO",'CG. MPB'!F87="MACIZO"),'RMCV.PB'!S86,0)))</f>
        <v>0</v>
      </c>
      <c r="Z86" s="543">
        <f>IF(AND('CG. MPB'!D87="NO CONFINADO",'CG. MPB'!E87="TABIQUE",'CG. MPB'!F87="MACIZO"),T86,IF(AND('CG. MPB'!D87="NO CONFINADO",'CG. MPB'!E87="TABICON",'CG. MPB'!F87="MACIZO"),T86,IF(AND('CG. MPB'!D87="NO CONFINADO",'CG. MPB'!E87="LIGERO",'CG. MPB'!F87="MACIZO"),T86,0)))</f>
        <v>0</v>
      </c>
      <c r="AA86" s="543">
        <f>IF('CG. MPB'!E87="ADOBE",'RMCV.PB'!U86,0)</f>
        <v>0</v>
      </c>
      <c r="AB86" s="543">
        <f>IF('CG. MPB'!E87="CONCRETO",'RMCV.PB'!V86,0)</f>
        <v>0</v>
      </c>
      <c r="AC86" s="900">
        <f>IF('CG. MPB'!E87="CANTERA",'RMCV.PB'!W86,0)</f>
        <v>0</v>
      </c>
      <c r="AD86" s="93" t="e">
        <f t="shared" si="13"/>
        <v>#VALUE!</v>
      </c>
      <c r="AE86" s="428">
        <v>0.6</v>
      </c>
      <c r="AF86" s="4" t="e">
        <f>(1-2*AD86/C86)*(1-(AE86*'CG. MPB'!C87*10/(30*C86))^2)</f>
        <v>#VALUE!</v>
      </c>
      <c r="AG86" s="350" t="e">
        <f>(1-(2*AD86/C86))*(1-(AE86*'CG. MPB'!C87*10/(30*C86))^2)*(1-('CG. MPB'!C87*10/B86))+('CG. MPB'!C87*10/B86)</f>
        <v>#VALUE!</v>
      </c>
      <c r="AH86" s="429" t="e">
        <f t="shared" si="14"/>
        <v>#VALUE!</v>
      </c>
    </row>
    <row r="87" spans="1:39">
      <c r="A87" s="684">
        <f>'CG. MPB'!A88</f>
        <v>8</v>
      </c>
      <c r="B87" s="578">
        <f>'CG. MPB'!B88*100</f>
        <v>0</v>
      </c>
      <c r="C87" s="68" t="str">
        <f>'ELEM. MECA.'!J214</f>
        <v>-</v>
      </c>
      <c r="D87" s="38">
        <f>IF(AND('CG. MPB'!D88="CONFINADO",'CG. MPB'!D88="CONCRETO"),0.8,IF('CG. MPB'!D88="NO CONFINADO",0.3,0.6))</f>
        <v>0.6</v>
      </c>
      <c r="E87" s="68">
        <v>0.6</v>
      </c>
      <c r="F87" s="38">
        <f>IF('CG. MPB'!E88="CONCRETO",G87,'RMCV.PB'!H87+'RMCV.PB'!I87+'RMCV.PB'!J87+K87+L87+M87)</f>
        <v>0</v>
      </c>
      <c r="G87" s="542">
        <f>IF('CG. MPB'!E88="CONCRETO",0.6*$G$24,0)</f>
        <v>0</v>
      </c>
      <c r="H87" s="574">
        <f>IF(AND('CG. MPB'!E88="TABIQUE",'CG. MPB'!F88="MACIZO"),15,0)</f>
        <v>0</v>
      </c>
      <c r="I87" s="574">
        <f>IF(AND('CG. MPB'!E88="TABIQUE",'CG. MPB'!F88="HUECO"),IF(E24="III",30,40),0)</f>
        <v>0</v>
      </c>
      <c r="J87" s="574">
        <f>IF('CG. MPB'!E88="TABICON",IF(E24="I",20,15),0)</f>
        <v>0</v>
      </c>
      <c r="K87" s="574">
        <f>IF('CG. MPB'!E88="ADOBE",10,0)</f>
        <v>0</v>
      </c>
      <c r="L87" s="574">
        <f>IF('CG. MPB'!E88="LIGERO",10,0)</f>
        <v>0</v>
      </c>
      <c r="M87" s="574">
        <f>IF('CG. MPB'!E88="CANTERA",30,0)</f>
        <v>0</v>
      </c>
      <c r="N87" s="575" t="e">
        <f t="shared" si="15"/>
        <v>#VALUE!</v>
      </c>
      <c r="O87" s="918" t="e">
        <f>ABS('ELEM. MECA.'!D214)</f>
        <v>#VALUE!</v>
      </c>
      <c r="P87" s="919">
        <f>IF(AND('CG. MPB'!D88="CONFINADO",'CG. MPB'!E88="TABIQUE",'CG. MPB'!F88="MACIZO"),'RMCV.PB'!Y87,IF(AND('CG. MPB'!D88="CONFINADO",'CG. MPB'!E88="TABICON",'CG. MPB'!F88="MACIZO"),'RMCV.PB'!Y87,IF(AND('CG. MPB'!D88="CONFINADO",'CG. MPB'!E88="LIGERO",'CG. MPB'!F88="MACIZO"),'RMCV.PB'!Y87,IF(AND('CG. MPB'!D88="NO CONFINADO",'CG. MPB'!E88="TABIQUE",'CG. MPB'!F88="MACIZO"),Z87,IF(AND('CG. MPB'!D88="NO CONFINADO",'CG. MPB'!E88="TABICON",'CG. MPB'!F88="MACIZO"),Z87,IF(AND('CG. MPB'!D88="NO CONFINADO",'CG. MPB'!E88="LIGERO",'CG. MPB'!F88="MACIZO"),Z87,IF(AND('CG. MPB'!E88="TABIQUE",'CG. MPB'!F88="HUECO"),X87,IF('CG. MPB'!E88="ADOBE",'RMCV.PB'!AA87,'RMCV.PB'!AB87))))))))</f>
        <v>0</v>
      </c>
      <c r="Q87" s="685" t="e">
        <f t="shared" si="16"/>
        <v>#VALUE!</v>
      </c>
      <c r="R87" s="4" t="e">
        <f>IF(D87*E87*(F87*N87+'CASTILLOS-PB'!W87*FY)&gt;1.25*D87*E87*F87*N87,1.25*D87*E87*F87*N87,D87*E87*(F87*N87+'CASTILLOS-PB'!W87*FY))</f>
        <v>#VALUE!</v>
      </c>
      <c r="S87" s="4" t="e">
        <f>D87*E87*(F87*N87+'CASTILLOS-PB'!G87*FY*2)</f>
        <v>#VALUE!</v>
      </c>
      <c r="T87" s="4" t="e">
        <f t="shared" si="11"/>
        <v>#VALUE!</v>
      </c>
      <c r="U87" s="4" t="e">
        <f t="shared" si="12"/>
        <v>#VALUE!</v>
      </c>
      <c r="V87" s="533" t="e">
        <f>D87*(0.7*$G$24*(B87*C87)+2000*'MUR.CONC-PB'!K87)</f>
        <v>#VALUE!</v>
      </c>
      <c r="W87" s="533" t="e">
        <f t="shared" si="4"/>
        <v>#VALUE!</v>
      </c>
      <c r="X87" s="543">
        <f>IF(AND('CG. MPB'!E88="TABIQUE",'CG. MPB'!F88="HUECO"),R87,0)</f>
        <v>0</v>
      </c>
      <c r="Y87" s="543">
        <f>IF(AND('CG. MPB'!D88="CONFINADO",'CG. MPB'!E88="TABIQUE",'CG. MPB'!F88="MACIZO"),'RMCV.PB'!S87,IF(AND('CG. MPB'!D88="CONFINADO",'CG. MPB'!E88="TABICON",'CG. MPB'!F88="MACIZO"),'RMCV.PB'!S87,IF(AND('CG. MPB'!D88="CONFINADO",'CG. MPB'!E88="LIGERO",'CG. MPB'!F88="MACIZO"),'RMCV.PB'!S87,0)))</f>
        <v>0</v>
      </c>
      <c r="Z87" s="543">
        <f>IF(AND('CG. MPB'!D88="NO CONFINADO",'CG. MPB'!E88="TABIQUE",'CG. MPB'!F88="MACIZO"),T87,IF(AND('CG. MPB'!D88="NO CONFINADO",'CG. MPB'!E88="TABICON",'CG. MPB'!F88="MACIZO"),T87,IF(AND('CG. MPB'!D88="NO CONFINADO",'CG. MPB'!E88="LIGERO",'CG. MPB'!F88="MACIZO"),T87,0)))</f>
        <v>0</v>
      </c>
      <c r="AA87" s="543">
        <f>IF('CG. MPB'!E88="ADOBE",'RMCV.PB'!U87,0)</f>
        <v>0</v>
      </c>
      <c r="AB87" s="543">
        <f>IF('CG. MPB'!E88="CONCRETO",'RMCV.PB'!V87,0)</f>
        <v>0</v>
      </c>
      <c r="AC87" s="900"/>
      <c r="AD87" s="93" t="e">
        <f t="shared" si="13"/>
        <v>#VALUE!</v>
      </c>
      <c r="AE87" s="428">
        <v>0.6</v>
      </c>
      <c r="AF87" s="4" t="e">
        <f>(1-2*AD87/C87)*(1-(AE87*'CG. MPB'!C88*10/(30*C87))^2)</f>
        <v>#VALUE!</v>
      </c>
      <c r="AG87" s="350" t="e">
        <f>(1-(2*AD87/C87))*(1-(AE87*'CG. MPB'!C88*10/(30*C87))^2)*(1-('CG. MPB'!C88*10/B87))+('CG. MPB'!C88*10/B87)</f>
        <v>#VALUE!</v>
      </c>
      <c r="AH87" s="429" t="e">
        <f t="shared" si="14"/>
        <v>#VALUE!</v>
      </c>
    </row>
    <row r="88" spans="1:39">
      <c r="A88" s="684">
        <f>'CG. MPB'!A89</f>
        <v>9</v>
      </c>
      <c r="B88" s="578">
        <f>'CG. MPB'!B89*100</f>
        <v>0</v>
      </c>
      <c r="C88" s="68" t="str">
        <f>'ELEM. MECA.'!J215</f>
        <v>-</v>
      </c>
      <c r="D88" s="38">
        <f>IF(AND('CG. MPB'!D89="CONFINADO",'CG. MPB'!D89="CONCRETO"),0.8,IF('CG. MPB'!D89="NO CONFINADO",0.3,0.6))</f>
        <v>0.6</v>
      </c>
      <c r="E88" s="68">
        <v>0.6</v>
      </c>
      <c r="F88" s="38">
        <f>IF('CG. MPB'!E89="CONCRETO",G88,'RMCV.PB'!H88+'RMCV.PB'!I88+'RMCV.PB'!J88+K88+L88+M88)</f>
        <v>0</v>
      </c>
      <c r="G88" s="542">
        <f>IF('CG. MPB'!E89="CONCRETO",0.6*$G$24,0)</f>
        <v>0</v>
      </c>
      <c r="H88" s="574">
        <f>IF(AND('CG. MPB'!E89="TABIQUE",'CG. MPB'!F89="MACIZO"),15,0)</f>
        <v>0</v>
      </c>
      <c r="I88" s="574">
        <f>IF(AND('CG. MPB'!E89="TABIQUE",'CG. MPB'!F89="HUECO"),IF(E25="III",30,40),0)</f>
        <v>0</v>
      </c>
      <c r="J88" s="574">
        <f>IF('CG. MPB'!E89="TABICON",IF(E25="I",20,15),0)</f>
        <v>0</v>
      </c>
      <c r="K88" s="574">
        <f>IF('CG. MPB'!E89="ADOBE",10,0)</f>
        <v>0</v>
      </c>
      <c r="L88" s="574">
        <f>IF('CG. MPB'!E89="LIGERO",10,0)</f>
        <v>0</v>
      </c>
      <c r="M88" s="574">
        <f>IF('CG. MPB'!E89="CANTERA",30,0)</f>
        <v>0</v>
      </c>
      <c r="N88" s="575" t="e">
        <f t="shared" si="15"/>
        <v>#VALUE!</v>
      </c>
      <c r="O88" s="918" t="e">
        <f>ABS('ELEM. MECA.'!D215)</f>
        <v>#VALUE!</v>
      </c>
      <c r="P88" s="919">
        <f>IF(AND('CG. MPB'!D89="CONFINADO",'CG. MPB'!E89="TABIQUE",'CG. MPB'!F89="MACIZO"),'RMCV.PB'!Y88,IF(AND('CG. MPB'!D89="CONFINADO",'CG. MPB'!E89="TABICON",'CG. MPB'!F89="MACIZO"),'RMCV.PB'!Y88,IF(AND('CG. MPB'!D89="CONFINADO",'CG. MPB'!E89="LIGERO",'CG. MPB'!F89="MACIZO"),'RMCV.PB'!Y88,IF(AND('CG. MPB'!D89="NO CONFINADO",'CG. MPB'!E89="TABIQUE",'CG. MPB'!F89="MACIZO"),Z88,IF(AND('CG. MPB'!D89="NO CONFINADO",'CG. MPB'!E89="TABICON",'CG. MPB'!F89="MACIZO"),Z88,IF(AND('CG. MPB'!D89="NO CONFINADO",'CG. MPB'!E89="LIGERO",'CG. MPB'!F89="MACIZO"),Z88,IF(AND('CG. MPB'!E89="TABIQUE",'CG. MPB'!F89="HUECO"),X88,IF('CG. MPB'!E89="ADOBE",'RMCV.PB'!AA88,'RMCV.PB'!AB88))))))))</f>
        <v>0</v>
      </c>
      <c r="Q88" s="685" t="e">
        <f t="shared" si="16"/>
        <v>#VALUE!</v>
      </c>
      <c r="R88" s="4" t="e">
        <f>IF(D88*E88*(F88*N88+'CASTILLOS-PB'!W88*FY)&gt;1.25*D88*E88*F88*N88,1.25*D88*E88*F88*N88,D88*E88*(F88*N88+'CASTILLOS-PB'!W88*FY))</f>
        <v>#VALUE!</v>
      </c>
      <c r="S88" s="4" t="e">
        <f>D88*E88*(F88*N88+'CASTILLOS-PB'!G88*FY*2)</f>
        <v>#VALUE!</v>
      </c>
      <c r="T88" s="4" t="e">
        <f t="shared" si="11"/>
        <v>#VALUE!</v>
      </c>
      <c r="U88" s="4" t="e">
        <f t="shared" si="12"/>
        <v>#VALUE!</v>
      </c>
      <c r="V88" s="533" t="e">
        <f>D88*(0.7*$G$24*(B88*C88)+2000*'MUR.CONC-PB'!K88)</f>
        <v>#VALUE!</v>
      </c>
      <c r="W88" s="533">
        <f t="shared" si="4"/>
        <v>0</v>
      </c>
      <c r="X88" s="543">
        <f>IF(AND('CG. MPB'!E89="TABIQUE",'CG. MPB'!F89="HUECO"),R88,0)</f>
        <v>0</v>
      </c>
      <c r="Y88" s="543">
        <f>IF(AND('CG. MPB'!D89="CONFINADO",'CG. MPB'!E89="TABIQUE",'CG. MPB'!F89="MACIZO"),'RMCV.PB'!S88,IF(AND('CG. MPB'!D89="CONFINADO",'CG. MPB'!E89="TABICON",'CG. MPB'!F89="MACIZO"),'RMCV.PB'!S88,IF(AND('CG. MPB'!D89="CONFINADO",'CG. MPB'!E89="LIGERO",'CG. MPB'!F89="MACIZO"),'RMCV.PB'!S88,0)))</f>
        <v>0</v>
      </c>
      <c r="Z88" s="543">
        <f>IF(AND('CG. MPB'!D89="NO CONFINADO",'CG. MPB'!E89="TABIQUE",'CG. MPB'!F89="MACIZO"),T88,IF(AND('CG. MPB'!D89="NO CONFINADO",'CG. MPB'!E89="TABICON",'CG. MPB'!F89="MACIZO"),T88,IF(AND('CG. MPB'!D89="NO CONFINADO",'CG. MPB'!E89="LIGERO",'CG. MPB'!F89="MACIZO"),T88,0)))</f>
        <v>0</v>
      </c>
      <c r="AA88" s="543">
        <f>IF('CG. MPB'!E89="ADOBE",'RMCV.PB'!U88,0)</f>
        <v>0</v>
      </c>
      <c r="AB88" s="543">
        <f>IF('CG. MPB'!E89="CONCRETO",'RMCV.PB'!V88,0)</f>
        <v>0</v>
      </c>
      <c r="AC88" s="900"/>
      <c r="AD88" s="93" t="e">
        <f t="shared" si="13"/>
        <v>#VALUE!</v>
      </c>
      <c r="AE88" s="428">
        <v>0.6</v>
      </c>
      <c r="AF88" s="4" t="e">
        <f>(1-2*AD88/C88)*(1-(AE88*'CG. MPB'!C89*10/(30*C88))^2)</f>
        <v>#VALUE!</v>
      </c>
      <c r="AG88" s="350" t="e">
        <f>(1-(2*AD88/C88))*(1-(AE88*'CG. MPB'!C89*10/(30*C88))^2)*(1-('CG. MPB'!C89*10/B88))+('CG. MPB'!C89*10/B88)</f>
        <v>#VALUE!</v>
      </c>
      <c r="AH88" s="429" t="e">
        <f t="shared" ref="AH88:AH109" si="19">IF(AG88&gt;0.9,0.9,AG88)</f>
        <v>#VALUE!</v>
      </c>
    </row>
    <row r="89" spans="1:39">
      <c r="A89" s="684">
        <f>'CG. MPB'!A90</f>
        <v>10</v>
      </c>
      <c r="B89" s="578">
        <f>'CG. MPB'!B90*100</f>
        <v>0</v>
      </c>
      <c r="C89" s="68">
        <f>'ELEM. MECA.'!J216</f>
        <v>0</v>
      </c>
      <c r="D89" s="38">
        <f>IF(AND('CG. MPB'!D90="CONFINADO",'CG. MPB'!D90="CONCRETO"),0.8,IF('CG. MPB'!D90="NO CONFINADO",0.3,0.6))</f>
        <v>0.6</v>
      </c>
      <c r="E89" s="68">
        <v>0.6</v>
      </c>
      <c r="F89" s="38">
        <f>IF('CG. MPB'!E90="CONCRETO",G89,'RMCV.PB'!H89+'RMCV.PB'!I89+'RMCV.PB'!J89+K89+L89+M89)</f>
        <v>0</v>
      </c>
      <c r="G89" s="542">
        <f>IF('CG. MPB'!E90="CONCRETO",0.6*$G$24,0)</f>
        <v>0</v>
      </c>
      <c r="H89" s="574">
        <f>IF(AND('CG. MPB'!E90="TABIQUE",'CG. MPB'!F90="MACIZO"),15,0)</f>
        <v>0</v>
      </c>
      <c r="I89" s="574">
        <f>IF(AND('CG. MPB'!E90="TABIQUE",'CG. MPB'!F90="HUECO"),IF(E26="III",30,40),0)</f>
        <v>0</v>
      </c>
      <c r="J89" s="574">
        <f>IF('CG. MPB'!E90="TABICON",IF(E26="I",20,15),0)</f>
        <v>0</v>
      </c>
      <c r="K89" s="574">
        <f>IF('CG. MPB'!E90="ADOBE",10,0)</f>
        <v>0</v>
      </c>
      <c r="L89" s="574">
        <f>IF('CG. MPB'!E90="LIGERO",10,0)</f>
        <v>0</v>
      </c>
      <c r="M89" s="574">
        <f>IF('CG. MPB'!E90="CANTERA",30,0)</f>
        <v>0</v>
      </c>
      <c r="N89" s="575">
        <f t="shared" si="15"/>
        <v>0</v>
      </c>
      <c r="O89" s="918">
        <f>ABS('ELEM. MECA.'!D216)</f>
        <v>0</v>
      </c>
      <c r="P89" s="919">
        <f>IF(AND('CG. MPB'!D90="CONFINADO",'CG. MPB'!E90="TABIQUE",'CG. MPB'!F90="MACIZO"),'RMCV.PB'!Y89,IF(AND('CG. MPB'!D90="CONFINADO",'CG. MPB'!E90="TABICON",'CG. MPB'!F90="MACIZO"),'RMCV.PB'!Y89,IF(AND('CG. MPB'!D90="CONFINADO",'CG. MPB'!E90="LIGERO",'CG. MPB'!F90="MACIZO"),'RMCV.PB'!Y89,IF(AND('CG. MPB'!D90="NO CONFINADO",'CG. MPB'!E90="TABIQUE",'CG. MPB'!F90="MACIZO"),Z89,IF(AND('CG. MPB'!D90="NO CONFINADO",'CG. MPB'!E90="TABICON",'CG. MPB'!F90="MACIZO"),Z89,IF(AND('CG. MPB'!D90="NO CONFINADO",'CG. MPB'!E90="LIGERO",'CG. MPB'!F90="MACIZO"),Z89,IF(AND('CG. MPB'!E90="TABIQUE",'CG. MPB'!F90="HUECO"),X89,IF('CG. MPB'!E90="ADOBE",'RMCV.PB'!AA89,'RMCV.PB'!AB89))))))))</f>
        <v>0</v>
      </c>
      <c r="Q89" s="685" t="str">
        <f t="shared" si="16"/>
        <v>PASA</v>
      </c>
      <c r="R89" s="4">
        <f>IF(D89*E89*(F89*N89+'CASTILLOS-PB'!W89*FY)&gt;1.25*D89*E89*F89*N89,1.25*D89*E89*F89*N89,D89*E89*(F89*N89+'CASTILLOS-PB'!W89*FY))</f>
        <v>0</v>
      </c>
      <c r="S89" s="4">
        <f>D89*E89*(F89*N89+'CASTILLOS-PB'!G89*FY*2)</f>
        <v>8588.16</v>
      </c>
      <c r="T89" s="4">
        <f t="shared" si="11"/>
        <v>0</v>
      </c>
      <c r="U89" s="4">
        <f t="shared" si="12"/>
        <v>0</v>
      </c>
      <c r="V89" s="533">
        <f>D89*(0.7*$G$24*(B89*C89)+2000*'MUR.CONC-PB'!K89)</f>
        <v>0</v>
      </c>
      <c r="W89" s="533">
        <f t="shared" si="4"/>
        <v>0</v>
      </c>
      <c r="X89" s="543">
        <f>IF(AND('CG. MPB'!E90="TABIQUE",'CG. MPB'!F90="HUECO"),R89,0)</f>
        <v>0</v>
      </c>
      <c r="Y89" s="543">
        <f>IF(AND('CG. MPB'!D90="CONFINADO",'CG. MPB'!E90="TABIQUE",'CG. MPB'!F90="MACIZO"),'RMCV.PB'!S89,IF(AND('CG. MPB'!D90="CONFINADO",'CG. MPB'!E90="TABICON",'CG. MPB'!F90="MACIZO"),'RMCV.PB'!S89,IF(AND('CG. MPB'!D90="CONFINADO",'CG. MPB'!E90="LIGERO",'CG. MPB'!F90="MACIZO"),'RMCV.PB'!S89,0)))</f>
        <v>0</v>
      </c>
      <c r="Z89" s="543">
        <f>IF(AND('CG. MPB'!D90="NO CONFINADO",'CG. MPB'!E90="TABIQUE",'CG. MPB'!F90="MACIZO"),T89,IF(AND('CG. MPB'!D90="NO CONFINADO",'CG. MPB'!E90="TABICON",'CG. MPB'!F90="MACIZO"),T89,IF(AND('CG. MPB'!D90="NO CONFINADO",'CG. MPB'!E90="LIGERO",'CG. MPB'!F90="MACIZO"),T89,0)))</f>
        <v>0</v>
      </c>
      <c r="AA89" s="543">
        <f>IF('CG. MPB'!E90="ADOBE",'RMCV.PB'!U89,0)</f>
        <v>0</v>
      </c>
      <c r="AB89" s="543">
        <f>IF('CG. MPB'!E90="CONCRETO",'RMCV.PB'!V89,0)</f>
        <v>0</v>
      </c>
      <c r="AC89" s="900"/>
      <c r="AD89" s="93">
        <f t="shared" si="13"/>
        <v>0</v>
      </c>
      <c r="AE89" s="428">
        <v>0.6</v>
      </c>
      <c r="AF89" s="4" t="e">
        <f>(1-2*AD89/C89)*(1-(AE89*'CG. MPB'!C90*10/(30*C89))^2)</f>
        <v>#DIV/0!</v>
      </c>
      <c r="AG89" s="350" t="e">
        <f>(1-(2*AD89/C89))*(1-(AE89*'CG. MPB'!C90*10/(30*C89))^2)*(1-('CG. MPB'!C90*10/B89))+('CG. MPB'!C90*10/B89)</f>
        <v>#DIV/0!</v>
      </c>
      <c r="AH89" s="429" t="e">
        <f t="shared" si="19"/>
        <v>#DIV/0!</v>
      </c>
    </row>
    <row r="90" spans="1:39">
      <c r="A90" s="684">
        <f>'CG. MPB'!A91</f>
        <v>11</v>
      </c>
      <c r="B90" s="578">
        <f>'CG. MPB'!B91*100</f>
        <v>0</v>
      </c>
      <c r="C90" s="68">
        <f>'ELEM. MECA.'!J217</f>
        <v>0</v>
      </c>
      <c r="D90" s="38">
        <f>IF(AND('CG. MPB'!D91="CONFINADO",'CG. MPB'!D91="CONCRETO"),0.8,IF('CG. MPB'!D91="NO CONFINADO",0.3,0.6))</f>
        <v>0.6</v>
      </c>
      <c r="E90" s="68">
        <v>0.6</v>
      </c>
      <c r="F90" s="38">
        <f>IF('CG. MPB'!E91="CONCRETO",G90,'RMCV.PB'!H90+'RMCV.PB'!I90+'RMCV.PB'!J90+K90+L90+M90)</f>
        <v>0</v>
      </c>
      <c r="G90" s="542">
        <f>IF('CG. MPB'!E91="CONCRETO",0.6*$G$24,0)</f>
        <v>0</v>
      </c>
      <c r="H90" s="574">
        <f>IF(AND('CG. MPB'!E91="TABIQUE",'CG. MPB'!F91="MACIZO"),15,0)</f>
        <v>0</v>
      </c>
      <c r="I90" s="574">
        <f>IF(AND('CG. MPB'!E91="TABIQUE",'CG. MPB'!F91="HUECO"),IF(E27="III",30,40),0)</f>
        <v>0</v>
      </c>
      <c r="J90" s="574">
        <f>IF('CG. MPB'!E91="TABICON",IF(E27="I",20,15),0)</f>
        <v>0</v>
      </c>
      <c r="K90" s="574">
        <f>IF('CG. MPB'!E91="ADOBE",10,0)</f>
        <v>0</v>
      </c>
      <c r="L90" s="574">
        <f>IF('CG. MPB'!E91="LIGERO",10,0)</f>
        <v>0</v>
      </c>
      <c r="M90" s="574">
        <f>IF('CG. MPB'!E91="CANTERA",30,0)</f>
        <v>0</v>
      </c>
      <c r="N90" s="575">
        <f t="shared" si="15"/>
        <v>0</v>
      </c>
      <c r="O90" s="918">
        <f>ABS('ELEM. MECA.'!D217)</f>
        <v>0</v>
      </c>
      <c r="P90" s="919">
        <f>IF(AND('CG. MPB'!D91="CONFINADO",'CG. MPB'!E91="TABIQUE",'CG. MPB'!F91="MACIZO"),'RMCV.PB'!Y90,IF(AND('CG. MPB'!D91="CONFINADO",'CG. MPB'!E91="TABICON",'CG. MPB'!F91="MACIZO"),'RMCV.PB'!Y90,IF(AND('CG. MPB'!D91="CONFINADO",'CG. MPB'!E91="LIGERO",'CG. MPB'!F91="MACIZO"),'RMCV.PB'!Y90,IF(AND('CG. MPB'!D91="NO CONFINADO",'CG. MPB'!E91="TABIQUE",'CG. MPB'!F91="MACIZO"),Z90,IF(AND('CG. MPB'!D91="NO CONFINADO",'CG. MPB'!E91="TABICON",'CG. MPB'!F91="MACIZO"),Z90,IF(AND('CG. MPB'!D91="NO CONFINADO",'CG. MPB'!E91="LIGERO",'CG. MPB'!F91="MACIZO"),Z90,IF(AND('CG. MPB'!E91="TABIQUE",'CG. MPB'!F91="HUECO"),X90,IF('CG. MPB'!E91="ADOBE",'RMCV.PB'!AA90,'RMCV.PB'!AB90))))))))</f>
        <v>0</v>
      </c>
      <c r="Q90" s="685" t="str">
        <f t="shared" si="16"/>
        <v>PASA</v>
      </c>
      <c r="R90" s="4">
        <f>IF(D90*E90*(F90*N90+'CASTILLOS-PB'!W90*FY)&gt;1.25*D90*E90*F90*N90,1.25*D90*E90*F90*N90,D90*E90*(F90*N90+'CASTILLOS-PB'!W90*FY))</f>
        <v>0</v>
      </c>
      <c r="S90" s="4">
        <f>D90*E90*(F90*N90+'CASTILLOS-PB'!G90*FY*2)</f>
        <v>8588.16</v>
      </c>
      <c r="T90" s="4">
        <f t="shared" si="11"/>
        <v>0</v>
      </c>
      <c r="U90" s="4">
        <f t="shared" si="12"/>
        <v>0</v>
      </c>
      <c r="V90" s="533">
        <f>D90*(0.7*$G$24*(B90*C90)+2000*'MUR.CONC-PB'!K90)</f>
        <v>0</v>
      </c>
      <c r="W90" s="533">
        <f t="shared" si="4"/>
        <v>0</v>
      </c>
      <c r="X90" s="543">
        <f>IF(AND('CG. MPB'!E91="TABIQUE",'CG. MPB'!F91="HUECO"),R90,0)</f>
        <v>0</v>
      </c>
      <c r="Y90" s="543">
        <f>IF(AND('CG. MPB'!D91="CONFINADO",'CG. MPB'!E91="TABIQUE",'CG. MPB'!F91="MACIZO"),'RMCV.PB'!S90,IF(AND('CG. MPB'!D91="CONFINADO",'CG. MPB'!E91="TABICON",'CG. MPB'!F91="MACIZO"),'RMCV.PB'!S90,IF(AND('CG. MPB'!D91="CONFINADO",'CG. MPB'!E91="LIGERO",'CG. MPB'!F91="MACIZO"),'RMCV.PB'!S90,0)))</f>
        <v>0</v>
      </c>
      <c r="Z90" s="543">
        <f>IF(AND('CG. MPB'!D91="NO CONFINADO",'CG. MPB'!E91="TABIQUE",'CG. MPB'!F91="MACIZO"),T90,IF(AND('CG. MPB'!D91="NO CONFINADO",'CG. MPB'!E91="TABICON",'CG. MPB'!F91="MACIZO"),T90,IF(AND('CG. MPB'!D91="NO CONFINADO",'CG. MPB'!E91="LIGERO",'CG. MPB'!F91="MACIZO"),T90,0)))</f>
        <v>0</v>
      </c>
      <c r="AA90" s="543">
        <f>IF('CG. MPB'!E91="ADOBE",'RMCV.PB'!U90,0)</f>
        <v>0</v>
      </c>
      <c r="AB90" s="543">
        <f>IF('CG. MPB'!E91="CONCRETO",'RMCV.PB'!V90,0)</f>
        <v>0</v>
      </c>
      <c r="AC90" s="900"/>
      <c r="AD90" s="93">
        <f t="shared" si="13"/>
        <v>0</v>
      </c>
      <c r="AE90" s="428">
        <v>0.6</v>
      </c>
      <c r="AF90" s="4" t="e">
        <f>(1-2*AD90/C90)*(1-(AE90*'CG. MPB'!C91*10/(30*C90))^2)</f>
        <v>#DIV/0!</v>
      </c>
      <c r="AG90" s="350" t="e">
        <f>(1-(2*AD90/C90))*(1-(AE90*'CG. MPB'!C91*10/(30*C90))^2)*(1-('CG. MPB'!C91*10/B90))+('CG. MPB'!C91*10/B90)</f>
        <v>#DIV/0!</v>
      </c>
      <c r="AH90" s="429" t="e">
        <f t="shared" si="19"/>
        <v>#DIV/0!</v>
      </c>
    </row>
    <row r="91" spans="1:39">
      <c r="A91" s="684">
        <f>'CG. MPB'!A92</f>
        <v>12</v>
      </c>
      <c r="B91" s="578">
        <f>'CG. MPB'!B92*100</f>
        <v>0</v>
      </c>
      <c r="C91" s="68">
        <f>'ELEM. MECA.'!J218</f>
        <v>0</v>
      </c>
      <c r="D91" s="38">
        <f>IF(AND('CG. MPB'!D92="CONFINADO",'CG. MPB'!D92="CONCRETO"),0.8,IF('CG. MPB'!D92="NO CONFINADO",0.3,0.6))</f>
        <v>0.6</v>
      </c>
      <c r="E91" s="68">
        <v>0.6</v>
      </c>
      <c r="F91" s="38">
        <f>IF('CG. MPB'!E92="CONCRETO",G91,'RMCV.PB'!H91+'RMCV.PB'!I91+'RMCV.PB'!J91+K91+L91+M91)</f>
        <v>0</v>
      </c>
      <c r="G91" s="542">
        <f>IF('CG. MPB'!E92="CONCRETO",0.6*$G$24,0)</f>
        <v>0</v>
      </c>
      <c r="H91" s="574">
        <f>IF(AND('CG. MPB'!E92="TABIQUE",'CG. MPB'!F92="MACIZO"),15,0)</f>
        <v>0</v>
      </c>
      <c r="I91" s="574">
        <f>IF(AND('CG. MPB'!E92="TABIQUE",'CG. MPB'!F92="HUECO"),IF(E28="III",30,40),0)</f>
        <v>0</v>
      </c>
      <c r="J91" s="574">
        <f>IF('CG. MPB'!E92="TABICON",IF(E28="I",20,15),0)</f>
        <v>0</v>
      </c>
      <c r="K91" s="574">
        <f>IF('CG. MPB'!E92="ADOBE",10,0)</f>
        <v>0</v>
      </c>
      <c r="L91" s="574">
        <f>IF('CG. MPB'!E92="LIGERO",10,0)</f>
        <v>0</v>
      </c>
      <c r="M91" s="574">
        <f>IF('CG. MPB'!E92="CANTERA",30,0)</f>
        <v>0</v>
      </c>
      <c r="N91" s="575">
        <f t="shared" si="15"/>
        <v>0</v>
      </c>
      <c r="O91" s="918">
        <f>ABS('ELEM. MECA.'!D218)</f>
        <v>0</v>
      </c>
      <c r="P91" s="919">
        <f>IF(AND('CG. MPB'!D92="CONFINADO",'CG. MPB'!E92="TABIQUE",'CG. MPB'!F92="MACIZO"),'RMCV.PB'!Y91,IF(AND('CG. MPB'!D92="CONFINADO",'CG. MPB'!E92="TABICON",'CG. MPB'!F92="MACIZO"),'RMCV.PB'!Y91,IF(AND('CG. MPB'!D92="CONFINADO",'CG. MPB'!E92="LIGERO",'CG. MPB'!F92="MACIZO"),'RMCV.PB'!Y91,IF(AND('CG. MPB'!D92="NO CONFINADO",'CG. MPB'!E92="TABIQUE",'CG. MPB'!F92="MACIZO"),Z91,IF(AND('CG. MPB'!D92="NO CONFINADO",'CG. MPB'!E92="TABICON",'CG. MPB'!F92="MACIZO"),Z91,IF(AND('CG. MPB'!D92="NO CONFINADO",'CG. MPB'!E92="LIGERO",'CG. MPB'!F92="MACIZO"),Z91,IF(AND('CG. MPB'!E92="TABIQUE",'CG. MPB'!F92="HUECO"),X91,IF('CG. MPB'!E92="ADOBE",'RMCV.PB'!AA91,'RMCV.PB'!AB91))))))))</f>
        <v>0</v>
      </c>
      <c r="Q91" s="685" t="str">
        <f t="shared" si="16"/>
        <v>PASA</v>
      </c>
      <c r="R91" s="4">
        <f>IF(D91*E91*(F91*N91+'CASTILLOS-PB'!W91*FY)&gt;1.25*D91*E91*F91*N91,1.25*D91*E91*F91*N91,D91*E91*(F91*N91+'CASTILLOS-PB'!W91*FY))</f>
        <v>0</v>
      </c>
      <c r="S91" s="4">
        <f>D91*E91*(F91*N91+'CASTILLOS-PB'!G91*FY*2)</f>
        <v>8588.16</v>
      </c>
      <c r="T91" s="4">
        <f t="shared" si="11"/>
        <v>0</v>
      </c>
      <c r="U91" s="4">
        <f t="shared" si="12"/>
        <v>0</v>
      </c>
      <c r="V91" s="533">
        <f>D91*(0.7*$G$24*(B91*C91)+2000*'MUR.CONC-PB'!K91)</f>
        <v>0</v>
      </c>
      <c r="W91" s="533">
        <f t="shared" si="4"/>
        <v>0</v>
      </c>
      <c r="X91" s="543">
        <f>IF(AND('CG. MPB'!E92="TABIQUE",'CG. MPB'!F92="HUECO"),R91,0)</f>
        <v>0</v>
      </c>
      <c r="Y91" s="543">
        <f>IF(AND('CG. MPB'!D92="CONFINADO",'CG. MPB'!E92="TABIQUE",'CG. MPB'!F92="MACIZO"),'RMCV.PB'!S91,IF(AND('CG. MPB'!D92="CONFINADO",'CG. MPB'!E92="TABICON",'CG. MPB'!F92="MACIZO"),'RMCV.PB'!S91,IF(AND('CG. MPB'!D92="CONFINADO",'CG. MPB'!E92="LIGERO",'CG. MPB'!F92="MACIZO"),'RMCV.PB'!S91,0)))</f>
        <v>0</v>
      </c>
      <c r="Z91" s="543">
        <f>IF(AND('CG. MPB'!D92="NO CONFINADO",'CG. MPB'!E92="TABIQUE",'CG. MPB'!F92="MACIZO"),T91,IF(AND('CG. MPB'!D92="NO CONFINADO",'CG. MPB'!E92="TABICON",'CG. MPB'!F92="MACIZO"),T91,IF(AND('CG. MPB'!D92="NO CONFINADO",'CG. MPB'!E92="LIGERO",'CG. MPB'!F92="MACIZO"),T91,0)))</f>
        <v>0</v>
      </c>
      <c r="AA91" s="543">
        <f>IF('CG. MPB'!E92="ADOBE",'RMCV.PB'!U91,0)</f>
        <v>0</v>
      </c>
      <c r="AB91" s="543">
        <f>IF('CG. MPB'!E92="CONCRETO",'RMCV.PB'!V91,0)</f>
        <v>0</v>
      </c>
      <c r="AC91" s="900"/>
      <c r="AD91" s="93">
        <f t="shared" si="13"/>
        <v>0</v>
      </c>
      <c r="AE91" s="428">
        <v>0.6</v>
      </c>
      <c r="AF91" s="4" t="e">
        <f>(1-2*AD91/C91)*(1-(AE91*'CG. MPB'!C92*10/(30*C91))^2)</f>
        <v>#DIV/0!</v>
      </c>
      <c r="AG91" s="350" t="e">
        <f>(1-(2*AD91/C91))*(1-(AE91*'CG. MPB'!C92*10/(30*C91))^2)*(1-('CG. MPB'!C92*10/B91))+('CG. MPB'!C92*10/B91)</f>
        <v>#DIV/0!</v>
      </c>
      <c r="AH91" s="429" t="e">
        <f t="shared" si="19"/>
        <v>#DIV/0!</v>
      </c>
    </row>
    <row r="92" spans="1:39">
      <c r="A92" s="684">
        <f>'CG. MPB'!A93</f>
        <v>13</v>
      </c>
      <c r="B92" s="578">
        <f>'CG. MPB'!B93*100</f>
        <v>0</v>
      </c>
      <c r="C92" s="68">
        <f>'ELEM. MECA.'!J219</f>
        <v>0</v>
      </c>
      <c r="D92" s="38">
        <f>IF(AND('CG. MPB'!D93="CONFINADO",'CG. MPB'!D93="CONCRETO"),0.8,IF('CG. MPB'!D93="NO CONFINADO",0.3,0.6))</f>
        <v>0.6</v>
      </c>
      <c r="E92" s="68">
        <v>0.6</v>
      </c>
      <c r="F92" s="38">
        <f>IF('CG. MPB'!E93="CONCRETO",G92,'RMCV.PB'!H92+'RMCV.PB'!I92+'RMCV.PB'!J92+K92+L92+M92)</f>
        <v>0</v>
      </c>
      <c r="G92" s="542">
        <f>IF('CG. MPB'!E93="CONCRETO",0.6*$G$24,0)</f>
        <v>0</v>
      </c>
      <c r="H92" s="574">
        <f>IF(AND('CG. MPB'!E93="TABIQUE",'CG. MPB'!F93="MACIZO"),15,0)</f>
        <v>0</v>
      </c>
      <c r="I92" s="574">
        <f>IF(AND('CG. MPB'!E93="TABIQUE",'CG. MPB'!F93="HUECO"),IF(E29="III",30,40),0)</f>
        <v>0</v>
      </c>
      <c r="J92" s="574">
        <f>IF('CG. MPB'!E93="TABICON",IF(E29="I",20,15),0)</f>
        <v>0</v>
      </c>
      <c r="K92" s="574">
        <f>IF('CG. MPB'!E93="ADOBE",10,0)</f>
        <v>0</v>
      </c>
      <c r="L92" s="574">
        <f>IF('CG. MPB'!E93="LIGERO",10,0)</f>
        <v>0</v>
      </c>
      <c r="M92" s="574">
        <f>IF('CG. MPB'!E93="CANTERA",30,0)</f>
        <v>0</v>
      </c>
      <c r="N92" s="575">
        <f t="shared" si="15"/>
        <v>0</v>
      </c>
      <c r="O92" s="918">
        <f>ABS('ELEM. MECA.'!D219)</f>
        <v>0</v>
      </c>
      <c r="P92" s="919">
        <f>IF(AND('CG. MPB'!D93="CONFINADO",'CG. MPB'!E93="TABIQUE",'CG. MPB'!F93="MACIZO"),'RMCV.PB'!Y92,IF(AND('CG. MPB'!D93="CONFINADO",'CG. MPB'!E93="TABICON",'CG. MPB'!F93="MACIZO"),'RMCV.PB'!Y92,IF(AND('CG. MPB'!D93="CONFINADO",'CG. MPB'!E93="LIGERO",'CG. MPB'!F93="MACIZO"),'RMCV.PB'!Y92,IF(AND('CG. MPB'!D93="NO CONFINADO",'CG. MPB'!E93="TABIQUE",'CG. MPB'!F93="MACIZO"),Z92,IF(AND('CG. MPB'!D93="NO CONFINADO",'CG. MPB'!E93="TABICON",'CG. MPB'!F93="MACIZO"),Z92,IF(AND('CG. MPB'!D93="NO CONFINADO",'CG. MPB'!E93="LIGERO",'CG. MPB'!F93="MACIZO"),Z92,IF(AND('CG. MPB'!E93="TABIQUE",'CG. MPB'!F93="HUECO"),X92,IF('CG. MPB'!E93="ADOBE",'RMCV.PB'!AA92,'RMCV.PB'!AB92))))))))</f>
        <v>0</v>
      </c>
      <c r="Q92" s="685" t="str">
        <f t="shared" si="16"/>
        <v>PASA</v>
      </c>
      <c r="R92" s="4">
        <f>IF(D92*E92*(F92*N92+'CASTILLOS-PB'!W92*FY)&gt;1.25*D92*E92*F92*N92,1.25*D92*E92*F92*N92,D92*E92*(F92*N92+'CASTILLOS-PB'!W92*FY))</f>
        <v>0</v>
      </c>
      <c r="S92" s="4">
        <f>D92*E92*(F92*N92+'CASTILLOS-PB'!G92*FY*2)</f>
        <v>8588.16</v>
      </c>
      <c r="T92" s="4">
        <f t="shared" si="11"/>
        <v>0</v>
      </c>
      <c r="U92" s="4">
        <f t="shared" si="12"/>
        <v>0</v>
      </c>
      <c r="V92" s="533">
        <f>D92*(0.7*$G$24*(B92*C92)+2000*'MUR.CONC-PB'!K92)</f>
        <v>0</v>
      </c>
      <c r="W92" s="533">
        <f t="shared" si="4"/>
        <v>0</v>
      </c>
      <c r="X92" s="543">
        <f>IF(AND('CG. MPB'!E93="TABIQUE",'CG. MPB'!F93="HUECO"),R92,0)</f>
        <v>0</v>
      </c>
      <c r="Y92" s="543">
        <f>IF(AND('CG. MPB'!D93="CONFINADO",'CG. MPB'!E93="TABIQUE",'CG. MPB'!F93="MACIZO"),'RMCV.PB'!S92,IF(AND('CG. MPB'!D93="CONFINADO",'CG. MPB'!E93="TABICON",'CG. MPB'!F93="MACIZO"),'RMCV.PB'!S92,IF(AND('CG. MPB'!D93="CONFINADO",'CG. MPB'!E93="LIGERO",'CG. MPB'!F93="MACIZO"),'RMCV.PB'!S92,0)))</f>
        <v>0</v>
      </c>
      <c r="Z92" s="543">
        <f>IF(AND('CG. MPB'!D93="NO CONFINADO",'CG. MPB'!E93="TABIQUE",'CG. MPB'!F93="MACIZO"),T92,IF(AND('CG. MPB'!D93="NO CONFINADO",'CG. MPB'!E93="TABICON",'CG. MPB'!F93="MACIZO"),T92,IF(AND('CG. MPB'!D93="NO CONFINADO",'CG. MPB'!E93="LIGERO",'CG. MPB'!F93="MACIZO"),T92,0)))</f>
        <v>0</v>
      </c>
      <c r="AA92" s="543">
        <f>IF('CG. MPB'!E93="ADOBE",'RMCV.PB'!U92,0)</f>
        <v>0</v>
      </c>
      <c r="AB92" s="543">
        <f>IF('CG. MPB'!E93="CONCRETO",'RMCV.PB'!V92,0)</f>
        <v>0</v>
      </c>
      <c r="AC92" s="900"/>
      <c r="AD92" s="93">
        <f t="shared" si="13"/>
        <v>0</v>
      </c>
      <c r="AE92" s="428">
        <v>0.6</v>
      </c>
      <c r="AF92" s="4" t="e">
        <f>(1-2*AD92/C92)*(1-(AE92*'CG. MPB'!C93*10/(30*C92))^2)</f>
        <v>#DIV/0!</v>
      </c>
      <c r="AG92" s="350" t="e">
        <f>(1-(2*AD92/C92))*(1-(AE92*'CG. MPB'!C93*10/(30*C92))^2)*(1-('CG. MPB'!C93*10/B92))+('CG. MPB'!C93*10/B92)</f>
        <v>#DIV/0!</v>
      </c>
      <c r="AH92" s="429" t="e">
        <f t="shared" si="19"/>
        <v>#DIV/0!</v>
      </c>
    </row>
    <row r="93" spans="1:39">
      <c r="A93" s="684">
        <f>'CG. MPB'!A94</f>
        <v>14</v>
      </c>
      <c r="B93" s="578">
        <f>'CG. MPB'!B94*100</f>
        <v>0</v>
      </c>
      <c r="C93" s="68">
        <f>'ELEM. MECA.'!J220</f>
        <v>0</v>
      </c>
      <c r="D93" s="38">
        <f>IF(AND('CG. MPB'!D94="CONFINADO",'CG. MPB'!D94="CONCRETO"),0.8,IF('CG. MPB'!D94="NO CONFINADO",0.3,0.6))</f>
        <v>0.6</v>
      </c>
      <c r="E93" s="68">
        <v>0.6</v>
      </c>
      <c r="F93" s="38">
        <f>IF('CG. MPB'!E94="CONCRETO",G93,'RMCV.PB'!H93+'RMCV.PB'!I93+'RMCV.PB'!J93+K93+L93+M93)</f>
        <v>0</v>
      </c>
      <c r="G93" s="542">
        <f>IF('CG. MPB'!E94="CONCRETO",0.6*$G$24,0)</f>
        <v>0</v>
      </c>
      <c r="H93" s="574">
        <f>IF(AND('CG. MPB'!E94="TABIQUE",'CG. MPB'!F94="MACIZO"),15,0)</f>
        <v>0</v>
      </c>
      <c r="I93" s="574">
        <f>IF(AND('CG. MPB'!E94="TABIQUE",'CG. MPB'!F94="HUECO"),IF(E30="III",30,40),0)</f>
        <v>0</v>
      </c>
      <c r="J93" s="574">
        <f>IF('CG. MPB'!E94="TABICON",IF(E30="I",20,15),0)</f>
        <v>0</v>
      </c>
      <c r="K93" s="574">
        <f>IF('CG. MPB'!E94="ADOBE",10,0)</f>
        <v>0</v>
      </c>
      <c r="L93" s="574">
        <f>IF('CG. MPB'!E94="LIGERO",10,0)</f>
        <v>0</v>
      </c>
      <c r="M93" s="574">
        <f>IF('CG. MPB'!E94="CANTERA",30,0)</f>
        <v>0</v>
      </c>
      <c r="N93" s="575">
        <f t="shared" ref="N93:N94" si="20">B93*C93</f>
        <v>0</v>
      </c>
      <c r="O93" s="918">
        <f>ABS('ELEM. MECA.'!D220)</f>
        <v>0</v>
      </c>
      <c r="P93" s="919">
        <f>IF(AND('CG. MPB'!D94="CONFINADO",'CG. MPB'!E94="TABIQUE",'CG. MPB'!F94="MACIZO"),'RMCV.PB'!Y93,IF(AND('CG. MPB'!D94="CONFINADO",'CG. MPB'!E94="TABICON",'CG. MPB'!F94="MACIZO"),'RMCV.PB'!Y93,IF(AND('CG. MPB'!D94="CONFINADO",'CG. MPB'!E94="LIGERO",'CG. MPB'!F94="MACIZO"),'RMCV.PB'!Y93,IF(AND('CG. MPB'!D94="NO CONFINADO",'CG. MPB'!E94="TABIQUE",'CG. MPB'!F94="MACIZO"),Z93,IF(AND('CG. MPB'!D94="NO CONFINADO",'CG. MPB'!E94="TABICON",'CG. MPB'!F94="MACIZO"),Z93,IF(AND('CG. MPB'!D94="NO CONFINADO",'CG. MPB'!E94="LIGERO",'CG. MPB'!F94="MACIZO"),Z93,IF(AND('CG. MPB'!E94="TABIQUE",'CG. MPB'!F94="HUECO"),X93,IF('CG. MPB'!E94="ADOBE",'RMCV.PB'!AA93,'RMCV.PB'!AB93))))))))</f>
        <v>0</v>
      </c>
      <c r="Q93" s="685" t="str">
        <f t="shared" ref="Q93:Q94" si="21">IF(O93&gt;P93,"NO PASA","PASA")</f>
        <v>PASA</v>
      </c>
      <c r="R93" s="4">
        <f>IF(D93*E93*(F93*N93+'CASTILLOS-PB'!W93*FY)&gt;1.25*D93*E93*F93*N93,1.25*D93*E93*F93*N93,D93*E93*(F93*N93+'CASTILLOS-PB'!W93*FY))</f>
        <v>0</v>
      </c>
      <c r="S93" s="4">
        <f>D93*E93*(F93*N93+'CASTILLOS-PB'!G93*FY*2)</f>
        <v>8588.16</v>
      </c>
      <c r="T93" s="4">
        <f t="shared" si="11"/>
        <v>0</v>
      </c>
      <c r="U93" s="4">
        <f t="shared" si="12"/>
        <v>0</v>
      </c>
      <c r="V93" s="533">
        <f>D93*(0.7*$G$24*(B93*C93)+2000*'MUR.CONC-PB'!K93)</f>
        <v>0</v>
      </c>
      <c r="W93" s="533">
        <f t="shared" si="4"/>
        <v>0</v>
      </c>
      <c r="X93" s="543">
        <f>IF(AND('CG. MPB'!E94="TABIQUE",'CG. MPB'!F94="HUECO"),R93,0)</f>
        <v>0</v>
      </c>
      <c r="Y93" s="543">
        <f>IF(AND('CG. MPB'!D94="CONFINADO",'CG. MPB'!E94="TABIQUE",'CG. MPB'!F94="MACIZO"),'RMCV.PB'!S93,IF(AND('CG. MPB'!D94="CONFINADO",'CG. MPB'!E94="TABICON",'CG. MPB'!F94="MACIZO"),'RMCV.PB'!S93,IF(AND('CG. MPB'!D94="CONFINADO",'CG. MPB'!E94="LIGERO",'CG. MPB'!F94="MACIZO"),'RMCV.PB'!S93,0)))</f>
        <v>0</v>
      </c>
      <c r="Z93" s="543">
        <f>IF(AND('CG. MPB'!D94="NO CONFINADO",'CG. MPB'!E94="TABIQUE",'CG. MPB'!F94="MACIZO"),T93,IF(AND('CG. MPB'!D94="NO CONFINADO",'CG. MPB'!E94="TABICON",'CG. MPB'!F94="MACIZO"),T93,IF(AND('CG. MPB'!D94="NO CONFINADO",'CG. MPB'!E94="LIGERO",'CG. MPB'!F94="MACIZO"),T93,0)))</f>
        <v>0</v>
      </c>
      <c r="AA93" s="543">
        <f>IF('CG. MPB'!E94="ADOBE",'RMCV.PB'!U93,0)</f>
        <v>0</v>
      </c>
      <c r="AB93" s="543">
        <f>IF('CG. MPB'!E94="CONCRETO",'RMCV.PB'!V93,0)</f>
        <v>0</v>
      </c>
      <c r="AC93" s="900"/>
      <c r="AD93" s="93">
        <f t="shared" si="13"/>
        <v>0</v>
      </c>
      <c r="AE93" s="428">
        <v>0.6</v>
      </c>
      <c r="AF93" s="4" t="e">
        <f>(1-2*AD93/C93)*(1-(AE93*'CG. MPB'!C94*10/(30*C93))^2)</f>
        <v>#DIV/0!</v>
      </c>
      <c r="AG93" s="350" t="e">
        <f>(1-(2*AD93/C93))*(1-(AE93*'CG. MPB'!C94*10/(30*C93))^2)*(1-('CG. MPB'!C94*10/B93))+('CG. MPB'!C94*10/B93)</f>
        <v>#DIV/0!</v>
      </c>
      <c r="AH93" s="429" t="e">
        <f t="shared" si="19"/>
        <v>#DIV/0!</v>
      </c>
    </row>
    <row r="94" spans="1:39">
      <c r="A94" s="684">
        <f>'CG. MPB'!A95</f>
        <v>15</v>
      </c>
      <c r="B94" s="578">
        <f>'CG. MPB'!B95*100</f>
        <v>0</v>
      </c>
      <c r="C94" s="68">
        <f>'ELEM. MECA.'!J221</f>
        <v>0</v>
      </c>
      <c r="D94" s="38">
        <f>IF(AND('CG. MPB'!D95="CONFINADO",'CG. MPB'!D95="CONCRETO"),0.8,IF('CG. MPB'!D95="NO CONFINADO",0.3,0.6))</f>
        <v>0.6</v>
      </c>
      <c r="E94" s="68">
        <v>0.6</v>
      </c>
      <c r="F94" s="38">
        <f>IF('CG. MPB'!E95="CONCRETO",G94,'RMCV.PB'!H94+'RMCV.PB'!I94+'RMCV.PB'!J94+K94+L94+M94)</f>
        <v>0</v>
      </c>
      <c r="G94" s="542">
        <f>IF('CG. MPB'!E95="CONCRETO",0.6*$G$24,0)</f>
        <v>0</v>
      </c>
      <c r="H94" s="574">
        <f>IF(AND('CG. MPB'!E95="TABIQUE",'CG. MPB'!F95="MACIZO"),15,0)</f>
        <v>0</v>
      </c>
      <c r="I94" s="574">
        <f>IF(AND('CG. MPB'!E95="TABIQUE",'CG. MPB'!F95="HUECO"),IF(E31="III",30,40),0)</f>
        <v>0</v>
      </c>
      <c r="J94" s="574">
        <f>IF('CG. MPB'!E95="TABICON",IF(E31="I",20,15),0)</f>
        <v>0</v>
      </c>
      <c r="K94" s="574">
        <f>IF('CG. MPB'!E95="ADOBE",10,0)</f>
        <v>0</v>
      </c>
      <c r="L94" s="574">
        <f>IF('CG. MPB'!E95="LIGERO",10,0)</f>
        <v>0</v>
      </c>
      <c r="M94" s="574">
        <f>IF('CG. MPB'!E95="CANTERA",30,0)</f>
        <v>0</v>
      </c>
      <c r="N94" s="575">
        <f t="shared" si="20"/>
        <v>0</v>
      </c>
      <c r="O94" s="918">
        <f>ABS('ELEM. MECA.'!D221)</f>
        <v>0</v>
      </c>
      <c r="P94" s="919">
        <f>IF(AND('CG. MPB'!D95="CONFINADO",'CG. MPB'!E95="TABIQUE",'CG. MPB'!F95="MACIZO"),'RMCV.PB'!Y94,IF(AND('CG. MPB'!D95="CONFINADO",'CG. MPB'!E95="TABICON",'CG. MPB'!F95="MACIZO"),'RMCV.PB'!Y94,IF(AND('CG. MPB'!D95="CONFINADO",'CG. MPB'!E95="LIGERO",'CG. MPB'!F95="MACIZO"),'RMCV.PB'!Y94,IF(AND('CG. MPB'!D95="NO CONFINADO",'CG. MPB'!E95="TABIQUE",'CG. MPB'!F95="MACIZO"),Z94,IF(AND('CG. MPB'!D95="NO CONFINADO",'CG. MPB'!E95="TABICON",'CG. MPB'!F95="MACIZO"),Z94,IF(AND('CG. MPB'!D95="NO CONFINADO",'CG. MPB'!E95="LIGERO",'CG. MPB'!F95="MACIZO"),Z94,IF(AND('CG. MPB'!E95="TABIQUE",'CG. MPB'!F95="HUECO"),X94,IF('CG. MPB'!E95="ADOBE",'RMCV.PB'!AA94,'RMCV.PB'!AB94))))))))</f>
        <v>0</v>
      </c>
      <c r="Q94" s="685" t="str">
        <f t="shared" si="21"/>
        <v>PASA</v>
      </c>
      <c r="R94" s="4" t="e">
        <f>IF(D94*E94*(F94*N94+'CASTILLOS-PB'!W94*FY)&gt;1.25*D94*E94*F94*N94,1.25*D94*E94*F94*N94,D94*E94*(F94*N94+'CASTILLOS-PB'!W94*FY))</f>
        <v>#VALUE!</v>
      </c>
      <c r="S94" s="4">
        <f>D94*E94*(F94*N94+'CASTILLOS-PB'!G94*FY*2)</f>
        <v>8588.16</v>
      </c>
      <c r="T94" s="4">
        <f t="shared" si="11"/>
        <v>0</v>
      </c>
      <c r="U94" s="4">
        <f t="shared" si="12"/>
        <v>0</v>
      </c>
      <c r="V94" s="533">
        <f>D94*(0.7*$G$24*(B94*C94)+2000*'MUR.CONC-PB'!K94)</f>
        <v>0</v>
      </c>
      <c r="W94" s="533">
        <f t="shared" si="4"/>
        <v>0</v>
      </c>
      <c r="X94" s="543">
        <f>IF(AND('CG. MPB'!E95="TABIQUE",'CG. MPB'!F95="HUECO"),R94,0)</f>
        <v>0</v>
      </c>
      <c r="Y94" s="543">
        <f>IF(AND('CG. MPB'!D95="CONFINADO",'CG. MPB'!E95="TABIQUE",'CG. MPB'!F95="MACIZO"),'RMCV.PB'!S94,IF(AND('CG. MPB'!D95="CONFINADO",'CG. MPB'!E95="TABICON",'CG. MPB'!F95="MACIZO"),'RMCV.PB'!S94,IF(AND('CG. MPB'!D95="CONFINADO",'CG. MPB'!E95="LIGERO",'CG. MPB'!F95="MACIZO"),'RMCV.PB'!S94,0)))</f>
        <v>0</v>
      </c>
      <c r="Z94" s="543">
        <f>IF(AND('CG. MPB'!D95="NO CONFINADO",'CG. MPB'!E95="TABIQUE",'CG. MPB'!F95="MACIZO"),T94,IF(AND('CG. MPB'!D95="NO CONFINADO",'CG. MPB'!E95="TABICON",'CG. MPB'!F95="MACIZO"),T94,IF(AND('CG. MPB'!D95="NO CONFINADO",'CG. MPB'!E95="LIGERO",'CG. MPB'!F95="MACIZO"),T94,0)))</f>
        <v>0</v>
      </c>
      <c r="AA94" s="543">
        <f>IF('CG. MPB'!E95="ADOBE",'RMCV.PB'!U94,0)</f>
        <v>0</v>
      </c>
      <c r="AB94" s="543">
        <f>IF('CG. MPB'!E95="CONCRETO",'RMCV.PB'!V94,0)</f>
        <v>0</v>
      </c>
      <c r="AC94" s="900"/>
      <c r="AD94" s="93">
        <f t="shared" si="13"/>
        <v>0</v>
      </c>
      <c r="AE94" s="428">
        <v>0.6</v>
      </c>
      <c r="AF94" s="4" t="e">
        <f>(1-2*AD94/C94)*(1-(AE94*'CG. MPB'!C95*10/(30*C94))^2)</f>
        <v>#DIV/0!</v>
      </c>
      <c r="AG94" s="350" t="e">
        <f>(1-(2*AD94/C94))*(1-(AE94*'CG. MPB'!C95*10/(30*C94))^2)*(1-('CG. MPB'!C95*10/B94))+('CG. MPB'!C95*10/B94)</f>
        <v>#DIV/0!</v>
      </c>
      <c r="AH94" s="429" t="e">
        <f t="shared" si="19"/>
        <v>#DIV/0!</v>
      </c>
    </row>
    <row r="95" spans="1:39">
      <c r="A95" s="684">
        <f>'CG. MPB'!A96</f>
        <v>16</v>
      </c>
      <c r="B95" s="578">
        <f>'CG. MPB'!B96*100</f>
        <v>0</v>
      </c>
      <c r="C95" s="68">
        <f>'ELEM. MECA.'!J222</f>
        <v>0</v>
      </c>
      <c r="D95" s="38">
        <f>IF(AND('CG. MPB'!D96="CONFINADO",'CG. MPB'!D96="CONCRETO"),0.8,IF('CG. MPB'!D96="NO CONFINADO",0.3,0.6))</f>
        <v>0.6</v>
      </c>
      <c r="E95" s="68">
        <v>0.6</v>
      </c>
      <c r="F95" s="38">
        <f>IF('CG. MPB'!E96="CONCRETO",G95,'RMCV.PB'!H95+'RMCV.PB'!I95+'RMCV.PB'!J95+K95+L95+M95)</f>
        <v>0</v>
      </c>
      <c r="G95" s="542">
        <f>IF('CG. MPB'!E96="CONCRETO",0.6*$G$24,0)</f>
        <v>0</v>
      </c>
      <c r="H95" s="574">
        <f>IF(AND('CG. MPB'!E96="TABIQUE",'CG. MPB'!F96="MACIZO"),15,0)</f>
        <v>0</v>
      </c>
      <c r="I95" s="574">
        <f>IF(AND('CG. MPB'!E96="TABIQUE",'CG. MPB'!F96="HUECO"),IF(E32="III",30,40),0)</f>
        <v>0</v>
      </c>
      <c r="J95" s="574">
        <f>IF('CG. MPB'!E96="TABICON",IF(E32="I",20,15),0)</f>
        <v>0</v>
      </c>
      <c r="K95" s="574">
        <f>IF('CG. MPB'!E96="ADOBE",10,0)</f>
        <v>0</v>
      </c>
      <c r="L95" s="574">
        <f>IF('CG. MPB'!E96="LIGERO",10,0)</f>
        <v>0</v>
      </c>
      <c r="M95" s="574">
        <f>IF('CG. MPB'!E96="CANTERA",30,0)</f>
        <v>0</v>
      </c>
      <c r="N95" s="575">
        <f t="shared" si="15"/>
        <v>0</v>
      </c>
      <c r="O95" s="918">
        <f>ABS('ELEM. MECA.'!D222)</f>
        <v>0</v>
      </c>
      <c r="P95" s="919">
        <f>IF(AND('CG. MPB'!D96="CONFINADO",'CG. MPB'!E96="TABIQUE",'CG. MPB'!F96="MACIZO"),'RMCV.PB'!Y95,IF(AND('CG. MPB'!D96="CONFINADO",'CG. MPB'!E96="TABICON",'CG. MPB'!F96="MACIZO"),'RMCV.PB'!Y95,IF(AND('CG. MPB'!D96="CONFINADO",'CG. MPB'!E96="LIGERO",'CG. MPB'!F96="MACIZO"),'RMCV.PB'!Y95,IF(AND('CG. MPB'!D96="NO CONFINADO",'CG. MPB'!E96="TABIQUE",'CG. MPB'!F96="MACIZO"),Z95,IF(AND('CG. MPB'!D96="NO CONFINADO",'CG. MPB'!E96="TABICON",'CG. MPB'!F96="MACIZO"),Z95,IF(AND('CG. MPB'!D96="NO CONFINADO",'CG. MPB'!E96="LIGERO",'CG. MPB'!F96="MACIZO"),Z95,IF(AND('CG. MPB'!E96="TABIQUE",'CG. MPB'!F96="HUECO"),X95,IF('CG. MPB'!E96="ADOBE",'RMCV.PB'!AA95,'RMCV.PB'!AB95))))))))</f>
        <v>0</v>
      </c>
      <c r="Q95" s="685" t="str">
        <f t="shared" si="16"/>
        <v>PASA</v>
      </c>
      <c r="R95" s="4" t="e">
        <f>IF(D95*E95*(F95*N95+'CASTILLOS-PB'!W95*FY)&gt;1.25*D95*E95*F95*N95,1.25*D95*E95*F95*N95,D95*E95*(F95*N95+'CASTILLOS-PB'!W95*FY))</f>
        <v>#VALUE!</v>
      </c>
      <c r="S95" s="4">
        <f>D95*E95*(F95*N95+'CASTILLOS-PB'!G95*FY*2)</f>
        <v>8588.16</v>
      </c>
      <c r="T95" s="4">
        <f t="shared" si="11"/>
        <v>0</v>
      </c>
      <c r="U95" s="4">
        <f t="shared" si="12"/>
        <v>0</v>
      </c>
      <c r="V95" s="533">
        <f>D95*(0.7*$G$24*(B95*C95)+2000*'MUR.CONC-PB'!K95)</f>
        <v>0</v>
      </c>
      <c r="W95" s="533">
        <f t="shared" si="4"/>
        <v>0</v>
      </c>
      <c r="X95" s="543">
        <f>IF(AND('CG. MPB'!E96="TABIQUE",'CG. MPB'!F96="HUECO"),R95,0)</f>
        <v>0</v>
      </c>
      <c r="Y95" s="543">
        <f>IF(AND('CG. MPB'!D96="CONFINADO",'CG. MPB'!E96="TABIQUE",'CG. MPB'!F96="MACIZO"),'RMCV.PB'!S95,IF(AND('CG. MPB'!D96="CONFINADO",'CG. MPB'!E96="TABICON",'CG. MPB'!F96="MACIZO"),'RMCV.PB'!S95,IF(AND('CG. MPB'!D96="CONFINADO",'CG. MPB'!E96="LIGERO",'CG. MPB'!F96="MACIZO"),'RMCV.PB'!S95,0)))</f>
        <v>0</v>
      </c>
      <c r="Z95" s="543">
        <f>IF(AND('CG. MPB'!D96="NO CONFINADO",'CG. MPB'!E96="TABIQUE",'CG. MPB'!F96="MACIZO"),T95,IF(AND('CG. MPB'!D96="NO CONFINADO",'CG. MPB'!E96="TABICON",'CG. MPB'!F96="MACIZO"),T95,IF(AND('CG. MPB'!D96="NO CONFINADO",'CG. MPB'!E96="LIGERO",'CG. MPB'!F96="MACIZO"),T95,0)))</f>
        <v>0</v>
      </c>
      <c r="AA95" s="543">
        <f>IF('CG. MPB'!E96="ADOBE",'RMCV.PB'!U95,0)</f>
        <v>0</v>
      </c>
      <c r="AB95" s="543">
        <f>IF('CG. MPB'!E96="CONCRETO",'RMCV.PB'!V95,0)</f>
        <v>0</v>
      </c>
      <c r="AC95" s="900"/>
      <c r="AD95" s="93">
        <f t="shared" si="13"/>
        <v>0</v>
      </c>
      <c r="AE95" s="428">
        <v>0.6</v>
      </c>
      <c r="AF95" s="4" t="e">
        <f>(1-2*AD95/C95)*(1-(AE95*'CG. MPB'!C96*10/(30*C95))^2)</f>
        <v>#DIV/0!</v>
      </c>
      <c r="AG95" s="350" t="e">
        <f>(1-(2*AD95/C95))*(1-(AE95*'CG. MPB'!C96*10/(30*C95))^2)*(1-('CG. MPB'!C96*10/B95))+('CG. MPB'!C96*10/B95)</f>
        <v>#DIV/0!</v>
      </c>
      <c r="AH95" s="429" t="e">
        <f t="shared" si="19"/>
        <v>#DIV/0!</v>
      </c>
    </row>
    <row r="96" spans="1:39">
      <c r="A96" s="684">
        <f>'CG. MPB'!A97</f>
        <v>17</v>
      </c>
      <c r="B96" s="578">
        <f>'CG. MPB'!B97*100</f>
        <v>0</v>
      </c>
      <c r="C96" s="68">
        <f>'ELEM. MECA.'!J223</f>
        <v>0</v>
      </c>
      <c r="D96" s="38">
        <f>IF(AND('CG. MPB'!D97="CONFINADO",'CG. MPB'!D97="CONCRETO"),0.8,IF('CG. MPB'!D97="NO CONFINADO",0.3,0.6))</f>
        <v>0.6</v>
      </c>
      <c r="E96" s="68">
        <v>0.6</v>
      </c>
      <c r="F96" s="38">
        <f>IF('CG. MPB'!E97="CONCRETO",G96,'RMCV.PB'!H96+'RMCV.PB'!I96+'RMCV.PB'!J96+K96+L96+M96)</f>
        <v>0</v>
      </c>
      <c r="G96" s="542">
        <f>IF('CG. MPB'!E97="CONCRETO",0.6*$G$24,0)</f>
        <v>0</v>
      </c>
      <c r="H96" s="574">
        <f>IF(AND('CG. MPB'!E97="TABIQUE",'CG. MPB'!F97="MACIZO"),15,0)</f>
        <v>0</v>
      </c>
      <c r="I96" s="574">
        <f>IF(AND('CG. MPB'!E97="TABIQUE",'CG. MPB'!F97="HUECO"),IF(E33="III",30,40),0)</f>
        <v>0</v>
      </c>
      <c r="J96" s="574">
        <f>IF('CG. MPB'!E97="TABICON",IF(E33="I",20,15),0)</f>
        <v>0</v>
      </c>
      <c r="K96" s="574">
        <f>IF('CG. MPB'!E97="ADOBE",10,0)</f>
        <v>0</v>
      </c>
      <c r="L96" s="574">
        <f>IF('CG. MPB'!E97="LIGERO",10,0)</f>
        <v>0</v>
      </c>
      <c r="M96" s="574">
        <f>IF('CG. MPB'!E97="CANTERA",30,0)</f>
        <v>0</v>
      </c>
      <c r="N96" s="575">
        <f t="shared" si="15"/>
        <v>0</v>
      </c>
      <c r="O96" s="918">
        <f>ABS('ELEM. MECA.'!D223)</f>
        <v>0</v>
      </c>
      <c r="P96" s="919">
        <f>IF(AND('CG. MPB'!D97="CONFINADO",'CG. MPB'!E97="TABIQUE",'CG. MPB'!F97="MACIZO"),'RMCV.PB'!Y96,IF(AND('CG. MPB'!D97="CONFINADO",'CG. MPB'!E97="TABICON",'CG. MPB'!F97="MACIZO"),'RMCV.PB'!Y96,IF(AND('CG. MPB'!D97="CONFINADO",'CG. MPB'!E97="LIGERO",'CG. MPB'!F97="MACIZO"),'RMCV.PB'!Y96,IF(AND('CG. MPB'!D97="NO CONFINADO",'CG. MPB'!E97="TABIQUE",'CG. MPB'!F97="MACIZO"),Z96,IF(AND('CG. MPB'!D97="NO CONFINADO",'CG. MPB'!E97="TABICON",'CG. MPB'!F97="MACIZO"),Z96,IF(AND('CG. MPB'!D97="NO CONFINADO",'CG. MPB'!E97="LIGERO",'CG. MPB'!F97="MACIZO"),Z96,IF(AND('CG. MPB'!E97="TABIQUE",'CG. MPB'!F97="HUECO"),X96,IF('CG. MPB'!E97="ADOBE",'RMCV.PB'!AA96,'RMCV.PB'!AB96))))))))</f>
        <v>0</v>
      </c>
      <c r="Q96" s="685" t="str">
        <f t="shared" si="16"/>
        <v>PASA</v>
      </c>
      <c r="R96" s="4" t="e">
        <f>IF(D96*E96*(F96*N96+'CASTILLOS-PB'!W96*FY)&gt;1.25*D96*E96*F96*N96,1.25*D96*E96*F96*N96,D96*E96*(F96*N96+'CASTILLOS-PB'!W96*FY))</f>
        <v>#DIV/0!</v>
      </c>
      <c r="S96" s="4">
        <f>D96*E96*(F96*N96+'CASTILLOS-PB'!G96*FY*2)</f>
        <v>8588.16</v>
      </c>
      <c r="T96" s="4">
        <f t="shared" si="11"/>
        <v>0</v>
      </c>
      <c r="U96" s="4">
        <f t="shared" si="12"/>
        <v>0</v>
      </c>
      <c r="V96" s="533">
        <f>D96*(0.7*$G$24*(B96*C96)+2000*'MUR.CONC-PB'!K96)</f>
        <v>0</v>
      </c>
      <c r="W96" s="533">
        <f t="shared" si="4"/>
        <v>0</v>
      </c>
      <c r="X96" s="543">
        <f>IF(AND('CG. MPB'!E97="TABIQUE",'CG. MPB'!F97="HUECO"),R96,0)</f>
        <v>0</v>
      </c>
      <c r="Y96" s="543">
        <f>IF(AND('CG. MPB'!D97="CONFINADO",'CG. MPB'!E97="TABIQUE",'CG. MPB'!F97="MACIZO"),'RMCV.PB'!S96,IF(AND('CG. MPB'!D97="CONFINADO",'CG. MPB'!E97="TABICON",'CG. MPB'!F97="MACIZO"),'RMCV.PB'!S96,IF(AND('CG. MPB'!D97="CONFINADO",'CG. MPB'!E97="LIGERO",'CG. MPB'!F97="MACIZO"),'RMCV.PB'!S96,0)))</f>
        <v>0</v>
      </c>
      <c r="Z96" s="543">
        <f>IF(AND('CG. MPB'!D97="NO CONFINADO",'CG. MPB'!E97="TABIQUE",'CG. MPB'!F97="MACIZO"),T96,IF(AND('CG. MPB'!D97="NO CONFINADO",'CG. MPB'!E97="TABICON",'CG. MPB'!F97="MACIZO"),T96,IF(AND('CG. MPB'!D97="NO CONFINADO",'CG. MPB'!E97="LIGERO",'CG. MPB'!F97="MACIZO"),T96,0)))</f>
        <v>0</v>
      </c>
      <c r="AA96" s="543">
        <f>IF('CG. MPB'!E97="ADOBE",'RMCV.PB'!U96,0)</f>
        <v>0</v>
      </c>
      <c r="AB96" s="543">
        <f>IF('CG. MPB'!E97="CONCRETO",'RMCV.PB'!V96,0)</f>
        <v>0</v>
      </c>
      <c r="AC96" s="900"/>
      <c r="AD96" s="93">
        <f t="shared" si="13"/>
        <v>0</v>
      </c>
      <c r="AE96" s="428">
        <v>0.6</v>
      </c>
      <c r="AF96" s="4" t="e">
        <f>(1-2*AD96/C96)*(1-(AE96*'CG. MPB'!C97*10/(30*C96))^2)</f>
        <v>#DIV/0!</v>
      </c>
      <c r="AG96" s="350" t="e">
        <f>(1-(2*AD96/C96))*(1-(AE96*'CG. MPB'!C97*10/(30*C96))^2)*(1-('CG. MPB'!C97*10/B96))+('CG. MPB'!C97*10/B96)</f>
        <v>#DIV/0!</v>
      </c>
      <c r="AH96" s="429" t="e">
        <f t="shared" si="19"/>
        <v>#DIV/0!</v>
      </c>
    </row>
    <row r="97" spans="1:34">
      <c r="A97" s="684">
        <f>'CG. MPB'!A98</f>
        <v>18</v>
      </c>
      <c r="B97" s="578">
        <f>'CG. MPB'!B98*100</f>
        <v>0</v>
      </c>
      <c r="C97" s="68">
        <f>'ELEM. MECA.'!J224</f>
        <v>0</v>
      </c>
      <c r="D97" s="38">
        <f>IF(AND('CG. MPB'!D98="CONFINADO",'CG. MPB'!D98="CONCRETO"),0.8,IF('CG. MPB'!D98="NO CONFINADO",0.3,0.6))</f>
        <v>0.6</v>
      </c>
      <c r="E97" s="68">
        <v>0.6</v>
      </c>
      <c r="F97" s="38">
        <f>IF('CG. MPB'!E98="CONCRETO",G97,'RMCV.PB'!H97+'RMCV.PB'!I97+'RMCV.PB'!J97+K97+L97+M97)</f>
        <v>0</v>
      </c>
      <c r="G97" s="542">
        <f>IF('CG. MPB'!E98="CONCRETO",0.6*$G$24,0)</f>
        <v>0</v>
      </c>
      <c r="H97" s="574">
        <f>IF(AND('CG. MPB'!E98="TABIQUE",'CG. MPB'!F98="MACIZO"),15,0)</f>
        <v>0</v>
      </c>
      <c r="I97" s="574">
        <f>IF(AND('CG. MPB'!E98="TABIQUE",'CG. MPB'!F98="HUECO"),IF(E34="III",30,40),0)</f>
        <v>0</v>
      </c>
      <c r="J97" s="574">
        <f>IF('CG. MPB'!E98="TABICON",IF(E34="I",20,15),0)</f>
        <v>0</v>
      </c>
      <c r="K97" s="574">
        <f>IF('CG. MPB'!E98="ADOBE",10,0)</f>
        <v>0</v>
      </c>
      <c r="L97" s="574">
        <f>IF('CG. MPB'!E98="LIGERO",10,0)</f>
        <v>0</v>
      </c>
      <c r="M97" s="574">
        <f>IF('CG. MPB'!E98="CANTERA",30,0)</f>
        <v>0</v>
      </c>
      <c r="N97" s="575">
        <f t="shared" si="15"/>
        <v>0</v>
      </c>
      <c r="O97" s="918">
        <f>ABS('ELEM. MECA.'!D224)</f>
        <v>0</v>
      </c>
      <c r="P97" s="919">
        <f>IF(AND('CG. MPB'!D98="CONFINADO",'CG. MPB'!E98="TABIQUE",'CG. MPB'!F98="MACIZO"),'RMCV.PB'!Y97,IF(AND('CG. MPB'!D98="CONFINADO",'CG. MPB'!E98="TABICON",'CG. MPB'!F98="MACIZO"),'RMCV.PB'!Y97,IF(AND('CG. MPB'!D98="CONFINADO",'CG. MPB'!E98="LIGERO",'CG. MPB'!F98="MACIZO"),'RMCV.PB'!Y97,IF(AND('CG. MPB'!D98="NO CONFINADO",'CG. MPB'!E98="TABIQUE",'CG. MPB'!F98="MACIZO"),Z97,IF(AND('CG. MPB'!D98="NO CONFINADO",'CG. MPB'!E98="TABICON",'CG. MPB'!F98="MACIZO"),Z97,IF(AND('CG. MPB'!D98="NO CONFINADO",'CG. MPB'!E98="LIGERO",'CG. MPB'!F98="MACIZO"),Z97,IF(AND('CG. MPB'!E98="TABIQUE",'CG. MPB'!F98="HUECO"),X97,IF('CG. MPB'!E98="ADOBE",'RMCV.PB'!AA97,'RMCV.PB'!AB97))))))))</f>
        <v>0</v>
      </c>
      <c r="Q97" s="685" t="str">
        <f t="shared" si="16"/>
        <v>PASA</v>
      </c>
      <c r="R97" s="4" t="e">
        <f>IF(D97*E97*(F97*N97+'CASTILLOS-PB'!W97*FY)&gt;1.25*D97*E97*F97*N97,1.25*D97*E97*F97*N97,D97*E97*(F97*N97+'CASTILLOS-PB'!W97*FY))</f>
        <v>#DIV/0!</v>
      </c>
      <c r="S97" s="4">
        <f>D97*E97*(F97*N97+'CASTILLOS-PB'!G97*FY*2)</f>
        <v>8588.16</v>
      </c>
      <c r="T97" s="4">
        <f t="shared" si="11"/>
        <v>0</v>
      </c>
      <c r="U97" s="4">
        <f t="shared" si="12"/>
        <v>0</v>
      </c>
      <c r="V97" s="533">
        <f>D97*(0.7*$G$24*(B97*C97)+2000*'MUR.CONC-PB'!K97)</f>
        <v>0</v>
      </c>
      <c r="W97" s="533">
        <f t="shared" si="4"/>
        <v>0</v>
      </c>
      <c r="X97" s="543">
        <f>IF(AND('CG. MPB'!E98="TABIQUE",'CG. MPB'!F98="HUECO"),R97,0)</f>
        <v>0</v>
      </c>
      <c r="Y97" s="543">
        <f>IF(AND('CG. MPB'!D98="CONFINADO",'CG. MPB'!E98="TABIQUE",'CG. MPB'!F98="MACIZO"),'RMCV.PB'!S97,IF(AND('CG. MPB'!D98="CONFINADO",'CG. MPB'!E98="TABICON",'CG. MPB'!F98="MACIZO"),'RMCV.PB'!S97,IF(AND('CG. MPB'!D98="CONFINADO",'CG. MPB'!E98="LIGERO",'CG. MPB'!F98="MACIZO"),'RMCV.PB'!S97,0)))</f>
        <v>0</v>
      </c>
      <c r="Z97" s="543">
        <f>IF(AND('CG. MPB'!D98="NO CONFINADO",'CG. MPB'!E98="TABIQUE",'CG. MPB'!F98="MACIZO"),T97,IF(AND('CG. MPB'!D98="NO CONFINADO",'CG. MPB'!E98="TABICON",'CG. MPB'!F98="MACIZO"),T97,IF(AND('CG. MPB'!D98="NO CONFINADO",'CG. MPB'!E98="LIGERO",'CG. MPB'!F98="MACIZO"),T97,0)))</f>
        <v>0</v>
      </c>
      <c r="AA97" s="543">
        <f>IF('CG. MPB'!E98="ADOBE",'RMCV.PB'!U97,0)</f>
        <v>0</v>
      </c>
      <c r="AB97" s="543">
        <f>IF('CG. MPB'!E98="CONCRETO",'RMCV.PB'!V97,0)</f>
        <v>0</v>
      </c>
      <c r="AC97" s="900"/>
      <c r="AD97" s="93">
        <f t="shared" si="13"/>
        <v>0</v>
      </c>
      <c r="AE97" s="428">
        <v>0.6</v>
      </c>
      <c r="AF97" s="4" t="e">
        <f>(1-2*AD97/C97)*(1-(AE97*'CG. MPB'!C98*10/(30*C97))^2)</f>
        <v>#DIV/0!</v>
      </c>
      <c r="AG97" s="350" t="e">
        <f>(1-(2*AD97/C97))*(1-(AE97*'CG. MPB'!C98*10/(30*C97))^2)*(1-('CG. MPB'!C98*10/B97))+('CG. MPB'!C98*10/B97)</f>
        <v>#DIV/0!</v>
      </c>
      <c r="AH97" s="429" t="e">
        <f t="shared" si="19"/>
        <v>#DIV/0!</v>
      </c>
    </row>
    <row r="98" spans="1:34">
      <c r="A98" s="684">
        <f>'CG. MPB'!A99</f>
        <v>19</v>
      </c>
      <c r="B98" s="578">
        <f>'CG. MPB'!B99*100</f>
        <v>0</v>
      </c>
      <c r="C98" s="68">
        <f>'ELEM. MECA.'!J225</f>
        <v>0</v>
      </c>
      <c r="D98" s="38">
        <f>IF(AND('CG. MPB'!D99="CONFINADO",'CG. MPB'!D99="CONCRETO"),0.8,IF('CG. MPB'!D99="NO CONFINADO",0.3,0.6))</f>
        <v>0.6</v>
      </c>
      <c r="E98" s="68">
        <v>0.6</v>
      </c>
      <c r="F98" s="38">
        <f>IF('CG. MPB'!E99="CONCRETO",G98,'RMCV.PB'!H98+'RMCV.PB'!I98+'RMCV.PB'!J98+K98+L98+M98)</f>
        <v>0</v>
      </c>
      <c r="G98" s="542">
        <f>IF('CG. MPB'!E99="CONCRETO",0.6*$G$24,0)</f>
        <v>0</v>
      </c>
      <c r="H98" s="574">
        <f>IF(AND('CG. MPB'!E99="TABIQUE",'CG. MPB'!F99="MACIZO"),15,0)</f>
        <v>0</v>
      </c>
      <c r="I98" s="574">
        <f>IF(AND('CG. MPB'!E99="TABIQUE",'CG. MPB'!F99="HUECO"),IF(E35="III",30,40),0)</f>
        <v>0</v>
      </c>
      <c r="J98" s="574">
        <f>IF('CG. MPB'!E99="TABICON",IF(E35="I",20,15),0)</f>
        <v>0</v>
      </c>
      <c r="K98" s="574">
        <f>IF('CG. MPB'!E99="ADOBE",10,0)</f>
        <v>0</v>
      </c>
      <c r="L98" s="574">
        <f>IF('CG. MPB'!E99="LIGERO",10,0)</f>
        <v>0</v>
      </c>
      <c r="M98" s="574">
        <f>IF('CG. MPB'!E99="CANTERA",30,0)</f>
        <v>0</v>
      </c>
      <c r="N98" s="575">
        <f t="shared" si="15"/>
        <v>0</v>
      </c>
      <c r="O98" s="918">
        <f>ABS('ELEM. MECA.'!D225)</f>
        <v>0</v>
      </c>
      <c r="P98" s="919">
        <f>IF(AND('CG. MPB'!D99="CONFINADO",'CG. MPB'!E99="TABIQUE",'CG. MPB'!F99="MACIZO"),'RMCV.PB'!Y98,IF(AND('CG. MPB'!D99="CONFINADO",'CG. MPB'!E99="TABICON",'CG. MPB'!F99="MACIZO"),'RMCV.PB'!Y98,IF(AND('CG. MPB'!D99="CONFINADO",'CG. MPB'!E99="LIGERO",'CG. MPB'!F99="MACIZO"),'RMCV.PB'!Y98,IF(AND('CG. MPB'!D99="NO CONFINADO",'CG. MPB'!E99="TABIQUE",'CG. MPB'!F99="MACIZO"),Z98,IF(AND('CG. MPB'!D99="NO CONFINADO",'CG. MPB'!E99="TABICON",'CG. MPB'!F99="MACIZO"),Z98,IF(AND('CG. MPB'!D99="NO CONFINADO",'CG. MPB'!E99="LIGERO",'CG. MPB'!F99="MACIZO"),Z98,IF(AND('CG. MPB'!E99="TABIQUE",'CG. MPB'!F99="HUECO"),X98,IF('CG. MPB'!E99="ADOBE",'RMCV.PB'!AA98,'RMCV.PB'!AB98))))))))</f>
        <v>0</v>
      </c>
      <c r="Q98" s="685" t="str">
        <f t="shared" si="16"/>
        <v>PASA</v>
      </c>
      <c r="R98" s="4" t="e">
        <f>IF(D98*E98*(F98*N98+'CASTILLOS-PB'!W98*FY)&gt;1.25*D98*E98*F98*N98,1.25*D98*E98*F98*N98,D98*E98*(F98*N98+'CASTILLOS-PB'!W98*FY))</f>
        <v>#DIV/0!</v>
      </c>
      <c r="S98" s="4">
        <f>D98*E98*(F98*N98+'CASTILLOS-PB'!G98*FY*2)</f>
        <v>8588.16</v>
      </c>
      <c r="T98" s="4">
        <f t="shared" si="11"/>
        <v>0</v>
      </c>
      <c r="U98" s="4">
        <f t="shared" si="12"/>
        <v>0</v>
      </c>
      <c r="V98" s="533">
        <f>D98*(0.7*$G$24*(B98*C98)+2000*'MUR.CONC-PB'!K98)</f>
        <v>0</v>
      </c>
      <c r="W98" s="533">
        <f t="shared" si="4"/>
        <v>0</v>
      </c>
      <c r="X98" s="543">
        <f>IF(AND('CG. MPB'!E99="TABIQUE",'CG. MPB'!F99="HUECO"),R98,0)</f>
        <v>0</v>
      </c>
      <c r="Y98" s="543">
        <f>IF(AND('CG. MPB'!D99="CONFINADO",'CG. MPB'!E99="TABIQUE",'CG. MPB'!F99="MACIZO"),'RMCV.PB'!S98,IF(AND('CG. MPB'!D99="CONFINADO",'CG. MPB'!E99="TABICON",'CG. MPB'!F99="MACIZO"),'RMCV.PB'!S98,IF(AND('CG. MPB'!D99="CONFINADO",'CG. MPB'!E99="LIGERO",'CG. MPB'!F99="MACIZO"),'RMCV.PB'!S98,0)))</f>
        <v>0</v>
      </c>
      <c r="Z98" s="543">
        <f>IF(AND('CG. MPB'!D99="NO CONFINADO",'CG. MPB'!E99="TABIQUE",'CG. MPB'!F99="MACIZO"),T98,IF(AND('CG. MPB'!D99="NO CONFINADO",'CG. MPB'!E99="TABICON",'CG. MPB'!F99="MACIZO"),T98,IF(AND('CG. MPB'!D99="NO CONFINADO",'CG. MPB'!E99="LIGERO",'CG. MPB'!F99="MACIZO"),T98,0)))</f>
        <v>0</v>
      </c>
      <c r="AA98" s="543">
        <f>IF('CG. MPB'!E99="ADOBE",'RMCV.PB'!U98,0)</f>
        <v>0</v>
      </c>
      <c r="AB98" s="543">
        <f>IF('CG. MPB'!E99="CONCRETO",'RMCV.PB'!V98,0)</f>
        <v>0</v>
      </c>
      <c r="AC98" s="900"/>
      <c r="AD98" s="93">
        <f t="shared" si="13"/>
        <v>0</v>
      </c>
      <c r="AE98" s="428">
        <v>0.6</v>
      </c>
      <c r="AF98" s="4" t="e">
        <f>(1-2*AD98/C98)*(1-(AE98*'CG. MPB'!C99*10/(30*C98))^2)</f>
        <v>#DIV/0!</v>
      </c>
      <c r="AG98" s="4" t="e">
        <f>(1-(2*AD98/C98))*(1-(AE98*'CG. MPB'!C99*10/(30*C98))^2)*(1-('CG. MPB'!C99*10/B98))+('CG. MPB'!C99*10/B98)</f>
        <v>#DIV/0!</v>
      </c>
      <c r="AH98" s="429" t="e">
        <f t="shared" si="19"/>
        <v>#DIV/0!</v>
      </c>
    </row>
    <row r="99" spans="1:34">
      <c r="A99" s="684">
        <f>'CG. MPB'!A100</f>
        <v>20</v>
      </c>
      <c r="B99" s="578">
        <f>'CG. MPB'!B100*100</f>
        <v>0</v>
      </c>
      <c r="C99" s="68">
        <f>'ELEM. MECA.'!J226</f>
        <v>0</v>
      </c>
      <c r="D99" s="38">
        <f>IF(AND('CG. MPB'!D100="CONFINADO",'CG. MPB'!D100="CONCRETO"),0.8,IF('CG. MPB'!D100="NO CONFINADO",0.3,0.6))</f>
        <v>0.6</v>
      </c>
      <c r="E99" s="68">
        <v>0.6</v>
      </c>
      <c r="F99" s="38">
        <f>IF('CG. MPB'!E100="CONCRETO",G99,'RMCV.PB'!H99+'RMCV.PB'!I99+'RMCV.PB'!J99+K99+L99+M99)</f>
        <v>0</v>
      </c>
      <c r="G99" s="542">
        <f>IF('CG. MPB'!E100="CONCRETO",0.6*$G$24,0)</f>
        <v>0</v>
      </c>
      <c r="H99" s="574">
        <f>IF(AND('CG. MPB'!E100="TABIQUE",'CG. MPB'!F100="MACIZO"),15,0)</f>
        <v>0</v>
      </c>
      <c r="I99" s="574">
        <f>IF(AND('CG. MPB'!E100="TABIQUE",'CG. MPB'!F100="HUECO"),IF(E36="III",30,40),0)</f>
        <v>0</v>
      </c>
      <c r="J99" s="574">
        <f>IF('CG. MPB'!E100="TABICON",IF(E36="I",20,15),0)</f>
        <v>0</v>
      </c>
      <c r="K99" s="574">
        <f>IF('CG. MPB'!E100="ADOBE",10,0)</f>
        <v>0</v>
      </c>
      <c r="L99" s="574">
        <f>IF('CG. MPB'!E100="LIGERO",10,0)</f>
        <v>0</v>
      </c>
      <c r="M99" s="574">
        <f>IF('CG. MPB'!E100="CANTERA",30,0)</f>
        <v>0</v>
      </c>
      <c r="N99" s="575">
        <f t="shared" si="15"/>
        <v>0</v>
      </c>
      <c r="O99" s="918">
        <f>ABS('ELEM. MECA.'!D226)</f>
        <v>0</v>
      </c>
      <c r="P99" s="919">
        <f>IF(AND('CG. MPB'!D100="CONFINADO",'CG. MPB'!E100="TABIQUE",'CG. MPB'!F100="MACIZO"),'RMCV.PB'!Y99,IF(AND('CG. MPB'!D100="CONFINADO",'CG. MPB'!E100="TABICON",'CG. MPB'!F100="MACIZO"),'RMCV.PB'!Y99,IF(AND('CG. MPB'!D100="CONFINADO",'CG. MPB'!E100="LIGERO",'CG. MPB'!F100="MACIZO"),'RMCV.PB'!Y99,IF(AND('CG. MPB'!D100="NO CONFINADO",'CG. MPB'!E100="TABIQUE",'CG. MPB'!F100="MACIZO"),Z99,IF(AND('CG. MPB'!D100="NO CONFINADO",'CG. MPB'!E100="TABICON",'CG. MPB'!F100="MACIZO"),Z99,IF(AND('CG. MPB'!D100="NO CONFINADO",'CG. MPB'!E100="LIGERO",'CG. MPB'!F100="MACIZO"),Z99,IF(AND('CG. MPB'!E100="TABIQUE",'CG. MPB'!F100="HUECO"),X99,IF('CG. MPB'!E100="ADOBE",'RMCV.PB'!AA99,'RMCV.PB'!AB99))))))))</f>
        <v>0</v>
      </c>
      <c r="Q99" s="685" t="str">
        <f t="shared" si="16"/>
        <v>PASA</v>
      </c>
      <c r="R99" s="4" t="e">
        <f>IF(D99*E99*(F99*N99+'CASTILLOS-PB'!W99*FY)&gt;1.25*D99*E99*F99*N99,1.25*D99*E99*F99*N99,D99*E99*(F99*N99+'CASTILLOS-PB'!W99*FY))</f>
        <v>#DIV/0!</v>
      </c>
      <c r="S99" s="4">
        <f>D99*E99*(F99*N99+'CASTILLOS-PB'!G99*FY*2)</f>
        <v>8588.16</v>
      </c>
      <c r="T99" s="4">
        <f t="shared" si="11"/>
        <v>0</v>
      </c>
      <c r="U99" s="4">
        <f t="shared" si="12"/>
        <v>0</v>
      </c>
      <c r="V99" s="533">
        <f>D99*(0.7*$G$24*(B99*C99)+2000*'MUR.CONC-PB'!K99)</f>
        <v>0</v>
      </c>
      <c r="W99" s="533">
        <f t="shared" si="4"/>
        <v>0</v>
      </c>
      <c r="X99" s="543">
        <f>IF(AND('CG. MPB'!E100="TABIQUE",'CG. MPB'!F100="HUECO"),R99,0)</f>
        <v>0</v>
      </c>
      <c r="Y99" s="543">
        <f>IF(AND('CG. MPB'!D100="CONFINADO",'CG. MPB'!E100="TABIQUE",'CG. MPB'!F100="MACIZO"),'RMCV.PB'!S99,IF(AND('CG. MPB'!D100="CONFINADO",'CG. MPB'!E100="TABICON",'CG. MPB'!F100="MACIZO"),'RMCV.PB'!S99,IF(AND('CG. MPB'!D100="CONFINADO",'CG. MPB'!E100="LIGERO",'CG. MPB'!F100="MACIZO"),'RMCV.PB'!S99,0)))</f>
        <v>0</v>
      </c>
      <c r="Z99" s="543">
        <f>IF(AND('CG. MPB'!D100="NO CONFINADO",'CG. MPB'!E100="TABIQUE",'CG. MPB'!F100="MACIZO"),T99,IF(AND('CG. MPB'!D100="NO CONFINADO",'CG. MPB'!E100="TABICON",'CG. MPB'!F100="MACIZO"),T99,IF(AND('CG. MPB'!D100="NO CONFINADO",'CG. MPB'!E100="LIGERO",'CG. MPB'!F100="MACIZO"),T99,0)))</f>
        <v>0</v>
      </c>
      <c r="AA99" s="543">
        <f>IF('CG. MPB'!E100="ADOBE",'RMCV.PB'!U99,0)</f>
        <v>0</v>
      </c>
      <c r="AB99" s="543">
        <f>IF('CG. MPB'!E100="CONCRETO",'RMCV.PB'!V99,0)</f>
        <v>0</v>
      </c>
      <c r="AC99" s="900"/>
      <c r="AD99" s="93">
        <f t="shared" si="13"/>
        <v>0</v>
      </c>
      <c r="AE99" s="428">
        <v>0.6</v>
      </c>
      <c r="AF99" s="4" t="e">
        <f>(1-2*AD99/C99)*(1-(AE99*'CG. MPB'!C100*10/(30*C99))^2)</f>
        <v>#DIV/0!</v>
      </c>
      <c r="AG99" s="350" t="e">
        <f>(1-(2*AD99/C99))*(1-(AE99*'CG. MPB'!C100*10/(30*C99))^2)*(1-('CG. MPB'!C100*10/B99))+('CG. MPB'!C100*10/B99)</f>
        <v>#DIV/0!</v>
      </c>
      <c r="AH99" s="429" t="e">
        <f t="shared" si="19"/>
        <v>#DIV/0!</v>
      </c>
    </row>
    <row r="100" spans="1:34">
      <c r="A100" s="684">
        <f>'CG. MPB'!A101</f>
        <v>21</v>
      </c>
      <c r="B100" s="578">
        <f>'CG. MPB'!B101*100</f>
        <v>0</v>
      </c>
      <c r="C100" s="68">
        <f>'ELEM. MECA.'!J227</f>
        <v>0</v>
      </c>
      <c r="D100" s="38">
        <f>IF(AND('CG. MPB'!D101="CONFINADO",'CG. MPB'!D101="CONCRETO"),0.8,IF('CG. MPB'!D101="NO CONFINADO",0.3,0.6))</f>
        <v>0.6</v>
      </c>
      <c r="E100" s="68">
        <v>0.6</v>
      </c>
      <c r="F100" s="38">
        <f>IF('CG. MPB'!E101="CONCRETO",G100,'RMCV.PB'!H100+'RMCV.PB'!I100+'RMCV.PB'!J100+K100+L100+M100)</f>
        <v>0</v>
      </c>
      <c r="G100" s="542">
        <f>IF('CG. MPB'!E101="CONCRETO",0.6*$G$24,0)</f>
        <v>0</v>
      </c>
      <c r="H100" s="574">
        <f>IF(AND('CG. MPB'!E101="TABIQUE",'CG. MPB'!F101="MACIZO"),15,0)</f>
        <v>0</v>
      </c>
      <c r="I100" s="574">
        <f>IF(AND('CG. MPB'!E101="TABIQUE",'CG. MPB'!F101="HUECO"),IF(E37="III",30,40),0)</f>
        <v>0</v>
      </c>
      <c r="J100" s="574">
        <f>IF('CG. MPB'!E101="TABICON",IF(E37="I",20,15),0)</f>
        <v>0</v>
      </c>
      <c r="K100" s="574">
        <f>IF('CG. MPB'!E101="ADOBE",10,0)</f>
        <v>0</v>
      </c>
      <c r="L100" s="574">
        <f>IF('CG. MPB'!E101="LIGERO",10,0)</f>
        <v>0</v>
      </c>
      <c r="M100" s="574">
        <f>IF('CG. MPB'!E101="CANTERA",30,0)</f>
        <v>0</v>
      </c>
      <c r="N100" s="575">
        <f t="shared" si="15"/>
        <v>0</v>
      </c>
      <c r="O100" s="918">
        <f>ABS('ELEM. MECA.'!D227)</f>
        <v>0</v>
      </c>
      <c r="P100" s="919">
        <f>IF(AND('CG. MPB'!D101="CONFINADO",'CG. MPB'!E101="TABIQUE",'CG. MPB'!F101="MACIZO"),'RMCV.PB'!Y100,IF(AND('CG. MPB'!D101="CONFINADO",'CG. MPB'!E101="TABICON",'CG. MPB'!F101="MACIZO"),'RMCV.PB'!Y100,IF(AND('CG. MPB'!D101="CONFINADO",'CG. MPB'!E101="LIGERO",'CG. MPB'!F101="MACIZO"),'RMCV.PB'!Y100,IF(AND('CG. MPB'!D101="NO CONFINADO",'CG. MPB'!E101="TABIQUE",'CG. MPB'!F101="MACIZO"),Z100,IF(AND('CG. MPB'!D101="NO CONFINADO",'CG. MPB'!E101="TABICON",'CG. MPB'!F101="MACIZO"),Z100,IF(AND('CG. MPB'!D101="NO CONFINADO",'CG. MPB'!E101="LIGERO",'CG. MPB'!F101="MACIZO"),Z100,IF(AND('CG. MPB'!E101="TABIQUE",'CG. MPB'!F101="HUECO"),X100,IF('CG. MPB'!E101="ADOBE",'RMCV.PB'!AA100,'RMCV.PB'!AB100))))))))</f>
        <v>0</v>
      </c>
      <c r="Q100" s="685" t="str">
        <f t="shared" si="16"/>
        <v>PASA</v>
      </c>
      <c r="R100" s="4" t="e">
        <f>IF(D100*E100*(F100*N100+'CASTILLOS-PB'!W100*FY)&gt;1.25*D100*E100*F100*N100,1.25*D100*E100*F100*N100,D100*E100*(F100*N100+'CASTILLOS-PB'!W100*FY))</f>
        <v>#DIV/0!</v>
      </c>
      <c r="S100" s="4">
        <f>D100*E100*(F100*N100+'CASTILLOS-PB'!G100*FY*2)</f>
        <v>8588.16</v>
      </c>
      <c r="T100" s="4">
        <f t="shared" si="11"/>
        <v>0</v>
      </c>
      <c r="U100" s="4">
        <f t="shared" si="12"/>
        <v>0</v>
      </c>
      <c r="V100" s="533">
        <f>D100*(0.7*$G$24*(B100*C100)+2000*'MUR.CONC-PB'!K100)</f>
        <v>0</v>
      </c>
      <c r="W100" s="533">
        <f t="shared" si="4"/>
        <v>0</v>
      </c>
      <c r="X100" s="543">
        <f>IF(AND('CG. MPB'!E101="TABIQUE",'CG. MPB'!F101="HUECO"),R100,0)</f>
        <v>0</v>
      </c>
      <c r="Y100" s="543">
        <f>IF(AND('CG. MPB'!D101="CONFINADO",'CG. MPB'!E101="TABIQUE",'CG. MPB'!F101="MACIZO"),'RMCV.PB'!S100,IF(AND('CG. MPB'!D101="CONFINADO",'CG. MPB'!E101="TABICON",'CG. MPB'!F101="MACIZO"),'RMCV.PB'!S100,IF(AND('CG. MPB'!D101="CONFINADO",'CG. MPB'!E101="LIGERO",'CG. MPB'!F101="MACIZO"),'RMCV.PB'!S100,0)))</f>
        <v>0</v>
      </c>
      <c r="Z100" s="543">
        <f>IF(AND('CG. MPB'!D101="NO CONFINADO",'CG. MPB'!E101="TABIQUE",'CG. MPB'!F101="MACIZO"),T100,IF(AND('CG. MPB'!D101="NO CONFINADO",'CG. MPB'!E101="TABICON",'CG. MPB'!F101="MACIZO"),T100,IF(AND('CG. MPB'!D101="NO CONFINADO",'CG. MPB'!E101="LIGERO",'CG. MPB'!F101="MACIZO"),T100,0)))</f>
        <v>0</v>
      </c>
      <c r="AA100" s="543">
        <f>IF('CG. MPB'!E101="ADOBE",'RMCV.PB'!U100,0)</f>
        <v>0</v>
      </c>
      <c r="AB100" s="543">
        <f>IF('CG. MPB'!E101="CONCRETO",'RMCV.PB'!V100,0)</f>
        <v>0</v>
      </c>
      <c r="AC100" s="900"/>
      <c r="AD100" s="93">
        <f t="shared" si="13"/>
        <v>0</v>
      </c>
      <c r="AE100" s="428">
        <v>0.6</v>
      </c>
      <c r="AF100" s="4" t="e">
        <f>(1-2*AD100/C100)*(1-(AE100*'CG. MPB'!C101*10/(30*C100))^2)</f>
        <v>#DIV/0!</v>
      </c>
      <c r="AG100" s="350" t="e">
        <f>(1-(2*AD100/C100))*(1-(AE100*'CG. MPB'!C101*10/(30*C100))^2)*(1-('CG. MPB'!C101*10/B100))+('CG. MPB'!C101*10/B100)</f>
        <v>#DIV/0!</v>
      </c>
      <c r="AH100" s="429" t="e">
        <f t="shared" si="19"/>
        <v>#DIV/0!</v>
      </c>
    </row>
    <row r="101" spans="1:34">
      <c r="A101" s="684">
        <f>'CG. MPB'!A102</f>
        <v>22</v>
      </c>
      <c r="B101" s="578">
        <f>'CG. MPB'!B102*100</f>
        <v>0</v>
      </c>
      <c r="C101" s="68">
        <f>'ELEM. MECA.'!J228</f>
        <v>0</v>
      </c>
      <c r="D101" s="38">
        <f>IF(AND('CG. MPB'!D102="CONFINADO",'CG. MPB'!D102="CONCRETO"),0.8,IF('CG. MPB'!D102="NO CONFINADO",0.3,0.6))</f>
        <v>0.6</v>
      </c>
      <c r="E101" s="68">
        <v>0.6</v>
      </c>
      <c r="F101" s="38">
        <f>IF('CG. MPB'!E102="CONCRETO",G101,'RMCV.PB'!H101+'RMCV.PB'!I101+'RMCV.PB'!J101+K101+L101+M101)</f>
        <v>0</v>
      </c>
      <c r="G101" s="542">
        <f>IF('CG. MPB'!E102="CONCRETO",0.6*$G$24,0)</f>
        <v>0</v>
      </c>
      <c r="H101" s="574">
        <f>IF(AND('CG. MPB'!E102="TABIQUE",'CG. MPB'!F102="MACIZO"),15,0)</f>
        <v>0</v>
      </c>
      <c r="I101" s="574">
        <f>IF(AND('CG. MPB'!E102="TABIQUE",'CG. MPB'!F102="HUECO"),IF(E38="III",30,40),0)</f>
        <v>0</v>
      </c>
      <c r="J101" s="574">
        <f>IF('CG. MPB'!E102="TABICON",IF(E38="I",20,15),0)</f>
        <v>0</v>
      </c>
      <c r="K101" s="574">
        <f>IF('CG. MPB'!E102="ADOBE",10,0)</f>
        <v>0</v>
      </c>
      <c r="L101" s="574">
        <f>IF('CG. MPB'!E102="LIGERO",10,0)</f>
        <v>0</v>
      </c>
      <c r="M101" s="574">
        <f>IF('CG. MPB'!E102="CANTERA",30,0)</f>
        <v>0</v>
      </c>
      <c r="N101" s="575">
        <f t="shared" si="15"/>
        <v>0</v>
      </c>
      <c r="O101" s="918">
        <f>ABS('ELEM. MECA.'!D228)</f>
        <v>0</v>
      </c>
      <c r="P101" s="919">
        <f>IF(AND('CG. MPB'!D102="CONFINADO",'CG. MPB'!E102="TABIQUE",'CG. MPB'!F102="MACIZO"),'RMCV.PB'!Y101,IF(AND('CG. MPB'!D102="CONFINADO",'CG. MPB'!E102="TABICON",'CG. MPB'!F102="MACIZO"),'RMCV.PB'!Y101,IF(AND('CG. MPB'!D102="CONFINADO",'CG. MPB'!E102="LIGERO",'CG. MPB'!F102="MACIZO"),'RMCV.PB'!Y101,IF(AND('CG. MPB'!D102="NO CONFINADO",'CG. MPB'!E102="TABIQUE",'CG. MPB'!F102="MACIZO"),Z101,IF(AND('CG. MPB'!D102="NO CONFINADO",'CG. MPB'!E102="TABICON",'CG. MPB'!F102="MACIZO"),Z101,IF(AND('CG. MPB'!D102="NO CONFINADO",'CG. MPB'!E102="LIGERO",'CG. MPB'!F102="MACIZO"),Z101,IF(AND('CG. MPB'!E102="TABIQUE",'CG. MPB'!F102="HUECO"),X101,IF('CG. MPB'!E102="ADOBE",'RMCV.PB'!AA101,'RMCV.PB'!AB101))))))))</f>
        <v>0</v>
      </c>
      <c r="Q101" s="685" t="str">
        <f t="shared" si="16"/>
        <v>PASA</v>
      </c>
      <c r="R101" s="4" t="e">
        <f>IF(D101*E101*(F101*N101+'CASTILLOS-PB'!W101*FY)&gt;1.25*D101*E101*F101*N101,1.25*D101*E101*F101*N101,D101*E101*(F101*N101+'CASTILLOS-PB'!W101*FY))</f>
        <v>#DIV/0!</v>
      </c>
      <c r="S101" s="4">
        <f>D101*E101*(F101*N101+'CASTILLOS-PB'!G101*FY*2)</f>
        <v>8588.16</v>
      </c>
      <c r="T101" s="4">
        <f t="shared" si="11"/>
        <v>0</v>
      </c>
      <c r="U101" s="4">
        <f t="shared" si="12"/>
        <v>0</v>
      </c>
      <c r="V101" s="533">
        <f>D101*(0.7*$G$24*(B101*C101)+2000*'MUR.CONC-PB'!K101)</f>
        <v>0</v>
      </c>
      <c r="W101" s="533">
        <f t="shared" si="4"/>
        <v>0</v>
      </c>
      <c r="X101" s="543">
        <f>IF(AND('CG. MPB'!E102="TABIQUE",'CG. MPB'!F102="HUECO"),R101,0)</f>
        <v>0</v>
      </c>
      <c r="Y101" s="543">
        <f>IF(AND('CG. MPB'!D102="CONFINADO",'CG. MPB'!E102="TABIQUE",'CG. MPB'!F102="MACIZO"),'RMCV.PB'!S101,IF(AND('CG. MPB'!D102="CONFINADO",'CG. MPB'!E102="TABICON",'CG. MPB'!F102="MACIZO"),'RMCV.PB'!S101,IF(AND('CG. MPB'!D102="CONFINADO",'CG. MPB'!E102="LIGERO",'CG. MPB'!F102="MACIZO"),'RMCV.PB'!S101,0)))</f>
        <v>0</v>
      </c>
      <c r="Z101" s="543">
        <f>IF(AND('CG. MPB'!D102="NO CONFINADO",'CG. MPB'!E102="TABIQUE",'CG. MPB'!F102="MACIZO"),T101,IF(AND('CG. MPB'!D102="NO CONFINADO",'CG. MPB'!E102="TABICON",'CG. MPB'!F102="MACIZO"),T101,IF(AND('CG. MPB'!D102="NO CONFINADO",'CG. MPB'!E102="LIGERO",'CG. MPB'!F102="MACIZO"),T101,0)))</f>
        <v>0</v>
      </c>
      <c r="AA101" s="543">
        <f>IF('CG. MPB'!E102="ADOBE",'RMCV.PB'!U101,0)</f>
        <v>0</v>
      </c>
      <c r="AB101" s="543">
        <f>IF('CG. MPB'!E102="CONCRETO",'RMCV.PB'!V101,0)</f>
        <v>0</v>
      </c>
      <c r="AC101" s="900"/>
      <c r="AD101" s="93">
        <f t="shared" si="13"/>
        <v>0</v>
      </c>
      <c r="AE101" s="428">
        <v>0.6</v>
      </c>
      <c r="AF101" s="4" t="e">
        <f>(1-2*AD101/C101)*(1-(AE101*'CG. MPB'!C102*10/(30*C101))^2)</f>
        <v>#DIV/0!</v>
      </c>
      <c r="AG101" s="350" t="e">
        <f>(1-(2*AD101/C101))*(1-(AE101*'CG. MPB'!C102*10/(30*C101))^2)*(1-('CG. MPB'!C102*10/B101))+('CG. MPB'!C102*10/B101)</f>
        <v>#DIV/0!</v>
      </c>
      <c r="AH101" s="429" t="e">
        <f t="shared" si="19"/>
        <v>#DIV/0!</v>
      </c>
    </row>
    <row r="102" spans="1:34">
      <c r="A102" s="684">
        <f>'CG. MPB'!A103</f>
        <v>23</v>
      </c>
      <c r="B102" s="578">
        <f>'CG. MPB'!B103*100</f>
        <v>0</v>
      </c>
      <c r="C102" s="68">
        <f>'ELEM. MECA.'!J229</f>
        <v>0</v>
      </c>
      <c r="D102" s="38">
        <f>IF(AND('CG. MPB'!D103="CONFINADO",'CG. MPB'!D103="CONCRETO"),0.8,IF('CG. MPB'!D103="NO CONFINADO",0.3,0.6))</f>
        <v>0.6</v>
      </c>
      <c r="E102" s="68">
        <v>0.6</v>
      </c>
      <c r="F102" s="38">
        <f>IF('CG. MPB'!E103="CONCRETO",G102,'RMCV.PB'!H102+'RMCV.PB'!I102+'RMCV.PB'!J102+K102+L102+M102)</f>
        <v>0</v>
      </c>
      <c r="G102" s="542">
        <f>IF('CG. MPB'!E103="CONCRETO",0.6*$G$24,0)</f>
        <v>0</v>
      </c>
      <c r="H102" s="574">
        <f>IF(AND('CG. MPB'!E103="TABIQUE",'CG. MPB'!F103="MACIZO"),15,0)</f>
        <v>0</v>
      </c>
      <c r="I102" s="574">
        <f>IF(AND('CG. MPB'!E103="TABIQUE",'CG. MPB'!F103="HUECO"),IF(E39="III",30,40),0)</f>
        <v>0</v>
      </c>
      <c r="J102" s="574">
        <f>IF('CG. MPB'!E103="TABICON",IF(E39="I",20,15),0)</f>
        <v>0</v>
      </c>
      <c r="K102" s="574">
        <f>IF('CG. MPB'!E103="ADOBE",10,0)</f>
        <v>0</v>
      </c>
      <c r="L102" s="574">
        <f>IF('CG. MPB'!E103="LIGERO",10,0)</f>
        <v>0</v>
      </c>
      <c r="M102" s="574">
        <f>IF('CG. MPB'!E103="CANTERA",30,0)</f>
        <v>0</v>
      </c>
      <c r="N102" s="575">
        <f t="shared" si="15"/>
        <v>0</v>
      </c>
      <c r="O102" s="918">
        <f>ABS('ELEM. MECA.'!D229)</f>
        <v>0</v>
      </c>
      <c r="P102" s="919">
        <f>IF(AND('CG. MPB'!D103="CONFINADO",'CG. MPB'!E103="TABIQUE",'CG. MPB'!F103="MACIZO"),'RMCV.PB'!Y102,IF(AND('CG. MPB'!D103="CONFINADO",'CG. MPB'!E103="TABICON",'CG. MPB'!F103="MACIZO"),'RMCV.PB'!Y102,IF(AND('CG. MPB'!D103="CONFINADO",'CG. MPB'!E103="LIGERO",'CG. MPB'!F103="MACIZO"),'RMCV.PB'!Y102,IF(AND('CG. MPB'!D103="NO CONFINADO",'CG. MPB'!E103="TABIQUE",'CG. MPB'!F103="MACIZO"),Z102,IF(AND('CG. MPB'!D103="NO CONFINADO",'CG. MPB'!E103="TABICON",'CG. MPB'!F103="MACIZO"),Z102,IF(AND('CG. MPB'!D103="NO CONFINADO",'CG. MPB'!E103="LIGERO",'CG. MPB'!F103="MACIZO"),Z102,IF(AND('CG. MPB'!E103="TABIQUE",'CG. MPB'!F103="HUECO"),X102,IF('CG. MPB'!E103="ADOBE",'RMCV.PB'!AA102,'RMCV.PB'!AB102))))))))</f>
        <v>0</v>
      </c>
      <c r="Q102" s="685" t="str">
        <f t="shared" si="16"/>
        <v>PASA</v>
      </c>
      <c r="R102" s="4" t="e">
        <f>IF(D102*E102*(F102*N102+'CASTILLOS-PB'!W102*FY)&gt;1.25*D102*E102*F102*N102,1.25*D102*E102*F102*N102,D102*E102*(F102*N102+'CASTILLOS-PB'!W102*FY))</f>
        <v>#DIV/0!</v>
      </c>
      <c r="S102" s="4">
        <f>D102*E102*(F102*N102+'CASTILLOS-PB'!G102*FY*2)</f>
        <v>8588.16</v>
      </c>
      <c r="T102" s="4">
        <f t="shared" si="11"/>
        <v>0</v>
      </c>
      <c r="U102" s="4">
        <f t="shared" si="12"/>
        <v>0</v>
      </c>
      <c r="V102" s="533">
        <f>D102*(0.7*$G$24*(B102*C102)+2000*'MUR.CONC-PB'!K102)</f>
        <v>0</v>
      </c>
      <c r="W102" s="533">
        <f t="shared" si="4"/>
        <v>0</v>
      </c>
      <c r="X102" s="543">
        <f>IF(AND('CG. MPB'!E103="TABIQUE",'CG. MPB'!F103="HUECO"),R102,0)</f>
        <v>0</v>
      </c>
      <c r="Y102" s="543">
        <f>IF(AND('CG. MPB'!D103="CONFINADO",'CG. MPB'!E103="TABIQUE",'CG. MPB'!F103="MACIZO"),'RMCV.PB'!S102,IF(AND('CG. MPB'!D103="CONFINADO",'CG. MPB'!E103="TABICON",'CG. MPB'!F103="MACIZO"),'RMCV.PB'!S102,IF(AND('CG. MPB'!D103="CONFINADO",'CG. MPB'!E103="LIGERO",'CG. MPB'!F103="MACIZO"),'RMCV.PB'!S102,0)))</f>
        <v>0</v>
      </c>
      <c r="Z102" s="543">
        <f>IF(AND('CG. MPB'!D103="NO CONFINADO",'CG. MPB'!E103="TABIQUE",'CG. MPB'!F103="MACIZO"),T102,IF(AND('CG. MPB'!D103="NO CONFINADO",'CG. MPB'!E103="TABICON",'CG. MPB'!F103="MACIZO"),T102,IF(AND('CG. MPB'!D103="NO CONFINADO",'CG. MPB'!E103="LIGERO",'CG. MPB'!F103="MACIZO"),T102,0)))</f>
        <v>0</v>
      </c>
      <c r="AA102" s="543">
        <f>IF('CG. MPB'!E103="ADOBE",'RMCV.PB'!U102,0)</f>
        <v>0</v>
      </c>
      <c r="AB102" s="543">
        <f>IF('CG. MPB'!E103="CONCRETO",'RMCV.PB'!V102,0)</f>
        <v>0</v>
      </c>
      <c r="AC102" s="900"/>
      <c r="AD102" s="93">
        <f t="shared" si="13"/>
        <v>0</v>
      </c>
      <c r="AE102" s="428">
        <v>0.6</v>
      </c>
      <c r="AF102" s="4" t="e">
        <f>(1-2*AD102/C102)*(1-(AE102*'CG. MPB'!C103*10/(30*C102))^2)</f>
        <v>#DIV/0!</v>
      </c>
      <c r="AG102" s="350" t="e">
        <f>(1-(2*AD102/C102))*(1-(AE102*'CG. MPB'!C103*10/(30*C102))^2)*(1-('CG. MPB'!C103*10/B102))+('CG. MPB'!C103*10/B102)</f>
        <v>#DIV/0!</v>
      </c>
      <c r="AH102" s="429" t="e">
        <f t="shared" si="19"/>
        <v>#DIV/0!</v>
      </c>
    </row>
    <row r="103" spans="1:34">
      <c r="A103" s="684">
        <f>'CG. MPB'!A104</f>
        <v>24</v>
      </c>
      <c r="B103" s="578">
        <f>'CG. MPB'!B104*100</f>
        <v>0</v>
      </c>
      <c r="C103" s="68">
        <f>'ELEM. MECA.'!J230</f>
        <v>0</v>
      </c>
      <c r="D103" s="38">
        <f>IF(AND('CG. MPB'!D104="CONFINADO",'CG. MPB'!D104="CONCRETO"),0.8,IF('CG. MPB'!D104="NO CONFINADO",0.3,0.6))</f>
        <v>0.6</v>
      </c>
      <c r="E103" s="68">
        <v>0.6</v>
      </c>
      <c r="F103" s="38">
        <f>IF('CG. MPB'!E104="CONCRETO",G103,'RMCV.PB'!H103+'RMCV.PB'!I103+'RMCV.PB'!J103+K103+L103+M103)</f>
        <v>0</v>
      </c>
      <c r="G103" s="542">
        <f>IF('CG. MPB'!E104="CONCRETO",0.6*$G$24,0)</f>
        <v>0</v>
      </c>
      <c r="H103" s="574">
        <f>IF(AND('CG. MPB'!E104="TABIQUE",'CG. MPB'!F104="MACIZO"),15,0)</f>
        <v>0</v>
      </c>
      <c r="I103" s="574">
        <f>IF(AND('CG. MPB'!E104="TABIQUE",'CG. MPB'!F104="HUECO"),IF(E40="III",30,40),0)</f>
        <v>0</v>
      </c>
      <c r="J103" s="574">
        <f>IF('CG. MPB'!E104="TABICON",IF(E40="I",20,15),0)</f>
        <v>0</v>
      </c>
      <c r="K103" s="574">
        <f>IF('CG. MPB'!E104="ADOBE",10,0)</f>
        <v>0</v>
      </c>
      <c r="L103" s="574">
        <f>IF('CG. MPB'!E104="LIGERO",10,0)</f>
        <v>0</v>
      </c>
      <c r="M103" s="574">
        <f>IF('CG. MPB'!E104="CANTERA",30,0)</f>
        <v>0</v>
      </c>
      <c r="N103" s="575">
        <f t="shared" si="15"/>
        <v>0</v>
      </c>
      <c r="O103" s="918">
        <f>ABS('ELEM. MECA.'!D230)</f>
        <v>0</v>
      </c>
      <c r="P103" s="919">
        <f>IF(AND('CG. MPB'!D104="CONFINADO",'CG. MPB'!E104="TABIQUE",'CG. MPB'!F104="MACIZO"),'RMCV.PB'!Y103,IF(AND('CG. MPB'!D104="CONFINADO",'CG. MPB'!E104="TABICON",'CG. MPB'!F104="MACIZO"),'RMCV.PB'!Y103,IF(AND('CG. MPB'!D104="CONFINADO",'CG. MPB'!E104="LIGERO",'CG. MPB'!F104="MACIZO"),'RMCV.PB'!Y103,IF(AND('CG. MPB'!D104="NO CONFINADO",'CG. MPB'!E104="TABIQUE",'CG. MPB'!F104="MACIZO"),Z103,IF(AND('CG. MPB'!D104="NO CONFINADO",'CG. MPB'!E104="TABICON",'CG. MPB'!F104="MACIZO"),Z103,IF(AND('CG. MPB'!D104="NO CONFINADO",'CG. MPB'!E104="LIGERO",'CG. MPB'!F104="MACIZO"),Z103,IF(AND('CG. MPB'!E104="TABIQUE",'CG. MPB'!F104="HUECO"),X103,IF('CG. MPB'!E104="ADOBE",'RMCV.PB'!AA103,'RMCV.PB'!AB103))))))))</f>
        <v>0</v>
      </c>
      <c r="Q103" s="685" t="str">
        <f t="shared" si="16"/>
        <v>PASA</v>
      </c>
      <c r="R103" s="4" t="e">
        <f>IF(D103*E103*(F103*N103+'CASTILLOS-PB'!W103*FY)&gt;1.25*D103*E103*F103*N103,1.25*D103*E103*F103*N103,D103*E103*(F103*N103+'CASTILLOS-PB'!W103*FY))</f>
        <v>#DIV/0!</v>
      </c>
      <c r="S103" s="4">
        <f>D103*E103*(F103*N103+'CASTILLOS-PB'!G103*FY*2)</f>
        <v>8588.16</v>
      </c>
      <c r="T103" s="4">
        <f t="shared" si="11"/>
        <v>0</v>
      </c>
      <c r="U103" s="4">
        <f t="shared" si="12"/>
        <v>0</v>
      </c>
      <c r="V103" s="533">
        <f>D103*(0.7*$G$24*(B103*C103)+2000*'MUR.CONC-PB'!K103)</f>
        <v>0</v>
      </c>
      <c r="W103" s="533">
        <f t="shared" si="4"/>
        <v>0</v>
      </c>
      <c r="X103" s="543">
        <f>IF(AND('CG. MPB'!E104="TABIQUE",'CG. MPB'!F104="HUECO"),R103,0)</f>
        <v>0</v>
      </c>
      <c r="Y103" s="543">
        <f>IF(AND('CG. MPB'!D104="CONFINADO",'CG. MPB'!E104="TABIQUE",'CG. MPB'!F104="MACIZO"),'RMCV.PB'!S103,IF(AND('CG. MPB'!D104="CONFINADO",'CG. MPB'!E104="TABICON",'CG. MPB'!F104="MACIZO"),'RMCV.PB'!S103,IF(AND('CG. MPB'!D104="CONFINADO",'CG. MPB'!E104="LIGERO",'CG. MPB'!F104="MACIZO"),'RMCV.PB'!S103,0)))</f>
        <v>0</v>
      </c>
      <c r="Z103" s="543">
        <f>IF(AND('CG. MPB'!D104="NO CONFINADO",'CG. MPB'!E104="TABIQUE",'CG. MPB'!F104="MACIZO"),T103,IF(AND('CG. MPB'!D104="NO CONFINADO",'CG. MPB'!E104="TABICON",'CG. MPB'!F104="MACIZO"),T103,IF(AND('CG. MPB'!D104="NO CONFINADO",'CG. MPB'!E104="LIGERO",'CG. MPB'!F104="MACIZO"),T103,0)))</f>
        <v>0</v>
      </c>
      <c r="AA103" s="543">
        <f>IF('CG. MPB'!E104="ADOBE",'RMCV.PB'!U103,0)</f>
        <v>0</v>
      </c>
      <c r="AB103" s="543">
        <f>IF('CG. MPB'!E104="CONCRETO",'RMCV.PB'!V103,0)</f>
        <v>0</v>
      </c>
      <c r="AC103" s="900"/>
      <c r="AD103" s="93">
        <f t="shared" si="13"/>
        <v>0</v>
      </c>
      <c r="AE103" s="428">
        <v>0.6</v>
      </c>
      <c r="AF103" s="4" t="e">
        <f>(1-2*AD103/C103)*(1-(AE103*'CG. MPB'!C104*10/(30*C103))^2)</f>
        <v>#DIV/0!</v>
      </c>
      <c r="AG103" s="350" t="e">
        <f>(1-(2*AD103/C103))*(1-(AE103*'CG. MPB'!C104*10/(30*C103))^2)*(1-('CG. MPB'!C104*10/B103))+('CG. MPB'!C104*10/B103)</f>
        <v>#DIV/0!</v>
      </c>
      <c r="AH103" s="429" t="e">
        <f t="shared" si="19"/>
        <v>#DIV/0!</v>
      </c>
    </row>
    <row r="104" spans="1:34">
      <c r="A104" s="684">
        <f>'CG. MPB'!A105</f>
        <v>25</v>
      </c>
      <c r="B104" s="578">
        <f>'CG. MPB'!B105*100</f>
        <v>0</v>
      </c>
      <c r="C104" s="68">
        <f>'ELEM. MECA.'!J231</f>
        <v>0</v>
      </c>
      <c r="D104" s="38">
        <f>IF(AND('CG. MPB'!D105="CONFINADO",'CG. MPB'!D105="CONCRETO"),0.8,IF('CG. MPB'!D105="NO CONFINADO",0.3,0.6))</f>
        <v>0.6</v>
      </c>
      <c r="E104" s="68">
        <v>0.6</v>
      </c>
      <c r="F104" s="38">
        <f>IF('CG. MPB'!E105="CONCRETO",G104,'RMCV.PB'!H104+'RMCV.PB'!I104+'RMCV.PB'!J104+K104+L104+M104)</f>
        <v>0</v>
      </c>
      <c r="G104" s="542">
        <f>IF('CG. MPB'!E105="CONCRETO",0.6*$G$24,0)</f>
        <v>0</v>
      </c>
      <c r="H104" s="574">
        <f>IF(AND('CG. MPB'!E105="TABIQUE",'CG. MPB'!F105="MACIZO"),15,0)</f>
        <v>0</v>
      </c>
      <c r="I104" s="574">
        <f>IF(AND('CG. MPB'!E105="TABIQUE",'CG. MPB'!F105="HUECO"),IF(E41="III",30,40),0)</f>
        <v>0</v>
      </c>
      <c r="J104" s="574">
        <f>IF('CG. MPB'!E105="TABICON",IF(E41="I",20,15),0)</f>
        <v>0</v>
      </c>
      <c r="K104" s="574">
        <f>IF('CG. MPB'!E105="ADOBE",10,0)</f>
        <v>0</v>
      </c>
      <c r="L104" s="574">
        <f>IF('CG. MPB'!E105="LIGERO",10,0)</f>
        <v>0</v>
      </c>
      <c r="M104" s="574">
        <f>IF('CG. MPB'!E105="CANTERA",30,0)</f>
        <v>0</v>
      </c>
      <c r="N104" s="575">
        <f t="shared" si="15"/>
        <v>0</v>
      </c>
      <c r="O104" s="918">
        <f>ABS('ELEM. MECA.'!D231)</f>
        <v>0</v>
      </c>
      <c r="P104" s="919">
        <f>IF(AND('CG. MPB'!D105="CONFINADO",'CG. MPB'!E105="TABIQUE",'CG. MPB'!F105="MACIZO"),'RMCV.PB'!Y104,IF(AND('CG. MPB'!D105="CONFINADO",'CG. MPB'!E105="TABICON",'CG. MPB'!F105="MACIZO"),'RMCV.PB'!Y104,IF(AND('CG. MPB'!D105="CONFINADO",'CG. MPB'!E105="LIGERO",'CG. MPB'!F105="MACIZO"),'RMCV.PB'!Y104,IF(AND('CG. MPB'!D105="NO CONFINADO",'CG. MPB'!E105="TABIQUE",'CG. MPB'!F105="MACIZO"),Z104,IF(AND('CG. MPB'!D105="NO CONFINADO",'CG. MPB'!E105="TABICON",'CG. MPB'!F105="MACIZO"),Z104,IF(AND('CG. MPB'!D105="NO CONFINADO",'CG. MPB'!E105="LIGERO",'CG. MPB'!F105="MACIZO"),Z104,IF(AND('CG. MPB'!E105="TABIQUE",'CG. MPB'!F105="HUECO"),X104,IF('CG. MPB'!E105="ADOBE",'RMCV.PB'!AA104,'RMCV.PB'!AB104))))))))</f>
        <v>0</v>
      </c>
      <c r="Q104" s="685" t="str">
        <f t="shared" si="16"/>
        <v>PASA</v>
      </c>
      <c r="R104" s="4" t="e">
        <f>IF(D104*E104*(F104*N104+'CASTILLOS-PB'!W104*FY)&gt;1.25*D104*E104*F104*N104,1.25*D104*E104*F104*N104,D104*E104*(F104*N104+'CASTILLOS-PB'!W104*FY))</f>
        <v>#DIV/0!</v>
      </c>
      <c r="S104" s="4">
        <f>D104*E104*(F104*N104+'CASTILLOS-PB'!G104*FY*2)</f>
        <v>8588.16</v>
      </c>
      <c r="T104" s="4">
        <f t="shared" si="11"/>
        <v>0</v>
      </c>
      <c r="U104" s="4">
        <f t="shared" si="12"/>
        <v>0</v>
      </c>
      <c r="V104" s="533">
        <f>D104*(0.7*$G$24*(B104*C104)+2000*'MUR.CONC-PB'!K104)</f>
        <v>0</v>
      </c>
      <c r="W104" s="533">
        <f t="shared" si="4"/>
        <v>0</v>
      </c>
      <c r="X104" s="543">
        <f>IF(AND('CG. MPB'!E105="TABIQUE",'CG. MPB'!F105="HUECO"),R104,0)</f>
        <v>0</v>
      </c>
      <c r="Y104" s="543">
        <f>IF(AND('CG. MPB'!D105="CONFINADO",'CG. MPB'!E105="TABIQUE",'CG. MPB'!F105="MACIZO"),'RMCV.PB'!S104,IF(AND('CG. MPB'!D105="CONFINADO",'CG. MPB'!E105="TABICON",'CG. MPB'!F105="MACIZO"),'RMCV.PB'!S104,IF(AND('CG. MPB'!D105="CONFINADO",'CG. MPB'!E105="LIGERO",'CG. MPB'!F105="MACIZO"),'RMCV.PB'!S104,0)))</f>
        <v>0</v>
      </c>
      <c r="Z104" s="543">
        <f>IF(AND('CG. MPB'!D105="NO CONFINADO",'CG. MPB'!E105="TABIQUE",'CG. MPB'!F105="MACIZO"),T104,IF(AND('CG. MPB'!D105="NO CONFINADO",'CG. MPB'!E105="TABICON",'CG. MPB'!F105="MACIZO"),T104,IF(AND('CG. MPB'!D105="NO CONFINADO",'CG. MPB'!E105="LIGERO",'CG. MPB'!F105="MACIZO"),T104,0)))</f>
        <v>0</v>
      </c>
      <c r="AA104" s="543">
        <f>IF('CG. MPB'!E105="ADOBE",'RMCV.PB'!U104,0)</f>
        <v>0</v>
      </c>
      <c r="AB104" s="543">
        <f>IF('CG. MPB'!E105="CONCRETO",'RMCV.PB'!V104,0)</f>
        <v>0</v>
      </c>
      <c r="AC104" s="900"/>
      <c r="AD104" s="93">
        <f t="shared" si="13"/>
        <v>0</v>
      </c>
      <c r="AE104" s="428">
        <v>0.6</v>
      </c>
      <c r="AF104" s="4" t="e">
        <f>(1-2*AD104/C104)*(1-(AE104*'CG. MPB'!C105*10/(30*C104))^2)</f>
        <v>#DIV/0!</v>
      </c>
      <c r="AG104" s="350" t="e">
        <f>(1-(2*AD104/C104))*(1-(AE104*'CG. MPB'!C105*10/(30*C104))^2)*(1-('CG. MPB'!C105*10/B104))+('CG. MPB'!C105*10/B104)</f>
        <v>#DIV/0!</v>
      </c>
      <c r="AH104" s="429" t="e">
        <f t="shared" si="19"/>
        <v>#DIV/0!</v>
      </c>
    </row>
    <row r="105" spans="1:34">
      <c r="A105" s="684">
        <f>'CG. MPB'!A106</f>
        <v>26</v>
      </c>
      <c r="B105" s="578">
        <f>'CG. MPB'!B106*100</f>
        <v>0</v>
      </c>
      <c r="C105" s="68">
        <f>'ELEM. MECA.'!J232</f>
        <v>0</v>
      </c>
      <c r="D105" s="38">
        <f>IF(AND('CG. MPB'!D106="CONFINADO",'CG. MPB'!D106="CONCRETO"),0.8,IF('CG. MPB'!D106="NO CONFINADO",0.3,0.6))</f>
        <v>0.6</v>
      </c>
      <c r="E105" s="68">
        <v>0.6</v>
      </c>
      <c r="F105" s="38">
        <f>IF('CG. MPB'!E106="CONCRETO",G105,'RMCV.PB'!H105+'RMCV.PB'!I105+'RMCV.PB'!J105+K105+L105+M105)</f>
        <v>0</v>
      </c>
      <c r="G105" s="542">
        <f>IF('CG. MPB'!E106="CONCRETO",0.6*$G$24,0)</f>
        <v>0</v>
      </c>
      <c r="H105" s="574">
        <f>IF(AND('CG. MPB'!E106="TABIQUE",'CG. MPB'!F106="MACIZO"),15,0)</f>
        <v>0</v>
      </c>
      <c r="I105" s="574">
        <f>IF(AND('CG. MPB'!E106="TABIQUE",'CG. MPB'!F106="HUECO"),IF(E42="III",30,40),0)</f>
        <v>0</v>
      </c>
      <c r="J105" s="574">
        <f>IF('CG. MPB'!E106="TABICON",IF(E42="I",20,15),0)</f>
        <v>0</v>
      </c>
      <c r="K105" s="574">
        <f>IF('CG. MPB'!E106="ADOBE",10,0)</f>
        <v>0</v>
      </c>
      <c r="L105" s="574">
        <f>IF('CG. MPB'!E106="LIGERO",10,0)</f>
        <v>0</v>
      </c>
      <c r="M105" s="574">
        <f>IF('CG. MPB'!E106="CANTERA",30,0)</f>
        <v>0</v>
      </c>
      <c r="N105" s="575">
        <f t="shared" si="15"/>
        <v>0</v>
      </c>
      <c r="O105" s="918">
        <f>ABS('ELEM. MECA.'!D232)</f>
        <v>0</v>
      </c>
      <c r="P105" s="919">
        <f>IF(AND('CG. MPB'!D106="CONFINADO",'CG. MPB'!E106="TABIQUE",'CG. MPB'!F106="MACIZO"),'RMCV.PB'!Y105,IF(AND('CG. MPB'!D106="CONFINADO",'CG. MPB'!E106="TABICON",'CG. MPB'!F106="MACIZO"),'RMCV.PB'!Y105,IF(AND('CG. MPB'!D106="CONFINADO",'CG. MPB'!E106="LIGERO",'CG. MPB'!F106="MACIZO"),'RMCV.PB'!Y105,IF(AND('CG. MPB'!D106="NO CONFINADO",'CG. MPB'!E106="TABIQUE",'CG. MPB'!F106="MACIZO"),Z105,IF(AND('CG. MPB'!D106="NO CONFINADO",'CG. MPB'!E106="TABICON",'CG. MPB'!F106="MACIZO"),Z105,IF(AND('CG. MPB'!D106="NO CONFINADO",'CG. MPB'!E106="LIGERO",'CG. MPB'!F106="MACIZO"),Z105,IF(AND('CG. MPB'!E106="TABIQUE",'CG. MPB'!F106="HUECO"),X105,IF('CG. MPB'!E106="ADOBE",'RMCV.PB'!AA105,'RMCV.PB'!AB105))))))))</f>
        <v>0</v>
      </c>
      <c r="Q105" s="685" t="str">
        <f t="shared" si="16"/>
        <v>PASA</v>
      </c>
      <c r="R105" s="4" t="e">
        <f>IF(D105*E105*(F105*N105+'CASTILLOS-PB'!W105*FY)&gt;1.25*D105*E105*F105*N105,1.25*D105*E105*F105*N105,D105*E105*(F105*N105+'CASTILLOS-PB'!W105*FY))</f>
        <v>#DIV/0!</v>
      </c>
      <c r="S105" s="4">
        <f>D105*E105*(F105*N105+'CASTILLOS-PB'!G105*FY*2)</f>
        <v>8588.16</v>
      </c>
      <c r="T105" s="4">
        <f t="shared" si="11"/>
        <v>0</v>
      </c>
      <c r="U105" s="4">
        <f t="shared" si="12"/>
        <v>0</v>
      </c>
      <c r="V105" s="533">
        <f>D105*(0.7*$G$24*(B105*C105)+2000*'MUR.CONC-PB'!K105)</f>
        <v>0</v>
      </c>
      <c r="W105" s="533">
        <f t="shared" si="4"/>
        <v>0</v>
      </c>
      <c r="X105" s="543">
        <f>IF(AND('CG. MPB'!E106="TABIQUE",'CG. MPB'!F106="HUECO"),R105,0)</f>
        <v>0</v>
      </c>
      <c r="Y105" s="543">
        <f>IF(AND('CG. MPB'!D106="CONFINADO",'CG. MPB'!E106="TABIQUE",'CG. MPB'!F106="MACIZO"),'RMCV.PB'!S105,IF(AND('CG. MPB'!D106="CONFINADO",'CG. MPB'!E106="TABICON",'CG. MPB'!F106="MACIZO"),'RMCV.PB'!S105,IF(AND('CG. MPB'!D106="CONFINADO",'CG. MPB'!E106="LIGERO",'CG. MPB'!F106="MACIZO"),'RMCV.PB'!S105,0)))</f>
        <v>0</v>
      </c>
      <c r="Z105" s="543">
        <f>IF(AND('CG. MPB'!D106="NO CONFINADO",'CG. MPB'!E106="TABIQUE",'CG. MPB'!F106="MACIZO"),T105,IF(AND('CG. MPB'!D106="NO CONFINADO",'CG. MPB'!E106="TABICON",'CG. MPB'!F106="MACIZO"),T105,IF(AND('CG. MPB'!D106="NO CONFINADO",'CG. MPB'!E106="LIGERO",'CG. MPB'!F106="MACIZO"),T105,0)))</f>
        <v>0</v>
      </c>
      <c r="AA105" s="543">
        <f>IF('CG. MPB'!E106="ADOBE",'RMCV.PB'!U105,0)</f>
        <v>0</v>
      </c>
      <c r="AB105" s="543">
        <f>IF('CG. MPB'!E106="CONCRETO",'RMCV.PB'!V105,0)</f>
        <v>0</v>
      </c>
      <c r="AC105" s="900"/>
      <c r="AD105" s="93">
        <f t="shared" si="13"/>
        <v>0</v>
      </c>
      <c r="AE105" s="428">
        <v>0.6</v>
      </c>
      <c r="AF105" s="4" t="e">
        <f>(1-2*AD105/C105)*(1-(AE105*'CG. MPB'!C106*10/(30*C105))^2)</f>
        <v>#DIV/0!</v>
      </c>
      <c r="AG105" s="350" t="e">
        <f>(1-(2*AD105/C105))*(1-(AE105*'CG. MPB'!C106*10/(30*C105))^2)*(1-('CG. MPB'!C106*10/B105))+('CG. MPB'!C106*10/B105)</f>
        <v>#DIV/0!</v>
      </c>
      <c r="AH105" s="429" t="e">
        <f t="shared" si="19"/>
        <v>#DIV/0!</v>
      </c>
    </row>
    <row r="106" spans="1:34">
      <c r="A106" s="684">
        <f>'CG. MPB'!A107</f>
        <v>27</v>
      </c>
      <c r="B106" s="578">
        <f>'CG. MPB'!B107*100</f>
        <v>0</v>
      </c>
      <c r="C106" s="68">
        <f>'ELEM. MECA.'!J233</f>
        <v>0</v>
      </c>
      <c r="D106" s="38">
        <f>IF(AND('CG. MPB'!D107="CONFINADO",'CG. MPB'!D107="CONCRETO"),0.8,IF('CG. MPB'!D107="NO CONFINADO",0.3,0.6))</f>
        <v>0.6</v>
      </c>
      <c r="E106" s="68">
        <v>0.6</v>
      </c>
      <c r="F106" s="38">
        <f>IF('CG. MPB'!E107="CONCRETO",G106,'RMCV.PB'!H106+'RMCV.PB'!I106+'RMCV.PB'!J106+K106+L106+M106)</f>
        <v>0</v>
      </c>
      <c r="G106" s="542">
        <f>IF('CG. MPB'!E107="CONCRETO",0.6*$G$24,0)</f>
        <v>0</v>
      </c>
      <c r="H106" s="574">
        <f>IF(AND('CG. MPB'!E107="TABIQUE",'CG. MPB'!F107="MACIZO"),15,0)</f>
        <v>0</v>
      </c>
      <c r="I106" s="574">
        <f>IF(AND('CG. MPB'!E107="TABIQUE",'CG. MPB'!F107="HUECO"),IF(E43="III",30,40),0)</f>
        <v>0</v>
      </c>
      <c r="J106" s="574">
        <f>IF('CG. MPB'!E107="TABICON",IF(E43="I",20,15),0)</f>
        <v>0</v>
      </c>
      <c r="K106" s="574">
        <f>IF('CG. MPB'!E107="ADOBE",10,0)</f>
        <v>0</v>
      </c>
      <c r="L106" s="574">
        <f>IF('CG. MPB'!E107="LIGERO",10,0)</f>
        <v>0</v>
      </c>
      <c r="M106" s="574">
        <f>IF('CG. MPB'!E107="CANTERA",30,0)</f>
        <v>0</v>
      </c>
      <c r="N106" s="575">
        <f t="shared" si="15"/>
        <v>0</v>
      </c>
      <c r="O106" s="918">
        <f>ABS('ELEM. MECA.'!D233)</f>
        <v>0</v>
      </c>
      <c r="P106" s="919">
        <f>IF(AND('CG. MPB'!D107="CONFINADO",'CG. MPB'!E107="TABIQUE",'CG. MPB'!F107="MACIZO"),'RMCV.PB'!Y106,IF(AND('CG. MPB'!D107="CONFINADO",'CG. MPB'!E107="TABICON",'CG. MPB'!F107="MACIZO"),'RMCV.PB'!Y106,IF(AND('CG. MPB'!D107="CONFINADO",'CG. MPB'!E107="LIGERO",'CG. MPB'!F107="MACIZO"),'RMCV.PB'!Y106,IF(AND('CG. MPB'!D107="NO CONFINADO",'CG. MPB'!E107="TABIQUE",'CG. MPB'!F107="MACIZO"),Z106,IF(AND('CG. MPB'!D107="NO CONFINADO",'CG. MPB'!E107="TABICON",'CG. MPB'!F107="MACIZO"),Z106,IF(AND('CG. MPB'!D107="NO CONFINADO",'CG. MPB'!E107="LIGERO",'CG. MPB'!F107="MACIZO"),Z106,IF(AND('CG. MPB'!E107="TABIQUE",'CG. MPB'!F107="HUECO"),X106,IF('CG. MPB'!E107="ADOBE",'RMCV.PB'!AA106,'RMCV.PB'!AB106))))))))</f>
        <v>0</v>
      </c>
      <c r="Q106" s="685" t="str">
        <f t="shared" si="16"/>
        <v>PASA</v>
      </c>
      <c r="R106" s="4" t="e">
        <f>IF(D106*E106*(F106*N106+'CASTILLOS-PB'!W106*FY)&gt;1.25*D106*E106*F106*N106,1.25*D106*E106*F106*N106,D106*E106*(F106*N106+'CASTILLOS-PB'!W106*FY))</f>
        <v>#DIV/0!</v>
      </c>
      <c r="S106" s="4">
        <f>D106*E106*(F106*N106+'CASTILLOS-PB'!G106*FY*2)</f>
        <v>8588.16</v>
      </c>
      <c r="T106" s="4">
        <f t="shared" si="11"/>
        <v>0</v>
      </c>
      <c r="U106" s="4">
        <f t="shared" si="12"/>
        <v>0</v>
      </c>
      <c r="V106" s="533">
        <f>D106*(0.7*$G$24*(B106*C106)+2000*'MUR.CONC-PB'!K106)</f>
        <v>0</v>
      </c>
      <c r="W106" s="533">
        <f t="shared" si="4"/>
        <v>0</v>
      </c>
      <c r="X106" s="543">
        <f>IF(AND('CG. MPB'!E107="TABIQUE",'CG. MPB'!F107="HUECO"),R106,0)</f>
        <v>0</v>
      </c>
      <c r="Y106" s="543">
        <f>IF(AND('CG. MPB'!D107="CONFINADO",'CG. MPB'!E107="TABIQUE",'CG. MPB'!F107="MACIZO"),'RMCV.PB'!S106,IF(AND('CG. MPB'!D107="CONFINADO",'CG. MPB'!E107="TABICON",'CG. MPB'!F107="MACIZO"),'RMCV.PB'!S106,IF(AND('CG. MPB'!D107="CONFINADO",'CG. MPB'!E107="LIGERO",'CG. MPB'!F107="MACIZO"),'RMCV.PB'!S106,0)))</f>
        <v>0</v>
      </c>
      <c r="Z106" s="543">
        <f>IF(AND('CG. MPB'!D107="NO CONFINADO",'CG. MPB'!E107="TABIQUE",'CG. MPB'!F107="MACIZO"),T106,IF(AND('CG. MPB'!D107="NO CONFINADO",'CG. MPB'!E107="TABICON",'CG. MPB'!F107="MACIZO"),T106,IF(AND('CG. MPB'!D107="NO CONFINADO",'CG. MPB'!E107="LIGERO",'CG. MPB'!F107="MACIZO"),T106,0)))</f>
        <v>0</v>
      </c>
      <c r="AA106" s="543">
        <f>IF('CG. MPB'!E107="ADOBE",'RMCV.PB'!U106,0)</f>
        <v>0</v>
      </c>
      <c r="AB106" s="543">
        <f>IF('CG. MPB'!E107="CONCRETO",'RMCV.PB'!V106,0)</f>
        <v>0</v>
      </c>
      <c r="AC106" s="900"/>
      <c r="AD106" s="93">
        <f t="shared" si="13"/>
        <v>0</v>
      </c>
      <c r="AE106" s="428">
        <v>0.6</v>
      </c>
      <c r="AF106" s="4" t="e">
        <f>(1-2*AD106/C106)*(1-(AE106*'CG. MPB'!C107*10/(30*C106))^2)</f>
        <v>#DIV/0!</v>
      </c>
      <c r="AG106" s="350" t="e">
        <f>(1-(2*AD106/C106))*(1-(AE106*'CG. MPB'!C107*10/(30*C106))^2)*(1-('CG. MPB'!C107*10/B106))+('CG. MPB'!C107*10/B106)</f>
        <v>#DIV/0!</v>
      </c>
      <c r="AH106" s="429" t="e">
        <f t="shared" si="19"/>
        <v>#DIV/0!</v>
      </c>
    </row>
    <row r="107" spans="1:34">
      <c r="A107" s="684">
        <f>'CG. MPB'!A108</f>
        <v>28</v>
      </c>
      <c r="B107" s="578">
        <f>'CG. MPB'!B108*100</f>
        <v>0</v>
      </c>
      <c r="C107" s="68">
        <f>'ELEM. MECA.'!J234</f>
        <v>0</v>
      </c>
      <c r="D107" s="38">
        <f>IF(AND('CG. MPB'!D108="CONFINADO",'CG. MPB'!D108="CONCRETO"),0.8,IF('CG. MPB'!D108="NO CONFINADO",0.3,0.6))</f>
        <v>0.6</v>
      </c>
      <c r="E107" s="68">
        <v>0.6</v>
      </c>
      <c r="F107" s="38">
        <f>IF('CG. MPB'!E108="CONCRETO",G107,'RMCV.PB'!H107+'RMCV.PB'!I107+'RMCV.PB'!J107+K107+L107+M107)</f>
        <v>0</v>
      </c>
      <c r="G107" s="542">
        <f>IF('CG. MPB'!E108="CONCRETO",0.6*$G$24,0)</f>
        <v>0</v>
      </c>
      <c r="H107" s="574">
        <f>IF(AND('CG. MPB'!E108="TABIQUE",'CG. MPB'!F108="MACIZO"),15,0)</f>
        <v>0</v>
      </c>
      <c r="I107" s="574">
        <f>IF(AND('CG. MPB'!E108="TABIQUE",'CG. MPB'!F108="HUECO"),IF(E44="III",30,40),0)</f>
        <v>0</v>
      </c>
      <c r="J107" s="574">
        <f>IF('CG. MPB'!E108="TABICON",IF(E44="I",20,15),0)</f>
        <v>0</v>
      </c>
      <c r="K107" s="574">
        <f>IF('CG. MPB'!E108="ADOBE",10,0)</f>
        <v>0</v>
      </c>
      <c r="L107" s="574">
        <f>IF('CG. MPB'!E108="LIGERO",10,0)</f>
        <v>0</v>
      </c>
      <c r="M107" s="574">
        <f>IF('CG. MPB'!E108="CANTERA",30,0)</f>
        <v>0</v>
      </c>
      <c r="N107" s="575">
        <f t="shared" si="15"/>
        <v>0</v>
      </c>
      <c r="O107" s="918">
        <f>ABS('ELEM. MECA.'!D234)</f>
        <v>0</v>
      </c>
      <c r="P107" s="919">
        <f>IF(AND('CG. MPB'!D108="CONFINADO",'CG. MPB'!E108="TABIQUE",'CG. MPB'!F108="MACIZO"),'RMCV.PB'!Y107,IF(AND('CG. MPB'!D108="CONFINADO",'CG. MPB'!E108="TABICON",'CG. MPB'!F108="MACIZO"),'RMCV.PB'!Y107,IF(AND('CG. MPB'!D108="CONFINADO",'CG. MPB'!E108="LIGERO",'CG. MPB'!F108="MACIZO"),'RMCV.PB'!Y107,IF(AND('CG. MPB'!D108="NO CONFINADO",'CG. MPB'!E108="TABIQUE",'CG. MPB'!F108="MACIZO"),Z107,IF(AND('CG. MPB'!D108="NO CONFINADO",'CG. MPB'!E108="TABICON",'CG. MPB'!F108="MACIZO"),Z107,IF(AND('CG. MPB'!D108="NO CONFINADO",'CG. MPB'!E108="LIGERO",'CG. MPB'!F108="MACIZO"),Z107,IF(AND('CG. MPB'!E108="TABIQUE",'CG. MPB'!F108="HUECO"),X107,IF('CG. MPB'!E108="ADOBE",'RMCV.PB'!AA107,'RMCV.PB'!AB107))))))))</f>
        <v>0</v>
      </c>
      <c r="Q107" s="685" t="str">
        <f t="shared" si="16"/>
        <v>PASA</v>
      </c>
      <c r="R107" s="4" t="e">
        <f>IF(D107*E107*(F107*N107+'CASTILLOS-PB'!W107*FY)&gt;1.25*D107*E107*F107*N107,1.25*D107*E107*F107*N107,D107*E107*(F107*N107+'CASTILLOS-PB'!W107*FY))</f>
        <v>#DIV/0!</v>
      </c>
      <c r="S107" s="4">
        <f>D107*E107*(F107*N107+'CASTILLOS-PB'!G107*FY*2)</f>
        <v>8588.16</v>
      </c>
      <c r="T107" s="4">
        <f t="shared" si="11"/>
        <v>0</v>
      </c>
      <c r="U107" s="4">
        <f t="shared" si="12"/>
        <v>0</v>
      </c>
      <c r="V107" s="533">
        <f>D107*(0.7*$G$24*(B107*C107)+2000*'MUR.CONC-PB'!K107)</f>
        <v>0</v>
      </c>
      <c r="W107" s="533">
        <f t="shared" si="4"/>
        <v>0</v>
      </c>
      <c r="X107" s="543">
        <f>IF(AND('CG. MPB'!E108="TABIQUE",'CG. MPB'!F108="HUECO"),R107,0)</f>
        <v>0</v>
      </c>
      <c r="Y107" s="543">
        <f>IF(AND('CG. MPB'!D108="CONFINADO",'CG. MPB'!E108="TABIQUE",'CG. MPB'!F108="MACIZO"),'RMCV.PB'!S107,IF(AND('CG. MPB'!D108="CONFINADO",'CG. MPB'!E108="TABICON",'CG. MPB'!F108="MACIZO"),'RMCV.PB'!S107,IF(AND('CG. MPB'!D108="CONFINADO",'CG. MPB'!E108="LIGERO",'CG. MPB'!F108="MACIZO"),'RMCV.PB'!S107,0)))</f>
        <v>0</v>
      </c>
      <c r="Z107" s="543">
        <f>IF(AND('CG. MPB'!D108="NO CONFINADO",'CG. MPB'!E108="TABIQUE",'CG. MPB'!F108="MACIZO"),T107,IF(AND('CG. MPB'!D108="NO CONFINADO",'CG. MPB'!E108="TABICON",'CG. MPB'!F108="MACIZO"),T107,IF(AND('CG. MPB'!D108="NO CONFINADO",'CG. MPB'!E108="LIGERO",'CG. MPB'!F108="MACIZO"),T107,0)))</f>
        <v>0</v>
      </c>
      <c r="AA107" s="543">
        <f>IF('CG. MPB'!E108="ADOBE",'RMCV.PB'!U107,0)</f>
        <v>0</v>
      </c>
      <c r="AB107" s="543">
        <f>IF('CG. MPB'!E108="CONCRETO",'RMCV.PB'!V107,0)</f>
        <v>0</v>
      </c>
      <c r="AC107" s="900"/>
      <c r="AD107" s="93">
        <f t="shared" si="13"/>
        <v>0</v>
      </c>
      <c r="AE107" s="428">
        <v>0.6</v>
      </c>
      <c r="AF107" s="4" t="e">
        <f>(1-2*AD107/C107)*(1-(AE107*'CG. MPB'!C108*10/(30*C107))^2)</f>
        <v>#DIV/0!</v>
      </c>
      <c r="AG107" s="350" t="e">
        <f>(1-(2*AD107/C107))*(1-(AE107*'CG. MPB'!C108*10/(30*C107))^2)*(1-('CG. MPB'!C108*10/B107))+('CG. MPB'!C108*10/B107)</f>
        <v>#DIV/0!</v>
      </c>
      <c r="AH107" s="429" t="e">
        <f t="shared" si="19"/>
        <v>#DIV/0!</v>
      </c>
    </row>
    <row r="108" spans="1:34">
      <c r="A108" s="684">
        <f>'CG. MPB'!A109</f>
        <v>29</v>
      </c>
      <c r="B108" s="578">
        <f>'CG. MPB'!B109*100</f>
        <v>0</v>
      </c>
      <c r="C108" s="68">
        <f>'ELEM. MECA.'!J235</f>
        <v>0</v>
      </c>
      <c r="D108" s="38">
        <f>IF(AND('CG. MPB'!D109="CONFINADO",'CG. MPB'!D109="CONCRETO"),0.8,IF('CG. MPB'!D109="NO CONFINADO",0.3,0.6))</f>
        <v>0.6</v>
      </c>
      <c r="E108" s="68">
        <v>0.6</v>
      </c>
      <c r="F108" s="38">
        <f>IF('CG. MPB'!E109="CONCRETO",G108,'RMCV.PB'!H108+'RMCV.PB'!I108+'RMCV.PB'!J108+K108+L108+M108)</f>
        <v>0</v>
      </c>
      <c r="G108" s="542">
        <f>IF('CG. MPB'!E109="CONCRETO",0.6*$G$24,0)</f>
        <v>0</v>
      </c>
      <c r="H108" s="574">
        <f>IF(AND('CG. MPB'!E109="TABIQUE",'CG. MPB'!F109="MACIZO"),15,0)</f>
        <v>0</v>
      </c>
      <c r="I108" s="574">
        <f>IF(AND('CG. MPB'!E109="TABIQUE",'CG. MPB'!F109="HUECO"),IF(E45="III",30,40),0)</f>
        <v>0</v>
      </c>
      <c r="J108" s="574">
        <f>IF('CG. MPB'!E109="TABICON",IF(E45="I",20,15),0)</f>
        <v>0</v>
      </c>
      <c r="K108" s="574">
        <f>IF('CG. MPB'!E109="ADOBE",10,0)</f>
        <v>0</v>
      </c>
      <c r="L108" s="574">
        <f>IF('CG. MPB'!E109="LIGERO",10,0)</f>
        <v>0</v>
      </c>
      <c r="M108" s="574">
        <f>IF('CG. MPB'!E109="CANTERA",30,0)</f>
        <v>0</v>
      </c>
      <c r="N108" s="575">
        <f t="shared" si="15"/>
        <v>0</v>
      </c>
      <c r="O108" s="918">
        <f>ABS('ELEM. MECA.'!D235)</f>
        <v>0</v>
      </c>
      <c r="P108" s="919">
        <f>IF(AND('CG. MPB'!D109="CONFINADO",'CG. MPB'!E109="TABIQUE",'CG. MPB'!F109="MACIZO"),'RMCV.PB'!Y108,IF(AND('CG. MPB'!D109="CONFINADO",'CG. MPB'!E109="TABICON",'CG. MPB'!F109="MACIZO"),'RMCV.PB'!Y108,IF(AND('CG. MPB'!D109="CONFINADO",'CG. MPB'!E109="LIGERO",'CG. MPB'!F109="MACIZO"),'RMCV.PB'!Y108,IF(AND('CG. MPB'!D109="NO CONFINADO",'CG. MPB'!E109="TABIQUE",'CG. MPB'!F109="MACIZO"),Z108,IF(AND('CG. MPB'!D109="NO CONFINADO",'CG. MPB'!E109="TABICON",'CG. MPB'!F109="MACIZO"),Z108,IF(AND('CG. MPB'!D109="NO CONFINADO",'CG. MPB'!E109="LIGERO",'CG. MPB'!F109="MACIZO"),Z108,IF(AND('CG. MPB'!E109="TABIQUE",'CG. MPB'!F109="HUECO"),X108,IF('CG. MPB'!E109="ADOBE",'RMCV.PB'!AA108,'RMCV.PB'!AB108))))))))</f>
        <v>0</v>
      </c>
      <c r="Q108" s="685" t="str">
        <f t="shared" si="16"/>
        <v>PASA</v>
      </c>
      <c r="R108" s="4" t="e">
        <f>IF(D108*E108*(F108*N108+'CASTILLOS-PB'!W108*FY)&gt;1.25*D108*E108*F108*N108,1.25*D108*E108*F108*N108,D108*E108*(F108*N108+'CASTILLOS-PB'!W108*FY))</f>
        <v>#DIV/0!</v>
      </c>
      <c r="S108" s="4">
        <f>D108*E108*(F108*N108+'CASTILLOS-PB'!G108*FY*2)</f>
        <v>8588.16</v>
      </c>
      <c r="T108" s="4">
        <f t="shared" si="11"/>
        <v>0</v>
      </c>
      <c r="U108" s="4">
        <f t="shared" si="12"/>
        <v>0</v>
      </c>
      <c r="V108" s="533">
        <f>D108*(0.7*$G$24*(B108*C108)+2000*'MUR.CONC-PB'!K108)</f>
        <v>0</v>
      </c>
      <c r="W108" s="533">
        <f t="shared" si="4"/>
        <v>0</v>
      </c>
      <c r="X108" s="543">
        <f>IF(AND('CG. MPB'!E109="TABIQUE",'CG. MPB'!F109="HUECO"),R108,0)</f>
        <v>0</v>
      </c>
      <c r="Y108" s="543">
        <f>IF(AND('CG. MPB'!D109="CONFINADO",'CG. MPB'!E109="TABIQUE",'CG. MPB'!F109="MACIZO"),'RMCV.PB'!S108,IF(AND('CG. MPB'!D109="CONFINADO",'CG. MPB'!E109="TABICON",'CG. MPB'!F109="MACIZO"),'RMCV.PB'!S108,IF(AND('CG. MPB'!D109="CONFINADO",'CG. MPB'!E109="LIGERO",'CG. MPB'!F109="MACIZO"),'RMCV.PB'!S108,0)))</f>
        <v>0</v>
      </c>
      <c r="Z108" s="543">
        <f>IF(AND('CG. MPB'!D109="NO CONFINADO",'CG. MPB'!E109="TABIQUE",'CG. MPB'!F109="MACIZO"),T108,IF(AND('CG. MPB'!D109="NO CONFINADO",'CG. MPB'!E109="TABICON",'CG. MPB'!F109="MACIZO"),T108,IF(AND('CG. MPB'!D109="NO CONFINADO",'CG. MPB'!E109="LIGERO",'CG. MPB'!F109="MACIZO"),T108,0)))</f>
        <v>0</v>
      </c>
      <c r="AA108" s="543">
        <f>IF('CG. MPB'!E109="ADOBE",'RMCV.PB'!U108,0)</f>
        <v>0</v>
      </c>
      <c r="AB108" s="543">
        <f>IF('CG. MPB'!E109="CONCRETO",'RMCV.PB'!V108,0)</f>
        <v>0</v>
      </c>
      <c r="AC108" s="900"/>
      <c r="AD108" s="93">
        <f t="shared" si="13"/>
        <v>0</v>
      </c>
      <c r="AE108" s="428">
        <v>0.6</v>
      </c>
      <c r="AF108" s="4" t="e">
        <f>(1-2*AD108/C108)*(1-(AE108*'CG. MPB'!C109*10/(30*C108))^2)</f>
        <v>#DIV/0!</v>
      </c>
      <c r="AG108" s="350" t="e">
        <f>(1-(2*AD108/C108))*(1-(AE108*'CG. MPB'!C109*10/(30*C108))^2)*(1-('CG. MPB'!C109*10/B108))+('CG. MPB'!C109*10/B108)</f>
        <v>#DIV/0!</v>
      </c>
      <c r="AH108" s="429" t="e">
        <f t="shared" si="19"/>
        <v>#DIV/0!</v>
      </c>
    </row>
    <row r="109" spans="1:34">
      <c r="A109" s="684">
        <f>'CG. MPB'!A110</f>
        <v>30</v>
      </c>
      <c r="B109" s="578">
        <f>'CG. MPB'!B110*100</f>
        <v>0</v>
      </c>
      <c r="C109" s="68">
        <f>'ELEM. MECA.'!J236</f>
        <v>0</v>
      </c>
      <c r="D109" s="38">
        <f>IF(AND('CG. MPB'!D110="CONFINADO",'CG. MPB'!D110="CONCRETO"),0.8,IF('CG. MPB'!D110="NO CONFINADO",0.3,0.6))</f>
        <v>0.6</v>
      </c>
      <c r="E109" s="68">
        <v>0.6</v>
      </c>
      <c r="F109" s="38">
        <f>IF('CG. MPB'!E110="CONCRETO",G109,'RMCV.PB'!H109+'RMCV.PB'!I109+'RMCV.PB'!J109+K109+L109+M109)</f>
        <v>0</v>
      </c>
      <c r="G109" s="542">
        <f>IF('CG. MPB'!E110="CONCRETO",0.6*$G$24,0)</f>
        <v>0</v>
      </c>
      <c r="H109" s="574">
        <f>IF(AND('CG. MPB'!E110="TABIQUE",'CG. MPB'!F110="MACIZO"),15,0)</f>
        <v>0</v>
      </c>
      <c r="I109" s="574">
        <f>IF(AND('CG. MPB'!E110="TABIQUE",'CG. MPB'!F110="HUECO"),IF(E46="III",30,40),0)</f>
        <v>0</v>
      </c>
      <c r="J109" s="574">
        <f>IF('CG. MPB'!E110="TABICON",IF(E46="I",20,15),0)</f>
        <v>0</v>
      </c>
      <c r="K109" s="574">
        <f>IF('CG. MPB'!E110="ADOBE",10,0)</f>
        <v>0</v>
      </c>
      <c r="L109" s="574">
        <f>IF('CG. MPB'!E110="LIGERO",10,0)</f>
        <v>0</v>
      </c>
      <c r="M109" s="574">
        <f>IF('CG. MPB'!E110="CANTERA",30,0)</f>
        <v>0</v>
      </c>
      <c r="N109" s="575">
        <f t="shared" si="15"/>
        <v>0</v>
      </c>
      <c r="O109" s="918">
        <f>ABS('ELEM. MECA.'!D236)</f>
        <v>0</v>
      </c>
      <c r="P109" s="919">
        <f>IF(AND('CG. MPB'!D110="CONFINADO",'CG. MPB'!E110="TABIQUE",'CG. MPB'!F110="MACIZO"),'RMCV.PB'!Y109,IF(AND('CG. MPB'!D110="CONFINADO",'CG. MPB'!E110="TABICON",'CG. MPB'!F110="MACIZO"),'RMCV.PB'!Y109,IF(AND('CG. MPB'!D110="CONFINADO",'CG. MPB'!E110="LIGERO",'CG. MPB'!F110="MACIZO"),'RMCV.PB'!Y109,IF(AND('CG. MPB'!D110="NO CONFINADO",'CG. MPB'!E110="TABIQUE",'CG. MPB'!F110="MACIZO"),Z109,IF(AND('CG. MPB'!D110="NO CONFINADO",'CG. MPB'!E110="TABICON",'CG. MPB'!F110="MACIZO"),Z109,IF(AND('CG. MPB'!D110="NO CONFINADO",'CG. MPB'!E110="LIGERO",'CG. MPB'!F110="MACIZO"),Z109,IF(AND('CG. MPB'!E110="TABIQUE",'CG. MPB'!F110="HUECO"),X109,IF('CG. MPB'!E110="ADOBE",'RMCV.PB'!AA109,'RMCV.PB'!AB109))))))))</f>
        <v>0</v>
      </c>
      <c r="Q109" s="685" t="str">
        <f t="shared" si="16"/>
        <v>PASA</v>
      </c>
      <c r="R109" s="4" t="e">
        <f>IF(D109*E109*(F109*N109+'CASTILLOS-PB'!W109*FY)&gt;1.25*D109*E109*F109*N109,1.25*D109*E109*F109*N109,D109*E109*(F109*N109+'CASTILLOS-PB'!W109*FY))</f>
        <v>#DIV/0!</v>
      </c>
      <c r="S109" s="4">
        <f>D109*E109*(F109*N109+'CASTILLOS-PB'!G109*FY*2)</f>
        <v>8588.16</v>
      </c>
      <c r="T109" s="4">
        <f t="shared" si="11"/>
        <v>0</v>
      </c>
      <c r="U109" s="4">
        <f t="shared" si="12"/>
        <v>0</v>
      </c>
      <c r="V109" s="533">
        <f>D109*(0.7*$G$24*(B109*C109)+2000*'MUR.CONC-PB'!K109)</f>
        <v>0</v>
      </c>
      <c r="W109" s="533">
        <f t="shared" si="4"/>
        <v>0</v>
      </c>
      <c r="X109" s="543">
        <f>IF(AND('CG. MPB'!E110="TABIQUE",'CG. MPB'!F110="HUECO"),R109,0)</f>
        <v>0</v>
      </c>
      <c r="Y109" s="543">
        <f>IF(AND('CG. MPB'!D110="CONFINADO",'CG. MPB'!E110="TABIQUE",'CG. MPB'!F110="MACIZO"),'RMCV.PB'!S109,IF(AND('CG. MPB'!D110="CONFINADO",'CG. MPB'!E110="TABICON",'CG. MPB'!F110="MACIZO"),'RMCV.PB'!S109,IF(AND('CG. MPB'!D110="CONFINADO",'CG. MPB'!E110="LIGERO",'CG. MPB'!F110="MACIZO"),'RMCV.PB'!S109,0)))</f>
        <v>0</v>
      </c>
      <c r="Z109" s="543">
        <f>IF(AND('CG. MPB'!D110="NO CONFINADO",'CG. MPB'!E110="TABIQUE",'CG. MPB'!F110="MACIZO"),T109,IF(AND('CG. MPB'!D110="NO CONFINADO",'CG. MPB'!E110="TABICON",'CG. MPB'!F110="MACIZO"),T109,IF(AND('CG. MPB'!D110="NO CONFINADO",'CG. MPB'!E110="LIGERO",'CG. MPB'!F110="MACIZO"),T109,0)))</f>
        <v>0</v>
      </c>
      <c r="AA109" s="543">
        <f>IF('CG. MPB'!E110="ADOBE",'RMCV.PB'!U109,0)</f>
        <v>0</v>
      </c>
      <c r="AB109" s="543">
        <f>IF('CG. MPB'!E110="CONCRETO",'RMCV.PB'!V109,0)</f>
        <v>0</v>
      </c>
      <c r="AC109" s="900"/>
      <c r="AD109" s="93">
        <f t="shared" si="13"/>
        <v>0</v>
      </c>
      <c r="AE109" s="428">
        <v>0.6</v>
      </c>
      <c r="AF109" s="4" t="e">
        <f>(1-2*AD109/C109)*(1-(AE109*'CG. MPB'!C110*10/(30*C109))^2)</f>
        <v>#DIV/0!</v>
      </c>
      <c r="AG109" s="350" t="e">
        <f>(1-(2*AD109/C109))*(1-(AE109*'CG. MPB'!C110*10/(30*C109))^2)*(1-('CG. MPB'!C110*10/B109))+('CG. MPB'!C110*10/B109)</f>
        <v>#DIV/0!</v>
      </c>
      <c r="AH109" s="429" t="e">
        <f t="shared" si="19"/>
        <v>#DIV/0!</v>
      </c>
    </row>
    <row r="110" spans="1:34">
      <c r="A110" s="684">
        <f>'CG. MPB'!A111</f>
        <v>31</v>
      </c>
      <c r="B110" s="578">
        <f>'CG. MPB'!B111*100</f>
        <v>0</v>
      </c>
      <c r="C110" s="68">
        <f>'ELEM. MECA.'!J237</f>
        <v>0</v>
      </c>
      <c r="D110" s="38">
        <f>IF(AND('CG. MPB'!D111="CONFINADO",'CG. MPB'!D111="CONCRETO"),0.8,IF('CG. MPB'!D111="NO CONFINADO",0.3,0.6))</f>
        <v>0.6</v>
      </c>
      <c r="E110" s="68">
        <v>0.6</v>
      </c>
      <c r="F110" s="38">
        <f>IF('CG. MPB'!E111="CONCRETO",G110,'RMCV.PB'!H110+'RMCV.PB'!I110+'RMCV.PB'!J110+K110+L110+M110)</f>
        <v>0</v>
      </c>
      <c r="G110" s="542">
        <f>IF('CG. MPB'!E111="CONCRETO",0.6*$G$24,0)</f>
        <v>0</v>
      </c>
      <c r="H110" s="574">
        <f>IF(AND('CG. MPB'!E111="TABIQUE",'CG. MPB'!F111="MACIZO"),15,0)</f>
        <v>0</v>
      </c>
      <c r="I110" s="574">
        <f>IF(AND('CG. MPB'!E111="TABIQUE",'CG. MPB'!F111="HUECO"),IF(E47="III",30,40),0)</f>
        <v>0</v>
      </c>
      <c r="J110" s="574">
        <f>IF('CG. MPB'!E111="TABICON",IF(E47="I",20,15),0)</f>
        <v>0</v>
      </c>
      <c r="K110" s="574">
        <f>IF('CG. MPB'!E111="ADOBE",10,0)</f>
        <v>0</v>
      </c>
      <c r="L110" s="574">
        <f>IF('CG. MPB'!E111="LIGERO",10,0)</f>
        <v>0</v>
      </c>
      <c r="M110" s="574">
        <f>IF('CG. MPB'!E111="CANTERA",30,0)</f>
        <v>0</v>
      </c>
      <c r="N110" s="575">
        <f t="shared" si="15"/>
        <v>0</v>
      </c>
      <c r="O110" s="918">
        <f>ABS('ELEM. MECA.'!D237)</f>
        <v>0</v>
      </c>
      <c r="P110" s="919">
        <f>IF(AND('CG. MPB'!D111="CONFINADO",'CG. MPB'!E111="TABIQUE",'CG. MPB'!F111="MACIZO"),'RMCV.PB'!Y110,IF(AND('CG. MPB'!D111="CONFINADO",'CG. MPB'!E111="TABICON",'CG. MPB'!F111="MACIZO"),'RMCV.PB'!Y110,IF(AND('CG. MPB'!D111="CONFINADO",'CG. MPB'!E111="LIGERO",'CG. MPB'!F111="MACIZO"),'RMCV.PB'!Y110,IF(AND('CG. MPB'!D111="NO CONFINADO",'CG. MPB'!E111="TABIQUE",'CG. MPB'!F111="MACIZO"),Z110,IF(AND('CG. MPB'!D111="NO CONFINADO",'CG. MPB'!E111="TABICON",'CG. MPB'!F111="MACIZO"),Z110,IF(AND('CG. MPB'!D111="NO CONFINADO",'CG. MPB'!E111="LIGERO",'CG. MPB'!F111="MACIZO"),Z110,IF(AND('CG. MPB'!E111="TABIQUE",'CG. MPB'!F111="HUECO"),X110,IF('CG. MPB'!E111="ADOBE",'RMCV.PB'!AA110,'RMCV.PB'!AB110))))))))</f>
        <v>0</v>
      </c>
      <c r="Q110" s="685" t="str">
        <f t="shared" si="16"/>
        <v>PASA</v>
      </c>
      <c r="R110" s="4" t="e">
        <f>IF(D110*E110*(F110*N110+'CASTILLOS-PB'!W126*FY)&gt;1.25*D110*E110*F110*N110,1.25*D110*E110*F110*N110,D110*E110*(F110*N110+'CASTILLOS-PB'!W126*FY))</f>
        <v>#DIV/0!</v>
      </c>
      <c r="S110" s="4">
        <f>D110*E110*(F110*N110+'CASTILLOS-PB'!G126*FY*2)</f>
        <v>8588.16</v>
      </c>
      <c r="T110" s="4">
        <f t="shared" ref="T110:T127" si="22">D110*E110*F110*N110</f>
        <v>0</v>
      </c>
      <c r="U110" s="4">
        <f t="shared" ref="U110:U127" si="23">D110*E110*F110*N110</f>
        <v>0</v>
      </c>
      <c r="V110" s="533">
        <f>D110*(0.7*$G$24*(B110*C110)+2000*'MUR.CONC-PB'!K110)</f>
        <v>0</v>
      </c>
      <c r="W110" s="533">
        <f t="shared" si="4"/>
        <v>0</v>
      </c>
      <c r="X110" s="543">
        <f>IF(AND('CG. MPB'!E111="TABIQUE",'CG. MPB'!F111="HUECO"),R110,0)</f>
        <v>0</v>
      </c>
      <c r="Y110" s="543">
        <f>IF(AND('CG. MPB'!D111="CONFINADO",'CG. MPB'!E111="TABIQUE",'CG. MPB'!F111="MACIZO"),'RMCV.PB'!S110,IF(AND('CG. MPB'!D111="CONFINADO",'CG. MPB'!E111="TABICON",'CG. MPB'!F111="MACIZO"),'RMCV.PB'!S110,IF(AND('CG. MPB'!D111="CONFINADO",'CG. MPB'!E111="LIGERO",'CG. MPB'!F111="MACIZO"),'RMCV.PB'!S110,0)))</f>
        <v>0</v>
      </c>
      <c r="Z110" s="543">
        <f>IF(AND('CG. MPB'!D111="NO CONFINADO",'CG. MPB'!E111="TABIQUE",'CG. MPB'!F111="MACIZO"),T110,IF(AND('CG. MPB'!D111="NO CONFINADO",'CG. MPB'!E111="TABICON",'CG. MPB'!F111="MACIZO"),T110,IF(AND('CG. MPB'!D111="NO CONFINADO",'CG. MPB'!E111="LIGERO",'CG. MPB'!F111="MACIZO"),T110,0)))</f>
        <v>0</v>
      </c>
      <c r="AA110" s="543">
        <f>IF('CG. MPB'!E111="ADOBE",'RMCV.PB'!U110,0)</f>
        <v>0</v>
      </c>
      <c r="AB110" s="543">
        <f>IF('CG. MPB'!E111="CONCRETO",'RMCV.PB'!V110,0)</f>
        <v>0</v>
      </c>
      <c r="AC110" s="900"/>
      <c r="AD110" s="93">
        <f t="shared" si="13"/>
        <v>0</v>
      </c>
      <c r="AE110" s="428">
        <v>0.6</v>
      </c>
      <c r="AF110" s="4" t="e">
        <f>(1-2*AD110/C110)*(1-(AE110*'CG. MPB'!C111*10/(30*C110))^2)</f>
        <v>#DIV/0!</v>
      </c>
      <c r="AG110" s="350" t="e">
        <f>(1-(2*AD110/C110))*(1-(AE110*'CG. MPB'!C111*10/(30*C110))^2)*(1-('CG. MPB'!C111*10/B110))+('CG. MPB'!C111*10/B110)</f>
        <v>#DIV/0!</v>
      </c>
      <c r="AH110" s="429" t="e">
        <f t="shared" ref="AH110:AH127" si="24">IF(AG110&gt;0.9,0.9,AG110)</f>
        <v>#DIV/0!</v>
      </c>
    </row>
    <row r="111" spans="1:34">
      <c r="A111" s="684">
        <f>'CG. MPB'!A112</f>
        <v>32</v>
      </c>
      <c r="B111" s="578">
        <f>'CG. MPB'!B112*100</f>
        <v>0</v>
      </c>
      <c r="C111" s="68">
        <f>'ELEM. MECA.'!J238</f>
        <v>0</v>
      </c>
      <c r="D111" s="38">
        <f>IF(AND('CG. MPB'!D112="CONFINADO",'CG. MPB'!D112="CONCRETO"),0.8,IF('CG. MPB'!D112="NO CONFINADO",0.3,0.6))</f>
        <v>0.6</v>
      </c>
      <c r="E111" s="68">
        <v>0.6</v>
      </c>
      <c r="F111" s="38">
        <f>IF('CG. MPB'!E112="CONCRETO",G111,'RMCV.PB'!H111+'RMCV.PB'!I111+'RMCV.PB'!J111+K111+L111+M111)</f>
        <v>0</v>
      </c>
      <c r="G111" s="542">
        <f>IF('CG. MPB'!E112="CONCRETO",0.6*$G$24,0)</f>
        <v>0</v>
      </c>
      <c r="H111" s="574">
        <f>IF(AND('CG. MPB'!E112="TABIQUE",'CG. MPB'!F112="MACIZO"),15,0)</f>
        <v>0</v>
      </c>
      <c r="I111" s="574">
        <f>IF(AND('CG. MPB'!E112="TABIQUE",'CG. MPB'!F112="HUECO"),IF(E48="III",30,40),0)</f>
        <v>0</v>
      </c>
      <c r="J111" s="574">
        <f>IF('CG. MPB'!E112="TABICON",IF(E48="I",20,15),0)</f>
        <v>0</v>
      </c>
      <c r="K111" s="574">
        <f>IF('CG. MPB'!E112="ADOBE",10,0)</f>
        <v>0</v>
      </c>
      <c r="L111" s="574">
        <f>IF('CG. MPB'!E112="LIGERO",10,0)</f>
        <v>0</v>
      </c>
      <c r="M111" s="574">
        <f>IF('CG. MPB'!E112="CANTERA",30,0)</f>
        <v>0</v>
      </c>
      <c r="N111" s="575">
        <f t="shared" si="15"/>
        <v>0</v>
      </c>
      <c r="O111" s="918">
        <f>ABS('ELEM. MECA.'!D238)</f>
        <v>0</v>
      </c>
      <c r="P111" s="919">
        <f>IF(AND('CG. MPB'!D112="CONFINADO",'CG. MPB'!E112="TABIQUE",'CG. MPB'!F112="MACIZO"),'RMCV.PB'!Y111,IF(AND('CG. MPB'!D112="CONFINADO",'CG. MPB'!E112="TABICON",'CG. MPB'!F112="MACIZO"),'RMCV.PB'!Y111,IF(AND('CG. MPB'!D112="CONFINADO",'CG. MPB'!E112="LIGERO",'CG. MPB'!F112="MACIZO"),'RMCV.PB'!Y111,IF(AND('CG. MPB'!D112="NO CONFINADO",'CG. MPB'!E112="TABIQUE",'CG. MPB'!F112="MACIZO"),Z111,IF(AND('CG. MPB'!D112="NO CONFINADO",'CG. MPB'!E112="TABICON",'CG. MPB'!F112="MACIZO"),Z111,IF(AND('CG. MPB'!D112="NO CONFINADO",'CG. MPB'!E112="LIGERO",'CG. MPB'!F112="MACIZO"),Z111,IF(AND('CG. MPB'!E112="TABIQUE",'CG. MPB'!F112="HUECO"),X111,IF('CG. MPB'!E112="ADOBE",'RMCV.PB'!AA111,'RMCV.PB'!AB111))))))))</f>
        <v>0</v>
      </c>
      <c r="Q111" s="685" t="str">
        <f t="shared" si="16"/>
        <v>PASA</v>
      </c>
      <c r="R111" s="4" t="e">
        <f>IF(D111*E111*(F111*N111+'CASTILLOS-PB'!W127*FY)&gt;1.25*D111*E111*F111*N111,1.25*D111*E111*F111*N111,D111*E111*(F111*N111+'CASTILLOS-PB'!W127*FY))</f>
        <v>#DIV/0!</v>
      </c>
      <c r="S111" s="4">
        <f>D111*E111*(F111*N111+'CASTILLOS-PB'!G127*FY*2)</f>
        <v>8588.16</v>
      </c>
      <c r="T111" s="4">
        <f t="shared" si="22"/>
        <v>0</v>
      </c>
      <c r="U111" s="4">
        <f t="shared" si="23"/>
        <v>0</v>
      </c>
      <c r="V111" s="533">
        <f>D111*(0.7*$G$24*(B111*C111)+2000*'MUR.CONC-PB'!K111)</f>
        <v>0</v>
      </c>
      <c r="W111" s="533">
        <f t="shared" si="4"/>
        <v>0</v>
      </c>
      <c r="X111" s="543">
        <f>IF(AND('CG. MPB'!E112="TABIQUE",'CG. MPB'!F112="HUECO"),R111,0)</f>
        <v>0</v>
      </c>
      <c r="Y111" s="543">
        <f>IF(AND('CG. MPB'!D112="CONFINADO",'CG. MPB'!E112="TABIQUE",'CG. MPB'!F112="MACIZO"),'RMCV.PB'!S111,IF(AND('CG. MPB'!D112="CONFINADO",'CG. MPB'!E112="TABICON",'CG. MPB'!F112="MACIZO"),'RMCV.PB'!S111,IF(AND('CG. MPB'!D112="CONFINADO",'CG. MPB'!E112="LIGERO",'CG. MPB'!F112="MACIZO"),'RMCV.PB'!S111,0)))</f>
        <v>0</v>
      </c>
      <c r="Z111" s="543">
        <f>IF(AND('CG. MPB'!D112="NO CONFINADO",'CG. MPB'!E112="TABIQUE",'CG. MPB'!F112="MACIZO"),T111,IF(AND('CG. MPB'!D112="NO CONFINADO",'CG. MPB'!E112="TABICON",'CG. MPB'!F112="MACIZO"),T111,IF(AND('CG. MPB'!D112="NO CONFINADO",'CG. MPB'!E112="LIGERO",'CG. MPB'!F112="MACIZO"),T111,0)))</f>
        <v>0</v>
      </c>
      <c r="AA111" s="543">
        <f>IF('CG. MPB'!E112="ADOBE",'RMCV.PB'!U111,0)</f>
        <v>0</v>
      </c>
      <c r="AB111" s="543">
        <f>IF('CG. MPB'!E112="CONCRETO",'RMCV.PB'!V111,0)</f>
        <v>0</v>
      </c>
      <c r="AC111" s="900"/>
      <c r="AD111" s="93">
        <f t="shared" si="13"/>
        <v>0</v>
      </c>
      <c r="AE111" s="428">
        <v>0.6</v>
      </c>
      <c r="AF111" s="4" t="e">
        <f>(1-2*AD111/C111)*(1-(AE111*'CG. MPB'!C112*10/(30*C111))^2)</f>
        <v>#DIV/0!</v>
      </c>
      <c r="AG111" s="350" t="e">
        <f>(1-(2*AD111/C111))*(1-(AE111*'CG. MPB'!C112*10/(30*C111))^2)*(1-('CG. MPB'!C112*10/B111))+('CG. MPB'!C112*10/B111)</f>
        <v>#DIV/0!</v>
      </c>
      <c r="AH111" s="429" t="e">
        <f t="shared" si="24"/>
        <v>#DIV/0!</v>
      </c>
    </row>
    <row r="112" spans="1:34">
      <c r="A112" s="684">
        <f>'CG. MPB'!A113</f>
        <v>33</v>
      </c>
      <c r="B112" s="578">
        <f>'CG. MPB'!B113*100</f>
        <v>0</v>
      </c>
      <c r="C112" s="68">
        <f>'ELEM. MECA.'!J239</f>
        <v>0</v>
      </c>
      <c r="D112" s="38">
        <f>IF(AND('CG. MPB'!D113="CONFINADO",'CG. MPB'!D113="CONCRETO"),0.8,IF('CG. MPB'!D113="NO CONFINADO",0.3,0.6))</f>
        <v>0.6</v>
      </c>
      <c r="E112" s="68">
        <v>0.6</v>
      </c>
      <c r="F112" s="38">
        <f>IF('CG. MPB'!E113="CONCRETO",G112,'RMCV.PB'!H112+'RMCV.PB'!I112+'RMCV.PB'!J112+K112+L112+M112)</f>
        <v>0</v>
      </c>
      <c r="G112" s="542">
        <f>IF('CG. MPB'!E113="CONCRETO",0.6*$G$24,0)</f>
        <v>0</v>
      </c>
      <c r="H112" s="574">
        <f>IF(AND('CG. MPB'!E113="TABIQUE",'CG. MPB'!F113="MACIZO"),15,0)</f>
        <v>0</v>
      </c>
      <c r="I112" s="574">
        <f>IF(AND('CG. MPB'!E113="TABIQUE",'CG. MPB'!F113="HUECO"),IF(E49="III",30,40),0)</f>
        <v>0</v>
      </c>
      <c r="J112" s="574">
        <f>IF('CG. MPB'!E113="TABICON",IF(E49="I",20,15),0)</f>
        <v>0</v>
      </c>
      <c r="K112" s="574">
        <f>IF('CG. MPB'!E113="ADOBE",10,0)</f>
        <v>0</v>
      </c>
      <c r="L112" s="574">
        <f>IF('CG. MPB'!E113="LIGERO",10,0)</f>
        <v>0</v>
      </c>
      <c r="M112" s="574">
        <f>IF('CG. MPB'!E113="CANTERA",30,0)</f>
        <v>0</v>
      </c>
      <c r="N112" s="575">
        <f t="shared" si="15"/>
        <v>0</v>
      </c>
      <c r="O112" s="918">
        <f>ABS('ELEM. MECA.'!D239)</f>
        <v>0</v>
      </c>
      <c r="P112" s="919">
        <f>IF(AND('CG. MPB'!D113="CONFINADO",'CG. MPB'!E113="TABIQUE",'CG. MPB'!F113="MACIZO"),'RMCV.PB'!Y112,IF(AND('CG. MPB'!D113="CONFINADO",'CG. MPB'!E113="TABICON",'CG. MPB'!F113="MACIZO"),'RMCV.PB'!Y112,IF(AND('CG. MPB'!D113="CONFINADO",'CG. MPB'!E113="LIGERO",'CG. MPB'!F113="MACIZO"),'RMCV.PB'!Y112,IF(AND('CG. MPB'!D113="NO CONFINADO",'CG. MPB'!E113="TABIQUE",'CG. MPB'!F113="MACIZO"),Z112,IF(AND('CG. MPB'!D113="NO CONFINADO",'CG. MPB'!E113="TABICON",'CG. MPB'!F113="MACIZO"),Z112,IF(AND('CG. MPB'!D113="NO CONFINADO",'CG. MPB'!E113="LIGERO",'CG. MPB'!F113="MACIZO"),Z112,IF(AND('CG. MPB'!E113="TABIQUE",'CG. MPB'!F113="HUECO"),X112,IF('CG. MPB'!E113="ADOBE",'RMCV.PB'!AA112,'RMCV.PB'!AB112))))))))</f>
        <v>0</v>
      </c>
      <c r="Q112" s="685" t="str">
        <f t="shared" si="16"/>
        <v>PASA</v>
      </c>
      <c r="R112" s="4">
        <f>IF(D112*E112*(F112*N112+'CASTILLOS-PB'!W128*FY)&gt;1.25*D112*E112*F112*N112,1.25*D112*E112*F112*N112,D112*E112*(F112*N112+'CASTILLOS-PB'!W128*FY))</f>
        <v>0</v>
      </c>
      <c r="S112" s="4">
        <f>D112*E112*(F112*N112+'CASTILLOS-PB'!G128*FY*2)</f>
        <v>8588.16</v>
      </c>
      <c r="T112" s="4">
        <f t="shared" si="22"/>
        <v>0</v>
      </c>
      <c r="U112" s="4">
        <f t="shared" si="23"/>
        <v>0</v>
      </c>
      <c r="V112" s="533">
        <f>D112*(0.7*$G$24*(B112*C112)+2000*'MUR.CONC-PB'!K112)</f>
        <v>0</v>
      </c>
      <c r="W112" s="533">
        <f t="shared" ref="W112:W129" si="25">D113*E113*F113*N113</f>
        <v>0</v>
      </c>
      <c r="X112" s="543">
        <f>IF(AND('CG. MPB'!E113="TABIQUE",'CG. MPB'!F113="HUECO"),R112,0)</f>
        <v>0</v>
      </c>
      <c r="Y112" s="543">
        <f>IF(AND('CG. MPB'!D113="CONFINADO",'CG. MPB'!E113="TABIQUE",'CG. MPB'!F113="MACIZO"),'RMCV.PB'!S112,IF(AND('CG. MPB'!D113="CONFINADO",'CG. MPB'!E113="TABICON",'CG. MPB'!F113="MACIZO"),'RMCV.PB'!S112,IF(AND('CG. MPB'!D113="CONFINADO",'CG. MPB'!E113="LIGERO",'CG. MPB'!F113="MACIZO"),'RMCV.PB'!S112,0)))</f>
        <v>0</v>
      </c>
      <c r="Z112" s="543">
        <f>IF(AND('CG. MPB'!D113="NO CONFINADO",'CG. MPB'!E113="TABIQUE",'CG. MPB'!F113="MACIZO"),T112,IF(AND('CG. MPB'!D113="NO CONFINADO",'CG. MPB'!E113="TABICON",'CG. MPB'!F113="MACIZO"),T112,IF(AND('CG. MPB'!D113="NO CONFINADO",'CG. MPB'!E113="LIGERO",'CG. MPB'!F113="MACIZO"),T112,0)))</f>
        <v>0</v>
      </c>
      <c r="AA112" s="543">
        <f>IF('CG. MPB'!E113="ADOBE",'RMCV.PB'!U112,0)</f>
        <v>0</v>
      </c>
      <c r="AB112" s="543">
        <f>IF('CG. MPB'!E113="CONCRETO",'RMCV.PB'!V112,0)</f>
        <v>0</v>
      </c>
      <c r="AC112" s="900"/>
      <c r="AD112" s="93">
        <f t="shared" si="13"/>
        <v>0</v>
      </c>
      <c r="AE112" s="428">
        <v>0.6</v>
      </c>
      <c r="AF112" s="4" t="e">
        <f>(1-2*AD112/C112)*(1-(AE112*'CG. MPB'!C113*10/(30*C112))^2)</f>
        <v>#DIV/0!</v>
      </c>
      <c r="AG112" s="350" t="e">
        <f>(1-(2*AD112/C112))*(1-(AE112*'CG. MPB'!C113*10/(30*C112))^2)*(1-('CG. MPB'!C113*10/B112))+('CG. MPB'!C113*10/B112)</f>
        <v>#DIV/0!</v>
      </c>
      <c r="AH112" s="429" t="e">
        <f t="shared" si="24"/>
        <v>#DIV/0!</v>
      </c>
    </row>
    <row r="113" spans="1:34">
      <c r="A113" s="684">
        <f>'CG. MPB'!A114</f>
        <v>34</v>
      </c>
      <c r="B113" s="578">
        <f>'CG. MPB'!B114*100</f>
        <v>0</v>
      </c>
      <c r="C113" s="68">
        <f>'ELEM. MECA.'!J240</f>
        <v>0</v>
      </c>
      <c r="D113" s="38">
        <f>IF(AND('CG. MPB'!D114="CONFINADO",'CG. MPB'!D114="CONCRETO"),0.8,IF('CG. MPB'!D114="NO CONFINADO",0.3,0.6))</f>
        <v>0.6</v>
      </c>
      <c r="E113" s="68">
        <v>0.6</v>
      </c>
      <c r="F113" s="38">
        <f>IF('CG. MPB'!E114="CONCRETO",G113,'RMCV.PB'!H113+'RMCV.PB'!I113+'RMCV.PB'!J113+K113+L113+M113)</f>
        <v>0</v>
      </c>
      <c r="G113" s="542">
        <f>IF('CG. MPB'!E114="CONCRETO",0.6*$G$24,0)</f>
        <v>0</v>
      </c>
      <c r="H113" s="574">
        <f>IF(AND('CG. MPB'!E114="TABIQUE",'CG. MPB'!F114="MACIZO"),15,0)</f>
        <v>0</v>
      </c>
      <c r="I113" s="574">
        <f>IF(AND('CG. MPB'!E114="TABIQUE",'CG. MPB'!F114="HUECO"),IF(E50="III",30,40),0)</f>
        <v>0</v>
      </c>
      <c r="J113" s="574">
        <f>IF('CG. MPB'!E114="TABICON",IF(E50="I",20,15),0)</f>
        <v>0</v>
      </c>
      <c r="K113" s="574">
        <f>IF('CG. MPB'!E114="ADOBE",10,0)</f>
        <v>0</v>
      </c>
      <c r="L113" s="574">
        <f>IF('CG. MPB'!E114="LIGERO",10,0)</f>
        <v>0</v>
      </c>
      <c r="M113" s="574">
        <f>IF('CG. MPB'!E114="CANTERA",30,0)</f>
        <v>0</v>
      </c>
      <c r="N113" s="575">
        <f t="shared" si="15"/>
        <v>0</v>
      </c>
      <c r="O113" s="918">
        <f>ABS('ELEM. MECA.'!D240)</f>
        <v>0</v>
      </c>
      <c r="P113" s="919">
        <f>IF(AND('CG. MPB'!D114="CONFINADO",'CG. MPB'!E114="TABIQUE",'CG. MPB'!F114="MACIZO"),'RMCV.PB'!Y113,IF(AND('CG. MPB'!D114="CONFINADO",'CG. MPB'!E114="TABICON",'CG. MPB'!F114="MACIZO"),'RMCV.PB'!Y113,IF(AND('CG. MPB'!D114="CONFINADO",'CG. MPB'!E114="LIGERO",'CG. MPB'!F114="MACIZO"),'RMCV.PB'!Y113,IF(AND('CG. MPB'!D114="NO CONFINADO",'CG. MPB'!E114="TABIQUE",'CG. MPB'!F114="MACIZO"),Z113,IF(AND('CG. MPB'!D114="NO CONFINADO",'CG. MPB'!E114="TABICON",'CG. MPB'!F114="MACIZO"),Z113,IF(AND('CG. MPB'!D114="NO CONFINADO",'CG. MPB'!E114="LIGERO",'CG. MPB'!F114="MACIZO"),Z113,IF(AND('CG. MPB'!E114="TABIQUE",'CG. MPB'!F114="HUECO"),X113,IF('CG. MPB'!E114="ADOBE",'RMCV.PB'!AA113,'RMCV.PB'!AB113))))))))</f>
        <v>0</v>
      </c>
      <c r="Q113" s="685" t="str">
        <f t="shared" si="16"/>
        <v>PASA</v>
      </c>
      <c r="R113" s="4">
        <f>IF(D113*E113*(F113*N113+'CASTILLOS-PB'!W129*FY)&gt;1.25*D113*E113*F113*N113,1.25*D113*E113*F113*N113,D113*E113*(F113*N113+'CASTILLOS-PB'!W129*FY))</f>
        <v>0</v>
      </c>
      <c r="S113" s="4">
        <f>D113*E113*(F113*N113+'CASTILLOS-PB'!G129*FY*2)</f>
        <v>8588.16</v>
      </c>
      <c r="T113" s="4">
        <f t="shared" si="22"/>
        <v>0</v>
      </c>
      <c r="U113" s="4">
        <f t="shared" si="23"/>
        <v>0</v>
      </c>
      <c r="V113" s="533">
        <f>D113*(0.7*$G$24*(B113*C113)+2000*'MUR.CONC-PB'!K113)</f>
        <v>0</v>
      </c>
      <c r="W113" s="533">
        <f t="shared" si="25"/>
        <v>0</v>
      </c>
      <c r="X113" s="543">
        <f>IF(AND('CG. MPB'!E114="TABIQUE",'CG. MPB'!F114="HUECO"),R113,0)</f>
        <v>0</v>
      </c>
      <c r="Y113" s="543">
        <f>IF(AND('CG. MPB'!D114="CONFINADO",'CG. MPB'!E114="TABIQUE",'CG. MPB'!F114="MACIZO"),'RMCV.PB'!S113,IF(AND('CG. MPB'!D114="CONFINADO",'CG. MPB'!E114="TABICON",'CG. MPB'!F114="MACIZO"),'RMCV.PB'!S113,IF(AND('CG. MPB'!D114="CONFINADO",'CG. MPB'!E114="LIGERO",'CG. MPB'!F114="MACIZO"),'RMCV.PB'!S113,0)))</f>
        <v>0</v>
      </c>
      <c r="Z113" s="543">
        <f>IF(AND('CG. MPB'!D114="NO CONFINADO",'CG. MPB'!E114="TABIQUE",'CG. MPB'!F114="MACIZO"),T113,IF(AND('CG. MPB'!D114="NO CONFINADO",'CG. MPB'!E114="TABICON",'CG. MPB'!F114="MACIZO"),T113,IF(AND('CG. MPB'!D114="NO CONFINADO",'CG. MPB'!E114="LIGERO",'CG. MPB'!F114="MACIZO"),T113,0)))</f>
        <v>0</v>
      </c>
      <c r="AA113" s="543">
        <f>IF('CG. MPB'!E114="ADOBE",'RMCV.PB'!U113,0)</f>
        <v>0</v>
      </c>
      <c r="AB113" s="543">
        <f>IF('CG. MPB'!E114="CONCRETO",'RMCV.PB'!V113,0)</f>
        <v>0</v>
      </c>
      <c r="AC113" s="900"/>
      <c r="AD113" s="93">
        <f t="shared" si="13"/>
        <v>0</v>
      </c>
      <c r="AE113" s="428">
        <v>0.6</v>
      </c>
      <c r="AF113" s="4" t="e">
        <f>(1-2*AD113/C113)*(1-(AE113*'CG. MPB'!C114*10/(30*C113))^2)</f>
        <v>#DIV/0!</v>
      </c>
      <c r="AG113" s="350" t="e">
        <f>(1-(2*AD113/C113))*(1-(AE113*'CG. MPB'!C114*10/(30*C113))^2)*(1-('CG. MPB'!C114*10/B113))+('CG. MPB'!C114*10/B113)</f>
        <v>#DIV/0!</v>
      </c>
      <c r="AH113" s="429" t="e">
        <f t="shared" si="24"/>
        <v>#DIV/0!</v>
      </c>
    </row>
    <row r="114" spans="1:34">
      <c r="A114" s="684">
        <f>'CG. MPB'!A115</f>
        <v>35</v>
      </c>
      <c r="B114" s="578">
        <f>'CG. MPB'!B115*100</f>
        <v>0</v>
      </c>
      <c r="C114" s="68">
        <f>'ELEM. MECA.'!J241</f>
        <v>0</v>
      </c>
      <c r="D114" s="38">
        <f>IF(AND('CG. MPB'!D115="CONFINADO",'CG. MPB'!D115="CONCRETO"),0.8,IF('CG. MPB'!D115="NO CONFINADO",0.3,0.6))</f>
        <v>0.6</v>
      </c>
      <c r="E114" s="68">
        <v>0.6</v>
      </c>
      <c r="F114" s="38">
        <f>IF('CG. MPB'!E115="CONCRETO",G114,'RMCV.PB'!H114+'RMCV.PB'!I114+'RMCV.PB'!J114+K114+L114+M114)</f>
        <v>0</v>
      </c>
      <c r="G114" s="542">
        <f>IF('CG. MPB'!E115="CONCRETO",0.6*$G$24,0)</f>
        <v>0</v>
      </c>
      <c r="H114" s="574">
        <f>IF(AND('CG. MPB'!E115="TABIQUE",'CG. MPB'!F115="MACIZO"),15,0)</f>
        <v>0</v>
      </c>
      <c r="I114" s="574">
        <f>IF(AND('CG. MPB'!E115="TABIQUE",'CG. MPB'!F115="HUECO"),IF(E51="III",30,40),0)</f>
        <v>0</v>
      </c>
      <c r="J114" s="574">
        <f>IF('CG. MPB'!E115="TABICON",IF(E51="I",20,15),0)</f>
        <v>0</v>
      </c>
      <c r="K114" s="574">
        <f>IF('CG. MPB'!E115="ADOBE",10,0)</f>
        <v>0</v>
      </c>
      <c r="L114" s="574">
        <f>IF('CG. MPB'!E115="LIGERO",10,0)</f>
        <v>0</v>
      </c>
      <c r="M114" s="574">
        <f>IF('CG. MPB'!E115="CANTERA",30,0)</f>
        <v>0</v>
      </c>
      <c r="N114" s="575">
        <f t="shared" si="15"/>
        <v>0</v>
      </c>
      <c r="O114" s="918">
        <f>ABS('ELEM. MECA.'!D241)</f>
        <v>0</v>
      </c>
      <c r="P114" s="919">
        <f>IF(AND('CG. MPB'!D115="CONFINADO",'CG. MPB'!E115="TABIQUE",'CG. MPB'!F115="MACIZO"),'RMCV.PB'!Y114,IF(AND('CG. MPB'!D115="CONFINADO",'CG. MPB'!E115="TABICON",'CG. MPB'!F115="MACIZO"),'RMCV.PB'!Y114,IF(AND('CG. MPB'!D115="CONFINADO",'CG. MPB'!E115="LIGERO",'CG. MPB'!F115="MACIZO"),'RMCV.PB'!Y114,IF(AND('CG. MPB'!D115="NO CONFINADO",'CG. MPB'!E115="TABIQUE",'CG. MPB'!F115="MACIZO"),Z114,IF(AND('CG. MPB'!D115="NO CONFINADO",'CG. MPB'!E115="TABICON",'CG. MPB'!F115="MACIZO"),Z114,IF(AND('CG. MPB'!D115="NO CONFINADO",'CG. MPB'!E115="LIGERO",'CG. MPB'!F115="MACIZO"),Z114,IF(AND('CG. MPB'!E115="TABIQUE",'CG. MPB'!F115="HUECO"),X114,IF('CG. MPB'!E115="ADOBE",'RMCV.PB'!AA114,'RMCV.PB'!AB114))))))))</f>
        <v>0</v>
      </c>
      <c r="Q114" s="685" t="str">
        <f t="shared" si="16"/>
        <v>PASA</v>
      </c>
      <c r="R114" s="4">
        <f>IF(D114*E114*(F114*N114+'CASTILLOS-PB'!W130*FY)&gt;1.25*D114*E114*F114*N114,1.25*D114*E114*F114*N114,D114*E114*(F114*N114+'CASTILLOS-PB'!W130*FY))</f>
        <v>0</v>
      </c>
      <c r="S114" s="4">
        <f>D114*E114*(F114*N114+'CASTILLOS-PB'!G130*FY*2)</f>
        <v>0</v>
      </c>
      <c r="T114" s="4">
        <f t="shared" si="22"/>
        <v>0</v>
      </c>
      <c r="U114" s="4">
        <f t="shared" si="23"/>
        <v>0</v>
      </c>
      <c r="V114" s="533">
        <f>D114*(0.7*$G$24*(B114*C114)+2000*'MUR.CONC-PB'!K114)</f>
        <v>0</v>
      </c>
      <c r="W114" s="533">
        <f t="shared" si="25"/>
        <v>0</v>
      </c>
      <c r="X114" s="543">
        <f>IF(AND('CG. MPB'!E115="TABIQUE",'CG. MPB'!F115="HUECO"),R114,0)</f>
        <v>0</v>
      </c>
      <c r="Y114" s="543">
        <f>IF(AND('CG. MPB'!D115="CONFINADO",'CG. MPB'!E115="TABIQUE",'CG. MPB'!F115="MACIZO"),'RMCV.PB'!S114,IF(AND('CG. MPB'!D115="CONFINADO",'CG. MPB'!E115="TABICON",'CG. MPB'!F115="MACIZO"),'RMCV.PB'!S114,IF(AND('CG. MPB'!D115="CONFINADO",'CG. MPB'!E115="LIGERO",'CG. MPB'!F115="MACIZO"),'RMCV.PB'!S114,0)))</f>
        <v>0</v>
      </c>
      <c r="Z114" s="543">
        <f>IF(AND('CG. MPB'!D115="NO CONFINADO",'CG. MPB'!E115="TABIQUE",'CG. MPB'!F115="MACIZO"),T114,IF(AND('CG. MPB'!D115="NO CONFINADO",'CG. MPB'!E115="TABICON",'CG. MPB'!F115="MACIZO"),T114,IF(AND('CG. MPB'!D115="NO CONFINADO",'CG. MPB'!E115="LIGERO",'CG. MPB'!F115="MACIZO"),T114,0)))</f>
        <v>0</v>
      </c>
      <c r="AA114" s="543">
        <f>IF('CG. MPB'!E115="ADOBE",'RMCV.PB'!U114,0)</f>
        <v>0</v>
      </c>
      <c r="AB114" s="543">
        <f>IF('CG. MPB'!E115="CONCRETO",'RMCV.PB'!V114,0)</f>
        <v>0</v>
      </c>
      <c r="AC114" s="900"/>
      <c r="AD114" s="93">
        <f t="shared" si="13"/>
        <v>0</v>
      </c>
      <c r="AE114" s="428">
        <v>0.6</v>
      </c>
      <c r="AF114" s="4" t="e">
        <f>(1-2*AD114/C114)*(1-(AE114*'CG. MPB'!C115*10/(30*C114))^2)</f>
        <v>#DIV/0!</v>
      </c>
      <c r="AG114" s="350" t="e">
        <f>(1-(2*AD114/C114))*(1-(AE114*'CG. MPB'!C115*10/(30*C114))^2)*(1-('CG. MPB'!C115*10/B114))+('CG. MPB'!C115*10/B114)</f>
        <v>#DIV/0!</v>
      </c>
      <c r="AH114" s="429" t="e">
        <f t="shared" si="24"/>
        <v>#DIV/0!</v>
      </c>
    </row>
    <row r="115" spans="1:34">
      <c r="A115" s="684">
        <f>'CG. MPB'!A116</f>
        <v>36</v>
      </c>
      <c r="B115" s="578">
        <f>'CG. MPB'!B116*100</f>
        <v>0</v>
      </c>
      <c r="C115" s="68">
        <f>'ELEM. MECA.'!J242</f>
        <v>0</v>
      </c>
      <c r="D115" s="38">
        <f>IF(AND('CG. MPB'!D116="CONFINADO",'CG. MPB'!D116="CONCRETO"),0.8,IF('CG. MPB'!D116="NO CONFINADO",0.3,0.6))</f>
        <v>0.6</v>
      </c>
      <c r="E115" s="68">
        <v>0.6</v>
      </c>
      <c r="F115" s="38">
        <f>IF('CG. MPB'!E116="CONCRETO",G115,'RMCV.PB'!H115+'RMCV.PB'!I115+'RMCV.PB'!J115+K115+L115+M115)</f>
        <v>0</v>
      </c>
      <c r="G115" s="542">
        <f>IF('CG. MPB'!E116="CONCRETO",0.6*$G$24,0)</f>
        <v>0</v>
      </c>
      <c r="H115" s="574">
        <f>IF(AND('CG. MPB'!E116="TABIQUE",'CG. MPB'!F116="MACIZO"),15,0)</f>
        <v>0</v>
      </c>
      <c r="I115" s="574">
        <f>IF(AND('CG. MPB'!E116="TABIQUE",'CG. MPB'!F116="HUECO"),IF(E52="III",30,40),0)</f>
        <v>0</v>
      </c>
      <c r="J115" s="574">
        <f>IF('CG. MPB'!E116="TABICON",IF(E52="I",20,15),0)</f>
        <v>0</v>
      </c>
      <c r="K115" s="574">
        <f>IF('CG. MPB'!E116="ADOBE",10,0)</f>
        <v>0</v>
      </c>
      <c r="L115" s="574">
        <f>IF('CG. MPB'!E116="LIGERO",10,0)</f>
        <v>0</v>
      </c>
      <c r="M115" s="574">
        <f>IF('CG. MPB'!E116="CANTERA",30,0)</f>
        <v>0</v>
      </c>
      <c r="N115" s="575">
        <f t="shared" si="15"/>
        <v>0</v>
      </c>
      <c r="O115" s="918">
        <f>ABS('ELEM. MECA.'!D242)</f>
        <v>0</v>
      </c>
      <c r="P115" s="919">
        <f>IF(AND('CG. MPB'!D116="CONFINADO",'CG. MPB'!E116="TABIQUE",'CG. MPB'!F116="MACIZO"),'RMCV.PB'!Y115,IF(AND('CG. MPB'!D116="CONFINADO",'CG. MPB'!E116="TABICON",'CG. MPB'!F116="MACIZO"),'RMCV.PB'!Y115,IF(AND('CG. MPB'!D116="CONFINADO",'CG. MPB'!E116="LIGERO",'CG. MPB'!F116="MACIZO"),'RMCV.PB'!Y115,IF(AND('CG. MPB'!D116="NO CONFINADO",'CG. MPB'!E116="TABIQUE",'CG. MPB'!F116="MACIZO"),Z115,IF(AND('CG. MPB'!D116="NO CONFINADO",'CG. MPB'!E116="TABICON",'CG. MPB'!F116="MACIZO"),Z115,IF(AND('CG. MPB'!D116="NO CONFINADO",'CG. MPB'!E116="LIGERO",'CG. MPB'!F116="MACIZO"),Z115,IF(AND('CG. MPB'!E116="TABIQUE",'CG. MPB'!F116="HUECO"),X115,IF('CG. MPB'!E116="ADOBE",'RMCV.PB'!AA115,'RMCV.PB'!AB115))))))))</f>
        <v>0</v>
      </c>
      <c r="Q115" s="685" t="str">
        <f t="shared" si="16"/>
        <v>PASA</v>
      </c>
      <c r="R115" s="4">
        <f>IF(D115*E115*(F115*N115+'CASTILLOS-PB'!W131*FY)&gt;1.25*D115*E115*F115*N115,1.25*D115*E115*F115*N115,D115*E115*(F115*N115+'CASTILLOS-PB'!W131*FY))</f>
        <v>0</v>
      </c>
      <c r="S115" s="4">
        <f>D115*E115*(F115*N115+'CASTILLOS-PB'!G131*FY*2)</f>
        <v>0</v>
      </c>
      <c r="T115" s="4">
        <f t="shared" si="22"/>
        <v>0</v>
      </c>
      <c r="U115" s="4">
        <f t="shared" si="23"/>
        <v>0</v>
      </c>
      <c r="V115" s="533">
        <f>D115*(0.7*$G$24*(B115*C115)+2000*'MUR.CONC-PB'!K115)</f>
        <v>0</v>
      </c>
      <c r="W115" s="533">
        <f t="shared" si="25"/>
        <v>0</v>
      </c>
      <c r="X115" s="543">
        <f>IF(AND('CG. MPB'!E116="TABIQUE",'CG. MPB'!F116="HUECO"),R115,0)</f>
        <v>0</v>
      </c>
      <c r="Y115" s="543">
        <f>IF(AND('CG. MPB'!D116="CONFINADO",'CG. MPB'!E116="TABIQUE",'CG. MPB'!F116="MACIZO"),'RMCV.PB'!S115,IF(AND('CG. MPB'!D116="CONFINADO",'CG. MPB'!E116="TABICON",'CG. MPB'!F116="MACIZO"),'RMCV.PB'!S115,IF(AND('CG. MPB'!D116="CONFINADO",'CG. MPB'!E116="LIGERO",'CG. MPB'!F116="MACIZO"),'RMCV.PB'!S115,0)))</f>
        <v>0</v>
      </c>
      <c r="Z115" s="543">
        <f>IF(AND('CG. MPB'!D116="NO CONFINADO",'CG. MPB'!E116="TABIQUE",'CG. MPB'!F116="MACIZO"),T115,IF(AND('CG. MPB'!D116="NO CONFINADO",'CG. MPB'!E116="TABICON",'CG. MPB'!F116="MACIZO"),T115,IF(AND('CG. MPB'!D116="NO CONFINADO",'CG. MPB'!E116="LIGERO",'CG. MPB'!F116="MACIZO"),T115,0)))</f>
        <v>0</v>
      </c>
      <c r="AA115" s="543">
        <f>IF('CG. MPB'!E116="ADOBE",'RMCV.PB'!U115,0)</f>
        <v>0</v>
      </c>
      <c r="AB115" s="543">
        <f>IF('CG. MPB'!E116="CONCRETO",'RMCV.PB'!V115,0)</f>
        <v>0</v>
      </c>
      <c r="AC115" s="900"/>
      <c r="AD115" s="93">
        <f t="shared" si="13"/>
        <v>0</v>
      </c>
      <c r="AE115" s="428">
        <v>0.6</v>
      </c>
      <c r="AF115" s="4" t="e">
        <f>(1-2*AD115/C115)*(1-(AE115*'CG. MPB'!C116*10/(30*C115))^2)</f>
        <v>#DIV/0!</v>
      </c>
      <c r="AG115" s="350" t="e">
        <f>(1-(2*AD115/C115))*(1-(AE115*'CG. MPB'!C116*10/(30*C115))^2)*(1-('CG. MPB'!C116*10/B115))+('CG. MPB'!C116*10/B115)</f>
        <v>#DIV/0!</v>
      </c>
      <c r="AH115" s="429" t="e">
        <f t="shared" si="24"/>
        <v>#DIV/0!</v>
      </c>
    </row>
    <row r="116" spans="1:34">
      <c r="A116" s="684">
        <f>'CG. MPB'!A117</f>
        <v>37</v>
      </c>
      <c r="B116" s="578">
        <f>'CG. MPB'!B117*100</f>
        <v>0</v>
      </c>
      <c r="C116" s="68">
        <f>'ELEM. MECA.'!J243</f>
        <v>0</v>
      </c>
      <c r="D116" s="38">
        <f>IF(AND('CG. MPB'!D117="CONFINADO",'CG. MPB'!D117="CONCRETO"),0.8,IF('CG. MPB'!D117="NO CONFINADO",0.3,0.6))</f>
        <v>0.6</v>
      </c>
      <c r="E116" s="68">
        <v>0.6</v>
      </c>
      <c r="F116" s="38">
        <f>IF('CG. MPB'!E117="CONCRETO",G116,'RMCV.PB'!H116+'RMCV.PB'!I116+'RMCV.PB'!J116+K116+L116+M116)</f>
        <v>0</v>
      </c>
      <c r="G116" s="542">
        <f>IF('CG. MPB'!E117="CONCRETO",0.6*$G$24,0)</f>
        <v>0</v>
      </c>
      <c r="H116" s="574">
        <f>IF(AND('CG. MPB'!E117="TABIQUE",'CG. MPB'!F117="MACIZO"),15,0)</f>
        <v>0</v>
      </c>
      <c r="I116" s="574">
        <f>IF(AND('CG. MPB'!E117="TABIQUE",'CG. MPB'!F117="HUECO"),IF(E53="III",30,40),0)</f>
        <v>0</v>
      </c>
      <c r="J116" s="574">
        <f>IF('CG. MPB'!E117="TABICON",IF(E53="I",20,15),0)</f>
        <v>0</v>
      </c>
      <c r="K116" s="574">
        <f>IF('CG. MPB'!E117="ADOBE",10,0)</f>
        <v>0</v>
      </c>
      <c r="L116" s="574">
        <f>IF('CG. MPB'!E117="LIGERO",10,0)</f>
        <v>0</v>
      </c>
      <c r="M116" s="574">
        <f>IF('CG. MPB'!E117="CANTERA",30,0)</f>
        <v>0</v>
      </c>
      <c r="N116" s="575">
        <f t="shared" si="15"/>
        <v>0</v>
      </c>
      <c r="O116" s="918">
        <f>ABS('ELEM. MECA.'!D243)</f>
        <v>0</v>
      </c>
      <c r="P116" s="919">
        <f>IF(AND('CG. MPB'!D117="CONFINADO",'CG. MPB'!E117="TABIQUE",'CG. MPB'!F117="MACIZO"),'RMCV.PB'!Y116,IF(AND('CG. MPB'!D117="CONFINADO",'CG. MPB'!E117="TABICON",'CG. MPB'!F117="MACIZO"),'RMCV.PB'!Y116,IF(AND('CG. MPB'!D117="CONFINADO",'CG. MPB'!E117="LIGERO",'CG. MPB'!F117="MACIZO"),'RMCV.PB'!Y116,IF(AND('CG. MPB'!D117="NO CONFINADO",'CG. MPB'!E117="TABIQUE",'CG. MPB'!F117="MACIZO"),Z116,IF(AND('CG. MPB'!D117="NO CONFINADO",'CG. MPB'!E117="TABICON",'CG. MPB'!F117="MACIZO"),Z116,IF(AND('CG. MPB'!D117="NO CONFINADO",'CG. MPB'!E117="LIGERO",'CG. MPB'!F117="MACIZO"),Z116,IF(AND('CG. MPB'!E117="TABIQUE",'CG. MPB'!F117="HUECO"),X116,IF('CG. MPB'!E117="ADOBE",'RMCV.PB'!AA116,'RMCV.PB'!AB116))))))))</f>
        <v>0</v>
      </c>
      <c r="Q116" s="685" t="str">
        <f t="shared" si="16"/>
        <v>PASA</v>
      </c>
      <c r="R116" s="4">
        <f>IF(D116*E116*(F116*N116+'CASTILLOS-PB'!W132*FY)&gt;1.25*D116*E116*F116*N116,1.25*D116*E116*F116*N116,D116*E116*(F116*N116+'CASTILLOS-PB'!W132*FY))</f>
        <v>0</v>
      </c>
      <c r="S116" s="4">
        <f>D116*E116*(F116*N116+'CASTILLOS-PB'!G132*FY*2)</f>
        <v>0</v>
      </c>
      <c r="T116" s="4">
        <f t="shared" si="22"/>
        <v>0</v>
      </c>
      <c r="U116" s="4">
        <f t="shared" si="23"/>
        <v>0</v>
      </c>
      <c r="V116" s="533">
        <f>D116*(0.7*$G$24*(B116*C116)+2000*'MUR.CONC-PB'!K116)</f>
        <v>0</v>
      </c>
      <c r="W116" s="533">
        <f t="shared" si="25"/>
        <v>0</v>
      </c>
      <c r="X116" s="543">
        <f>IF(AND('CG. MPB'!E117="TABIQUE",'CG. MPB'!F117="HUECO"),R116,0)</f>
        <v>0</v>
      </c>
      <c r="Y116" s="543">
        <f>IF(AND('CG. MPB'!D117="CONFINADO",'CG. MPB'!E117="TABIQUE",'CG. MPB'!F117="MACIZO"),'RMCV.PB'!S116,IF(AND('CG. MPB'!D117="CONFINADO",'CG. MPB'!E117="TABICON",'CG. MPB'!F117="MACIZO"),'RMCV.PB'!S116,IF(AND('CG. MPB'!D117="CONFINADO",'CG. MPB'!E117="LIGERO",'CG. MPB'!F117="MACIZO"),'RMCV.PB'!S116,0)))</f>
        <v>0</v>
      </c>
      <c r="Z116" s="543">
        <f>IF(AND('CG. MPB'!D117="NO CONFINADO",'CG. MPB'!E117="TABIQUE",'CG. MPB'!F117="MACIZO"),T116,IF(AND('CG. MPB'!D117="NO CONFINADO",'CG. MPB'!E117="TABICON",'CG. MPB'!F117="MACIZO"),T116,IF(AND('CG. MPB'!D117="NO CONFINADO",'CG. MPB'!E117="LIGERO",'CG. MPB'!F117="MACIZO"),T116,0)))</f>
        <v>0</v>
      </c>
      <c r="AA116" s="543">
        <f>IF('CG. MPB'!E117="ADOBE",'RMCV.PB'!U116,0)</f>
        <v>0</v>
      </c>
      <c r="AB116" s="543">
        <f>IF('CG. MPB'!E117="CONCRETO",'RMCV.PB'!V116,0)</f>
        <v>0</v>
      </c>
      <c r="AC116" s="900"/>
      <c r="AD116" s="93">
        <f t="shared" si="13"/>
        <v>0</v>
      </c>
      <c r="AE116" s="428">
        <v>0.6</v>
      </c>
      <c r="AF116" s="4" t="e">
        <f>(1-2*AD116/C116)*(1-(AE116*'CG. MPB'!C117*10/(30*C116))^2)</f>
        <v>#DIV/0!</v>
      </c>
      <c r="AG116" s="350" t="e">
        <f>(1-(2*AD116/C116))*(1-(AE116*'CG. MPB'!C117*10/(30*C116))^2)*(1-('CG. MPB'!C117*10/B116))+('CG. MPB'!C117*10/B116)</f>
        <v>#DIV/0!</v>
      </c>
      <c r="AH116" s="429" t="e">
        <f t="shared" si="24"/>
        <v>#DIV/0!</v>
      </c>
    </row>
    <row r="117" spans="1:34">
      <c r="A117" s="684">
        <f>'CG. MPB'!A118</f>
        <v>38</v>
      </c>
      <c r="B117" s="578">
        <f>'CG. MPB'!B118*100</f>
        <v>0</v>
      </c>
      <c r="C117" s="68">
        <f>'ELEM. MECA.'!J244</f>
        <v>0</v>
      </c>
      <c r="D117" s="38">
        <f>IF(AND('CG. MPB'!D118="CONFINADO",'CG. MPB'!D118="CONCRETO"),0.8,IF('CG. MPB'!D118="NO CONFINADO",0.3,0.6))</f>
        <v>0.6</v>
      </c>
      <c r="E117" s="68">
        <v>0.6</v>
      </c>
      <c r="F117" s="38">
        <f>IF('CG. MPB'!E118="CONCRETO",G117,'RMCV.PB'!H117+'RMCV.PB'!I117+'RMCV.PB'!J117+K117+L117+M117)</f>
        <v>0</v>
      </c>
      <c r="G117" s="542">
        <f>IF('CG. MPB'!E118="CONCRETO",0.6*$G$24,0)</f>
        <v>0</v>
      </c>
      <c r="H117" s="574">
        <f>IF(AND('CG. MPB'!E118="TABIQUE",'CG. MPB'!F118="MACIZO"),15,0)</f>
        <v>0</v>
      </c>
      <c r="I117" s="574">
        <f>IF(AND('CG. MPB'!E118="TABIQUE",'CG. MPB'!F118="HUECO"),IF(E54="III",30,40),0)</f>
        <v>0</v>
      </c>
      <c r="J117" s="574">
        <f>IF('CG. MPB'!E118="TABICON",IF(E54="I",20,15),0)</f>
        <v>0</v>
      </c>
      <c r="K117" s="574">
        <f>IF('CG. MPB'!E118="ADOBE",10,0)</f>
        <v>0</v>
      </c>
      <c r="L117" s="574">
        <f>IF('CG. MPB'!E118="LIGERO",10,0)</f>
        <v>0</v>
      </c>
      <c r="M117" s="574">
        <f>IF('CG. MPB'!E118="CANTERA",30,0)</f>
        <v>0</v>
      </c>
      <c r="N117" s="575">
        <f t="shared" si="15"/>
        <v>0</v>
      </c>
      <c r="O117" s="918">
        <f>ABS('ELEM. MECA.'!D244)</f>
        <v>0</v>
      </c>
      <c r="P117" s="919">
        <f>IF(AND('CG. MPB'!D118="CONFINADO",'CG. MPB'!E118="TABIQUE",'CG. MPB'!F118="MACIZO"),'RMCV.PB'!Y117,IF(AND('CG. MPB'!D118="CONFINADO",'CG. MPB'!E118="TABICON",'CG. MPB'!F118="MACIZO"),'RMCV.PB'!Y117,IF(AND('CG. MPB'!D118="CONFINADO",'CG. MPB'!E118="LIGERO",'CG. MPB'!F118="MACIZO"),'RMCV.PB'!Y117,IF(AND('CG. MPB'!D118="NO CONFINADO",'CG. MPB'!E118="TABIQUE",'CG. MPB'!F118="MACIZO"),Z117,IF(AND('CG. MPB'!D118="NO CONFINADO",'CG. MPB'!E118="TABICON",'CG. MPB'!F118="MACIZO"),Z117,IF(AND('CG. MPB'!D118="NO CONFINADO",'CG. MPB'!E118="LIGERO",'CG. MPB'!F118="MACIZO"),Z117,IF(AND('CG. MPB'!E118="TABIQUE",'CG. MPB'!F118="HUECO"),X117,IF('CG. MPB'!E118="ADOBE",'RMCV.PB'!AA117,'RMCV.PB'!AB117))))))))</f>
        <v>0</v>
      </c>
      <c r="Q117" s="685" t="str">
        <f t="shared" si="16"/>
        <v>PASA</v>
      </c>
      <c r="R117" s="4">
        <f>IF(D117*E117*(F117*N117+'CASTILLOS-PB'!W133*FY)&gt;1.25*D117*E117*F117*N117,1.25*D117*E117*F117*N117,D117*E117*(F117*N117+'CASTILLOS-PB'!W133*FY))</f>
        <v>0</v>
      </c>
      <c r="S117" s="4">
        <f>D117*E117*(F117*N117+'CASTILLOS-PB'!G133*FY*2)</f>
        <v>0</v>
      </c>
      <c r="T117" s="4">
        <f t="shared" si="22"/>
        <v>0</v>
      </c>
      <c r="U117" s="4">
        <f t="shared" si="23"/>
        <v>0</v>
      </c>
      <c r="V117" s="533">
        <f>D117*(0.7*$G$24*(B117*C117)+2000*'MUR.CONC-PB'!K117)</f>
        <v>0</v>
      </c>
      <c r="W117" s="533">
        <f t="shared" si="25"/>
        <v>0</v>
      </c>
      <c r="X117" s="543">
        <f>IF(AND('CG. MPB'!E118="TABIQUE",'CG. MPB'!F118="HUECO"),R117,0)</f>
        <v>0</v>
      </c>
      <c r="Y117" s="543">
        <f>IF(AND('CG. MPB'!D118="CONFINADO",'CG. MPB'!E118="TABIQUE",'CG. MPB'!F118="MACIZO"),'RMCV.PB'!S117,IF(AND('CG. MPB'!D118="CONFINADO",'CG. MPB'!E118="TABICON",'CG. MPB'!F118="MACIZO"),'RMCV.PB'!S117,IF(AND('CG. MPB'!D118="CONFINADO",'CG. MPB'!E118="LIGERO",'CG. MPB'!F118="MACIZO"),'RMCV.PB'!S117,0)))</f>
        <v>0</v>
      </c>
      <c r="Z117" s="543">
        <f>IF(AND('CG. MPB'!D118="NO CONFINADO",'CG. MPB'!E118="TABIQUE",'CG. MPB'!F118="MACIZO"),T117,IF(AND('CG. MPB'!D118="NO CONFINADO",'CG. MPB'!E118="TABICON",'CG. MPB'!F118="MACIZO"),T117,IF(AND('CG. MPB'!D118="NO CONFINADO",'CG. MPB'!E118="LIGERO",'CG. MPB'!F118="MACIZO"),T117,0)))</f>
        <v>0</v>
      </c>
      <c r="AA117" s="543">
        <f>IF('CG. MPB'!E118="ADOBE",'RMCV.PB'!U117,0)</f>
        <v>0</v>
      </c>
      <c r="AB117" s="543">
        <f>IF('CG. MPB'!E118="CONCRETO",'RMCV.PB'!V117,0)</f>
        <v>0</v>
      </c>
      <c r="AC117" s="900"/>
      <c r="AD117" s="93">
        <f t="shared" si="13"/>
        <v>0</v>
      </c>
      <c r="AE117" s="428">
        <v>0.6</v>
      </c>
      <c r="AF117" s="4" t="e">
        <f>(1-2*AD117/C117)*(1-(AE117*'CG. MPB'!C118*10/(30*C117))^2)</f>
        <v>#DIV/0!</v>
      </c>
      <c r="AG117" s="350" t="e">
        <f>(1-(2*AD117/C117))*(1-(AE117*'CG. MPB'!C118*10/(30*C117))^2)*(1-('CG. MPB'!C118*10/B117))+('CG. MPB'!C118*10/B117)</f>
        <v>#DIV/0!</v>
      </c>
      <c r="AH117" s="429" t="e">
        <f t="shared" si="24"/>
        <v>#DIV/0!</v>
      </c>
    </row>
    <row r="118" spans="1:34">
      <c r="A118" s="684">
        <f>'CG. MPB'!A119</f>
        <v>39</v>
      </c>
      <c r="B118" s="578">
        <f>'CG. MPB'!B119*100</f>
        <v>0</v>
      </c>
      <c r="C118" s="68">
        <f>'ELEM. MECA.'!J245</f>
        <v>0</v>
      </c>
      <c r="D118" s="38">
        <f>IF(AND('CG. MPB'!D119="CONFINADO",'CG. MPB'!D119="CONCRETO"),0.8,IF('CG. MPB'!D119="NO CONFINADO",0.3,0.6))</f>
        <v>0.6</v>
      </c>
      <c r="E118" s="68">
        <v>0.6</v>
      </c>
      <c r="F118" s="38">
        <f>IF('CG. MPB'!E119="CONCRETO",G118,'RMCV.PB'!H118+'RMCV.PB'!I118+'RMCV.PB'!J118+K118+L118+M118)</f>
        <v>0</v>
      </c>
      <c r="G118" s="542">
        <f>IF('CG. MPB'!E119="CONCRETO",0.6*$G$24,0)</f>
        <v>0</v>
      </c>
      <c r="H118" s="574">
        <f>IF(AND('CG. MPB'!E119="TABIQUE",'CG. MPB'!F119="MACIZO"),15,0)</f>
        <v>0</v>
      </c>
      <c r="I118" s="574">
        <f>IF(AND('CG. MPB'!E119="TABIQUE",'CG. MPB'!F119="HUECO"),IF(E55="III",30,40),0)</f>
        <v>0</v>
      </c>
      <c r="J118" s="574">
        <f>IF('CG. MPB'!E119="TABICON",IF(E55="I",20,15),0)</f>
        <v>0</v>
      </c>
      <c r="K118" s="574">
        <f>IF('CG. MPB'!E119="ADOBE",10,0)</f>
        <v>0</v>
      </c>
      <c r="L118" s="574">
        <f>IF('CG. MPB'!E119="LIGERO",10,0)</f>
        <v>0</v>
      </c>
      <c r="M118" s="574">
        <f>IF('CG. MPB'!E119="CANTERA",30,0)</f>
        <v>0</v>
      </c>
      <c r="N118" s="575">
        <f t="shared" si="15"/>
        <v>0</v>
      </c>
      <c r="O118" s="918">
        <f>ABS('ELEM. MECA.'!D245)</f>
        <v>0</v>
      </c>
      <c r="P118" s="919">
        <f>IF(AND('CG. MPB'!D119="CONFINADO",'CG. MPB'!E119="TABIQUE",'CG. MPB'!F119="MACIZO"),'RMCV.PB'!Y118,IF(AND('CG. MPB'!D119="CONFINADO",'CG. MPB'!E119="TABICON",'CG. MPB'!F119="MACIZO"),'RMCV.PB'!Y118,IF(AND('CG. MPB'!D119="CONFINADO",'CG. MPB'!E119="LIGERO",'CG. MPB'!F119="MACIZO"),'RMCV.PB'!Y118,IF(AND('CG. MPB'!D119="NO CONFINADO",'CG. MPB'!E119="TABIQUE",'CG. MPB'!F119="MACIZO"),Z118,IF(AND('CG. MPB'!D119="NO CONFINADO",'CG. MPB'!E119="TABICON",'CG. MPB'!F119="MACIZO"),Z118,IF(AND('CG. MPB'!D119="NO CONFINADO",'CG. MPB'!E119="LIGERO",'CG. MPB'!F119="MACIZO"),Z118,IF(AND('CG. MPB'!E119="TABIQUE",'CG. MPB'!F119="HUECO"),X118,IF('CG. MPB'!E119="ADOBE",'RMCV.PB'!AA118,'RMCV.PB'!AB118))))))))</f>
        <v>0</v>
      </c>
      <c r="Q118" s="685" t="str">
        <f t="shared" si="16"/>
        <v>PASA</v>
      </c>
      <c r="R118" s="4">
        <f>IF(D118*E118*(F118*N118+'CASTILLOS-PB'!W134*FY)&gt;1.25*D118*E118*F118*N118,1.25*D118*E118*F118*N118,D118*E118*(F118*N118+'CASTILLOS-PB'!W134*FY))</f>
        <v>0</v>
      </c>
      <c r="S118" s="4">
        <f>D118*E118*(F118*N118+'CASTILLOS-PB'!G134*FY*2)</f>
        <v>0</v>
      </c>
      <c r="T118" s="4">
        <f t="shared" si="22"/>
        <v>0</v>
      </c>
      <c r="U118" s="4">
        <f t="shared" si="23"/>
        <v>0</v>
      </c>
      <c r="V118" s="533">
        <f>D118*(0.7*$G$24*(B118*C118)+2000*'MUR.CONC-PB'!K118)</f>
        <v>0</v>
      </c>
      <c r="W118" s="533">
        <f t="shared" si="25"/>
        <v>0</v>
      </c>
      <c r="X118" s="543">
        <f>IF(AND('CG. MPB'!E119="TABIQUE",'CG. MPB'!F119="HUECO"),R118,0)</f>
        <v>0</v>
      </c>
      <c r="Y118" s="543">
        <f>IF(AND('CG. MPB'!D119="CONFINADO",'CG. MPB'!E119="TABIQUE",'CG. MPB'!F119="MACIZO"),'RMCV.PB'!S118,IF(AND('CG. MPB'!D119="CONFINADO",'CG. MPB'!E119="TABICON",'CG. MPB'!F119="MACIZO"),'RMCV.PB'!S118,IF(AND('CG. MPB'!D119="CONFINADO",'CG. MPB'!E119="LIGERO",'CG. MPB'!F119="MACIZO"),'RMCV.PB'!S118,0)))</f>
        <v>0</v>
      </c>
      <c r="Z118" s="543">
        <f>IF(AND('CG. MPB'!D119="NO CONFINADO",'CG. MPB'!E119="TABIQUE",'CG. MPB'!F119="MACIZO"),T118,IF(AND('CG. MPB'!D119="NO CONFINADO",'CG. MPB'!E119="TABICON",'CG. MPB'!F119="MACIZO"),T118,IF(AND('CG. MPB'!D119="NO CONFINADO",'CG. MPB'!E119="LIGERO",'CG. MPB'!F119="MACIZO"),T118,0)))</f>
        <v>0</v>
      </c>
      <c r="AA118" s="543">
        <f>IF('CG. MPB'!E119="ADOBE",'RMCV.PB'!U118,0)</f>
        <v>0</v>
      </c>
      <c r="AB118" s="543">
        <f>IF('CG. MPB'!E119="CONCRETO",'RMCV.PB'!V118,0)</f>
        <v>0</v>
      </c>
      <c r="AC118" s="900"/>
      <c r="AD118" s="93">
        <f t="shared" si="13"/>
        <v>0</v>
      </c>
      <c r="AE118" s="428">
        <v>0.6</v>
      </c>
      <c r="AF118" s="4" t="e">
        <f>(1-2*AD118/C118)*(1-(AE118*'CG. MPB'!C119*10/(30*C118))^2)</f>
        <v>#DIV/0!</v>
      </c>
      <c r="AG118" s="350" t="e">
        <f>(1-(2*AD118/C118))*(1-(AE118*'CG. MPB'!C119*10/(30*C118))^2)*(1-('CG. MPB'!C119*10/B118))+('CG. MPB'!C119*10/B118)</f>
        <v>#DIV/0!</v>
      </c>
      <c r="AH118" s="429" t="e">
        <f t="shared" si="24"/>
        <v>#DIV/0!</v>
      </c>
    </row>
    <row r="119" spans="1:34">
      <c r="A119" s="684">
        <f>'CG. MPB'!A120</f>
        <v>40</v>
      </c>
      <c r="B119" s="578">
        <f>'CG. MPB'!B120*100</f>
        <v>0</v>
      </c>
      <c r="C119" s="68">
        <f>'ELEM. MECA.'!J246</f>
        <v>0</v>
      </c>
      <c r="D119" s="38">
        <f>IF(AND('CG. MPB'!D120="CONFINADO",'CG. MPB'!D120="CONCRETO"),0.8,IF('CG. MPB'!D120="NO CONFINADO",0.3,0.6))</f>
        <v>0.6</v>
      </c>
      <c r="E119" s="68">
        <v>0.6</v>
      </c>
      <c r="F119" s="38">
        <f>IF('CG. MPB'!E120="CONCRETO",G119,'RMCV.PB'!H119+'RMCV.PB'!I119+'RMCV.PB'!J119+K119+L119+M119)</f>
        <v>0</v>
      </c>
      <c r="G119" s="542">
        <f>IF('CG. MPB'!E120="CONCRETO",0.6*$G$24,0)</f>
        <v>0</v>
      </c>
      <c r="H119" s="574">
        <f>IF(AND('CG. MPB'!E120="TABIQUE",'CG. MPB'!F120="MACIZO"),15,0)</f>
        <v>0</v>
      </c>
      <c r="I119" s="574">
        <f>IF(AND('CG. MPB'!E120="TABIQUE",'CG. MPB'!F120="HUECO"),IF(E56="III",30,40),0)</f>
        <v>0</v>
      </c>
      <c r="J119" s="574">
        <f>IF('CG. MPB'!E120="TABICON",IF(E56="I",20,15),0)</f>
        <v>0</v>
      </c>
      <c r="K119" s="574">
        <f>IF('CG. MPB'!E120="ADOBE",10,0)</f>
        <v>0</v>
      </c>
      <c r="L119" s="574">
        <f>IF('CG. MPB'!E120="LIGERO",10,0)</f>
        <v>0</v>
      </c>
      <c r="M119" s="574">
        <f>IF('CG. MPB'!E120="CANTERA",30,0)</f>
        <v>0</v>
      </c>
      <c r="N119" s="575">
        <f t="shared" si="15"/>
        <v>0</v>
      </c>
      <c r="O119" s="918">
        <f>ABS('ELEM. MECA.'!D246)</f>
        <v>0</v>
      </c>
      <c r="P119" s="919">
        <f>IF(AND('CG. MPB'!D120="CONFINADO",'CG. MPB'!E120="TABIQUE",'CG. MPB'!F120="MACIZO"),'RMCV.PB'!Y119,IF(AND('CG. MPB'!D120="CONFINADO",'CG. MPB'!E120="TABICON",'CG. MPB'!F120="MACIZO"),'RMCV.PB'!Y119,IF(AND('CG. MPB'!D120="CONFINADO",'CG. MPB'!E120="LIGERO",'CG. MPB'!F120="MACIZO"),'RMCV.PB'!Y119,IF(AND('CG. MPB'!D120="NO CONFINADO",'CG. MPB'!E120="TABIQUE",'CG. MPB'!F120="MACIZO"),Z119,IF(AND('CG. MPB'!D120="NO CONFINADO",'CG. MPB'!E120="TABICON",'CG. MPB'!F120="MACIZO"),Z119,IF(AND('CG. MPB'!D120="NO CONFINADO",'CG. MPB'!E120="LIGERO",'CG. MPB'!F120="MACIZO"),Z119,IF(AND('CG. MPB'!E120="TABIQUE",'CG. MPB'!F120="HUECO"),X119,IF('CG. MPB'!E120="ADOBE",'RMCV.PB'!AA119,'RMCV.PB'!AB119))))))))</f>
        <v>0</v>
      </c>
      <c r="Q119" s="685" t="str">
        <f t="shared" si="16"/>
        <v>PASA</v>
      </c>
      <c r="R119" s="4">
        <f>IF(D119*E119*(F119*N119+'CASTILLOS-PB'!W135*FY)&gt;1.25*D119*E119*F119*N119,1.25*D119*E119*F119*N119,D119*E119*(F119*N119+'CASTILLOS-PB'!W135*FY))</f>
        <v>0</v>
      </c>
      <c r="S119" s="4">
        <f>D119*E119*(F119*N119+'CASTILLOS-PB'!G135*FY*2)</f>
        <v>0</v>
      </c>
      <c r="T119" s="4">
        <f t="shared" si="22"/>
        <v>0</v>
      </c>
      <c r="U119" s="4">
        <f t="shared" si="23"/>
        <v>0</v>
      </c>
      <c r="V119" s="533">
        <f>D119*(0.7*$G$24*(B119*C119)+2000*'MUR.CONC-PB'!K119)</f>
        <v>0</v>
      </c>
      <c r="W119" s="533">
        <f t="shared" si="25"/>
        <v>0</v>
      </c>
      <c r="X119" s="543">
        <f>IF(AND('CG. MPB'!E120="TABIQUE",'CG. MPB'!F120="HUECO"),R119,0)</f>
        <v>0</v>
      </c>
      <c r="Y119" s="543">
        <f>IF(AND('CG. MPB'!D120="CONFINADO",'CG. MPB'!E120="TABIQUE",'CG. MPB'!F120="MACIZO"),'RMCV.PB'!S119,IF(AND('CG. MPB'!D120="CONFINADO",'CG. MPB'!E120="TABICON",'CG. MPB'!F120="MACIZO"),'RMCV.PB'!S119,IF(AND('CG. MPB'!D120="CONFINADO",'CG. MPB'!E120="LIGERO",'CG. MPB'!F120="MACIZO"),'RMCV.PB'!S119,0)))</f>
        <v>0</v>
      </c>
      <c r="Z119" s="543">
        <f>IF(AND('CG. MPB'!D120="NO CONFINADO",'CG. MPB'!E120="TABIQUE",'CG. MPB'!F120="MACIZO"),T119,IF(AND('CG. MPB'!D120="NO CONFINADO",'CG. MPB'!E120="TABICON",'CG. MPB'!F120="MACIZO"),T119,IF(AND('CG. MPB'!D120="NO CONFINADO",'CG. MPB'!E120="LIGERO",'CG. MPB'!F120="MACIZO"),T119,0)))</f>
        <v>0</v>
      </c>
      <c r="AA119" s="543">
        <f>IF('CG. MPB'!E120="ADOBE",'RMCV.PB'!U119,0)</f>
        <v>0</v>
      </c>
      <c r="AB119" s="543">
        <f>IF('CG. MPB'!E120="CONCRETO",'RMCV.PB'!V119,0)</f>
        <v>0</v>
      </c>
      <c r="AC119" s="900"/>
      <c r="AD119" s="93">
        <f t="shared" si="13"/>
        <v>0</v>
      </c>
      <c r="AE119" s="428">
        <v>0.6</v>
      </c>
      <c r="AF119" s="4" t="e">
        <f>(1-2*AD119/C119)*(1-(AE119*'CG. MPB'!C120*10/(30*C119))^2)</f>
        <v>#DIV/0!</v>
      </c>
      <c r="AG119" s="350" t="e">
        <f>(1-(2*AD119/C119))*(1-(AE119*'CG. MPB'!C120*10/(30*C119))^2)*(1-('CG. MPB'!C120*10/B119))+('CG. MPB'!C120*10/B119)</f>
        <v>#DIV/0!</v>
      </c>
      <c r="AH119" s="429" t="e">
        <f t="shared" si="24"/>
        <v>#DIV/0!</v>
      </c>
    </row>
    <row r="120" spans="1:34">
      <c r="A120" s="684">
        <f>'CG. MPB'!A121</f>
        <v>41</v>
      </c>
      <c r="B120" s="578">
        <f>'CG. MPB'!B121*100</f>
        <v>0</v>
      </c>
      <c r="C120" s="68">
        <f>'ELEM. MECA.'!J247</f>
        <v>0</v>
      </c>
      <c r="D120" s="38">
        <f>IF(AND('CG. MPB'!D121="CONFINADO",'CG. MPB'!D121="CONCRETO"),0.8,IF('CG. MPB'!D121="NO CONFINADO",0.3,0.6))</f>
        <v>0.6</v>
      </c>
      <c r="E120" s="68">
        <v>0.6</v>
      </c>
      <c r="F120" s="38">
        <f>IF('CG. MPB'!E121="CONCRETO",G120,'RMCV.PB'!H120+'RMCV.PB'!I120+'RMCV.PB'!J120+K120+L120+M120)</f>
        <v>0</v>
      </c>
      <c r="G120" s="542">
        <f>IF('CG. MPB'!E121="CONCRETO",0.6*$G$24,0)</f>
        <v>0</v>
      </c>
      <c r="H120" s="574">
        <f>IF(AND('CG. MPB'!E121="TABIQUE",'CG. MPB'!F121="MACIZO"),15,0)</f>
        <v>0</v>
      </c>
      <c r="I120" s="574">
        <f>IF(AND('CG. MPB'!E121="TABIQUE",'CG. MPB'!F121="HUECO"),IF(E57="III",30,40),0)</f>
        <v>0</v>
      </c>
      <c r="J120" s="574">
        <f>IF('CG. MPB'!E121="TABICON",IF(E57="I",20,15),0)</f>
        <v>0</v>
      </c>
      <c r="K120" s="574">
        <f>IF('CG. MPB'!E121="ADOBE",10,0)</f>
        <v>0</v>
      </c>
      <c r="L120" s="574">
        <f>IF('CG. MPB'!E121="LIGERO",10,0)</f>
        <v>0</v>
      </c>
      <c r="M120" s="574">
        <f>IF('CG. MPB'!E121="CANTERA",30,0)</f>
        <v>0</v>
      </c>
      <c r="N120" s="575">
        <f t="shared" si="15"/>
        <v>0</v>
      </c>
      <c r="O120" s="918">
        <f>ABS('ELEM. MECA.'!D247)</f>
        <v>0</v>
      </c>
      <c r="P120" s="919">
        <f>IF(AND('CG. MPB'!D121="CONFINADO",'CG. MPB'!E121="TABIQUE",'CG. MPB'!F121="MACIZO"),'RMCV.PB'!Y120,IF(AND('CG. MPB'!D121="CONFINADO",'CG. MPB'!E121="TABICON",'CG. MPB'!F121="MACIZO"),'RMCV.PB'!Y120,IF(AND('CG. MPB'!D121="CONFINADO",'CG. MPB'!E121="LIGERO",'CG. MPB'!F121="MACIZO"),'RMCV.PB'!Y120,IF(AND('CG. MPB'!D121="NO CONFINADO",'CG. MPB'!E121="TABIQUE",'CG. MPB'!F121="MACIZO"),Z120,IF(AND('CG. MPB'!D121="NO CONFINADO",'CG. MPB'!E121="TABICON",'CG. MPB'!F121="MACIZO"),Z120,IF(AND('CG. MPB'!D121="NO CONFINADO",'CG. MPB'!E121="LIGERO",'CG. MPB'!F121="MACIZO"),Z120,IF(AND('CG. MPB'!E121="TABIQUE",'CG. MPB'!F121="HUECO"),X120,IF('CG. MPB'!E121="ADOBE",'RMCV.PB'!AA120,'RMCV.PB'!AB120))))))))</f>
        <v>0</v>
      </c>
      <c r="Q120" s="685" t="str">
        <f t="shared" si="16"/>
        <v>PASA</v>
      </c>
      <c r="R120" s="4">
        <f>IF(D120*E120*(F120*N120+'CASTILLOS-PB'!W136*FY)&gt;1.25*D120*E120*F120*N120,1.25*D120*E120*F120*N120,D120*E120*(F120*N120+'CASTILLOS-PB'!W136*FY))</f>
        <v>0</v>
      </c>
      <c r="S120" s="4">
        <f>D120*E120*(F120*N120+'CASTILLOS-PB'!G136*FY*2)</f>
        <v>0</v>
      </c>
      <c r="T120" s="4">
        <f t="shared" si="22"/>
        <v>0</v>
      </c>
      <c r="U120" s="4">
        <f t="shared" si="23"/>
        <v>0</v>
      </c>
      <c r="V120" s="533">
        <f>D120*(0.7*$G$24*(B120*C120)+2000*'MUR.CONC-PB'!K120)</f>
        <v>0</v>
      </c>
      <c r="W120" s="533">
        <f t="shared" si="25"/>
        <v>0</v>
      </c>
      <c r="X120" s="543">
        <f>IF(AND('CG. MPB'!E121="TABIQUE",'CG. MPB'!F121="HUECO"),R120,0)</f>
        <v>0</v>
      </c>
      <c r="Y120" s="543">
        <f>IF(AND('CG. MPB'!D121="CONFINADO",'CG. MPB'!E121="TABIQUE",'CG. MPB'!F121="MACIZO"),'RMCV.PB'!S120,IF(AND('CG. MPB'!D121="CONFINADO",'CG. MPB'!E121="TABICON",'CG. MPB'!F121="MACIZO"),'RMCV.PB'!S120,IF(AND('CG. MPB'!D121="CONFINADO",'CG. MPB'!E121="LIGERO",'CG. MPB'!F121="MACIZO"),'RMCV.PB'!S120,0)))</f>
        <v>0</v>
      </c>
      <c r="Z120" s="543">
        <f>IF(AND('CG. MPB'!D121="NO CONFINADO",'CG. MPB'!E121="TABIQUE",'CG. MPB'!F121="MACIZO"),T120,IF(AND('CG. MPB'!D121="NO CONFINADO",'CG. MPB'!E121="TABICON",'CG. MPB'!F121="MACIZO"),T120,IF(AND('CG. MPB'!D121="NO CONFINADO",'CG. MPB'!E121="LIGERO",'CG. MPB'!F121="MACIZO"),T120,0)))</f>
        <v>0</v>
      </c>
      <c r="AA120" s="543">
        <f>IF('CG. MPB'!E121="ADOBE",'RMCV.PB'!U120,0)</f>
        <v>0</v>
      </c>
      <c r="AB120" s="543">
        <f>IF('CG. MPB'!E121="CONCRETO",'RMCV.PB'!V120,0)</f>
        <v>0</v>
      </c>
      <c r="AC120" s="900"/>
      <c r="AD120" s="93">
        <f t="shared" si="13"/>
        <v>0</v>
      </c>
      <c r="AE120" s="428">
        <v>0.6</v>
      </c>
      <c r="AF120" s="4" t="e">
        <f>(1-2*AD120/C120)*(1-(AE120*'CG. MPB'!C121*10/(30*C120))^2)</f>
        <v>#DIV/0!</v>
      </c>
      <c r="AG120" s="350" t="e">
        <f>(1-(2*AD120/C120))*(1-(AE120*'CG. MPB'!C121*10/(30*C120))^2)*(1-('CG. MPB'!C121*10/B120))+('CG. MPB'!C121*10/B120)</f>
        <v>#DIV/0!</v>
      </c>
      <c r="AH120" s="429" t="e">
        <f t="shared" si="24"/>
        <v>#DIV/0!</v>
      </c>
    </row>
    <row r="121" spans="1:34">
      <c r="A121" s="684">
        <f>'CG. MPB'!A122</f>
        <v>42</v>
      </c>
      <c r="B121" s="578">
        <f>'CG. MPB'!B122*100</f>
        <v>0</v>
      </c>
      <c r="C121" s="68">
        <f>'ELEM. MECA.'!J248</f>
        <v>0</v>
      </c>
      <c r="D121" s="38">
        <f>IF(AND('CG. MPB'!D122="CONFINADO",'CG. MPB'!D122="CONCRETO"),0.8,IF('CG. MPB'!D122="NO CONFINADO",0.3,0.6))</f>
        <v>0.6</v>
      </c>
      <c r="E121" s="68">
        <v>0.6</v>
      </c>
      <c r="F121" s="38">
        <f>IF('CG. MPB'!E122="CONCRETO",G121,'RMCV.PB'!H121+'RMCV.PB'!I121+'RMCV.PB'!J121+K121+L121+M121)</f>
        <v>0</v>
      </c>
      <c r="G121" s="542">
        <f>IF('CG. MPB'!E122="CONCRETO",0.6*$G$24,0)</f>
        <v>0</v>
      </c>
      <c r="H121" s="574">
        <f>IF(AND('CG. MPB'!E122="TABIQUE",'CG. MPB'!F122="MACIZO"),15,0)</f>
        <v>0</v>
      </c>
      <c r="I121" s="574">
        <f>IF(AND('CG. MPB'!E122="TABIQUE",'CG. MPB'!F122="HUECO"),IF(E58="III",30,40),0)</f>
        <v>0</v>
      </c>
      <c r="J121" s="574">
        <f>IF('CG. MPB'!E122="TABICON",IF(E58="I",20,15),0)</f>
        <v>0</v>
      </c>
      <c r="K121" s="574">
        <f>IF('CG. MPB'!E122="ADOBE",10,0)</f>
        <v>0</v>
      </c>
      <c r="L121" s="574">
        <f>IF('CG. MPB'!E122="LIGERO",10,0)</f>
        <v>0</v>
      </c>
      <c r="M121" s="574">
        <f>IF('CG. MPB'!E122="CANTERA",30,0)</f>
        <v>0</v>
      </c>
      <c r="N121" s="575">
        <f t="shared" si="15"/>
        <v>0</v>
      </c>
      <c r="O121" s="918">
        <f>ABS('ELEM. MECA.'!D248)</f>
        <v>0</v>
      </c>
      <c r="P121" s="919">
        <f>IF(AND('CG. MPB'!D122="CONFINADO",'CG. MPB'!E122="TABIQUE",'CG. MPB'!F122="MACIZO"),'RMCV.PB'!Y121,IF(AND('CG. MPB'!D122="CONFINADO",'CG. MPB'!E122="TABICON",'CG. MPB'!F122="MACIZO"),'RMCV.PB'!Y121,IF(AND('CG. MPB'!D122="CONFINADO",'CG. MPB'!E122="LIGERO",'CG. MPB'!F122="MACIZO"),'RMCV.PB'!Y121,IF(AND('CG. MPB'!D122="NO CONFINADO",'CG. MPB'!E122="TABIQUE",'CG. MPB'!F122="MACIZO"),Z121,IF(AND('CG. MPB'!D122="NO CONFINADO",'CG. MPB'!E122="TABICON",'CG. MPB'!F122="MACIZO"),Z121,IF(AND('CG. MPB'!D122="NO CONFINADO",'CG. MPB'!E122="LIGERO",'CG. MPB'!F122="MACIZO"),Z121,IF(AND('CG. MPB'!E122="TABIQUE",'CG. MPB'!F122="HUECO"),X121,IF('CG. MPB'!E122="ADOBE",'RMCV.PB'!AA121,'RMCV.PB'!AB121))))))))</f>
        <v>0</v>
      </c>
      <c r="Q121" s="685" t="str">
        <f t="shared" si="16"/>
        <v>PASA</v>
      </c>
      <c r="R121" s="4">
        <f>IF(D121*E121*(F121*N121+'CASTILLOS-PB'!W137*FY)&gt;1.25*D121*E121*F121*N121,1.25*D121*E121*F121*N121,D121*E121*(F121*N121+'CASTILLOS-PB'!W137*FY))</f>
        <v>0</v>
      </c>
      <c r="S121" s="4">
        <f>D121*E121*(F121*N121+'CASTILLOS-PB'!G137*FY*2)</f>
        <v>0</v>
      </c>
      <c r="T121" s="4">
        <f t="shared" si="22"/>
        <v>0</v>
      </c>
      <c r="U121" s="4">
        <f t="shared" si="23"/>
        <v>0</v>
      </c>
      <c r="V121" s="533">
        <f>D121*(0.7*$G$24*(B121*C121)+2000*'MUR.CONC-PB'!K121)</f>
        <v>0</v>
      </c>
      <c r="W121" s="533">
        <f t="shared" si="25"/>
        <v>0</v>
      </c>
      <c r="X121" s="543">
        <f>IF(AND('CG. MPB'!E122="TABIQUE",'CG. MPB'!F122="HUECO"),R121,0)</f>
        <v>0</v>
      </c>
      <c r="Y121" s="543">
        <f>IF(AND('CG. MPB'!D122="CONFINADO",'CG. MPB'!E122="TABIQUE",'CG. MPB'!F122="MACIZO"),'RMCV.PB'!S121,IF(AND('CG. MPB'!D122="CONFINADO",'CG. MPB'!E122="TABICON",'CG. MPB'!F122="MACIZO"),'RMCV.PB'!S121,IF(AND('CG. MPB'!D122="CONFINADO",'CG. MPB'!E122="LIGERO",'CG. MPB'!F122="MACIZO"),'RMCV.PB'!S121,0)))</f>
        <v>0</v>
      </c>
      <c r="Z121" s="543">
        <f>IF(AND('CG. MPB'!D122="NO CONFINADO",'CG. MPB'!E122="TABIQUE",'CG. MPB'!F122="MACIZO"),T121,IF(AND('CG. MPB'!D122="NO CONFINADO",'CG. MPB'!E122="TABICON",'CG. MPB'!F122="MACIZO"),T121,IF(AND('CG. MPB'!D122="NO CONFINADO",'CG. MPB'!E122="LIGERO",'CG. MPB'!F122="MACIZO"),T121,0)))</f>
        <v>0</v>
      </c>
      <c r="AA121" s="543">
        <f>IF('CG. MPB'!E122="ADOBE",'RMCV.PB'!U121,0)</f>
        <v>0</v>
      </c>
      <c r="AB121" s="543">
        <f>IF('CG. MPB'!E122="CONCRETO",'RMCV.PB'!V121,0)</f>
        <v>0</v>
      </c>
      <c r="AC121" s="900"/>
      <c r="AD121" s="93">
        <f t="shared" si="13"/>
        <v>0</v>
      </c>
      <c r="AE121" s="428">
        <v>0.6</v>
      </c>
      <c r="AF121" s="4" t="e">
        <f>(1-2*AD121/C121)*(1-(AE121*'CG. MPB'!C122*10/(30*C121))^2)</f>
        <v>#DIV/0!</v>
      </c>
      <c r="AG121" s="350" t="e">
        <f>(1-(2*AD121/C121))*(1-(AE121*'CG. MPB'!C122*10/(30*C121))^2)*(1-('CG. MPB'!C122*10/B121))+('CG. MPB'!C122*10/B121)</f>
        <v>#DIV/0!</v>
      </c>
      <c r="AH121" s="429" t="e">
        <f t="shared" si="24"/>
        <v>#DIV/0!</v>
      </c>
    </row>
    <row r="122" spans="1:34">
      <c r="A122" s="684">
        <f>'CG. MPB'!A123</f>
        <v>43</v>
      </c>
      <c r="B122" s="578">
        <f>'CG. MPB'!B123*100</f>
        <v>0</v>
      </c>
      <c r="C122" s="68">
        <f>'ELEM. MECA.'!J249</f>
        <v>0</v>
      </c>
      <c r="D122" s="38">
        <f>IF(AND('CG. MPB'!D123="CONFINADO",'CG. MPB'!D123="CONCRETO"),0.8,IF('CG. MPB'!D123="NO CONFINADO",0.3,0.6))</f>
        <v>0.6</v>
      </c>
      <c r="E122" s="68">
        <v>0.6</v>
      </c>
      <c r="F122" s="38">
        <f>IF('CG. MPB'!E123="CONCRETO",G122,'RMCV.PB'!H122+'RMCV.PB'!I122+'RMCV.PB'!J122+K122+L122+M122)</f>
        <v>0</v>
      </c>
      <c r="G122" s="542">
        <f>IF('CG. MPB'!E123="CONCRETO",0.6*$G$24,0)</f>
        <v>0</v>
      </c>
      <c r="H122" s="574">
        <f>IF(AND('CG. MPB'!E123="TABIQUE",'CG. MPB'!F123="MACIZO"),15,0)</f>
        <v>0</v>
      </c>
      <c r="I122" s="574">
        <f>IF(AND('CG. MPB'!E123="TABIQUE",'CG. MPB'!F123="HUECO"),IF(E59="III",30,40),0)</f>
        <v>0</v>
      </c>
      <c r="J122" s="574">
        <f>IF('CG. MPB'!E123="TABICON",IF(E59="I",20,15),0)</f>
        <v>0</v>
      </c>
      <c r="K122" s="574">
        <f>IF('CG. MPB'!E123="ADOBE",10,0)</f>
        <v>0</v>
      </c>
      <c r="L122" s="574">
        <f>IF('CG. MPB'!E123="LIGERO",10,0)</f>
        <v>0</v>
      </c>
      <c r="M122" s="574">
        <f>IF('CG. MPB'!E123="CANTERA",30,0)</f>
        <v>0</v>
      </c>
      <c r="N122" s="575">
        <f t="shared" si="15"/>
        <v>0</v>
      </c>
      <c r="O122" s="918">
        <f>ABS('ELEM. MECA.'!D249)</f>
        <v>0</v>
      </c>
      <c r="P122" s="919">
        <f>IF(AND('CG. MPB'!D123="CONFINADO",'CG. MPB'!E123="TABIQUE",'CG. MPB'!F123="MACIZO"),'RMCV.PB'!Y122,IF(AND('CG. MPB'!D123="CONFINADO",'CG. MPB'!E123="TABICON",'CG. MPB'!F123="MACIZO"),'RMCV.PB'!Y122,IF(AND('CG. MPB'!D123="CONFINADO",'CG. MPB'!E123="LIGERO",'CG. MPB'!F123="MACIZO"),'RMCV.PB'!Y122,IF(AND('CG. MPB'!D123="NO CONFINADO",'CG. MPB'!E123="TABIQUE",'CG. MPB'!F123="MACIZO"),Z122,IF(AND('CG. MPB'!D123="NO CONFINADO",'CG. MPB'!E123="TABICON",'CG. MPB'!F123="MACIZO"),Z122,IF(AND('CG. MPB'!D123="NO CONFINADO",'CG. MPB'!E123="LIGERO",'CG. MPB'!F123="MACIZO"),Z122,IF(AND('CG. MPB'!E123="TABIQUE",'CG. MPB'!F123="HUECO"),X122,IF('CG. MPB'!E123="ADOBE",'RMCV.PB'!AA122,'RMCV.PB'!AB122))))))))</f>
        <v>0</v>
      </c>
      <c r="Q122" s="685" t="str">
        <f t="shared" si="16"/>
        <v>PASA</v>
      </c>
      <c r="R122" s="4">
        <f>IF(D122*E122*(F122*N122+'CASTILLOS-PB'!W138*FY)&gt;1.25*D122*E122*F122*N122,1.25*D122*E122*F122*N122,D122*E122*(F122*N122+'CASTILLOS-PB'!W138*FY))</f>
        <v>0</v>
      </c>
      <c r="S122" s="4">
        <f>D122*E122*(F122*N122+'CASTILLOS-PB'!G138*FY*2)</f>
        <v>0</v>
      </c>
      <c r="T122" s="4">
        <f t="shared" si="22"/>
        <v>0</v>
      </c>
      <c r="U122" s="4">
        <f t="shared" si="23"/>
        <v>0</v>
      </c>
      <c r="V122" s="533">
        <f>D122*(0.7*$G$24*(B122*C122)+2000*'MUR.CONC-PB'!K122)</f>
        <v>0</v>
      </c>
      <c r="W122" s="533">
        <f t="shared" si="25"/>
        <v>0</v>
      </c>
      <c r="X122" s="543">
        <f>IF(AND('CG. MPB'!E123="TABIQUE",'CG. MPB'!F123="HUECO"),R122,0)</f>
        <v>0</v>
      </c>
      <c r="Y122" s="543">
        <f>IF(AND('CG. MPB'!D123="CONFINADO",'CG. MPB'!E123="TABIQUE",'CG. MPB'!F123="MACIZO"),'RMCV.PB'!S122,IF(AND('CG. MPB'!D123="CONFINADO",'CG. MPB'!E123="TABICON",'CG. MPB'!F123="MACIZO"),'RMCV.PB'!S122,IF(AND('CG. MPB'!D123="CONFINADO",'CG. MPB'!E123="LIGERO",'CG. MPB'!F123="MACIZO"),'RMCV.PB'!S122,0)))</f>
        <v>0</v>
      </c>
      <c r="Z122" s="543">
        <f>IF(AND('CG. MPB'!D123="NO CONFINADO",'CG. MPB'!E123="TABIQUE",'CG. MPB'!F123="MACIZO"),T122,IF(AND('CG. MPB'!D123="NO CONFINADO",'CG. MPB'!E123="TABICON",'CG. MPB'!F123="MACIZO"),T122,IF(AND('CG. MPB'!D123="NO CONFINADO",'CG. MPB'!E123="LIGERO",'CG. MPB'!F123="MACIZO"),T122,0)))</f>
        <v>0</v>
      </c>
      <c r="AA122" s="543">
        <f>IF('CG. MPB'!E123="ADOBE",'RMCV.PB'!U122,0)</f>
        <v>0</v>
      </c>
      <c r="AB122" s="543">
        <f>IF('CG. MPB'!E123="CONCRETO",'RMCV.PB'!V122,0)</f>
        <v>0</v>
      </c>
      <c r="AC122" s="900"/>
      <c r="AD122" s="93">
        <f t="shared" si="13"/>
        <v>0</v>
      </c>
      <c r="AE122" s="428">
        <v>0.6</v>
      </c>
      <c r="AF122" s="4" t="e">
        <f>(1-2*AD122/C122)*(1-(AE122*'CG. MPB'!C123*10/(30*C122))^2)</f>
        <v>#DIV/0!</v>
      </c>
      <c r="AG122" s="350" t="e">
        <f>(1-(2*AD122/C122))*(1-(AE122*'CG. MPB'!C123*10/(30*C122))^2)*(1-('CG. MPB'!C123*10/B122))+('CG. MPB'!C123*10/B122)</f>
        <v>#DIV/0!</v>
      </c>
      <c r="AH122" s="429" t="e">
        <f t="shared" si="24"/>
        <v>#DIV/0!</v>
      </c>
    </row>
    <row r="123" spans="1:34">
      <c r="A123" s="684">
        <f>'CG. MPB'!A124</f>
        <v>44</v>
      </c>
      <c r="B123" s="578">
        <f>'CG. MPB'!B124*100</f>
        <v>0</v>
      </c>
      <c r="C123" s="68">
        <f>'ELEM. MECA.'!J250</f>
        <v>0</v>
      </c>
      <c r="D123" s="38">
        <f>IF(AND('CG. MPB'!D124="CONFINADO",'CG. MPB'!D124="CONCRETO"),0.8,IF('CG. MPB'!D124="NO CONFINADO",0.3,0.6))</f>
        <v>0.6</v>
      </c>
      <c r="E123" s="68">
        <v>0.6</v>
      </c>
      <c r="F123" s="38">
        <f>IF('CG. MPB'!E124="CONCRETO",G123,'RMCV.PB'!H123+'RMCV.PB'!I123+'RMCV.PB'!J123+K123+L123+M123)</f>
        <v>0</v>
      </c>
      <c r="G123" s="542">
        <f>IF('CG. MPB'!E124="CONCRETO",0.6*$G$24,0)</f>
        <v>0</v>
      </c>
      <c r="H123" s="574">
        <f>IF(AND('CG. MPB'!E124="TABIQUE",'CG. MPB'!F124="MACIZO"),15,0)</f>
        <v>0</v>
      </c>
      <c r="I123" s="574">
        <f>IF(AND('CG. MPB'!E124="TABIQUE",'CG. MPB'!F124="HUECO"),IF(E60="III",30,40),0)</f>
        <v>0</v>
      </c>
      <c r="J123" s="574">
        <f>IF('CG. MPB'!E124="TABICON",IF(E60="I",20,15),0)</f>
        <v>0</v>
      </c>
      <c r="K123" s="574">
        <f>IF('CG. MPB'!E124="ADOBE",10,0)</f>
        <v>0</v>
      </c>
      <c r="L123" s="574">
        <f>IF('CG. MPB'!E124="LIGERO",10,0)</f>
        <v>0</v>
      </c>
      <c r="M123" s="574">
        <f>IF('CG. MPB'!E124="CANTERA",30,0)</f>
        <v>0</v>
      </c>
      <c r="N123" s="575">
        <f t="shared" si="15"/>
        <v>0</v>
      </c>
      <c r="O123" s="918">
        <f>ABS('ELEM. MECA.'!D250)</f>
        <v>0</v>
      </c>
      <c r="P123" s="919">
        <f>IF(AND('CG. MPB'!D124="CONFINADO",'CG. MPB'!E124="TABIQUE",'CG. MPB'!F124="MACIZO"),'RMCV.PB'!Y123,IF(AND('CG. MPB'!D124="CONFINADO",'CG. MPB'!E124="TABICON",'CG. MPB'!F124="MACIZO"),'RMCV.PB'!Y123,IF(AND('CG. MPB'!D124="CONFINADO",'CG. MPB'!E124="LIGERO",'CG. MPB'!F124="MACIZO"),'RMCV.PB'!Y123,IF(AND('CG. MPB'!D124="NO CONFINADO",'CG. MPB'!E124="TABIQUE",'CG. MPB'!F124="MACIZO"),Z123,IF(AND('CG. MPB'!D124="NO CONFINADO",'CG. MPB'!E124="TABICON",'CG. MPB'!F124="MACIZO"),Z123,IF(AND('CG. MPB'!D124="NO CONFINADO",'CG. MPB'!E124="LIGERO",'CG. MPB'!F124="MACIZO"),Z123,IF(AND('CG. MPB'!E124="TABIQUE",'CG. MPB'!F124="HUECO"),X123,IF('CG. MPB'!E124="ADOBE",'RMCV.PB'!AA123,'RMCV.PB'!AB123))))))))</f>
        <v>0</v>
      </c>
      <c r="Q123" s="685" t="str">
        <f t="shared" si="16"/>
        <v>PASA</v>
      </c>
      <c r="R123" s="4">
        <f>IF(D123*E123*(F123*N123+'CASTILLOS-PB'!W139*FY)&gt;1.25*D123*E123*F123*N123,1.25*D123*E123*F123*N123,D123*E123*(F123*N123+'CASTILLOS-PB'!W139*FY))</f>
        <v>0</v>
      </c>
      <c r="S123" s="4">
        <f>D123*E123*(F123*N123+'CASTILLOS-PB'!G139*FY*2)</f>
        <v>0</v>
      </c>
      <c r="T123" s="4">
        <f t="shared" si="22"/>
        <v>0</v>
      </c>
      <c r="U123" s="4">
        <f t="shared" si="23"/>
        <v>0</v>
      </c>
      <c r="V123" s="533">
        <f>D123*(0.7*$G$24*(B123*C123)+2000*'MUR.CONC-PB'!K123)</f>
        <v>0</v>
      </c>
      <c r="W123" s="533">
        <f t="shared" si="25"/>
        <v>0</v>
      </c>
      <c r="X123" s="543">
        <f>IF(AND('CG. MPB'!E124="TABIQUE",'CG. MPB'!F124="HUECO"),R123,0)</f>
        <v>0</v>
      </c>
      <c r="Y123" s="543">
        <f>IF(AND('CG. MPB'!D124="CONFINADO",'CG. MPB'!E124="TABIQUE",'CG. MPB'!F124="MACIZO"),'RMCV.PB'!S123,IF(AND('CG. MPB'!D124="CONFINADO",'CG. MPB'!E124="TABICON",'CG. MPB'!F124="MACIZO"),'RMCV.PB'!S123,IF(AND('CG. MPB'!D124="CONFINADO",'CG. MPB'!E124="LIGERO",'CG. MPB'!F124="MACIZO"),'RMCV.PB'!S123,0)))</f>
        <v>0</v>
      </c>
      <c r="Z123" s="543">
        <f>IF(AND('CG. MPB'!D124="NO CONFINADO",'CG. MPB'!E124="TABIQUE",'CG. MPB'!F124="MACIZO"),T123,IF(AND('CG. MPB'!D124="NO CONFINADO",'CG. MPB'!E124="TABICON",'CG. MPB'!F124="MACIZO"),T123,IF(AND('CG. MPB'!D124="NO CONFINADO",'CG. MPB'!E124="LIGERO",'CG. MPB'!F124="MACIZO"),T123,0)))</f>
        <v>0</v>
      </c>
      <c r="AA123" s="543">
        <f>IF('CG. MPB'!E124="ADOBE",'RMCV.PB'!U123,0)</f>
        <v>0</v>
      </c>
      <c r="AB123" s="543">
        <f>IF('CG. MPB'!E124="CONCRETO",'RMCV.PB'!V123,0)</f>
        <v>0</v>
      </c>
      <c r="AC123" s="900"/>
      <c r="AD123" s="93">
        <f t="shared" si="13"/>
        <v>0</v>
      </c>
      <c r="AE123" s="428">
        <v>0.6</v>
      </c>
      <c r="AF123" s="4" t="e">
        <f>(1-2*AD123/C123)*(1-(AE123*'CG. MPB'!C124*10/(30*C123))^2)</f>
        <v>#DIV/0!</v>
      </c>
      <c r="AG123" s="350" t="e">
        <f>(1-(2*AD123/C123))*(1-(AE123*'CG. MPB'!C124*10/(30*C123))^2)*(1-('CG. MPB'!C124*10/B123))+('CG. MPB'!C124*10/B123)</f>
        <v>#DIV/0!</v>
      </c>
      <c r="AH123" s="429" t="e">
        <f t="shared" si="24"/>
        <v>#DIV/0!</v>
      </c>
    </row>
    <row r="124" spans="1:34">
      <c r="A124" s="684">
        <f>'CG. MPB'!A125</f>
        <v>45</v>
      </c>
      <c r="B124" s="578">
        <f>'CG. MPB'!B125*100</f>
        <v>0</v>
      </c>
      <c r="C124" s="68">
        <f>'ELEM. MECA.'!J251</f>
        <v>0</v>
      </c>
      <c r="D124" s="38">
        <f>IF(AND('CG. MPB'!D125="CONFINADO",'CG. MPB'!D125="CONCRETO"),0.8,IF('CG. MPB'!D125="NO CONFINADO",0.3,0.6))</f>
        <v>0.6</v>
      </c>
      <c r="E124" s="68">
        <v>0.6</v>
      </c>
      <c r="F124" s="38">
        <f>IF('CG. MPB'!E125="CONCRETO",G124,'RMCV.PB'!H124+'RMCV.PB'!I124+'RMCV.PB'!J124+K124+L124+M124)</f>
        <v>0</v>
      </c>
      <c r="G124" s="542">
        <f>IF('CG. MPB'!E125="CONCRETO",0.6*$G$24,0)</f>
        <v>0</v>
      </c>
      <c r="H124" s="574">
        <f>IF(AND('CG. MPB'!E125="TABIQUE",'CG. MPB'!F125="MACIZO"),15,0)</f>
        <v>0</v>
      </c>
      <c r="I124" s="574">
        <f>IF(AND('CG. MPB'!E125="TABIQUE",'CG. MPB'!F125="HUECO"),IF(E61="III",30,40),0)</f>
        <v>0</v>
      </c>
      <c r="J124" s="574">
        <f>IF('CG. MPB'!E125="TABICON",IF(E61="I",20,15),0)</f>
        <v>0</v>
      </c>
      <c r="K124" s="574">
        <f>IF('CG. MPB'!E125="ADOBE",10,0)</f>
        <v>0</v>
      </c>
      <c r="L124" s="574">
        <f>IF('CG. MPB'!E125="LIGERO",10,0)</f>
        <v>0</v>
      </c>
      <c r="M124" s="574">
        <f>IF('CG. MPB'!E125="CANTERA",30,0)</f>
        <v>0</v>
      </c>
      <c r="N124" s="575">
        <f t="shared" si="15"/>
        <v>0</v>
      </c>
      <c r="O124" s="918">
        <f>ABS('ELEM. MECA.'!D251)</f>
        <v>0</v>
      </c>
      <c r="P124" s="919">
        <f>IF(AND('CG. MPB'!D125="CONFINADO",'CG. MPB'!E125="TABIQUE",'CG. MPB'!F125="MACIZO"),'RMCV.PB'!Y124,IF(AND('CG. MPB'!D125="CONFINADO",'CG. MPB'!E125="TABICON",'CG. MPB'!F125="MACIZO"),'RMCV.PB'!Y124,IF(AND('CG. MPB'!D125="CONFINADO",'CG. MPB'!E125="LIGERO",'CG. MPB'!F125="MACIZO"),'RMCV.PB'!Y124,IF(AND('CG. MPB'!D125="NO CONFINADO",'CG. MPB'!E125="TABIQUE",'CG. MPB'!F125="MACIZO"),Z124,IF(AND('CG. MPB'!D125="NO CONFINADO",'CG. MPB'!E125="TABICON",'CG. MPB'!F125="MACIZO"),Z124,IF(AND('CG. MPB'!D125="NO CONFINADO",'CG. MPB'!E125="LIGERO",'CG. MPB'!F125="MACIZO"),Z124,IF(AND('CG. MPB'!E125="TABIQUE",'CG. MPB'!F125="HUECO"),X124,IF('CG. MPB'!E125="ADOBE",'RMCV.PB'!AA124,'RMCV.PB'!AB124))))))))</f>
        <v>0</v>
      </c>
      <c r="Q124" s="685" t="str">
        <f t="shared" si="16"/>
        <v>PASA</v>
      </c>
      <c r="R124" s="4">
        <f>IF(D124*E124*(F124*N124+'CASTILLOS-PB'!W140*FY)&gt;1.25*D124*E124*F124*N124,1.25*D124*E124*F124*N124,D124*E124*(F124*N124+'CASTILLOS-PB'!W140*FY))</f>
        <v>0</v>
      </c>
      <c r="S124" s="4">
        <f>D124*E124*(F124*N124+'CASTILLOS-PB'!G140*FY*2)</f>
        <v>0</v>
      </c>
      <c r="T124" s="4">
        <f t="shared" si="22"/>
        <v>0</v>
      </c>
      <c r="U124" s="4">
        <f t="shared" si="23"/>
        <v>0</v>
      </c>
      <c r="V124" s="533">
        <f>D124*(0.7*$G$24*(B124*C124)+2000*'MUR.CONC-PB'!K124)</f>
        <v>0</v>
      </c>
      <c r="W124" s="533">
        <f t="shared" si="25"/>
        <v>0</v>
      </c>
      <c r="X124" s="543">
        <f>IF(AND('CG. MPB'!E125="TABIQUE",'CG. MPB'!F125="HUECO"),R124,0)</f>
        <v>0</v>
      </c>
      <c r="Y124" s="543">
        <f>IF(AND('CG. MPB'!D125="CONFINADO",'CG. MPB'!E125="TABIQUE",'CG. MPB'!F125="MACIZO"),'RMCV.PB'!S124,IF(AND('CG. MPB'!D125="CONFINADO",'CG. MPB'!E125="TABICON",'CG. MPB'!F125="MACIZO"),'RMCV.PB'!S124,IF(AND('CG. MPB'!D125="CONFINADO",'CG. MPB'!E125="LIGERO",'CG. MPB'!F125="MACIZO"),'RMCV.PB'!S124,0)))</f>
        <v>0</v>
      </c>
      <c r="Z124" s="543">
        <f>IF(AND('CG. MPB'!D125="NO CONFINADO",'CG. MPB'!E125="TABIQUE",'CG. MPB'!F125="MACIZO"),T124,IF(AND('CG. MPB'!D125="NO CONFINADO",'CG. MPB'!E125="TABICON",'CG. MPB'!F125="MACIZO"),T124,IF(AND('CG. MPB'!D125="NO CONFINADO",'CG. MPB'!E125="LIGERO",'CG. MPB'!F125="MACIZO"),T124,0)))</f>
        <v>0</v>
      </c>
      <c r="AA124" s="543">
        <f>IF('CG. MPB'!E125="ADOBE",'RMCV.PB'!U124,0)</f>
        <v>0</v>
      </c>
      <c r="AB124" s="543">
        <f>IF('CG. MPB'!E125="CONCRETO",'RMCV.PB'!V124,0)</f>
        <v>0</v>
      </c>
      <c r="AC124" s="900"/>
      <c r="AD124" s="93">
        <f t="shared" si="13"/>
        <v>0</v>
      </c>
      <c r="AE124" s="428">
        <v>0.6</v>
      </c>
      <c r="AF124" s="4" t="e">
        <f>(1-2*AD124/C124)*(1-(AE124*'CG. MPB'!C125*10/(30*C124))^2)</f>
        <v>#DIV/0!</v>
      </c>
      <c r="AG124" s="350" t="e">
        <f>(1-(2*AD124/C124))*(1-(AE124*'CG. MPB'!C125*10/(30*C124))^2)*(1-('CG. MPB'!C125*10/B124))+('CG. MPB'!C125*10/B124)</f>
        <v>#DIV/0!</v>
      </c>
      <c r="AH124" s="429" t="e">
        <f t="shared" si="24"/>
        <v>#DIV/0!</v>
      </c>
    </row>
    <row r="125" spans="1:34">
      <c r="A125" s="684">
        <f>'CG. MPB'!A126</f>
        <v>46</v>
      </c>
      <c r="B125" s="578">
        <f>'CG. MPB'!B126*100</f>
        <v>0</v>
      </c>
      <c r="C125" s="68">
        <f>'ELEM. MECA.'!J252</f>
        <v>0</v>
      </c>
      <c r="D125" s="38">
        <f>IF(AND('CG. MPB'!D126="CONFINADO",'CG. MPB'!D126="CONCRETO"),0.8,IF('CG. MPB'!D126="NO CONFINADO",0.3,0.6))</f>
        <v>0.6</v>
      </c>
      <c r="E125" s="68">
        <v>0.6</v>
      </c>
      <c r="F125" s="38">
        <f>IF('CG. MPB'!E126="CONCRETO",G125,'RMCV.PB'!H125+'RMCV.PB'!I125+'RMCV.PB'!J125+K125+L125+M125)</f>
        <v>0</v>
      </c>
      <c r="G125" s="542">
        <f>IF('CG. MPB'!E126="CONCRETO",0.6*$G$24,0)</f>
        <v>0</v>
      </c>
      <c r="H125" s="574">
        <f>IF(AND('CG. MPB'!E126="TABIQUE",'CG. MPB'!F126="MACIZO"),15,0)</f>
        <v>0</v>
      </c>
      <c r="I125" s="574">
        <f>IF(AND('CG. MPB'!E126="TABIQUE",'CG. MPB'!F126="HUECO"),IF(E62="III",30,40),0)</f>
        <v>0</v>
      </c>
      <c r="J125" s="574">
        <f>IF('CG. MPB'!E126="TABICON",IF(E62="I",20,15),0)</f>
        <v>0</v>
      </c>
      <c r="K125" s="574">
        <f>IF('CG. MPB'!E126="ADOBE",10,0)</f>
        <v>0</v>
      </c>
      <c r="L125" s="574">
        <f>IF('CG. MPB'!E126="LIGERO",10,0)</f>
        <v>0</v>
      </c>
      <c r="M125" s="574">
        <f>IF('CG. MPB'!E126="CANTERA",30,0)</f>
        <v>0</v>
      </c>
      <c r="N125" s="575">
        <f t="shared" si="15"/>
        <v>0</v>
      </c>
      <c r="O125" s="918">
        <f>ABS('ELEM. MECA.'!D252)</f>
        <v>0</v>
      </c>
      <c r="P125" s="919">
        <f>IF(AND('CG. MPB'!D126="CONFINADO",'CG. MPB'!E126="TABIQUE",'CG. MPB'!F126="MACIZO"),'RMCV.PB'!Y125,IF(AND('CG. MPB'!D126="CONFINADO",'CG. MPB'!E126="TABICON",'CG. MPB'!F126="MACIZO"),'RMCV.PB'!Y125,IF(AND('CG. MPB'!D126="CONFINADO",'CG. MPB'!E126="LIGERO",'CG. MPB'!F126="MACIZO"),'RMCV.PB'!Y125,IF(AND('CG. MPB'!D126="NO CONFINADO",'CG. MPB'!E126="TABIQUE",'CG. MPB'!F126="MACIZO"),Z125,IF(AND('CG. MPB'!D126="NO CONFINADO",'CG. MPB'!E126="TABICON",'CG. MPB'!F126="MACIZO"),Z125,IF(AND('CG. MPB'!D126="NO CONFINADO",'CG. MPB'!E126="LIGERO",'CG. MPB'!F126="MACIZO"),Z125,IF(AND('CG. MPB'!E126="TABIQUE",'CG. MPB'!F126="HUECO"),X125,IF('CG. MPB'!E126="ADOBE",'RMCV.PB'!AA125,'RMCV.PB'!AB125))))))))</f>
        <v>0</v>
      </c>
      <c r="Q125" s="685" t="str">
        <f t="shared" si="16"/>
        <v>PASA</v>
      </c>
      <c r="R125" s="4">
        <f>IF(D125*E125*(F125*N125+'CASTILLOS-PB'!W141*FY)&gt;1.25*D125*E125*F125*N125,1.25*D125*E125*F125*N125,D125*E125*(F125*N125+'CASTILLOS-PB'!W141*FY))</f>
        <v>0</v>
      </c>
      <c r="S125" s="4">
        <f>D125*E125*(F125*N125+'CASTILLOS-PB'!G141*FY*2)</f>
        <v>0</v>
      </c>
      <c r="T125" s="4">
        <f t="shared" si="22"/>
        <v>0</v>
      </c>
      <c r="U125" s="4">
        <f t="shared" si="23"/>
        <v>0</v>
      </c>
      <c r="V125" s="533">
        <f>D125*(0.7*$G$24*(B125*C125)+2000*'MUR.CONC-PB'!K125)</f>
        <v>0</v>
      </c>
      <c r="W125" s="533">
        <f t="shared" si="25"/>
        <v>0</v>
      </c>
      <c r="X125" s="543">
        <f>IF(AND('CG. MPB'!E126="TABIQUE",'CG. MPB'!F126="HUECO"),R125,0)</f>
        <v>0</v>
      </c>
      <c r="Y125" s="543">
        <f>IF(AND('CG. MPB'!D126="CONFINADO",'CG. MPB'!E126="TABIQUE",'CG. MPB'!F126="MACIZO"),'RMCV.PB'!S125,IF(AND('CG. MPB'!D126="CONFINADO",'CG. MPB'!E126="TABICON",'CG. MPB'!F126="MACIZO"),'RMCV.PB'!S125,IF(AND('CG. MPB'!D126="CONFINADO",'CG. MPB'!E126="LIGERO",'CG. MPB'!F126="MACIZO"),'RMCV.PB'!S125,0)))</f>
        <v>0</v>
      </c>
      <c r="Z125" s="543">
        <f>IF(AND('CG. MPB'!D126="NO CONFINADO",'CG. MPB'!E126="TABIQUE",'CG. MPB'!F126="MACIZO"),T125,IF(AND('CG. MPB'!D126="NO CONFINADO",'CG. MPB'!E126="TABICON",'CG. MPB'!F126="MACIZO"),T125,IF(AND('CG. MPB'!D126="NO CONFINADO",'CG. MPB'!E126="LIGERO",'CG. MPB'!F126="MACIZO"),T125,0)))</f>
        <v>0</v>
      </c>
      <c r="AA125" s="543">
        <f>IF('CG. MPB'!E126="ADOBE",'RMCV.PB'!U125,0)</f>
        <v>0</v>
      </c>
      <c r="AB125" s="543">
        <f>IF('CG. MPB'!E126="CONCRETO",'RMCV.PB'!V125,0)</f>
        <v>0</v>
      </c>
      <c r="AC125" s="900"/>
      <c r="AD125" s="93">
        <f t="shared" si="13"/>
        <v>0</v>
      </c>
      <c r="AE125" s="428">
        <v>0.6</v>
      </c>
      <c r="AF125" s="4" t="e">
        <f>(1-2*AD125/C125)*(1-(AE125*'CG. MPB'!C126*10/(30*C125))^2)</f>
        <v>#DIV/0!</v>
      </c>
      <c r="AG125" s="350" t="e">
        <f>(1-(2*AD125/C125))*(1-(AE125*'CG. MPB'!C126*10/(30*C125))^2)*(1-('CG. MPB'!C126*10/B125))+('CG. MPB'!C126*10/B125)</f>
        <v>#DIV/0!</v>
      </c>
      <c r="AH125" s="429" t="e">
        <f t="shared" si="24"/>
        <v>#DIV/0!</v>
      </c>
    </row>
    <row r="126" spans="1:34">
      <c r="A126" s="684">
        <f>'CG. MPB'!A127</f>
        <v>47</v>
      </c>
      <c r="B126" s="578">
        <f>'CG. MPB'!B127*100</f>
        <v>0</v>
      </c>
      <c r="C126" s="68">
        <f>'ELEM. MECA.'!J253</f>
        <v>0</v>
      </c>
      <c r="D126" s="38">
        <f>IF(AND('CG. MPB'!D127="CONFINADO",'CG. MPB'!D127="CONCRETO"),0.8,IF('CG. MPB'!D127="NO CONFINADO",0.3,0.6))</f>
        <v>0.6</v>
      </c>
      <c r="E126" s="68">
        <v>0.6</v>
      </c>
      <c r="F126" s="38">
        <f>IF('CG. MPB'!E127="CONCRETO",G126,'RMCV.PB'!H126+'RMCV.PB'!I126+'RMCV.PB'!J126+K126+L126+M126)</f>
        <v>0</v>
      </c>
      <c r="G126" s="542">
        <f>IF('CG. MPB'!E127="CONCRETO",0.6*$G$24,0)</f>
        <v>0</v>
      </c>
      <c r="H126" s="574">
        <f>IF(AND('CG. MPB'!E127="TABIQUE",'CG. MPB'!F127="MACIZO"),15,0)</f>
        <v>0</v>
      </c>
      <c r="I126" s="574">
        <f>IF(AND('CG. MPB'!E127="TABIQUE",'CG. MPB'!F127="HUECO"),IF(E63="III",30,40),0)</f>
        <v>0</v>
      </c>
      <c r="J126" s="574">
        <f>IF('CG. MPB'!E127="TABICON",IF(E63="I",20,15),0)</f>
        <v>0</v>
      </c>
      <c r="K126" s="574">
        <f>IF('CG. MPB'!E127="ADOBE",10,0)</f>
        <v>0</v>
      </c>
      <c r="L126" s="574">
        <f>IF('CG. MPB'!E127="LIGERO",10,0)</f>
        <v>0</v>
      </c>
      <c r="M126" s="574">
        <f>IF('CG. MPB'!E127="CANTERA",30,0)</f>
        <v>0</v>
      </c>
      <c r="N126" s="575">
        <f t="shared" si="15"/>
        <v>0</v>
      </c>
      <c r="O126" s="918">
        <f>ABS('ELEM. MECA.'!D253)</f>
        <v>0</v>
      </c>
      <c r="P126" s="919">
        <f>IF(AND('CG. MPB'!D127="CONFINADO",'CG. MPB'!E127="TABIQUE",'CG. MPB'!F127="MACIZO"),'RMCV.PB'!Y126,IF(AND('CG. MPB'!D127="CONFINADO",'CG. MPB'!E127="TABICON",'CG. MPB'!F127="MACIZO"),'RMCV.PB'!Y126,IF(AND('CG. MPB'!D127="CONFINADO",'CG. MPB'!E127="LIGERO",'CG. MPB'!F127="MACIZO"),'RMCV.PB'!Y126,IF(AND('CG. MPB'!D127="NO CONFINADO",'CG. MPB'!E127="TABIQUE",'CG. MPB'!F127="MACIZO"),Z126,IF(AND('CG. MPB'!D127="NO CONFINADO",'CG. MPB'!E127="TABICON",'CG. MPB'!F127="MACIZO"),Z126,IF(AND('CG. MPB'!D127="NO CONFINADO",'CG. MPB'!E127="LIGERO",'CG. MPB'!F127="MACIZO"),Z126,IF(AND('CG. MPB'!E127="TABIQUE",'CG. MPB'!F127="HUECO"),X126,IF('CG. MPB'!E127="ADOBE",'RMCV.PB'!AA126,'RMCV.PB'!AB126))))))))</f>
        <v>0</v>
      </c>
      <c r="Q126" s="685" t="str">
        <f t="shared" si="16"/>
        <v>PASA</v>
      </c>
      <c r="R126" s="4">
        <f>IF(D126*E126*(F126*N126+'CASTILLOS-PB'!W142*FY)&gt;1.25*D126*E126*F126*N126,1.25*D126*E126*F126*N126,D126*E126*(F126*N126+'CASTILLOS-PB'!W142*FY))</f>
        <v>0</v>
      </c>
      <c r="S126" s="4">
        <f>D126*E126*(F126*N126+'CASTILLOS-PB'!G142*FY*2)</f>
        <v>0</v>
      </c>
      <c r="T126" s="4">
        <f t="shared" si="22"/>
        <v>0</v>
      </c>
      <c r="U126" s="4">
        <f t="shared" si="23"/>
        <v>0</v>
      </c>
      <c r="V126" s="533">
        <f>D126*(0.7*$G$24*(B126*C126)+2000*'MUR.CONC-PB'!K126)</f>
        <v>0</v>
      </c>
      <c r="W126" s="533">
        <f t="shared" si="25"/>
        <v>0</v>
      </c>
      <c r="X126" s="543">
        <f>IF(AND('CG. MPB'!E127="TABIQUE",'CG. MPB'!F127="HUECO"),R126,0)</f>
        <v>0</v>
      </c>
      <c r="Y126" s="543">
        <f>IF(AND('CG. MPB'!D127="CONFINADO",'CG. MPB'!E127="TABIQUE",'CG. MPB'!F127="MACIZO"),'RMCV.PB'!S126,IF(AND('CG. MPB'!D127="CONFINADO",'CG. MPB'!E127="TABICON",'CG. MPB'!F127="MACIZO"),'RMCV.PB'!S126,IF(AND('CG. MPB'!D127="CONFINADO",'CG. MPB'!E127="LIGERO",'CG. MPB'!F127="MACIZO"),'RMCV.PB'!S126,0)))</f>
        <v>0</v>
      </c>
      <c r="Z126" s="543">
        <f>IF(AND('CG. MPB'!D127="NO CONFINADO",'CG. MPB'!E127="TABIQUE",'CG. MPB'!F127="MACIZO"),T126,IF(AND('CG. MPB'!D127="NO CONFINADO",'CG. MPB'!E127="TABICON",'CG. MPB'!F127="MACIZO"),T126,IF(AND('CG. MPB'!D127="NO CONFINADO",'CG. MPB'!E127="LIGERO",'CG. MPB'!F127="MACIZO"),T126,0)))</f>
        <v>0</v>
      </c>
      <c r="AA126" s="543">
        <f>IF('CG. MPB'!E127="ADOBE",'RMCV.PB'!U126,0)</f>
        <v>0</v>
      </c>
      <c r="AB126" s="543">
        <f>IF('CG. MPB'!E127="CONCRETO",'RMCV.PB'!V126,0)</f>
        <v>0</v>
      </c>
      <c r="AC126" s="900"/>
      <c r="AD126" s="93">
        <f t="shared" si="13"/>
        <v>0</v>
      </c>
      <c r="AE126" s="428">
        <v>0.6</v>
      </c>
      <c r="AF126" s="4" t="e">
        <f>(1-2*AD126/C126)*(1-(AE126*'CG. MPB'!C127*10/(30*C126))^2)</f>
        <v>#DIV/0!</v>
      </c>
      <c r="AG126" s="350" t="e">
        <f>(1-(2*AD126/C126))*(1-(AE126*'CG. MPB'!C127*10/(30*C126))^2)*(1-('CG. MPB'!C127*10/B126))+('CG. MPB'!C127*10/B126)</f>
        <v>#DIV/0!</v>
      </c>
      <c r="AH126" s="429" t="e">
        <f t="shared" si="24"/>
        <v>#DIV/0!</v>
      </c>
    </row>
    <row r="127" spans="1:34">
      <c r="A127" s="684">
        <f>'CG. MPB'!A128</f>
        <v>48</v>
      </c>
      <c r="B127" s="578">
        <f>'CG. MPB'!B128*100</f>
        <v>0</v>
      </c>
      <c r="C127" s="68">
        <f>'ELEM. MECA.'!J254</f>
        <v>0</v>
      </c>
      <c r="D127" s="38">
        <f>IF(AND('CG. MPB'!D128="CONFINADO",'CG. MPB'!D128="CONCRETO"),0.8,IF('CG. MPB'!D128="NO CONFINADO",0.3,0.6))</f>
        <v>0.6</v>
      </c>
      <c r="E127" s="68">
        <v>0.6</v>
      </c>
      <c r="F127" s="38">
        <f>IF('CG. MPB'!E128="CONCRETO",G127,'RMCV.PB'!H127+'RMCV.PB'!I127+'RMCV.PB'!J127+K127+L127+M127)</f>
        <v>0</v>
      </c>
      <c r="G127" s="542">
        <f>IF('CG. MPB'!E128="CONCRETO",0.6*$G$24,0)</f>
        <v>0</v>
      </c>
      <c r="H127" s="574">
        <f>IF(AND('CG. MPB'!E128="TABIQUE",'CG. MPB'!F128="MACIZO"),15,0)</f>
        <v>0</v>
      </c>
      <c r="I127" s="574">
        <f>IF(AND('CG. MPB'!E128="TABIQUE",'CG. MPB'!F128="HUECO"),IF(E64="III",30,40),0)</f>
        <v>0</v>
      </c>
      <c r="J127" s="574">
        <f>IF('CG. MPB'!E128="TABICON",IF(E64="I",20,15),0)</f>
        <v>0</v>
      </c>
      <c r="K127" s="574">
        <f>IF('CG. MPB'!E128="ADOBE",10,0)</f>
        <v>0</v>
      </c>
      <c r="L127" s="574">
        <f>IF('CG. MPB'!E128="LIGERO",10,0)</f>
        <v>0</v>
      </c>
      <c r="M127" s="574">
        <f>IF('CG. MPB'!E128="CANTERA",30,0)</f>
        <v>0</v>
      </c>
      <c r="N127" s="575">
        <f t="shared" si="15"/>
        <v>0</v>
      </c>
      <c r="O127" s="918">
        <f>ABS('ELEM. MECA.'!D254)</f>
        <v>0</v>
      </c>
      <c r="P127" s="919">
        <f>IF(AND('CG. MPB'!D128="CONFINADO",'CG. MPB'!E128="TABIQUE",'CG. MPB'!F128="MACIZO"),'RMCV.PB'!Y127,IF(AND('CG. MPB'!D128="CONFINADO",'CG. MPB'!E128="TABICON",'CG. MPB'!F128="MACIZO"),'RMCV.PB'!Y127,IF(AND('CG. MPB'!D128="CONFINADO",'CG. MPB'!E128="LIGERO",'CG. MPB'!F128="MACIZO"),'RMCV.PB'!Y127,IF(AND('CG. MPB'!D128="NO CONFINADO",'CG. MPB'!E128="TABIQUE",'CG. MPB'!F128="MACIZO"),Z127,IF(AND('CG. MPB'!D128="NO CONFINADO",'CG. MPB'!E128="TABICON",'CG. MPB'!F128="MACIZO"),Z127,IF(AND('CG. MPB'!D128="NO CONFINADO",'CG. MPB'!E128="LIGERO",'CG. MPB'!F128="MACIZO"),Z127,IF(AND('CG. MPB'!E128="TABIQUE",'CG. MPB'!F128="HUECO"),X127,IF('CG. MPB'!E128="ADOBE",'RMCV.PB'!AA127,'RMCV.PB'!AB127))))))))</f>
        <v>0</v>
      </c>
      <c r="Q127" s="685" t="str">
        <f t="shared" si="16"/>
        <v>PASA</v>
      </c>
      <c r="R127" s="4">
        <f>IF(D127*E127*(F127*N127+'CASTILLOS-PB'!W143*FY)&gt;1.25*D127*E127*F127*N127,1.25*D127*E127*F127*N127,D127*E127*(F127*N127+'CASTILLOS-PB'!W143*FY))</f>
        <v>0</v>
      </c>
      <c r="S127" s="4">
        <f>D127*E127*(F127*N127+'CASTILLOS-PB'!G143*FY*2)</f>
        <v>0</v>
      </c>
      <c r="T127" s="4">
        <f t="shared" si="22"/>
        <v>0</v>
      </c>
      <c r="U127" s="4">
        <f t="shared" si="23"/>
        <v>0</v>
      </c>
      <c r="V127" s="533">
        <f>D127*(0.7*$G$24*(B127*C127)+2000*'MUR.CONC-PB'!K127)</f>
        <v>0</v>
      </c>
      <c r="W127" s="533">
        <f t="shared" si="25"/>
        <v>0</v>
      </c>
      <c r="X127" s="543">
        <f>IF(AND('CG. MPB'!E128="TABIQUE",'CG. MPB'!F128="HUECO"),R127,0)</f>
        <v>0</v>
      </c>
      <c r="Y127" s="543">
        <f>IF(AND('CG. MPB'!D128="CONFINADO",'CG. MPB'!E128="TABIQUE",'CG. MPB'!F128="MACIZO"),'RMCV.PB'!S127,IF(AND('CG. MPB'!D128="CONFINADO",'CG. MPB'!E128="TABICON",'CG. MPB'!F128="MACIZO"),'RMCV.PB'!S127,IF(AND('CG. MPB'!D128="CONFINADO",'CG. MPB'!E128="LIGERO",'CG. MPB'!F128="MACIZO"),'RMCV.PB'!S127,0)))</f>
        <v>0</v>
      </c>
      <c r="Z127" s="543">
        <f>IF(AND('CG. MPB'!D128="NO CONFINADO",'CG. MPB'!E128="TABIQUE",'CG. MPB'!F128="MACIZO"),T127,IF(AND('CG. MPB'!D128="NO CONFINADO",'CG. MPB'!E128="TABICON",'CG. MPB'!F128="MACIZO"),T127,IF(AND('CG. MPB'!D128="NO CONFINADO",'CG. MPB'!E128="LIGERO",'CG. MPB'!F128="MACIZO"),T127,0)))</f>
        <v>0</v>
      </c>
      <c r="AA127" s="543">
        <f>IF('CG. MPB'!E128="ADOBE",'RMCV.PB'!U127,0)</f>
        <v>0</v>
      </c>
      <c r="AB127" s="543">
        <f>IF('CG. MPB'!E128="CONCRETO",'RMCV.PB'!V127,0)</f>
        <v>0</v>
      </c>
      <c r="AC127" s="900"/>
      <c r="AD127" s="93">
        <f t="shared" si="13"/>
        <v>0</v>
      </c>
      <c r="AE127" s="428">
        <v>0.6</v>
      </c>
      <c r="AF127" s="4" t="e">
        <f>(1-2*AD127/C127)*(1-(AE127*'CG. MPB'!C128*10/(30*C127))^2)</f>
        <v>#DIV/0!</v>
      </c>
      <c r="AG127" s="350" t="e">
        <f>(1-(2*AD127/C127))*(1-(AE127*'CG. MPB'!C128*10/(30*C127))^2)*(1-('CG. MPB'!C128*10/B127))+('CG. MPB'!C128*10/B127)</f>
        <v>#DIV/0!</v>
      </c>
      <c r="AH127" s="429" t="e">
        <f t="shared" si="24"/>
        <v>#DIV/0!</v>
      </c>
    </row>
    <row r="128" spans="1:34">
      <c r="A128" s="684">
        <f>'CG. MPB'!A129</f>
        <v>49</v>
      </c>
      <c r="B128" s="578">
        <f>'CG. MPB'!B129*100</f>
        <v>0</v>
      </c>
      <c r="C128" s="68">
        <f>'ELEM. MECA.'!J255</f>
        <v>0</v>
      </c>
      <c r="D128" s="38">
        <f>IF(AND('CG. MPB'!D129="CONFINADO",'CG. MPB'!D129="CONCRETO"),0.8,IF('CG. MPB'!D129="NO CONFINADO",0.3,0.6))</f>
        <v>0.6</v>
      </c>
      <c r="E128" s="68">
        <v>0.6</v>
      </c>
      <c r="F128" s="38">
        <f>IF('CG. MPB'!E129="CONCRETO",G128,'RMCV.PB'!H128+'RMCV.PB'!I128+'RMCV.PB'!J128+K128+L128+M128)</f>
        <v>0</v>
      </c>
      <c r="G128" s="542">
        <f>IF('CG. MPB'!E129="CONCRETO",0.6*$G$24,0)</f>
        <v>0</v>
      </c>
      <c r="H128" s="574">
        <f>IF(AND('CG. MPB'!E129="TABIQUE",'CG. MPB'!F129="MACIZO"),15,0)</f>
        <v>0</v>
      </c>
      <c r="I128" s="574">
        <f>IF(AND('CG. MPB'!E129="TABIQUE",'CG. MPB'!F129="HUECO"),IF(E65="III",30,40),0)</f>
        <v>0</v>
      </c>
      <c r="J128" s="574">
        <f>IF('CG. MPB'!E129="TABICON",IF(E65="I",20,15),0)</f>
        <v>0</v>
      </c>
      <c r="K128" s="574">
        <f>IF('CG. MPB'!E129="ADOBE",10,0)</f>
        <v>0</v>
      </c>
      <c r="L128" s="574">
        <f>IF('CG. MPB'!E129="LIGERO",10,0)</f>
        <v>0</v>
      </c>
      <c r="M128" s="574">
        <f>IF('CG. MPB'!E129="CANTERA",30,0)</f>
        <v>0</v>
      </c>
      <c r="N128" s="575">
        <f t="shared" ref="N128:N129" si="26">B128*C128</f>
        <v>0</v>
      </c>
      <c r="O128" s="918">
        <f>ABS('ELEM. MECA.'!D255)</f>
        <v>0</v>
      </c>
      <c r="P128" s="919">
        <f>IF(AND('CG. MPB'!D129="CONFINADO",'CG. MPB'!E129="TABIQUE",'CG. MPB'!F129="MACIZO"),'RMCV.PB'!Y128,IF(AND('CG. MPB'!D129="CONFINADO",'CG. MPB'!E129="TABICON",'CG. MPB'!F129="MACIZO"),'RMCV.PB'!Y128,IF(AND('CG. MPB'!D129="CONFINADO",'CG. MPB'!E129="LIGERO",'CG. MPB'!F129="MACIZO"),'RMCV.PB'!Y128,IF(AND('CG. MPB'!D129="NO CONFINADO",'CG. MPB'!E129="TABIQUE",'CG. MPB'!F129="MACIZO"),Z128,IF(AND('CG. MPB'!D129="NO CONFINADO",'CG. MPB'!E129="TABICON",'CG. MPB'!F129="MACIZO"),Z128,IF(AND('CG. MPB'!D129="NO CONFINADO",'CG. MPB'!E129="LIGERO",'CG. MPB'!F129="MACIZO"),Z128,IF(AND('CG. MPB'!E129="TABIQUE",'CG. MPB'!F129="HUECO"),X128,IF('CG. MPB'!E129="ADOBE",'RMCV.PB'!AA128,'RMCV.PB'!AB128))))))))</f>
        <v>0</v>
      </c>
      <c r="Q128" s="685" t="str">
        <f t="shared" ref="Q128:Q129" si="27">IF(O128&gt;P128,"NO PASA","PASA")</f>
        <v>PASA</v>
      </c>
      <c r="R128" s="4">
        <f>IF(D128*E128*(F128*N128+'CASTILLOS-PB'!W144*FY)&gt;1.25*D128*E128*F128*N128,1.25*D128*E128*F128*N128,D128*E128*(F128*N128+'CASTILLOS-PB'!W144*FY))</f>
        <v>0</v>
      </c>
      <c r="S128" s="4">
        <f>D128*E128*(F128*N128+'CASTILLOS-PB'!G144*FY*2)</f>
        <v>0</v>
      </c>
      <c r="T128" s="4">
        <f t="shared" ref="T128:T129" si="28">D128*E128*F128*N128</f>
        <v>0</v>
      </c>
      <c r="U128" s="4">
        <f t="shared" ref="U128:U129" si="29">D128*E128*F128*N128</f>
        <v>0</v>
      </c>
      <c r="V128" s="533">
        <f>D128*(0.7*$G$24*(B128*C128)+2000*'MUR.CONC-PB'!K128)</f>
        <v>0</v>
      </c>
      <c r="W128" s="533">
        <f t="shared" si="25"/>
        <v>0</v>
      </c>
      <c r="X128" s="543">
        <f>IF(AND('CG. MPB'!E129="TABIQUE",'CG. MPB'!F129="HUECO"),R128,0)</f>
        <v>0</v>
      </c>
      <c r="Y128" s="543">
        <f>IF(AND('CG. MPB'!D129="CONFINADO",'CG. MPB'!E129="TABIQUE",'CG. MPB'!F129="MACIZO"),'RMCV.PB'!S128,IF(AND('CG. MPB'!D129="CONFINADO",'CG. MPB'!E129="TABICON",'CG. MPB'!F129="MACIZO"),'RMCV.PB'!S128,IF(AND('CG. MPB'!D129="CONFINADO",'CG. MPB'!E129="LIGERO",'CG. MPB'!F129="MACIZO"),'RMCV.PB'!S128,0)))</f>
        <v>0</v>
      </c>
      <c r="Z128" s="543">
        <f>IF(AND('CG. MPB'!D129="NO CONFINADO",'CG. MPB'!E129="TABIQUE",'CG. MPB'!F129="MACIZO"),T128,IF(AND('CG. MPB'!D129="NO CONFINADO",'CG. MPB'!E129="TABICON",'CG. MPB'!F129="MACIZO"),T128,IF(AND('CG. MPB'!D129="NO CONFINADO",'CG. MPB'!E129="LIGERO",'CG. MPB'!F129="MACIZO"),T128,0)))</f>
        <v>0</v>
      </c>
      <c r="AA128" s="543">
        <f>IF('CG. MPB'!E129="ADOBE",'RMCV.PB'!U128,0)</f>
        <v>0</v>
      </c>
      <c r="AB128" s="543">
        <f>IF('CG. MPB'!E129="CONCRETO",'RMCV.PB'!V128,0)</f>
        <v>0</v>
      </c>
      <c r="AC128" s="900"/>
      <c r="AD128" s="93">
        <f t="shared" ref="AD128:AD129" si="30">C128/2-(C128/3)+C128/24</f>
        <v>0</v>
      </c>
      <c r="AE128" s="428">
        <v>0.6</v>
      </c>
      <c r="AF128" s="4" t="e">
        <f>(1-2*AD128/C128)*(1-(AE128*'CG. MPB'!C129*10/(30*C128))^2)</f>
        <v>#DIV/0!</v>
      </c>
      <c r="AG128" s="350" t="e">
        <f>(1-(2*AD128/C128))*(1-(AE128*'CG. MPB'!C129*10/(30*C128))^2)*(1-('CG. MPB'!C129*10/B128))+('CG. MPB'!C129*10/B128)</f>
        <v>#DIV/0!</v>
      </c>
      <c r="AH128" s="429" t="e">
        <f t="shared" ref="AH128:AH129" si="31">IF(AG128&gt;0.9,0.9,AG128)</f>
        <v>#DIV/0!</v>
      </c>
    </row>
    <row r="129" spans="1:34" ht="15.75" thickBot="1">
      <c r="A129" s="686">
        <f>'CG. MPB'!A130</f>
        <v>50</v>
      </c>
      <c r="B129" s="877">
        <f>'CG. MPB'!B130*100</f>
        <v>0</v>
      </c>
      <c r="C129" s="663">
        <f>'ELEM. MECA.'!J256</f>
        <v>0</v>
      </c>
      <c r="D129" s="878">
        <f>IF(AND('CG. MPB'!D130="CONFINADO",'CG. MPB'!D130="CONCRETO"),0.8,IF('CG. MPB'!D130="NO CONFINADO",0.3,0.6))</f>
        <v>0.6</v>
      </c>
      <c r="E129" s="663">
        <v>0.6</v>
      </c>
      <c r="F129" s="878">
        <f>IF('CG. MPB'!E130="CONCRETO",G129,'RMCV.PB'!H129+'RMCV.PB'!I129+'RMCV.PB'!J129+K129+L129+M129)</f>
        <v>0</v>
      </c>
      <c r="G129" s="885">
        <f>IF('CG. MPB'!E130="CONCRETO",0.6*$G$24,0)</f>
        <v>0</v>
      </c>
      <c r="H129" s="887">
        <f>IF(AND('CG. MPB'!E130="TABIQUE",'CG. MPB'!F130="MACIZO"),15,0)</f>
        <v>0</v>
      </c>
      <c r="I129" s="887">
        <f>IF(AND('CG. MPB'!E130="TABIQUE",'CG. MPB'!F130="HUECO"),IF(E66="III",30,40),0)</f>
        <v>0</v>
      </c>
      <c r="J129" s="887">
        <f>IF('CG. MPB'!E130="TABICON",IF(E66="I",20,15),0)</f>
        <v>0</v>
      </c>
      <c r="K129" s="887">
        <f>IF('CG. MPB'!E130="ADOBE",10,0)</f>
        <v>0</v>
      </c>
      <c r="L129" s="887">
        <f>IF('CG. MPB'!E130="LIGERO",10,0)</f>
        <v>0</v>
      </c>
      <c r="M129" s="887">
        <f>IF('CG. MPB'!E130="CANTERA",30,0)</f>
        <v>0</v>
      </c>
      <c r="N129" s="886">
        <f t="shared" si="26"/>
        <v>0</v>
      </c>
      <c r="O129" s="918">
        <f>ABS('ELEM. MECA.'!D256)</f>
        <v>0</v>
      </c>
      <c r="P129" s="922">
        <f>IF(AND('CG. MPB'!D130="CONFINADO",'CG. MPB'!E130="TABIQUE",'CG. MPB'!F130="MACIZO"),'RMCV.PB'!Y129,IF(AND('CG. MPB'!D130="CONFINADO",'CG. MPB'!E130="TABICON",'CG. MPB'!F130="MACIZO"),'RMCV.PB'!Y129,IF(AND('CG. MPB'!D130="CONFINADO",'CG. MPB'!E130="LIGERO",'CG. MPB'!F130="MACIZO"),'RMCV.PB'!Y129,IF(AND('CG. MPB'!D130="NO CONFINADO",'CG. MPB'!E130="TABIQUE",'CG. MPB'!F130="MACIZO"),Z129,IF(AND('CG. MPB'!D130="NO CONFINADO",'CG. MPB'!E130="TABICON",'CG. MPB'!F130="MACIZO"),Z129,IF(AND('CG. MPB'!D130="NO CONFINADO",'CG. MPB'!E130="LIGERO",'CG. MPB'!F130="MACIZO"),Z129,IF(AND('CG. MPB'!E130="TABIQUE",'CG. MPB'!F130="HUECO"),X129,IF('CG. MPB'!E130="ADOBE",'RMCV.PB'!AA129,'RMCV.PB'!AB129))))))))</f>
        <v>0</v>
      </c>
      <c r="Q129" s="875" t="str">
        <f t="shared" si="27"/>
        <v>PASA</v>
      </c>
      <c r="R129" s="4">
        <f>IF(D129*E129*(F129*N129+'CASTILLOS-PB'!W145*FY)&gt;1.25*D129*E129*F129*N129,1.25*D129*E129*F129*N129,D129*E129*(F129*N129+'CASTILLOS-PB'!W145*FY))</f>
        <v>0</v>
      </c>
      <c r="S129" s="4">
        <f>D129*E129*(F129*N129+'CASTILLOS-PB'!G145*FY*2)</f>
        <v>0</v>
      </c>
      <c r="T129" s="4">
        <f t="shared" si="28"/>
        <v>0</v>
      </c>
      <c r="U129" s="4">
        <f t="shared" si="29"/>
        <v>0</v>
      </c>
      <c r="V129" s="533">
        <f>D129*(0.7*$G$24*(B129*C129)+2000*'MUR.CONC-PB'!K129)</f>
        <v>0</v>
      </c>
      <c r="W129" s="533">
        <f t="shared" si="25"/>
        <v>0</v>
      </c>
      <c r="X129" s="543">
        <f>IF(AND('CG. MPB'!E130="TABIQUE",'CG. MPB'!F130="HUECO"),R129,0)</f>
        <v>0</v>
      </c>
      <c r="Y129" s="543">
        <f>IF(AND('CG. MPB'!D130="CONFINADO",'CG. MPB'!E130="TABIQUE",'CG. MPB'!F130="MACIZO"),'RMCV.PB'!S129,IF(AND('CG. MPB'!D130="CONFINADO",'CG. MPB'!E130="TABICON",'CG. MPB'!F130="MACIZO"),'RMCV.PB'!S129,IF(AND('CG. MPB'!D130="CONFINADO",'CG. MPB'!E130="LIGERO",'CG. MPB'!F130="MACIZO"),'RMCV.PB'!S129,0)))</f>
        <v>0</v>
      </c>
      <c r="Z129" s="543">
        <f>IF(AND('CG. MPB'!D130="NO CONFINADO",'CG. MPB'!E130="TABIQUE",'CG. MPB'!F130="MACIZO"),T129,IF(AND('CG. MPB'!D130="NO CONFINADO",'CG. MPB'!E130="TABICON",'CG. MPB'!F130="MACIZO"),T129,IF(AND('CG. MPB'!D130="NO CONFINADO",'CG. MPB'!E130="LIGERO",'CG. MPB'!F130="MACIZO"),T129,0)))</f>
        <v>0</v>
      </c>
      <c r="AA129" s="543">
        <f>IF('CG. MPB'!E130="ADOBE",'RMCV.PB'!U129,0)</f>
        <v>0</v>
      </c>
      <c r="AB129" s="543">
        <f>IF('CG. MPB'!E130="CONCRETO",'RMCV.PB'!V129,0)</f>
        <v>0</v>
      </c>
      <c r="AC129" s="900"/>
      <c r="AD129" s="93">
        <f t="shared" si="30"/>
        <v>0</v>
      </c>
      <c r="AE129" s="428">
        <v>0.6</v>
      </c>
      <c r="AF129" s="4" t="e">
        <f>(1-2*AD129/C129)*(1-(AE129*'CG. MPB'!C130*10/(30*C129))^2)</f>
        <v>#DIV/0!</v>
      </c>
      <c r="AG129" s="350" t="e">
        <f>(1-(2*AD129/C129))*(1-(AE129*'CG. MPB'!C130*10/(30*C129))^2)*(1-('CG. MPB'!C130*10/B129))+('CG. MPB'!C130*10/B129)</f>
        <v>#DIV/0!</v>
      </c>
      <c r="AH129" s="429" t="e">
        <f t="shared" si="31"/>
        <v>#DIV/0!</v>
      </c>
    </row>
  </sheetData>
  <mergeCells count="1">
    <mergeCell ref="O20:P20"/>
  </mergeCells>
  <phoneticPr fontId="0" type="noConversion"/>
  <conditionalFormatting sqref="Q1:Q1048576">
    <cfRule type="containsText" dxfId="23" priority="1" operator="containsText" text="NO PASA">
      <formula>NOT(ISERROR(SEARCH("NO PASA",Q1)))</formula>
    </cfRule>
    <cfRule type="containsText" dxfId="22" priority="2" operator="containsText" text="PASA">
      <formula>NOT(ISERROR(SEARCH("PASA",Q1)))</formula>
    </cfRule>
  </conditionalFormatting>
  <pageMargins left="0.59055118110236227" right="0.39370078740157483" top="0.39370078740157483" bottom="0.39370078740157483" header="0" footer="0"/>
  <pageSetup scale="60" orientation="portrait" horizontalDpi="300" verticalDpi="300" r:id="rId1"/>
  <headerFooter alignWithMargins="0">
    <oddFooter>&amp;L&amp;"Arial,Normal"TEL (FAX) 01 951 51 4 28 30&amp;C______________________________________________________________________________________________________________________________________________________
.&amp;R&amp;"Arial,Normal"CED. PROF. 1718634</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6609D-9EBD-4187-884A-3C1F7CFABB0B}">
  <sheetPr codeName="Hoja9">
    <tabColor theme="7" tint="0.59999389629810485"/>
  </sheetPr>
  <dimension ref="A1:AX129"/>
  <sheetViews>
    <sheetView showGridLines="0" zoomScaleNormal="100" workbookViewId="0">
      <selection activeCell="A9" sqref="A9"/>
    </sheetView>
  </sheetViews>
  <sheetFormatPr baseColWidth="10" defaultColWidth="11" defaultRowHeight="15"/>
  <cols>
    <col min="1" max="1" width="7.375" style="4" customWidth="1"/>
    <col min="2" max="2" width="9" style="45" bestFit="1" customWidth="1"/>
    <col min="3" max="3" width="5.625" style="4" customWidth="1"/>
    <col min="4" max="4" width="5.75" style="4" customWidth="1"/>
    <col min="5" max="5" width="7.625" style="4" customWidth="1"/>
    <col min="6" max="6" width="7.5" style="4" bestFit="1" customWidth="1"/>
    <col min="7" max="7" width="11.375" style="4" hidden="1" customWidth="1"/>
    <col min="8" max="12" width="8.625" style="4" hidden="1" customWidth="1"/>
    <col min="13" max="13" width="10.25" style="4" bestFit="1" customWidth="1"/>
    <col min="14" max="14" width="12.125" style="909" bestFit="1" customWidth="1"/>
    <col min="15" max="15" width="14" style="909" bestFit="1" customWidth="1"/>
    <col min="16" max="16" width="13.25" style="4" bestFit="1" customWidth="1"/>
    <col min="17" max="18" width="10.75" style="4" hidden="1" customWidth="1"/>
    <col min="19" max="23" width="12.875" style="4" hidden="1" customWidth="1"/>
    <col min="24" max="24" width="18.375" style="4" hidden="1" customWidth="1"/>
    <col min="25" max="25" width="17" style="4" hidden="1" customWidth="1"/>
    <col min="26" max="26" width="13.75" style="4" hidden="1" customWidth="1"/>
    <col min="27" max="27" width="11" style="4" hidden="1" customWidth="1"/>
    <col min="28" max="28" width="12.5" style="4" hidden="1" customWidth="1"/>
    <col min="29" max="31" width="11" style="4" hidden="1" customWidth="1"/>
    <col min="32" max="42" width="11" style="4" customWidth="1"/>
    <col min="43" max="16384" width="11" style="4"/>
  </cols>
  <sheetData>
    <row r="1" spans="1:23" customFormat="1" ht="12.75">
      <c r="A1" s="518"/>
      <c r="B1" s="974"/>
      <c r="C1" s="518"/>
      <c r="N1" s="907"/>
      <c r="O1" s="907"/>
    </row>
    <row r="2" spans="1:23" customFormat="1" ht="12.75">
      <c r="A2" s="518"/>
      <c r="B2" s="974"/>
      <c r="C2" s="518"/>
      <c r="N2" s="907"/>
      <c r="O2" s="907"/>
    </row>
    <row r="3" spans="1:23" customFormat="1" ht="12.75">
      <c r="A3" s="518"/>
      <c r="B3" s="974"/>
      <c r="C3" s="518"/>
      <c r="N3" s="907"/>
      <c r="O3" s="907"/>
    </row>
    <row r="4" spans="1:23" customFormat="1" ht="12.75">
      <c r="A4" s="518"/>
      <c r="B4" s="974"/>
      <c r="C4" s="518"/>
      <c r="N4" s="907"/>
      <c r="O4" s="907"/>
    </row>
    <row r="5" spans="1:23" customFormat="1" ht="12.75">
      <c r="A5" s="518"/>
      <c r="B5" s="974"/>
      <c r="C5" s="518"/>
      <c r="N5" s="907"/>
      <c r="O5" s="907"/>
    </row>
    <row r="6" spans="1:23" customFormat="1" ht="12.75">
      <c r="A6" s="518"/>
      <c r="B6" s="974"/>
      <c r="C6" s="518"/>
      <c r="N6" s="907"/>
      <c r="O6" s="907"/>
    </row>
    <row r="7" spans="1:23">
      <c r="A7" s="4" t="str">
        <f>'CG. MPB'!A7</f>
        <v>PROPIETARIO   : ING. ROLANDO ORTIZ RAMOS</v>
      </c>
      <c r="Q7"/>
      <c r="R7"/>
      <c r="S7"/>
      <c r="T7"/>
      <c r="U7"/>
      <c r="V7"/>
      <c r="W7"/>
    </row>
    <row r="8" spans="1:23">
      <c r="A8" s="4" t="str">
        <f>'CG. MPB'!A8</f>
        <v xml:space="preserve">OBRA                   : </v>
      </c>
      <c r="Q8"/>
      <c r="R8"/>
      <c r="S8"/>
      <c r="T8"/>
      <c r="U8"/>
      <c r="V8"/>
      <c r="W8"/>
    </row>
    <row r="9" spans="1:23">
      <c r="A9" s="4" t="str">
        <f>'CG. MPB'!A9</f>
        <v>LOCALIZACION : 1ª PRIVADA 13 DE SEPTIEMBRE, COL. VICENTE SUAREZ</v>
      </c>
      <c r="Q9"/>
      <c r="R9"/>
      <c r="S9"/>
      <c r="T9"/>
      <c r="U9"/>
      <c r="V9"/>
      <c r="W9"/>
    </row>
    <row r="10" spans="1:23" hidden="1">
      <c r="A10" s="4">
        <f>'CG. MPB'!A10</f>
        <v>0</v>
      </c>
      <c r="Q10"/>
      <c r="R10"/>
      <c r="S10"/>
      <c r="T10"/>
      <c r="U10"/>
      <c r="V10"/>
      <c r="W10"/>
    </row>
    <row r="11" spans="1:23" hidden="1">
      <c r="A11" s="4" t="str">
        <f>'CG. MPB'!A11</f>
        <v>TABLA No. 1</v>
      </c>
      <c r="Q11"/>
      <c r="R11"/>
      <c r="S11"/>
      <c r="T11"/>
      <c r="U11"/>
      <c r="V11"/>
      <c r="W11"/>
    </row>
    <row r="12" spans="1:23" ht="15.75" thickBot="1">
      <c r="B12" s="4"/>
      <c r="Q12"/>
      <c r="R12"/>
      <c r="S12"/>
      <c r="T12"/>
      <c r="U12"/>
      <c r="V12"/>
      <c r="W12"/>
    </row>
    <row r="13" spans="1:23" ht="15.75">
      <c r="A13" s="670"/>
      <c r="B13" s="671"/>
      <c r="C13" s="671"/>
      <c r="D13" s="671"/>
      <c r="E13" s="671"/>
      <c r="F13" s="671"/>
      <c r="G13" s="671"/>
      <c r="H13" s="671"/>
      <c r="I13" s="671"/>
      <c r="J13" s="671"/>
      <c r="K13" s="671"/>
      <c r="L13" s="671"/>
      <c r="M13" s="671"/>
      <c r="N13" s="910"/>
      <c r="O13" s="910"/>
      <c r="P13" s="672"/>
      <c r="Q13"/>
      <c r="R13"/>
      <c r="S13"/>
      <c r="T13"/>
    </row>
    <row r="14" spans="1:23" ht="20.25">
      <c r="A14" s="673" t="s">
        <v>90</v>
      </c>
      <c r="B14" s="9"/>
      <c r="C14" s="9"/>
      <c r="D14" s="9"/>
      <c r="E14" s="9"/>
      <c r="F14" s="9"/>
      <c r="G14" s="9"/>
      <c r="H14" s="9"/>
      <c r="I14" s="9"/>
      <c r="J14" s="9"/>
      <c r="K14" s="9"/>
      <c r="L14" s="9"/>
      <c r="M14" s="9"/>
      <c r="N14" s="911"/>
      <c r="O14" s="911"/>
      <c r="P14" s="674"/>
      <c r="Q14"/>
      <c r="R14"/>
      <c r="S14"/>
      <c r="T14"/>
    </row>
    <row r="15" spans="1:23" ht="15.75">
      <c r="A15" s="646" t="str">
        <f>'CG. MPA'!A15:F15</f>
        <v>PRIMER NIVEL</v>
      </c>
      <c r="B15" s="9"/>
      <c r="C15" s="9"/>
      <c r="D15" s="9"/>
      <c r="E15" s="9"/>
      <c r="F15" s="9"/>
      <c r="G15" s="9"/>
      <c r="H15" s="9"/>
      <c r="I15" s="9"/>
      <c r="J15" s="9"/>
      <c r="K15" s="9"/>
      <c r="L15" s="9"/>
      <c r="M15" s="9"/>
      <c r="N15" s="911"/>
      <c r="O15" s="911"/>
      <c r="P15" s="674"/>
      <c r="Q15"/>
      <c r="R15"/>
      <c r="S15"/>
      <c r="T15"/>
    </row>
    <row r="16" spans="1:23" ht="16.5" thickBot="1">
      <c r="A16" s="675"/>
      <c r="B16" s="12"/>
      <c r="C16" s="12"/>
      <c r="D16" s="12"/>
      <c r="E16" s="12"/>
      <c r="F16" s="12"/>
      <c r="G16" s="12"/>
      <c r="H16" s="12"/>
      <c r="I16" s="12"/>
      <c r="J16" s="12"/>
      <c r="K16" s="12"/>
      <c r="L16" s="12"/>
      <c r="M16" s="12"/>
      <c r="N16" s="912"/>
      <c r="O16" s="912"/>
      <c r="P16" s="676"/>
      <c r="Q16"/>
      <c r="R16"/>
      <c r="S16"/>
      <c r="T16"/>
      <c r="U16"/>
    </row>
    <row r="17" spans="1:31" ht="16.5" thickTop="1">
      <c r="A17" s="646"/>
      <c r="B17" s="9"/>
      <c r="C17" s="9"/>
      <c r="D17" s="51" t="s">
        <v>403</v>
      </c>
      <c r="E17" s="9" t="s">
        <v>455</v>
      </c>
      <c r="F17" s="9" t="s">
        <v>0</v>
      </c>
      <c r="G17" s="9"/>
      <c r="H17" s="9"/>
      <c r="I17" s="9"/>
      <c r="J17" s="9"/>
      <c r="K17" s="9"/>
      <c r="L17" s="9"/>
      <c r="M17" s="9"/>
      <c r="N17" s="911"/>
      <c r="O17" s="911"/>
      <c r="P17" s="674"/>
      <c r="Q17" s="9"/>
      <c r="AB17" s="460"/>
    </row>
    <row r="18" spans="1:31" ht="15.75" hidden="1">
      <c r="A18" s="588" t="s">
        <v>91</v>
      </c>
      <c r="B18" s="26"/>
      <c r="C18" s="26"/>
      <c r="D18" s="26" t="s">
        <v>100</v>
      </c>
      <c r="E18" s="26" t="s">
        <v>101</v>
      </c>
      <c r="F18" s="26" t="s">
        <v>102</v>
      </c>
      <c r="G18" s="26"/>
      <c r="H18" s="26"/>
      <c r="I18" s="26"/>
      <c r="J18" s="26"/>
      <c r="K18" s="26"/>
      <c r="L18" s="26"/>
      <c r="M18" s="26" t="s">
        <v>103</v>
      </c>
      <c r="N18" s="913" t="s">
        <v>104</v>
      </c>
      <c r="O18" s="913" t="s">
        <v>105</v>
      </c>
      <c r="P18" s="589" t="s">
        <v>106</v>
      </c>
      <c r="Q18" s="26"/>
      <c r="R18" s="26"/>
      <c r="AB18" s="460"/>
    </row>
    <row r="19" spans="1:31">
      <c r="A19" s="677"/>
      <c r="B19" s="4"/>
      <c r="P19" s="210"/>
      <c r="R19" s="4" t="s">
        <v>406</v>
      </c>
      <c r="V19" s="538"/>
      <c r="W19" s="538"/>
      <c r="X19" s="538"/>
      <c r="Y19" s="538"/>
      <c r="Z19" s="538"/>
      <c r="AB19" s="460"/>
    </row>
    <row r="20" spans="1:31" ht="15.75">
      <c r="A20" s="678"/>
      <c r="B20" s="23"/>
      <c r="C20" s="23"/>
      <c r="D20" s="64"/>
      <c r="E20" s="23"/>
      <c r="F20" s="64"/>
      <c r="G20" s="539"/>
      <c r="H20" s="23"/>
      <c r="I20" s="23"/>
      <c r="J20" s="23"/>
      <c r="K20" s="23"/>
      <c r="L20" s="23"/>
      <c r="M20" s="23"/>
      <c r="N20" s="1122" t="s">
        <v>108</v>
      </c>
      <c r="O20" s="1123"/>
      <c r="P20" s="679"/>
      <c r="Q20" s="23" t="s">
        <v>348</v>
      </c>
      <c r="R20" s="23" t="s">
        <v>346</v>
      </c>
      <c r="S20" s="46" t="s">
        <v>349</v>
      </c>
      <c r="T20" s="46" t="s">
        <v>349</v>
      </c>
      <c r="U20" s="26"/>
      <c r="V20" s="539" t="s">
        <v>408</v>
      </c>
      <c r="W20" s="539" t="s">
        <v>410</v>
      </c>
      <c r="X20" s="540" t="s">
        <v>412</v>
      </c>
      <c r="Y20" s="541" t="s">
        <v>412</v>
      </c>
      <c r="Z20" s="538"/>
      <c r="AB20" s="460"/>
      <c r="AD20" s="84" t="s">
        <v>345</v>
      </c>
      <c r="AE20" s="24"/>
    </row>
    <row r="21" spans="1:31" ht="18.75">
      <c r="A21" s="588" t="s">
        <v>79</v>
      </c>
      <c r="B21" s="26" t="s">
        <v>109</v>
      </c>
      <c r="C21" s="26" t="s">
        <v>110</v>
      </c>
      <c r="D21" s="52" t="s">
        <v>199</v>
      </c>
      <c r="E21" s="26" t="s">
        <v>200</v>
      </c>
      <c r="F21" s="52" t="s">
        <v>113</v>
      </c>
      <c r="G21" s="539"/>
      <c r="H21" s="26" t="s">
        <v>184</v>
      </c>
      <c r="I21" s="26"/>
      <c r="J21" s="26" t="s">
        <v>186</v>
      </c>
      <c r="K21" s="26"/>
      <c r="L21" s="26"/>
      <c r="M21" s="26" t="s">
        <v>114</v>
      </c>
      <c r="N21" s="914" t="s">
        <v>115</v>
      </c>
      <c r="O21" s="914" t="s">
        <v>116</v>
      </c>
      <c r="P21" s="589" t="s">
        <v>121</v>
      </c>
      <c r="Q21" s="26" t="s">
        <v>187</v>
      </c>
      <c r="R21" s="26" t="s">
        <v>347</v>
      </c>
      <c r="S21" s="39" t="s">
        <v>350</v>
      </c>
      <c r="T21" s="39" t="s">
        <v>350</v>
      </c>
      <c r="U21" s="26"/>
      <c r="V21" s="539" t="s">
        <v>409</v>
      </c>
      <c r="W21" s="539" t="s">
        <v>379</v>
      </c>
      <c r="X21" s="540" t="s">
        <v>413</v>
      </c>
      <c r="Y21" s="539" t="s">
        <v>413</v>
      </c>
      <c r="Z21" s="539" t="s">
        <v>419</v>
      </c>
      <c r="AA21" s="44" t="s">
        <v>189</v>
      </c>
      <c r="AB21" s="457"/>
      <c r="AC21" s="4" t="s">
        <v>190</v>
      </c>
      <c r="AD21" s="72" t="s">
        <v>344</v>
      </c>
      <c r="AE21" s="27"/>
    </row>
    <row r="22" spans="1:31" ht="18.75">
      <c r="A22" s="680"/>
      <c r="B22" s="29"/>
      <c r="C22" s="29"/>
      <c r="D22" s="56"/>
      <c r="E22" s="29"/>
      <c r="F22" s="56" t="s">
        <v>201</v>
      </c>
      <c r="G22" s="546" t="s">
        <v>185</v>
      </c>
      <c r="H22" s="97"/>
      <c r="I22" s="29" t="s">
        <v>188</v>
      </c>
      <c r="J22" s="29"/>
      <c r="K22" s="29" t="s">
        <v>405</v>
      </c>
      <c r="L22" s="29" t="s">
        <v>406</v>
      </c>
      <c r="M22" s="29" t="s">
        <v>193</v>
      </c>
      <c r="N22" s="915" t="s">
        <v>85</v>
      </c>
      <c r="O22" s="915" t="s">
        <v>85</v>
      </c>
      <c r="P22" s="681"/>
      <c r="Q22" s="29"/>
      <c r="R22" s="26" t="s">
        <v>186</v>
      </c>
      <c r="S22" s="30"/>
      <c r="T22" s="26" t="s">
        <v>405</v>
      </c>
      <c r="U22" s="26" t="s">
        <v>185</v>
      </c>
      <c r="V22" s="539"/>
      <c r="W22" s="539" t="s">
        <v>411</v>
      </c>
      <c r="X22" s="539"/>
      <c r="Y22" s="539"/>
      <c r="Z22" s="538"/>
      <c r="AB22" s="460"/>
      <c r="AD22" s="81"/>
      <c r="AE22" s="30"/>
    </row>
    <row r="23" spans="1:31" ht="15.75" hidden="1">
      <c r="A23" s="682"/>
      <c r="B23" s="24"/>
      <c r="C23" s="24"/>
      <c r="D23" s="24"/>
      <c r="E23" s="24"/>
      <c r="F23" s="58"/>
      <c r="G23" s="539" t="s">
        <v>407</v>
      </c>
      <c r="H23" s="58"/>
      <c r="I23" s="58"/>
      <c r="J23" s="58"/>
      <c r="K23" s="58"/>
      <c r="L23" s="58"/>
      <c r="M23" s="58"/>
      <c r="N23" s="916"/>
      <c r="O23" s="916"/>
      <c r="P23" s="683"/>
      <c r="R23" s="26" t="s">
        <v>406</v>
      </c>
      <c r="V23" s="538"/>
      <c r="W23" s="538"/>
      <c r="X23" s="538"/>
      <c r="Y23" s="538"/>
      <c r="Z23" s="538"/>
    </row>
    <row r="24" spans="1:31" ht="18" hidden="1">
      <c r="A24" s="677"/>
      <c r="B24" s="39"/>
      <c r="C24" s="39"/>
      <c r="D24" s="27"/>
      <c r="E24" s="27"/>
      <c r="F24" s="27"/>
      <c r="G24" s="545">
        <v>250</v>
      </c>
      <c r="H24" s="27"/>
      <c r="I24" s="27"/>
      <c r="J24" s="27"/>
      <c r="K24" s="27"/>
      <c r="L24" s="27"/>
      <c r="M24" s="27"/>
      <c r="N24" s="917"/>
      <c r="O24" s="918"/>
      <c r="P24" s="659"/>
      <c r="Q24" s="68"/>
      <c r="V24" s="538"/>
      <c r="W24" s="542" t="s">
        <v>415</v>
      </c>
      <c r="X24" s="542" t="s">
        <v>415</v>
      </c>
      <c r="Y24" s="542" t="s">
        <v>418</v>
      </c>
      <c r="Z24" s="538"/>
    </row>
    <row r="25" spans="1:31" ht="18" hidden="1">
      <c r="A25" s="657"/>
      <c r="B25" s="39"/>
      <c r="C25" s="39"/>
      <c r="D25" s="27"/>
      <c r="E25" s="27"/>
      <c r="F25" s="27"/>
      <c r="G25" s="545"/>
      <c r="H25" s="27"/>
      <c r="I25" s="27"/>
      <c r="J25" s="27"/>
      <c r="K25" s="27"/>
      <c r="L25" s="27"/>
      <c r="M25" s="27"/>
      <c r="N25" s="917"/>
      <c r="O25" s="918"/>
      <c r="P25" s="659"/>
      <c r="Q25" s="68"/>
      <c r="V25" s="538"/>
      <c r="W25" s="542" t="s">
        <v>416</v>
      </c>
      <c r="X25" s="542" t="s">
        <v>416</v>
      </c>
      <c r="Y25" s="538"/>
      <c r="Z25" s="538"/>
    </row>
    <row r="26" spans="1:31" ht="18" hidden="1">
      <c r="A26" s="657"/>
      <c r="B26" s="39"/>
      <c r="C26" s="39"/>
      <c r="D26" s="27"/>
      <c r="E26" s="27"/>
      <c r="F26" s="27"/>
      <c r="G26" s="545"/>
      <c r="H26" s="27"/>
      <c r="I26" s="27"/>
      <c r="J26" s="27"/>
      <c r="K26" s="27"/>
      <c r="L26" s="27"/>
      <c r="M26" s="27"/>
      <c r="N26" s="917"/>
      <c r="O26" s="917"/>
      <c r="P26" s="210"/>
      <c r="V26" s="538"/>
      <c r="W26" s="542" t="s">
        <v>417</v>
      </c>
      <c r="X26" s="542" t="s">
        <v>417</v>
      </c>
      <c r="Y26" s="538"/>
      <c r="Z26" s="538"/>
    </row>
    <row r="27" spans="1:31" ht="18" hidden="1">
      <c r="A27" s="657"/>
      <c r="B27" s="39"/>
      <c r="C27" s="39"/>
      <c r="D27" s="27"/>
      <c r="E27" s="27"/>
      <c r="F27" s="27"/>
      <c r="G27" s="545"/>
      <c r="H27" s="27"/>
      <c r="I27" s="27"/>
      <c r="J27" s="27"/>
      <c r="K27" s="27"/>
      <c r="L27" s="27"/>
      <c r="M27" s="27"/>
      <c r="N27" s="917"/>
      <c r="O27" s="917"/>
      <c r="P27" s="210"/>
      <c r="V27" s="538"/>
      <c r="W27" s="538"/>
      <c r="X27" s="538"/>
      <c r="Y27" s="538"/>
      <c r="Z27" s="538"/>
    </row>
    <row r="28" spans="1:31" ht="18">
      <c r="A28" s="657" t="s">
        <v>87</v>
      </c>
      <c r="B28" s="39"/>
      <c r="C28" s="39"/>
      <c r="D28" s="27"/>
      <c r="E28" s="27"/>
      <c r="F28" s="27"/>
      <c r="G28" s="545"/>
      <c r="H28" s="27"/>
      <c r="I28" s="27"/>
      <c r="J28" s="27"/>
      <c r="K28" s="27"/>
      <c r="L28" s="27"/>
      <c r="M28" s="27"/>
      <c r="N28" s="917"/>
      <c r="O28" s="917"/>
      <c r="P28" s="210"/>
      <c r="V28" s="538"/>
      <c r="W28" s="538"/>
      <c r="X28" s="538"/>
      <c r="Y28" s="538"/>
      <c r="Z28" s="538"/>
    </row>
    <row r="29" spans="1:31">
      <c r="A29" s="684">
        <v>1</v>
      </c>
      <c r="B29" s="975">
        <f>'CG. MPA'!B29*100</f>
        <v>92</v>
      </c>
      <c r="C29" s="68">
        <f>'ELEM. MECA.'!S6</f>
        <v>15</v>
      </c>
      <c r="D29" s="38">
        <f>IF(AND('CG. MPA'!D29="CONFINADO",'CG. MPA'!E29="CONCRETO"),0.8,IF('CG. MPA'!D29="NO CONFINADO",0.3,0.6))</f>
        <v>0.6</v>
      </c>
      <c r="E29" s="68">
        <v>0.6</v>
      </c>
      <c r="F29" s="38">
        <f>IF('CG. MPA'!E29="CONCRETO",G29,'RMCV.PA'!H29+'RMCV.PA'!I29+'RMCV.PA'!J29+K29+L29)</f>
        <v>20</v>
      </c>
      <c r="G29" s="542">
        <f>IF('CG. MPA'!E29="CONCRETO",0.6*$G$24,0)</f>
        <v>0</v>
      </c>
      <c r="H29" s="38">
        <f>IF(AND('CG. MPA'!E29="TABIQUE",'CG. MPA'!F29="MACIZO"),15,0)</f>
        <v>0</v>
      </c>
      <c r="I29" s="38">
        <f>IF(AND('CG. MPA'!E29="TABIQUE",'CG. MPA'!F29="HUECO"),IF(E17="III",30,40),0)</f>
        <v>0</v>
      </c>
      <c r="J29" s="575">
        <f>IF('CG. MPA'!E29="TABICON",IF(E17="I",20,15),0)</f>
        <v>20</v>
      </c>
      <c r="K29" s="575">
        <f>IF('CG. MPA'!E29="ADOBE",10,0)</f>
        <v>0</v>
      </c>
      <c r="L29" s="575">
        <f>IF('CG. MPA'!E29="LIGERO",10,0)</f>
        <v>0</v>
      </c>
      <c r="M29" s="576">
        <f>B29*C29</f>
        <v>1380</v>
      </c>
      <c r="N29" s="918">
        <f>ABS('ELEM. MECA.'!M6)</f>
        <v>1173.0409558278564</v>
      </c>
      <c r="O29" s="919">
        <f>IF(AND('CG. MPA'!E29="TABIQUE",'CG. MPA'!F29="HUECO"),V29,IF(AND('CG. MPA'!D29="CONFINADO",'CG. MPA'!E29="TABIQUE",'CG. MPA'!F29="MACIZO"),'RMCV.PA'!W29,IF(AND('CG. MPA'!D29="CONFINADO",'CG. MPA'!E29="TABICON",'CG. MPA'!F29="MACIZO"),'RMCV.PA'!W29,IF(AND('CG. MPA'!D29="CONFINADO",'CG. MPA'!E29="LIGERO",'CG. MPA'!F29="MACIZO"),'RMCV.PA'!W29,IF(AND('CG. MPA'!D29="NO CONFINADO",'CG. MPA'!E29="TABIQUE",'CG. MPA'!F29="MACIZO"),X29,IF(AND('CG. MPA'!D29="NO CONFINADO",'CG. MPA'!E29="TABICON",'CG. MPA'!F29="MACIZO"),X29,IF(AND('CG. MPA'!D29="NO CONFINADO",'CG. MPA'!E29="LIGERO",'CG. MPA'!F29="MACIZO"),X29,IF('CG. MPA'!E29="ADOBE",'RMCV.PA'!Y29,Z29))))))))</f>
        <v>18524.16</v>
      </c>
      <c r="P29" s="685" t="str">
        <f t="shared" ref="P29:P69" si="0">IF(N29&gt;O29,"NO PASA","PASA")</f>
        <v>PASA</v>
      </c>
      <c r="Q29" s="88">
        <f>IF(D29*E29*(F29*M29+'CASTILLOS-PA'!W29*FY)&gt;1.25*D29*E29*F29*M29,1.25*D29*E29*F29*M29,D29*E29*(F29*M29+'CASTILLOS-PA'!W29*FY))</f>
        <v>12420</v>
      </c>
      <c r="R29" s="88">
        <f>D29*E29*(F29*M29+'CASTILLOS-PA'!G29*FY*2)</f>
        <v>18524.16</v>
      </c>
      <c r="S29" s="88">
        <f t="shared" ref="S29:S78" si="1">D29*E29*F29*M29</f>
        <v>9935.9999999999982</v>
      </c>
      <c r="T29" s="88">
        <f t="shared" ref="T29:T78" si="2">D29*E29*F29*M29</f>
        <v>9935.9999999999982</v>
      </c>
      <c r="U29" s="536">
        <f>D29*(0.7*$G$24*(B29*C29)+2000*'MUR.CONC-PA'!K29)</f>
        <v>144900</v>
      </c>
      <c r="V29" s="544">
        <f>IF(AND('CG. MPA'!E29="TABIQUE",'CG. MPA'!F29="HUECO"),Q29,0)</f>
        <v>0</v>
      </c>
      <c r="W29" s="544">
        <f>IF(AND('CG. MPA'!D29="CONFINADO",'CG. MPA'!E29="TABIQUE",'CG. MPA'!F29="MACIZO"),'RMCV.PA'!R29,IF(AND('CG. MPA'!D29="CONFINADO",'CG. MPA'!E29="TABICON",'CG. MPA'!F29="MACIZO"),'RMCV.PA'!R29,IF(AND('CG. MPA'!D29="CONFINADO",'CG. MPA'!E29="LIGERO",'CG. MPA'!F29="MACIZO"),'RMCV.PA'!R29,0)))</f>
        <v>18524.16</v>
      </c>
      <c r="X29" s="544">
        <f>IF(AND('CG. MPA'!D29="NO CONFINADO",'CG. MPA'!E29="TABIQUE",'CG. MPA'!F29="MACIZO"),S29,IF(AND('CG. MPA'!D29="NO CONFINADO",'CG. MPA'!E29="TABICON",'CG. MPA'!F29="MACIZO"),S29,IF(AND('CG. MPA'!D29="NO CONFINADO",'CG. MPA'!E29="LIGERO",'CG. MPA'!F29="MACIZO"),S29,0)))</f>
        <v>0</v>
      </c>
      <c r="Y29" s="544">
        <f>IF('CG. MPA'!E29="ADOBE",'RMCV.PA'!T29,0)</f>
        <v>0</v>
      </c>
      <c r="Z29" s="544">
        <f>IF('CG. MPA'!E29="CONCRETO",'RMCV.PA'!U29,0)</f>
        <v>0</v>
      </c>
      <c r="AA29" s="93">
        <f t="shared" ref="AA29:AA69" si="3">C29/2-(C29/3)+C29/24</f>
        <v>3.125</v>
      </c>
      <c r="AB29" s="428">
        <v>1</v>
      </c>
      <c r="AC29" s="4">
        <f>(1-2*AA29/C29)*(1-(AB29*'CG. MPA'!C29*10/(30*C29))^2)</f>
        <v>0.58107489711934146</v>
      </c>
      <c r="AD29" s="350">
        <f>(1-(2*AA29/C29))*(1-(AB29*'CG. MPA'!C29*10/(30*C29))^2)*(1-('CG. MPA'!C29*10/B29))+('CG. MPA'!C29*10/B29)</f>
        <v>0.70857384147432456</v>
      </c>
      <c r="AE29" s="429">
        <f>IF(AD29&gt;0.9,0.9,AD29)</f>
        <v>0.70857384147432456</v>
      </c>
    </row>
    <row r="30" spans="1:31">
      <c r="A30" s="684">
        <v>2</v>
      </c>
      <c r="B30" s="975">
        <f>'CG. MPA'!B30*100</f>
        <v>119.99999999999993</v>
      </c>
      <c r="C30" s="68">
        <f>'ELEM. MECA.'!S7</f>
        <v>15</v>
      </c>
      <c r="D30" s="38">
        <f>IF(AND('CG. MPA'!D30="CONFINADO",'CG. MPA'!E30="CONCRETO"),0.8,IF('CG. MPA'!D30="NO CONFINADO",0.3,0.6))</f>
        <v>0.8</v>
      </c>
      <c r="E30" s="68">
        <v>0.6</v>
      </c>
      <c r="F30" s="38">
        <f>IF('CG. MPA'!E30="CONCRETO",G30,'RMCV.PA'!H30+'RMCV.PA'!I30+'RMCV.PA'!J30+K30+L30)</f>
        <v>150</v>
      </c>
      <c r="G30" s="542">
        <f>IF('CG. MPA'!E30="CONCRETO",0.6*$G$24,0)</f>
        <v>150</v>
      </c>
      <c r="H30" s="38">
        <f>IF(AND('CG. MPA'!E30="TABIQUE",'CG. MPA'!F30="MACIZO"),15,0)</f>
        <v>0</v>
      </c>
      <c r="I30" s="38">
        <f>IF(AND('CG. MPA'!E30="TABIQUE",'CG. MPA'!F30="HUECO"),IF(E18="III",30,40),0)</f>
        <v>0</v>
      </c>
      <c r="J30" s="575">
        <f>IF('CG. MPA'!E30="TABICON",IF(E18="I",20,15),0)</f>
        <v>0</v>
      </c>
      <c r="K30" s="575">
        <f>IF('CG. MPA'!E30="ADOBE",10,0)</f>
        <v>0</v>
      </c>
      <c r="L30" s="575">
        <f>IF('CG. MPA'!E30="LIGERO",10,0)</f>
        <v>0</v>
      </c>
      <c r="M30" s="576">
        <f t="shared" ref="M30:M69" si="4">B30*C30</f>
        <v>1799.9999999999989</v>
      </c>
      <c r="N30" s="918">
        <f>ABS('ELEM. MECA.'!M7)</f>
        <v>15495.328307269898</v>
      </c>
      <c r="O30" s="919">
        <f>IF(AND('CG. MPA'!E30="TABIQUE",'CG. MPA'!F30="HUECO"),V30,IF(AND('CG. MPA'!D30="CONFINADO",'CG. MPA'!E30="TABIQUE",'CG. MPA'!F30="MACIZO"),'RMCV.PA'!W30,IF(AND('CG. MPA'!D30="CONFINADO",'CG. MPA'!E30="TABICON",'CG. MPA'!F30="MACIZO"),'RMCV.PA'!W30,IF(AND('CG. MPA'!D30="CONFINADO",'CG. MPA'!E30="LIGERO",'CG. MPA'!F30="MACIZO"),'RMCV.PA'!W30,IF(AND('CG. MPA'!D30="NO CONFINADO",'CG. MPA'!E30="TABIQUE",'CG. MPA'!F30="MACIZO"),X30,IF(AND('CG. MPA'!D30="NO CONFINADO",'CG. MPA'!E30="TABICON",'CG. MPA'!F30="MACIZO"),X30,IF(AND('CG. MPA'!D30="NO CONFINADO",'CG. MPA'!E30="LIGERO",'CG. MPA'!F30="MACIZO"),X30,IF('CG. MPA'!E30="ADOBE",'RMCV.PA'!Y30,Z30))))))))</f>
        <v>264167.4643253524</v>
      </c>
      <c r="P30" s="685" t="str">
        <f t="shared" si="0"/>
        <v>PASA</v>
      </c>
      <c r="Q30" s="88">
        <f>IF(D30*E30*(F30*M30+'CASTILLOS-PA'!W30*FY)&gt;1.25*D30*E30*F30*M30,1.25*D30*E30*F30*M30,D30*E30*(F30*M30+'CASTILLOS-PA'!W30*FY))</f>
        <v>142482.2399999999</v>
      </c>
      <c r="R30" s="88">
        <f>D30*E30*(F30*M30+'CASTILLOS-PA'!G30*FY*2)</f>
        <v>141050.87999999992</v>
      </c>
      <c r="S30" s="88">
        <f t="shared" si="1"/>
        <v>129599.99999999991</v>
      </c>
      <c r="T30" s="88">
        <f t="shared" si="2"/>
        <v>129599.99999999991</v>
      </c>
      <c r="U30" s="536">
        <f>D30*(0.7*$G$24*(B30*C30)+2000*'MUR.CONC-PA'!K30)</f>
        <v>264167.4643253524</v>
      </c>
      <c r="V30" s="544">
        <f>IF(AND('CG. MPA'!E30="TABIQUE",'CG. MPA'!F30="HUECO"),Q30,0)</f>
        <v>0</v>
      </c>
      <c r="W30" s="544">
        <f>IF(AND('CG. MPA'!D30="CONFINADO",'CG. MPA'!E30="TABIQUE",'CG. MPA'!F30="MACIZO"),'RMCV.PA'!R30,IF(AND('CG. MPA'!D30="CONFINADO",'CG. MPA'!E30="TABICON",'CG. MPA'!F30="MACIZO"),'RMCV.PA'!R30,IF(AND('CG. MPA'!D30="CONFINADO",'CG. MPA'!E30="LIGERO",'CG. MPA'!F30="MACIZO"),'RMCV.PA'!R30,0)))</f>
        <v>0</v>
      </c>
      <c r="X30" s="544">
        <f>IF(AND('CG. MPA'!D30="NO CONFINADO",'CG. MPA'!E30="TABIQUE",'CG. MPA'!F30="MACIZO"),S30,IF(AND('CG. MPA'!D30="NO CONFINADO",'CG. MPA'!E30="TABICON",'CG. MPA'!F30="MACIZO"),S30,IF(AND('CG. MPA'!D30="NO CONFINADO",'CG. MPA'!E30="LIGERO",'CG. MPA'!F30="MACIZO"),S30,0)))</f>
        <v>0</v>
      </c>
      <c r="Y30" s="544">
        <f>IF('CG. MPA'!E30="ADOBE",'RMCV.PA'!T30,0)</f>
        <v>0</v>
      </c>
      <c r="Z30" s="544">
        <f>IF('CG. MPA'!E30="CONCRETO",'RMCV.PA'!U30,0)</f>
        <v>264167.4643253524</v>
      </c>
      <c r="AA30" s="93">
        <f t="shared" si="3"/>
        <v>3.125</v>
      </c>
      <c r="AB30" s="428">
        <v>1</v>
      </c>
      <c r="AC30" s="4">
        <f>(1-2*AA30/C30)*(1-(AB30*'CG. MPA'!C30*10/(30*C30))^2)</f>
        <v>0.58107489711934146</v>
      </c>
      <c r="AD30" s="350">
        <f>(1-(2*AA30/C30))*(1-(AB30*'CG. MPA'!C30*10/(30*C30))^2)*(1-('CG. MPA'!C30*10/B30))+('CG. MPA'!C30*10/B30)</f>
        <v>0.67882408779149517</v>
      </c>
      <c r="AE30" s="429">
        <f t="shared" ref="AE30:AE42" si="5">IF(AD30&gt;0.9,0.9,AD30)</f>
        <v>0.67882408779149517</v>
      </c>
    </row>
    <row r="31" spans="1:31">
      <c r="A31" s="684">
        <v>3</v>
      </c>
      <c r="B31" s="975">
        <f>'CG. MPA'!B31*100</f>
        <v>114.49999999999996</v>
      </c>
      <c r="C31" s="68">
        <f>'ELEM. MECA.'!S8</f>
        <v>15</v>
      </c>
      <c r="D31" s="38">
        <f>IF(AND('CG. MPA'!D31="CONFINADO",'CG. MPA'!E31="CONCRETO"),0.8,IF('CG. MPA'!D31="NO CONFINADO",0.3,0.6))</f>
        <v>0.6</v>
      </c>
      <c r="E31" s="68">
        <v>0.6</v>
      </c>
      <c r="F31" s="38">
        <f>IF('CG. MPA'!E31="CONCRETO",G31,'RMCV.PA'!H31+'RMCV.PA'!I31+'RMCV.PA'!J31+K31+L31)</f>
        <v>15</v>
      </c>
      <c r="G31" s="542">
        <f>IF('CG. MPA'!E31="CONCRETO",0.6*$G$24,0)</f>
        <v>0</v>
      </c>
      <c r="H31" s="38">
        <f>IF(AND('CG. MPA'!E31="TABIQUE",'CG. MPA'!F31="MACIZO"),15,0)</f>
        <v>0</v>
      </c>
      <c r="I31" s="38">
        <f>IF(AND('CG. MPA'!E31="TABIQUE",'CG. MPA'!F31="HUECO"),IF(E19="III",30,40),0)</f>
        <v>0</v>
      </c>
      <c r="J31" s="575">
        <f>IF('CG. MPA'!E31="TABICON",IF(E19="I",20,15),0)</f>
        <v>15</v>
      </c>
      <c r="K31" s="575">
        <f>IF('CG. MPA'!E31="ADOBE",10,0)</f>
        <v>0</v>
      </c>
      <c r="L31" s="575">
        <f>IF('CG. MPA'!E31="LIGERO",10,0)</f>
        <v>0</v>
      </c>
      <c r="M31" s="576">
        <f t="shared" si="4"/>
        <v>1717.4999999999993</v>
      </c>
      <c r="N31" s="918">
        <f>ABS('ELEM. MECA.'!M8)</f>
        <v>1493.5988906655396</v>
      </c>
      <c r="O31" s="919">
        <f>IF(AND('CG. MPA'!E31="TABIQUE",'CG. MPA'!F31="HUECO"),V31,IF(AND('CG. MPA'!D31="CONFINADO",'CG. MPA'!E31="TABIQUE",'CG. MPA'!F31="MACIZO"),'RMCV.PA'!W31,IF(AND('CG. MPA'!D31="CONFINADO",'CG. MPA'!E31="TABICON",'CG. MPA'!F31="MACIZO"),'RMCV.PA'!W31,IF(AND('CG. MPA'!D31="CONFINADO",'CG. MPA'!E31="LIGERO",'CG. MPA'!F31="MACIZO"),'RMCV.PA'!W31,IF(AND('CG. MPA'!D31="NO CONFINADO",'CG. MPA'!E31="TABIQUE",'CG. MPA'!F31="MACIZO"),X31,IF(AND('CG. MPA'!D31="NO CONFINADO",'CG. MPA'!E31="TABICON",'CG. MPA'!F31="MACIZO"),X31,IF(AND('CG. MPA'!D31="NO CONFINADO",'CG. MPA'!E31="LIGERO",'CG. MPA'!F31="MACIZO"),X31,IF('CG. MPA'!E31="ADOBE",'RMCV.PA'!Y31,Z31))))))))</f>
        <v>17862.659999999993</v>
      </c>
      <c r="P31" s="685" t="str">
        <f t="shared" si="0"/>
        <v>PASA</v>
      </c>
      <c r="Q31" s="88">
        <f>IF(D31*E31*(F31*M31+'CASTILLOS-PA'!W31*FY)&gt;1.25*D31*E31*F31*M31,1.25*D31*E31*F31*M31,D31*E31*(F31*M31+'CASTILLOS-PA'!W31*FY))</f>
        <v>11593.124999999995</v>
      </c>
      <c r="R31" s="88">
        <f>D31*E31*(F31*M31+'CASTILLOS-PA'!G31*FY*2)</f>
        <v>17862.659999999993</v>
      </c>
      <c r="S31" s="88">
        <f t="shared" si="1"/>
        <v>9274.4999999999945</v>
      </c>
      <c r="T31" s="88">
        <f t="shared" si="2"/>
        <v>9274.4999999999945</v>
      </c>
      <c r="U31" s="536">
        <f>D31*(0.7*$G$24*(B31*C31)+2000*'MUR.CONC-PA'!K31)</f>
        <v>180337.49999999991</v>
      </c>
      <c r="V31" s="544">
        <f>IF(AND('CG. MPA'!E31="TABIQUE",'CG. MPA'!F31="HUECO"),Q31,0)</f>
        <v>0</v>
      </c>
      <c r="W31" s="544">
        <f>IF(AND('CG. MPA'!D31="CONFINADO",'CG. MPA'!E31="TABIQUE",'CG. MPA'!F31="MACIZO"),'RMCV.PA'!R31,IF(AND('CG. MPA'!D31="CONFINADO",'CG. MPA'!E31="TABICON",'CG. MPA'!F31="MACIZO"),'RMCV.PA'!R31,IF(AND('CG. MPA'!D31="CONFINADO",'CG. MPA'!E31="LIGERO",'CG. MPA'!F31="MACIZO"),'RMCV.PA'!R31,0)))</f>
        <v>17862.659999999993</v>
      </c>
      <c r="X31" s="544">
        <f>IF(AND('CG. MPA'!D31="NO CONFINADO",'CG. MPA'!E31="TABIQUE",'CG. MPA'!F31="MACIZO"),S31,IF(AND('CG. MPA'!D31="NO CONFINADO",'CG. MPA'!E31="TABICON",'CG. MPA'!F31="MACIZO"),S31,IF(AND('CG. MPA'!D31="NO CONFINADO",'CG. MPA'!E31="LIGERO",'CG. MPA'!F31="MACIZO"),S31,0)))</f>
        <v>0</v>
      </c>
      <c r="Y31" s="544">
        <f>IF('CG. MPA'!E31="ADOBE",'RMCV.PA'!T31,0)</f>
        <v>0</v>
      </c>
      <c r="Z31" s="544">
        <f>IF('CG. MPA'!E31="CONCRETO",'RMCV.PA'!U31,0)</f>
        <v>0</v>
      </c>
      <c r="AA31" s="93">
        <f t="shared" si="3"/>
        <v>3.125</v>
      </c>
      <c r="AB31" s="428">
        <v>1</v>
      </c>
      <c r="AC31" s="4">
        <f>(1-2*AA31/C31)*(1-(AB31*'CG. MPA'!C31*10/(30*C31))^2)</f>
        <v>0.58107489711934146</v>
      </c>
      <c r="AD31" s="350">
        <f>(1-(2*AA31/C31))*(1-(AB31*'CG. MPA'!C31*10/(30*C31))^2)*(1-('CG. MPA'!C31*10/B31))+('CG. MPA'!C31*10/B31)</f>
        <v>0.68351946376264661</v>
      </c>
      <c r="AE31" s="429">
        <f t="shared" si="5"/>
        <v>0.68351946376264661</v>
      </c>
    </row>
    <row r="32" spans="1:31">
      <c r="A32" s="684">
        <v>4</v>
      </c>
      <c r="B32" s="975">
        <f>'CG. MPA'!B32*100</f>
        <v>185.30000674581746</v>
      </c>
      <c r="C32" s="68">
        <f>'ELEM. MECA.'!S9</f>
        <v>15</v>
      </c>
      <c r="D32" s="38">
        <f>IF(AND('CG. MPA'!D32="CONFINADO",'CG. MPA'!E32="CONCRETO"),0.8,IF('CG. MPA'!D32="NO CONFINADO",0.3,0.6))</f>
        <v>0.6</v>
      </c>
      <c r="E32" s="68">
        <v>0.6</v>
      </c>
      <c r="F32" s="38">
        <f>IF('CG. MPA'!E32="CONCRETO",G32,'RMCV.PA'!H32+'RMCV.PA'!I32+'RMCV.PA'!J32+K32+L32)</f>
        <v>15</v>
      </c>
      <c r="G32" s="542">
        <f>IF('CG. MPA'!E32="CONCRETO",0.6*$G$24,0)</f>
        <v>0</v>
      </c>
      <c r="H32" s="38">
        <f>IF(AND('CG. MPA'!E32="TABIQUE",'CG. MPA'!F32="MACIZO"),15,0)</f>
        <v>0</v>
      </c>
      <c r="I32" s="38">
        <f>IF(AND('CG. MPA'!E32="TABIQUE",'CG. MPA'!F32="HUECO"),IF(E20="III",30,40),0)</f>
        <v>0</v>
      </c>
      <c r="J32" s="575">
        <f>IF('CG. MPA'!E32="TABICON",IF(E20="I",20,15),0)</f>
        <v>15</v>
      </c>
      <c r="K32" s="575">
        <f>IF('CG. MPA'!E32="ADOBE",10,0)</f>
        <v>0</v>
      </c>
      <c r="L32" s="575">
        <f>IF('CG. MPA'!E32="LIGERO",10,0)</f>
        <v>0</v>
      </c>
      <c r="M32" s="576">
        <f t="shared" si="4"/>
        <v>2779.5001011872619</v>
      </c>
      <c r="N32" s="918">
        <f>ABS('ELEM. MECA.'!M9)</f>
        <v>4310.733130338137</v>
      </c>
      <c r="O32" s="919">
        <f>IF(AND('CG. MPA'!E32="TABIQUE",'CG. MPA'!F32="HUECO"),V32,IF(AND('CG. MPA'!D32="CONFINADO",'CG. MPA'!E32="TABIQUE",'CG. MPA'!F32="MACIZO"),'RMCV.PA'!W32,IF(AND('CG. MPA'!D32="CONFINADO",'CG. MPA'!E32="TABICON",'CG. MPA'!F32="MACIZO"),'RMCV.PA'!W32,IF(AND('CG. MPA'!D32="CONFINADO",'CG. MPA'!E32="LIGERO",'CG. MPA'!F32="MACIZO"),'RMCV.PA'!W32,IF(AND('CG. MPA'!D32="NO CONFINADO",'CG. MPA'!E32="TABIQUE",'CG. MPA'!F32="MACIZO"),X32,IF(AND('CG. MPA'!D32="NO CONFINADO",'CG. MPA'!E32="TABICON",'CG. MPA'!F32="MACIZO"),X32,IF(AND('CG. MPA'!D32="NO CONFINADO",'CG. MPA'!E32="LIGERO",'CG. MPA'!F32="MACIZO"),X32,IF('CG. MPA'!E32="ADOBE",'RMCV.PA'!Y32,Z32))))))))</f>
        <v>23597.460546411217</v>
      </c>
      <c r="P32" s="685" t="str">
        <f t="shared" si="0"/>
        <v>PASA</v>
      </c>
      <c r="Q32" s="88">
        <f>IF(D32*E32*(F32*M32+'CASTILLOS-PA'!W32*FY)&gt;1.25*D32*E32*F32*M32,1.25*D32*E32*F32*M32,D32*E32*(F32*M32+'CASTILLOS-PA'!W32*FY))</f>
        <v>18761.625683014016</v>
      </c>
      <c r="R32" s="88">
        <f>D32*E32*(F32*M32+'CASTILLOS-PA'!G32*FY*2)</f>
        <v>23597.460546411217</v>
      </c>
      <c r="S32" s="88">
        <f t="shared" si="1"/>
        <v>15009.300546411212</v>
      </c>
      <c r="T32" s="88">
        <f t="shared" si="2"/>
        <v>15009.300546411212</v>
      </c>
      <c r="U32" s="536">
        <f>D32*(0.7*$G$24*(B32*C32)+2000*'MUR.CONC-PA'!K32)</f>
        <v>291847.51062466245</v>
      </c>
      <c r="V32" s="544">
        <f>IF(AND('CG. MPA'!E32="TABIQUE",'CG. MPA'!F32="HUECO"),Q32,0)</f>
        <v>0</v>
      </c>
      <c r="W32" s="544">
        <f>IF(AND('CG. MPA'!D32="CONFINADO",'CG. MPA'!E32="TABIQUE",'CG. MPA'!F32="MACIZO"),'RMCV.PA'!R32,IF(AND('CG. MPA'!D32="CONFINADO",'CG. MPA'!E32="TABICON",'CG. MPA'!F32="MACIZO"),'RMCV.PA'!R32,IF(AND('CG. MPA'!D32="CONFINADO",'CG. MPA'!E32="LIGERO",'CG. MPA'!F32="MACIZO"),'RMCV.PA'!R32,0)))</f>
        <v>23597.460546411217</v>
      </c>
      <c r="X32" s="544">
        <f>IF(AND('CG. MPA'!D32="NO CONFINADO",'CG. MPA'!E32="TABIQUE",'CG. MPA'!F32="MACIZO"),S32,IF(AND('CG. MPA'!D32="NO CONFINADO",'CG. MPA'!E32="TABICON",'CG. MPA'!F32="MACIZO"),S32,IF(AND('CG. MPA'!D32="NO CONFINADO",'CG. MPA'!E32="LIGERO",'CG. MPA'!F32="MACIZO"),S32,0)))</f>
        <v>0</v>
      </c>
      <c r="Y32" s="544">
        <f>IF('CG. MPA'!E32="ADOBE",'RMCV.PA'!T32,0)</f>
        <v>0</v>
      </c>
      <c r="Z32" s="544">
        <f>IF('CG. MPA'!E32="CONCRETO",'RMCV.PA'!U32,0)</f>
        <v>0</v>
      </c>
      <c r="AA32" s="93">
        <f t="shared" si="3"/>
        <v>3.125</v>
      </c>
      <c r="AB32" s="428">
        <v>1</v>
      </c>
      <c r="AC32" s="4">
        <f>(1-2*AA32/C32)*(1-(AB32*'CG. MPA'!C32*10/(30*C32))^2)</f>
        <v>0.58107489711934146</v>
      </c>
      <c r="AD32" s="350">
        <f>(1-(2*AA32/C32))*(1-(AB32*'CG. MPA'!C32*10/(30*C32))^2)*(1-('CG. MPA'!C32*10/B32))+('CG. MPA'!C32*10/B32)</f>
        <v>0.64437712298892147</v>
      </c>
      <c r="AE32" s="429">
        <f t="shared" si="5"/>
        <v>0.64437712298892147</v>
      </c>
    </row>
    <row r="33" spans="1:50">
      <c r="A33" s="684">
        <v>5</v>
      </c>
      <c r="B33" s="975">
        <f>'CG. MPA'!B33*100</f>
        <v>82.500015151513693</v>
      </c>
      <c r="C33" s="68">
        <f>'ELEM. MECA.'!S10</f>
        <v>15</v>
      </c>
      <c r="D33" s="38">
        <f>IF(AND('CG. MPA'!D33="CONFINADO",'CG. MPA'!E33="CONCRETO"),0.8,IF('CG. MPA'!D33="NO CONFINADO",0.3,0.6))</f>
        <v>0.8</v>
      </c>
      <c r="E33" s="68">
        <v>0.6</v>
      </c>
      <c r="F33" s="38">
        <f>IF('CG. MPA'!E33="CONCRETO",G33,'RMCV.PA'!H33+'RMCV.PA'!I33+'RMCV.PA'!J33+K33+L33)</f>
        <v>150</v>
      </c>
      <c r="G33" s="542">
        <f>IF('CG. MPA'!E33="CONCRETO",0.6*$G$24,0)</f>
        <v>150</v>
      </c>
      <c r="H33" s="38">
        <f>IF(AND('CG. MPA'!E33="TABIQUE",'CG. MPA'!F33="MACIZO"),15,0)</f>
        <v>0</v>
      </c>
      <c r="I33" s="38">
        <f>IF(AND('CG. MPA'!E33="TABIQUE",'CG. MPA'!F33="HUECO"),IF(E21="III",30,40),0)</f>
        <v>0</v>
      </c>
      <c r="J33" s="575">
        <f>IF('CG. MPA'!E33="TABICON",IF(E21="I",20,15),0)</f>
        <v>0</v>
      </c>
      <c r="K33" s="575">
        <f>IF('CG. MPA'!E33="ADOBE",10,0)</f>
        <v>0</v>
      </c>
      <c r="L33" s="575">
        <f>IF('CG. MPA'!E33="LIGERO",10,0)</f>
        <v>0</v>
      </c>
      <c r="M33" s="576">
        <f t="shared" si="4"/>
        <v>1237.5002272727054</v>
      </c>
      <c r="N33" s="918">
        <f>ABS('ELEM. MECA.'!M10)</f>
        <v>57705.857979648252</v>
      </c>
      <c r="O33" s="919">
        <f>IF(AND('CG. MPA'!E33="TABIQUE",'CG. MPA'!F33="HUECO"),V33,IF(AND('CG. MPA'!D33="CONFINADO",'CG. MPA'!E33="TABIQUE",'CG. MPA'!F33="MACIZO"),'RMCV.PA'!W33,IF(AND('CG. MPA'!D33="CONFINADO",'CG. MPA'!E33="TABICON",'CG. MPA'!F33="MACIZO"),'RMCV.PA'!W33,IF(AND('CG. MPA'!D33="CONFINADO",'CG. MPA'!E33="LIGERO",'CG. MPA'!F33="MACIZO"),'RMCV.PA'!W33,IF(AND('CG. MPA'!D33="NO CONFINADO",'CG. MPA'!E33="TABIQUE",'CG. MPA'!F33="MACIZO"),X33,IF(AND('CG. MPA'!D33="NO CONFINADO",'CG. MPA'!E33="TABICON",'CG. MPA'!F33="MACIZO"),X33,IF(AND('CG. MPA'!D33="NO CONFINADO",'CG. MPA'!E33="LIGERO",'CG. MPA'!F33="MACIZO"),X33,IF('CG. MPA'!E33="ADOBE",'RMCV.PA'!Y33,Z33))))))))</f>
        <v>182665.64626021252</v>
      </c>
      <c r="P33" s="685" t="str">
        <f t="shared" si="0"/>
        <v>PASA</v>
      </c>
      <c r="Q33" s="88">
        <f>IF(D33*E33*(F33*M33+'CASTILLOS-PA'!W33*FY)&gt;1.25*D33*E33*F33*M33,1.25*D33*E33*F33*M33,D33*E33*(F33*M33+'CASTILLOS-PA'!W33*FY))</f>
        <v>101982.25636363478</v>
      </c>
      <c r="R33" s="88">
        <f>D33*E33*(F33*M33+'CASTILLOS-PA'!G33*FY*2)</f>
        <v>100550.89636363478</v>
      </c>
      <c r="S33" s="88">
        <f t="shared" si="1"/>
        <v>89100.016363634786</v>
      </c>
      <c r="T33" s="88">
        <f t="shared" si="2"/>
        <v>89100.016363634786</v>
      </c>
      <c r="U33" s="536">
        <f>D33*(0.7*$G$24*(B33*C33)+2000*'MUR.CONC-PA'!K33)</f>
        <v>182665.64626021252</v>
      </c>
      <c r="V33" s="544">
        <f>IF(AND('CG. MPA'!E33="TABIQUE",'CG. MPA'!F33="HUECO"),Q33,0)</f>
        <v>0</v>
      </c>
      <c r="W33" s="544">
        <f>IF(AND('CG. MPA'!D33="CONFINADO",'CG. MPA'!E33="TABIQUE",'CG. MPA'!F33="MACIZO"),'RMCV.PA'!R33,IF(AND('CG. MPA'!D33="CONFINADO",'CG. MPA'!E33="TABICON",'CG. MPA'!F33="MACIZO"),'RMCV.PA'!R33,IF(AND('CG. MPA'!D33="CONFINADO",'CG. MPA'!E33="LIGERO",'CG. MPA'!F33="MACIZO"),'RMCV.PA'!R33,0)))</f>
        <v>0</v>
      </c>
      <c r="X33" s="544">
        <f>IF(AND('CG. MPA'!D33="NO CONFINADO",'CG. MPA'!E33="TABIQUE",'CG. MPA'!F33="MACIZO"),S33,IF(AND('CG. MPA'!D33="NO CONFINADO",'CG. MPA'!E33="TABICON",'CG. MPA'!F33="MACIZO"),S33,IF(AND('CG. MPA'!D33="NO CONFINADO",'CG. MPA'!E33="LIGERO",'CG. MPA'!F33="MACIZO"),S33,0)))</f>
        <v>0</v>
      </c>
      <c r="Y33" s="544">
        <f>IF('CG. MPA'!E33="ADOBE",'RMCV.PA'!T33,0)</f>
        <v>0</v>
      </c>
      <c r="Z33" s="544">
        <f>IF('CG. MPA'!E33="CONCRETO",'RMCV.PA'!U33,0)</f>
        <v>182665.64626021252</v>
      </c>
      <c r="AA33" s="93">
        <f t="shared" si="3"/>
        <v>3.125</v>
      </c>
      <c r="AB33" s="428">
        <v>1</v>
      </c>
      <c r="AC33" s="4">
        <f>(1-2*AA33/C33)*(1-(AB33*'CG. MPA'!C33*10/(30*C33))^2)</f>
        <v>0.58107489711934146</v>
      </c>
      <c r="AD33" s="350">
        <f>(1-(2*AA33/C33))*(1-(AB33*'CG. MPA'!C33*10/(30*C33))^2)*(1-('CG. MPA'!C33*10/B33))+('CG. MPA'!C33*10/B33)</f>
        <v>0.72325551198487981</v>
      </c>
      <c r="AE33" s="429">
        <f t="shared" si="5"/>
        <v>0.72325551198487981</v>
      </c>
    </row>
    <row r="34" spans="1:50">
      <c r="A34" s="684">
        <v>6</v>
      </c>
      <c r="B34" s="975">
        <f>'CG. MPA'!B34*100</f>
        <v>302.50000000000006</v>
      </c>
      <c r="C34" s="68">
        <f>'ELEM. MECA.'!S11</f>
        <v>15</v>
      </c>
      <c r="D34" s="38">
        <f>IF(AND('CG. MPA'!D34="CONFINADO",'CG. MPA'!E34="CONCRETO"),0.8,IF('CG. MPA'!D34="NO CONFINADO",0.3,0.6))</f>
        <v>0.6</v>
      </c>
      <c r="E34" s="68">
        <v>0.6</v>
      </c>
      <c r="F34" s="38">
        <f>IF('CG. MPA'!E34="CONCRETO",G34,'RMCV.PA'!H34+'RMCV.PA'!I34+'RMCV.PA'!J34+K34+L34)</f>
        <v>15</v>
      </c>
      <c r="G34" s="542">
        <f>IF('CG. MPA'!E34="CONCRETO",0.6*$G$24,0)</f>
        <v>0</v>
      </c>
      <c r="H34" s="38">
        <f>IF(AND('CG. MPA'!E34="TABIQUE",'CG. MPA'!F34="MACIZO"),15,0)</f>
        <v>0</v>
      </c>
      <c r="I34" s="38">
        <f>IF(AND('CG. MPA'!E34="TABIQUE",'CG. MPA'!F34="HUECO"),IF(E22="III",30,40),0)</f>
        <v>0</v>
      </c>
      <c r="J34" s="575">
        <f>IF('CG. MPA'!E34="TABICON",IF(E22="I",20,15),0)</f>
        <v>15</v>
      </c>
      <c r="K34" s="575">
        <f>IF('CG. MPA'!E34="ADOBE",10,0)</f>
        <v>0</v>
      </c>
      <c r="L34" s="575">
        <f>IF('CG. MPA'!E34="LIGERO",10,0)</f>
        <v>0</v>
      </c>
      <c r="M34" s="576">
        <f t="shared" si="4"/>
        <v>4537.5000000000009</v>
      </c>
      <c r="N34" s="918">
        <f>ABS('ELEM. MECA.'!M11)</f>
        <v>8454.3757816062935</v>
      </c>
      <c r="O34" s="919">
        <f>IF(AND('CG. MPA'!E34="TABIQUE",'CG. MPA'!F34="HUECO"),V34,IF(AND('CG. MPA'!D34="CONFINADO",'CG. MPA'!E34="TABIQUE",'CG. MPA'!F34="MACIZO"),'RMCV.PA'!W34,IF(AND('CG. MPA'!D34="CONFINADO",'CG. MPA'!E34="TABICON",'CG. MPA'!F34="MACIZO"),'RMCV.PA'!W34,IF(AND('CG. MPA'!D34="CONFINADO",'CG. MPA'!E34="LIGERO",'CG. MPA'!F34="MACIZO"),'RMCV.PA'!W34,IF(AND('CG. MPA'!D34="NO CONFINADO",'CG. MPA'!E34="TABIQUE",'CG. MPA'!F34="MACIZO"),X34,IF(AND('CG. MPA'!D34="NO CONFINADO",'CG. MPA'!E34="TABICON",'CG. MPA'!F34="MACIZO"),X34,IF(AND('CG. MPA'!D34="NO CONFINADO",'CG. MPA'!E34="LIGERO",'CG. MPA'!F34="MACIZO"),X34,IF('CG. MPA'!E34="ADOBE",'RMCV.PA'!Y34,Z34))))))))</f>
        <v>33090.660000000003</v>
      </c>
      <c r="P34" s="685" t="str">
        <f t="shared" si="0"/>
        <v>PASA</v>
      </c>
      <c r="Q34" s="88">
        <f>IF(D34*E34*(F34*M34+'CASTILLOS-PA'!W34*FY)&gt;1.25*D34*E34*F34*M34,1.25*D34*E34*F34*M34,D34*E34*(F34*M34+'CASTILLOS-PA'!W34*FY))</f>
        <v>30628.125000000004</v>
      </c>
      <c r="R34" s="88">
        <f>D34*E34*(F34*M34+'CASTILLOS-PA'!G34*FY*2)</f>
        <v>33090.660000000003</v>
      </c>
      <c r="S34" s="88">
        <f t="shared" si="1"/>
        <v>24502.500000000004</v>
      </c>
      <c r="T34" s="88">
        <f t="shared" si="2"/>
        <v>24502.500000000004</v>
      </c>
      <c r="U34" s="536">
        <f>D34*(0.7*$G$24*(B34*C34)+2000*'MUR.CONC-PA'!K34)</f>
        <v>476437.50000000006</v>
      </c>
      <c r="V34" s="544">
        <f>IF(AND('CG. MPA'!E34="TABIQUE",'CG. MPA'!F34="HUECO"),Q34,0)</f>
        <v>0</v>
      </c>
      <c r="W34" s="544">
        <f>IF(AND('CG. MPA'!D34="CONFINADO",'CG. MPA'!E34="TABIQUE",'CG. MPA'!F34="MACIZO"),'RMCV.PA'!R34,IF(AND('CG. MPA'!D34="CONFINADO",'CG. MPA'!E34="TABICON",'CG. MPA'!F34="MACIZO"),'RMCV.PA'!R34,IF(AND('CG. MPA'!D34="CONFINADO",'CG. MPA'!E34="LIGERO",'CG. MPA'!F34="MACIZO"),'RMCV.PA'!R34,0)))</f>
        <v>33090.660000000003</v>
      </c>
      <c r="X34" s="544">
        <f>IF(AND('CG. MPA'!D34="NO CONFINADO",'CG. MPA'!E34="TABIQUE",'CG. MPA'!F34="MACIZO"),S34,IF(AND('CG. MPA'!D34="NO CONFINADO",'CG. MPA'!E34="TABICON",'CG. MPA'!F34="MACIZO"),S34,IF(AND('CG. MPA'!D34="NO CONFINADO",'CG. MPA'!E34="LIGERO",'CG. MPA'!F34="MACIZO"),S34,0)))</f>
        <v>0</v>
      </c>
      <c r="Y34" s="544">
        <f>IF('CG. MPA'!E34="ADOBE",'RMCV.PA'!T34,0)</f>
        <v>0</v>
      </c>
      <c r="Z34" s="544">
        <f>IF('CG. MPA'!E34="CONCRETO",'RMCV.PA'!U34,0)</f>
        <v>0</v>
      </c>
      <c r="AA34" s="93">
        <f t="shared" si="3"/>
        <v>3.125</v>
      </c>
      <c r="AB34" s="428">
        <v>0.8</v>
      </c>
      <c r="AC34" s="4">
        <f>(1-2*AA34/C34)*(1-(AB34*'CG. MPA'!C34*10/(30*C34))^2)</f>
        <v>0.58188793415637852</v>
      </c>
      <c r="AD34" s="350">
        <f>(1-(2*AA34/C34))*(1-(AB34*'CG. MPA'!C34*10/(30*C34))^2)*(1-('CG. MPA'!C34*10/B34))+('CG. MPA'!C34*10/B34)</f>
        <v>0.62058921628405261</v>
      </c>
      <c r="AE34" s="429">
        <f t="shared" si="5"/>
        <v>0.62058921628405261</v>
      </c>
    </row>
    <row r="35" spans="1:50" ht="17.45" customHeight="1">
      <c r="A35" s="684">
        <v>7</v>
      </c>
      <c r="B35" s="975">
        <f>'CG. MPA'!B35*100</f>
        <v>275</v>
      </c>
      <c r="C35" s="68">
        <f>'ELEM. MECA.'!S12</f>
        <v>15</v>
      </c>
      <c r="D35" s="38">
        <f>IF(AND('CG. MPA'!D35="CONFINADO",'CG. MPA'!E35="CONCRETO"),0.8,IF('CG. MPA'!D35="NO CONFINADO",0.3,0.6))</f>
        <v>0.6</v>
      </c>
      <c r="E35" s="68">
        <v>0.6</v>
      </c>
      <c r="F35" s="38">
        <f>IF('CG. MPA'!E35="CONCRETO",G35,'RMCV.PA'!H35+'RMCV.PA'!I35+'RMCV.PA'!J35+K35+L35)</f>
        <v>15</v>
      </c>
      <c r="G35" s="542">
        <f>IF('CG. MPA'!E35="CONCRETO",0.6*$G$24,0)</f>
        <v>0</v>
      </c>
      <c r="H35" s="38">
        <f>IF(AND('CG. MPA'!E35="TABIQUE",'CG. MPA'!F35="MACIZO"),15,0)</f>
        <v>0</v>
      </c>
      <c r="I35" s="38">
        <f>IF(AND('CG. MPA'!E35="TABIQUE",'CG. MPA'!F35="HUECO"),IF(E23="III",30,40),0)</f>
        <v>0</v>
      </c>
      <c r="J35" s="575">
        <f>IF('CG. MPA'!E35="TABICON",IF(E23="I",20,15),0)</f>
        <v>15</v>
      </c>
      <c r="K35" s="575">
        <f>IF('CG. MPA'!E35="ADOBE",10,0)</f>
        <v>0</v>
      </c>
      <c r="L35" s="575">
        <f>IF('CG. MPA'!E35="LIGERO",10,0)</f>
        <v>0</v>
      </c>
      <c r="M35" s="576">
        <f t="shared" si="4"/>
        <v>4125</v>
      </c>
      <c r="N35" s="918">
        <f>ABS('ELEM. MECA.'!M12)</f>
        <v>4473.5104755795328</v>
      </c>
      <c r="O35" s="919">
        <f>IF(AND('CG. MPA'!E35="TABIQUE",'CG. MPA'!F35="HUECO"),V35,IF(AND('CG. MPA'!D35="CONFINADO",'CG. MPA'!E35="TABIQUE",'CG. MPA'!F35="MACIZO"),'RMCV.PA'!W35,IF(AND('CG. MPA'!D35="CONFINADO",'CG. MPA'!E35="TABICON",'CG. MPA'!F35="MACIZO"),'RMCV.PA'!W35,IF(AND('CG. MPA'!D35="CONFINADO",'CG. MPA'!E35="LIGERO",'CG. MPA'!F35="MACIZO"),'RMCV.PA'!W35,IF(AND('CG. MPA'!D35="NO CONFINADO",'CG. MPA'!E35="TABIQUE",'CG. MPA'!F35="MACIZO"),X35,IF(AND('CG. MPA'!D35="NO CONFINADO",'CG. MPA'!E35="TABICON",'CG. MPA'!F35="MACIZO"),X35,IF(AND('CG. MPA'!D35="NO CONFINADO",'CG. MPA'!E35="LIGERO",'CG. MPA'!F35="MACIZO"),X35,IF('CG. MPA'!E35="ADOBE",'RMCV.PA'!Y35,Z35))))))))</f>
        <v>30863.16</v>
      </c>
      <c r="P35" s="685" t="str">
        <f t="shared" si="0"/>
        <v>PASA</v>
      </c>
      <c r="Q35" s="88">
        <f>IF(D35*E35*(F35*M35+'CASTILLOS-PA'!W35*FY)&gt;1.25*D35*E35*F35*M35,1.25*D35*E35*F35*M35,D35*E35*(F35*M35+'CASTILLOS-PA'!W35*FY))</f>
        <v>27843.749999999996</v>
      </c>
      <c r="R35" s="88">
        <f>D35*E35*(F35*M35+'CASTILLOS-PA'!G35*FY*2)</f>
        <v>30863.16</v>
      </c>
      <c r="S35" s="88">
        <f t="shared" si="1"/>
        <v>22274.999999999996</v>
      </c>
      <c r="T35" s="88">
        <f t="shared" si="2"/>
        <v>22274.999999999996</v>
      </c>
      <c r="U35" s="536">
        <f>D35*(0.7*$G$24*(B35*C35)+2000*'MUR.CONC-PA'!K35)</f>
        <v>433125</v>
      </c>
      <c r="V35" s="544">
        <f>IF(AND('CG. MPA'!E35="TABIQUE",'CG. MPA'!F35="HUECO"),Q35,0)</f>
        <v>0</v>
      </c>
      <c r="W35" s="544">
        <f>IF(AND('CG. MPA'!D35="CONFINADO",'CG. MPA'!E35="TABIQUE",'CG. MPA'!F35="MACIZO"),'RMCV.PA'!R35,IF(AND('CG. MPA'!D35="CONFINADO",'CG. MPA'!E35="TABICON",'CG. MPA'!F35="MACIZO"),'RMCV.PA'!R35,IF(AND('CG. MPA'!D35="CONFINADO",'CG. MPA'!E35="LIGERO",'CG. MPA'!F35="MACIZO"),'RMCV.PA'!R35,0)))</f>
        <v>30863.16</v>
      </c>
      <c r="X35" s="544">
        <f>IF(AND('CG. MPA'!D35="NO CONFINADO",'CG. MPA'!E35="TABIQUE",'CG. MPA'!F35="MACIZO"),S35,IF(AND('CG. MPA'!D35="NO CONFINADO",'CG. MPA'!E35="TABICON",'CG. MPA'!F35="MACIZO"),S35,IF(AND('CG. MPA'!D35="NO CONFINADO",'CG. MPA'!E35="LIGERO",'CG. MPA'!F35="MACIZO"),S35,0)))</f>
        <v>0</v>
      </c>
      <c r="Y35" s="544">
        <f>IF('CG. MPA'!E35="ADOBE",'RMCV.PA'!T35,0)</f>
        <v>0</v>
      </c>
      <c r="Z35" s="544">
        <f>IF('CG. MPA'!E35="CONCRETO",'RMCV.PA'!U35,0)</f>
        <v>0</v>
      </c>
      <c r="AA35" s="93">
        <f t="shared" si="3"/>
        <v>3.125</v>
      </c>
      <c r="AB35" s="428">
        <v>0.8</v>
      </c>
      <c r="AC35" s="4">
        <f>(1-2*AA35/C35)*(1-(AB35*'CG. MPA'!C35*10/(30*C35))^2)</f>
        <v>0.58188793415637852</v>
      </c>
      <c r="AD35" s="350">
        <f>(1-(2*AA35/C35))*(1-(AB35*'CG. MPA'!C35*10/(30*C35))^2)*(1-('CG. MPA'!C35*10/B35))+('CG. MPA'!C35*10/B35)</f>
        <v>0.62445934449681995</v>
      </c>
      <c r="AE35" s="429">
        <f t="shared" si="5"/>
        <v>0.62445934449681995</v>
      </c>
    </row>
    <row r="36" spans="1:50" ht="17.45" customHeight="1">
      <c r="A36" s="684">
        <v>8</v>
      </c>
      <c r="B36" s="975">
        <f>'CG. MPA'!B36*100</f>
        <v>80.000562498022489</v>
      </c>
      <c r="C36" s="68">
        <f>'ELEM. MECA.'!S13</f>
        <v>15</v>
      </c>
      <c r="D36" s="38">
        <f>IF(AND('CG. MPA'!D36="CONFINADO",'CG. MPA'!E36="CONCRETO"),0.8,IF('CG. MPA'!D36="NO CONFINADO",0.3,0.6))</f>
        <v>0.6</v>
      </c>
      <c r="E36" s="68">
        <v>0.6</v>
      </c>
      <c r="F36" s="38">
        <f>IF('CG. MPA'!E36="CONCRETO",G36,'RMCV.PA'!H36+'RMCV.PA'!I36+'RMCV.PA'!J36+K36+L36)</f>
        <v>15</v>
      </c>
      <c r="G36" s="542">
        <f>IF('CG. MPA'!E36="CONCRETO",0.6*$G$24,0)</f>
        <v>0</v>
      </c>
      <c r="H36" s="38">
        <f>IF(AND('CG. MPA'!E36="TABIQUE",'CG. MPA'!F36="MACIZO"),15,0)</f>
        <v>0</v>
      </c>
      <c r="I36" s="38">
        <f>IF(AND('CG. MPA'!E36="TABIQUE",'CG. MPA'!F36="HUECO"),IF(E24="III",30,40),0)</f>
        <v>0</v>
      </c>
      <c r="J36" s="575">
        <f>IF('CG. MPA'!E36="TABICON",IF(E24="I",20,15),0)</f>
        <v>15</v>
      </c>
      <c r="K36" s="575">
        <f>IF('CG. MPA'!E36="ADOBE",10,0)</f>
        <v>0</v>
      </c>
      <c r="L36" s="575">
        <f>IF('CG. MPA'!E36="LIGERO",10,0)</f>
        <v>0</v>
      </c>
      <c r="M36" s="576">
        <f t="shared" si="4"/>
        <v>1200.0084374703374</v>
      </c>
      <c r="N36" s="918">
        <f>ABS('ELEM. MECA.'!M13)</f>
        <v>2083.2579943320143</v>
      </c>
      <c r="O36" s="919">
        <f>IF(AND('CG. MPA'!E36="TABIQUE",'CG. MPA'!F36="HUECO"),V36,IF(AND('CG. MPA'!D36="CONFINADO",'CG. MPA'!E36="TABIQUE",'CG. MPA'!F36="MACIZO"),'RMCV.PA'!W36,IF(AND('CG. MPA'!D36="CONFINADO",'CG. MPA'!E36="TABICON",'CG. MPA'!F36="MACIZO"),'RMCV.PA'!W36,IF(AND('CG. MPA'!D36="CONFINADO",'CG. MPA'!E36="LIGERO",'CG. MPA'!F36="MACIZO"),'RMCV.PA'!W36,IF(AND('CG. MPA'!D36="NO CONFINADO",'CG. MPA'!E36="TABIQUE",'CG. MPA'!F36="MACIZO"),X36,IF(AND('CG. MPA'!D36="NO CONFINADO",'CG. MPA'!E36="TABICON",'CG. MPA'!F36="MACIZO"),X36,IF(AND('CG. MPA'!D36="NO CONFINADO",'CG. MPA'!E36="LIGERO",'CG. MPA'!F36="MACIZO"),X36,IF('CG. MPA'!E36="ADOBE",'RMCV.PA'!Y36,Z36))))))))</f>
        <v>15068.205562339821</v>
      </c>
      <c r="P36" s="685" t="str">
        <f t="shared" si="0"/>
        <v>PASA</v>
      </c>
      <c r="Q36" s="88">
        <f>IF(D36*E36*(F36*M36+'CASTILLOS-PA'!W36*FY)&gt;1.25*D36*E36*F36*M36,1.25*D36*E36*F36*M36,D36*E36*(F36*M36+'CASTILLOS-PA'!W36*FY))</f>
        <v>8100.0569529247769</v>
      </c>
      <c r="R36" s="88">
        <f>D36*E36*(F36*M36+'CASTILLOS-PA'!G36*FY*2)</f>
        <v>15068.205562339821</v>
      </c>
      <c r="S36" s="88">
        <f t="shared" si="1"/>
        <v>6480.0455623398211</v>
      </c>
      <c r="T36" s="88">
        <f t="shared" si="2"/>
        <v>6480.0455623398211</v>
      </c>
      <c r="U36" s="536">
        <f>D36*(0.7*$G$24*(B36*C36)+2000*'MUR.CONC-PA'!K36)</f>
        <v>126000.88593438541</v>
      </c>
      <c r="V36" s="544">
        <f>IF(AND('CG. MPA'!E36="TABIQUE",'CG. MPA'!F36="HUECO"),Q36,0)</f>
        <v>0</v>
      </c>
      <c r="W36" s="544">
        <f>IF(AND('CG. MPA'!D36="CONFINADO",'CG. MPA'!E36="TABIQUE",'CG. MPA'!F36="MACIZO"),'RMCV.PA'!R36,IF(AND('CG. MPA'!D36="CONFINADO",'CG. MPA'!E36="TABICON",'CG. MPA'!F36="MACIZO"),'RMCV.PA'!R36,IF(AND('CG. MPA'!D36="CONFINADO",'CG. MPA'!E36="LIGERO",'CG. MPA'!F36="MACIZO"),'RMCV.PA'!R36,0)))</f>
        <v>15068.205562339821</v>
      </c>
      <c r="X36" s="544">
        <f>IF(AND('CG. MPA'!D36="NO CONFINADO",'CG. MPA'!E36="TABIQUE",'CG. MPA'!F36="MACIZO"),S36,IF(AND('CG. MPA'!D36="NO CONFINADO",'CG. MPA'!E36="TABICON",'CG. MPA'!F36="MACIZO"),S36,IF(AND('CG. MPA'!D36="NO CONFINADO",'CG. MPA'!E36="LIGERO",'CG. MPA'!F36="MACIZO"),S36,0)))</f>
        <v>0</v>
      </c>
      <c r="Y36" s="544">
        <f>IF('CG. MPA'!E36="ADOBE",'RMCV.PA'!T36,0)</f>
        <v>0</v>
      </c>
      <c r="Z36" s="544">
        <f>IF('CG. MPA'!E36="CONCRETO",'RMCV.PA'!U36,0)</f>
        <v>0</v>
      </c>
      <c r="AA36" s="93">
        <f t="shared" si="3"/>
        <v>3.125</v>
      </c>
      <c r="AB36" s="428">
        <v>0.8</v>
      </c>
      <c r="AC36" s="4">
        <f>(1-2*AA36/C36)*(1-(AB36*'CG. MPA'!C36*10/(30*C36))^2)</f>
        <v>0.58188793415637852</v>
      </c>
      <c r="AD36" s="350">
        <f>(1-(2*AA36/C36))*(1-(AB36*'CG. MPA'!C36*10/(30*C36))^2)*(1-('CG. MPA'!C36*10/B36))+('CG. MPA'!C36*10/B36)</f>
        <v>0.72822612826483601</v>
      </c>
      <c r="AE36" s="429">
        <f t="shared" si="5"/>
        <v>0.72822612826483601</v>
      </c>
      <c r="AX36" s="905" t="s">
        <v>467</v>
      </c>
    </row>
    <row r="37" spans="1:50" ht="17.45" customHeight="1">
      <c r="A37" s="684">
        <v>9</v>
      </c>
      <c r="B37" s="975">
        <f>'CG. MPA'!B37*100</f>
        <v>275</v>
      </c>
      <c r="C37" s="68">
        <f>'ELEM. MECA.'!S14</f>
        <v>15</v>
      </c>
      <c r="D37" s="38">
        <f>IF(AND('CG. MPA'!D37="CONFINADO",'CG. MPA'!E37="CONCRETO"),0.8,IF('CG. MPA'!D37="NO CONFINADO",0.3,0.6))</f>
        <v>0.6</v>
      </c>
      <c r="E37" s="68">
        <v>0.6</v>
      </c>
      <c r="F37" s="38">
        <f>IF('CG. MPA'!E37="CONCRETO",G37,'RMCV.PA'!H37+'RMCV.PA'!I37+'RMCV.PA'!J37+K37+L37)</f>
        <v>15</v>
      </c>
      <c r="G37" s="542">
        <f>IF('CG. MPA'!E37="CONCRETO",0.6*$G$24,0)</f>
        <v>0</v>
      </c>
      <c r="H37" s="38">
        <f>IF(AND('CG. MPA'!E37="TABIQUE",'CG. MPA'!F37="MACIZO"),15,0)</f>
        <v>0</v>
      </c>
      <c r="I37" s="38">
        <f>IF(AND('CG. MPA'!E37="TABIQUE",'CG. MPA'!F37="HUECO"),IF(E29="III",30,40),0)</f>
        <v>0</v>
      </c>
      <c r="J37" s="575">
        <f>IF('CG. MPA'!E37="TABICON",IF(E25="I",20,15),0)</f>
        <v>15</v>
      </c>
      <c r="K37" s="575">
        <f>IF('CG. MPA'!E37="ADOBE",10,0)</f>
        <v>0</v>
      </c>
      <c r="L37" s="575">
        <f>IF('CG. MPA'!E37="LIGERO",10,0)</f>
        <v>0</v>
      </c>
      <c r="M37" s="576">
        <f t="shared" si="4"/>
        <v>4125</v>
      </c>
      <c r="N37" s="918">
        <f>ABS('ELEM. MECA.'!M14)</f>
        <v>6168.4413159651085</v>
      </c>
      <c r="O37" s="919">
        <f>IF(AND('CG. MPA'!E37="TABIQUE",'CG. MPA'!F37="HUECO"),V37,IF(AND('CG. MPA'!D37="CONFINADO",'CG. MPA'!E37="TABIQUE",'CG. MPA'!F37="MACIZO"),'RMCV.PA'!W37,IF(AND('CG. MPA'!D37="CONFINADO",'CG. MPA'!E37="TABICON",'CG. MPA'!F37="MACIZO"),'RMCV.PA'!W37,IF(AND('CG. MPA'!D37="CONFINADO",'CG. MPA'!E37="LIGERO",'CG. MPA'!F37="MACIZO"),'RMCV.PA'!W37,IF(AND('CG. MPA'!D37="NO CONFINADO",'CG. MPA'!E37="TABIQUE",'CG. MPA'!F37="MACIZO"),X37,IF(AND('CG. MPA'!D37="NO CONFINADO",'CG. MPA'!E37="TABICON",'CG. MPA'!F37="MACIZO"),X37,IF(AND('CG. MPA'!D37="NO CONFINADO",'CG. MPA'!E37="LIGERO",'CG. MPA'!F37="MACIZO"),X37,IF('CG. MPA'!E37="ADOBE",'RMCV.PA'!Y37,Z37))))))))</f>
        <v>30863.16</v>
      </c>
      <c r="P37" s="685" t="str">
        <f t="shared" si="0"/>
        <v>PASA</v>
      </c>
      <c r="Q37" s="88">
        <f>IF(D37*E37*(F37*M37+'CASTILLOS-PA'!W37*FY)&gt;1.25*D37*E37*F37*M37,1.25*D37*E37*F37*M37,D37*E37*(F37*M37+'CASTILLOS-PA'!W37*FY))</f>
        <v>27843.749999999996</v>
      </c>
      <c r="R37" s="88">
        <f>D37*E37*(F37*M37+'CASTILLOS-PA'!G37*FY*2)</f>
        <v>30863.16</v>
      </c>
      <c r="S37" s="88">
        <f t="shared" si="1"/>
        <v>22274.999999999996</v>
      </c>
      <c r="T37" s="88">
        <f t="shared" si="2"/>
        <v>22274.999999999996</v>
      </c>
      <c r="U37" s="536">
        <f>D37*(0.7*$G$24*(B37*C37)+2000*'MUR.CONC-PA'!K37)</f>
        <v>433125</v>
      </c>
      <c r="V37" s="544">
        <f>IF(AND('CG. MPA'!E37="TABIQUE",'CG. MPA'!F37="HUECO"),Q37,0)</f>
        <v>0</v>
      </c>
      <c r="W37" s="544">
        <f>IF(AND('CG. MPA'!D37="CONFINADO",'CG. MPA'!E37="TABIQUE",'CG. MPA'!F37="MACIZO"),'RMCV.PA'!R37,IF(AND('CG. MPA'!D37="CONFINADO",'CG. MPA'!E37="TABICON",'CG. MPA'!F37="MACIZO"),'RMCV.PA'!R37,IF(AND('CG. MPA'!D37="CONFINADO",'CG. MPA'!E37="LIGERO",'CG. MPA'!F37="MACIZO"),'RMCV.PA'!R37,0)))</f>
        <v>30863.16</v>
      </c>
      <c r="X37" s="544">
        <f>IF(AND('CG. MPA'!D37="NO CONFINADO",'CG. MPA'!E37="TABIQUE",'CG. MPA'!F37="MACIZO"),S37,IF(AND('CG. MPA'!D37="NO CONFINADO",'CG. MPA'!E37="TABICON",'CG. MPA'!F37="MACIZO"),S37,IF(AND('CG. MPA'!D37="NO CONFINADO",'CG. MPA'!E37="LIGERO",'CG. MPA'!F37="MACIZO"),S37,0)))</f>
        <v>0</v>
      </c>
      <c r="Y37" s="544">
        <f>IF('CG. MPA'!E37="ADOBE",'RMCV.PA'!T37,0)</f>
        <v>0</v>
      </c>
      <c r="Z37" s="544">
        <f>IF('CG. MPA'!E37="CONCRETO",'RMCV.PA'!U37,0)</f>
        <v>0</v>
      </c>
      <c r="AA37" s="93">
        <f t="shared" si="3"/>
        <v>3.125</v>
      </c>
      <c r="AB37" s="428">
        <v>0.8</v>
      </c>
      <c r="AC37" s="4">
        <f>(1-2*AA37/C37)*(1-(AB37*'CG. MPA'!C37*10/(30*C37))^2)</f>
        <v>0.58188793415637852</v>
      </c>
      <c r="AD37" s="350">
        <f>(1-(2*AA37/C37))*(1-(AB37*'CG. MPA'!C37*10/(30*C37))^2)*(1-('CG. MPA'!C37*10/B37))+('CG. MPA'!C37*10/B37)</f>
        <v>0.62445934449681995</v>
      </c>
      <c r="AE37" s="429">
        <f t="shared" si="5"/>
        <v>0.62445934449681995</v>
      </c>
    </row>
    <row r="38" spans="1:50" ht="17.45" customHeight="1">
      <c r="A38" s="684">
        <v>10</v>
      </c>
      <c r="B38" s="975">
        <f>'CG. MPA'!B38*100</f>
        <v>185.3</v>
      </c>
      <c r="C38" s="68">
        <f>'ELEM. MECA.'!S15</f>
        <v>15</v>
      </c>
      <c r="D38" s="38">
        <f>IF(AND('CG. MPA'!D38="CONFINADO",'CG. MPA'!E38="CONCRETO"),0.8,IF('CG. MPA'!D38="NO CONFINADO",0.3,0.6))</f>
        <v>0.6</v>
      </c>
      <c r="E38" s="68">
        <v>0.6</v>
      </c>
      <c r="F38" s="38">
        <f>IF('CG. MPA'!E38="CONCRETO",G38,'RMCV.PA'!H38+'RMCV.PA'!I38+'RMCV.PA'!J38+K38+L38)</f>
        <v>15</v>
      </c>
      <c r="G38" s="542">
        <f>IF('CG. MPA'!E38="CONCRETO",0.6*$G$24,0)</f>
        <v>0</v>
      </c>
      <c r="H38" s="38">
        <f>IF(AND('CG. MPA'!E38="TABIQUE",'CG. MPA'!F38="MACIZO"),15,0)</f>
        <v>0</v>
      </c>
      <c r="I38" s="38">
        <f>IF(AND('CG. MPA'!E38="TABIQUE",'CG. MPA'!F38="HUECO"),IF(E30="III",30,40),0)</f>
        <v>0</v>
      </c>
      <c r="J38" s="575">
        <f>IF('CG. MPA'!E38="TABICON",IF(E26="I",20,15),0)</f>
        <v>15</v>
      </c>
      <c r="K38" s="575">
        <f>IF('CG. MPA'!E38="ADOBE",10,0)</f>
        <v>0</v>
      </c>
      <c r="L38" s="575">
        <f>IF('CG. MPA'!E38="LIGERO",10,0)</f>
        <v>0</v>
      </c>
      <c r="M38" s="576">
        <f t="shared" si="4"/>
        <v>2779.5</v>
      </c>
      <c r="N38" s="918">
        <f>ABS('ELEM. MECA.'!M15)</f>
        <v>6852.1701450252231</v>
      </c>
      <c r="O38" s="919">
        <f>IF(AND('CG. MPA'!E38="TABIQUE",'CG. MPA'!F38="HUECO"),V38,IF(AND('CG. MPA'!D38="CONFINADO",'CG. MPA'!E38="TABIQUE",'CG. MPA'!F38="MACIZO"),'RMCV.PA'!W38,IF(AND('CG. MPA'!D38="CONFINADO",'CG. MPA'!E38="TABICON",'CG. MPA'!F38="MACIZO"),'RMCV.PA'!W38,IF(AND('CG. MPA'!D38="CONFINADO",'CG. MPA'!E38="LIGERO",'CG. MPA'!F38="MACIZO"),'RMCV.PA'!W38,IF(AND('CG. MPA'!D38="NO CONFINADO",'CG. MPA'!E38="TABIQUE",'CG. MPA'!F38="MACIZO"),X38,IF(AND('CG. MPA'!D38="NO CONFINADO",'CG. MPA'!E38="TABICON",'CG. MPA'!F38="MACIZO"),X38,IF(AND('CG. MPA'!D38="NO CONFINADO",'CG. MPA'!E38="LIGERO",'CG. MPA'!F38="MACIZO"),X38,IF('CG. MPA'!E38="ADOBE",'RMCV.PA'!Y38,Z38))))))))</f>
        <v>23597.46</v>
      </c>
      <c r="P38" s="685" t="str">
        <f t="shared" si="0"/>
        <v>PASA</v>
      </c>
      <c r="Q38" s="88">
        <f>IF(D38*E38*(F38*M38+'CASTILLOS-PA'!W38*FY)&gt;1.25*D38*E38*F38*M38,1.25*D38*E38*F38*M38,D38*E38*(F38*M38+'CASTILLOS-PA'!W38*FY))</f>
        <v>18761.624999999996</v>
      </c>
      <c r="R38" s="88">
        <f>D38*E38*(F38*M38+'CASTILLOS-PA'!G38*FY*2)</f>
        <v>23597.46</v>
      </c>
      <c r="S38" s="88">
        <f t="shared" si="1"/>
        <v>15009.3</v>
      </c>
      <c r="T38" s="88">
        <f t="shared" si="2"/>
        <v>15009.3</v>
      </c>
      <c r="U38" s="536">
        <f>D38*(0.7*$G$24*(B38*C38)+2000*'MUR.CONC-PA'!K38)</f>
        <v>291847.5</v>
      </c>
      <c r="V38" s="544">
        <f>IF(AND('CG. MPA'!E38="TABIQUE",'CG. MPA'!F38="HUECO"),Q38,0)</f>
        <v>0</v>
      </c>
      <c r="W38" s="544">
        <f>IF(AND('CG. MPA'!D38="CONFINADO",'CG. MPA'!E38="TABIQUE",'CG. MPA'!F38="MACIZO"),'RMCV.PA'!R38,IF(AND('CG. MPA'!D38="CONFINADO",'CG. MPA'!E38="TABICON",'CG. MPA'!F38="MACIZO"),'RMCV.PA'!R38,IF(AND('CG. MPA'!D38="CONFINADO",'CG. MPA'!E38="LIGERO",'CG. MPA'!F38="MACIZO"),'RMCV.PA'!R38,0)))</f>
        <v>23597.46</v>
      </c>
      <c r="X38" s="544">
        <f>IF(AND('CG. MPA'!D38="NO CONFINADO",'CG. MPA'!E38="TABIQUE",'CG. MPA'!F38="MACIZO"),S38,IF(AND('CG. MPA'!D38="NO CONFINADO",'CG. MPA'!E38="TABICON",'CG. MPA'!F38="MACIZO"),S38,IF(AND('CG. MPA'!D38="NO CONFINADO",'CG. MPA'!E38="LIGERO",'CG. MPA'!F38="MACIZO"),S38,0)))</f>
        <v>0</v>
      </c>
      <c r="Y38" s="544">
        <f>IF('CG. MPA'!E38="ADOBE",'RMCV.PA'!T38,0)</f>
        <v>0</v>
      </c>
      <c r="Z38" s="544">
        <f>IF('CG. MPA'!E38="CONCRETO",'RMCV.PA'!U38,0)</f>
        <v>0</v>
      </c>
      <c r="AA38" s="93">
        <f t="shared" si="3"/>
        <v>3.125</v>
      </c>
      <c r="AB38" s="428">
        <v>0.8</v>
      </c>
      <c r="AC38" s="4">
        <f>(1-2*AA38/C38)*(1-(AB38*'CG. MPA'!C38*10/(30*C38))^2)</f>
        <v>0.58188793415637852</v>
      </c>
      <c r="AD38" s="350">
        <f>(1-(2*AA38/C38))*(1-(AB38*'CG. MPA'!C38*10/(30*C38))^2)*(1-('CG. MPA'!C38*10/B38))+('CG. MPA'!C38*10/B38)</f>
        <v>0.6450673073005847</v>
      </c>
      <c r="AE38" s="429">
        <f t="shared" si="5"/>
        <v>0.6450673073005847</v>
      </c>
    </row>
    <row r="39" spans="1:50" ht="17.45" customHeight="1">
      <c r="A39" s="684">
        <v>11</v>
      </c>
      <c r="B39" s="975">
        <f>'CG. MPA'!B39*100</f>
        <v>242.50000000000006</v>
      </c>
      <c r="C39" s="68">
        <f>'ELEM. MECA.'!S16</f>
        <v>15</v>
      </c>
      <c r="D39" s="38">
        <f>IF(AND('CG. MPA'!D39="CONFINADO",'CG. MPA'!E39="CONCRETO"),0.8,IF('CG. MPA'!D39="NO CONFINADO",0.3,0.6))</f>
        <v>0.6</v>
      </c>
      <c r="E39" s="68">
        <v>0.6</v>
      </c>
      <c r="F39" s="38">
        <f>IF('CG. MPA'!E39="CONCRETO",G39,'RMCV.PA'!H39+'RMCV.PA'!I39+'RMCV.PA'!J39+K39+L39)</f>
        <v>15</v>
      </c>
      <c r="G39" s="542">
        <f>IF('CG. MPA'!E39="CONCRETO",0.6*$G$24,0)</f>
        <v>0</v>
      </c>
      <c r="H39" s="38">
        <f>IF(AND('CG. MPA'!E39="TABIQUE",'CG. MPA'!F39="MACIZO"),15,0)</f>
        <v>0</v>
      </c>
      <c r="I39" s="38">
        <f>IF(AND('CG. MPA'!E39="TABIQUE",'CG. MPA'!F39="HUECO"),IF(E31="III",30,40),0)</f>
        <v>0</v>
      </c>
      <c r="J39" s="575">
        <f>IF('CG. MPA'!E39="TABICON",IF(E27="I",20,15),0)</f>
        <v>15</v>
      </c>
      <c r="K39" s="575">
        <f>IF('CG. MPA'!E39="ADOBE",10,0)</f>
        <v>0</v>
      </c>
      <c r="L39" s="575">
        <f>IF('CG. MPA'!E39="LIGERO",10,0)</f>
        <v>0</v>
      </c>
      <c r="M39" s="576">
        <f t="shared" si="4"/>
        <v>3637.5000000000009</v>
      </c>
      <c r="N39" s="918">
        <f>ABS('ELEM. MECA.'!M16)</f>
        <v>5304.5226569240958</v>
      </c>
      <c r="O39" s="919">
        <f>IF(AND('CG. MPA'!E39="TABIQUE",'CG. MPA'!F39="HUECO"),V39,IF(AND('CG. MPA'!D39="CONFINADO",'CG. MPA'!E39="TABIQUE",'CG. MPA'!F39="MACIZO"),'RMCV.PA'!W39,IF(AND('CG. MPA'!D39="CONFINADO",'CG. MPA'!E39="TABICON",'CG. MPA'!F39="MACIZO"),'RMCV.PA'!W39,IF(AND('CG. MPA'!D39="CONFINADO",'CG. MPA'!E39="LIGERO",'CG. MPA'!F39="MACIZO"),'RMCV.PA'!W39,IF(AND('CG. MPA'!D39="NO CONFINADO",'CG. MPA'!E39="TABIQUE",'CG. MPA'!F39="MACIZO"),X39,IF(AND('CG. MPA'!D39="NO CONFINADO",'CG. MPA'!E39="TABICON",'CG. MPA'!F39="MACIZO"),X39,IF(AND('CG. MPA'!D39="NO CONFINADO",'CG. MPA'!E39="LIGERO",'CG. MPA'!F39="MACIZO"),X39,IF('CG. MPA'!E39="ADOBE",'RMCV.PA'!Y39,Z39))))))))</f>
        <v>28230.660000000003</v>
      </c>
      <c r="P39" s="685" t="str">
        <f t="shared" si="0"/>
        <v>PASA</v>
      </c>
      <c r="Q39" s="88">
        <f>IF(D39*E39*(F39*M39+'CASTILLOS-PA'!W39*FY)&gt;1.25*D39*E39*F39*M39,1.25*D39*E39*F39*M39,D39*E39*(F39*M39+'CASTILLOS-PA'!W39*FY))</f>
        <v>24553.125000000004</v>
      </c>
      <c r="R39" s="88">
        <f>D39*E39*(F39*M39+'CASTILLOS-PA'!G39*FY*2)</f>
        <v>28230.660000000003</v>
      </c>
      <c r="S39" s="88">
        <f t="shared" si="1"/>
        <v>19642.500000000004</v>
      </c>
      <c r="T39" s="88">
        <f t="shared" si="2"/>
        <v>19642.500000000004</v>
      </c>
      <c r="U39" s="536">
        <f>D39*(0.7*$G$24*(B39*C39)+2000*'MUR.CONC-PA'!K39)</f>
        <v>381937.50000000006</v>
      </c>
      <c r="V39" s="544">
        <f>IF(AND('CG. MPA'!E39="TABIQUE",'CG. MPA'!F39="HUECO"),Q39,0)</f>
        <v>0</v>
      </c>
      <c r="W39" s="544">
        <f>IF(AND('CG. MPA'!D39="CONFINADO",'CG. MPA'!E39="TABIQUE",'CG. MPA'!F39="MACIZO"),'RMCV.PA'!R39,IF(AND('CG. MPA'!D39="CONFINADO",'CG. MPA'!E39="TABICON",'CG. MPA'!F39="MACIZO"),'RMCV.PA'!R39,IF(AND('CG. MPA'!D39="CONFINADO",'CG. MPA'!E39="LIGERO",'CG. MPA'!F39="MACIZO"),'RMCV.PA'!R39,0)))</f>
        <v>28230.660000000003</v>
      </c>
      <c r="X39" s="544">
        <f>IF(AND('CG. MPA'!D39="NO CONFINADO",'CG. MPA'!E39="TABIQUE",'CG. MPA'!F39="MACIZO"),S39,IF(AND('CG. MPA'!D39="NO CONFINADO",'CG. MPA'!E39="TABICON",'CG. MPA'!F39="MACIZO"),S39,IF(AND('CG. MPA'!D39="NO CONFINADO",'CG. MPA'!E39="LIGERO",'CG. MPA'!F39="MACIZO"),S39,0)))</f>
        <v>0</v>
      </c>
      <c r="Y39" s="544">
        <f>IF('CG. MPA'!E39="ADOBE",'RMCV.PA'!T39,0)</f>
        <v>0</v>
      </c>
      <c r="Z39" s="544">
        <f>IF('CG. MPA'!E39="CONCRETO",'RMCV.PA'!U39,0)</f>
        <v>0</v>
      </c>
      <c r="AA39" s="93">
        <f t="shared" si="3"/>
        <v>3.125</v>
      </c>
      <c r="AB39" s="428">
        <v>0.8</v>
      </c>
      <c r="AC39" s="4">
        <f>(1-2*AA39/C39)*(1-(AB39*'CG. MPA'!C39*10/(30*C39))^2)</f>
        <v>0.58188793415637852</v>
      </c>
      <c r="AD39" s="350">
        <f>(1-(2*AA39/C39))*(1-(AB39*'CG. MPA'!C39*10/(30*C39))^2)*(1-('CG. MPA'!C39*10/B39))+('CG. MPA'!C39*10/B39)</f>
        <v>0.63016479124347713</v>
      </c>
      <c r="AE39" s="429">
        <f t="shared" si="5"/>
        <v>0.63016479124347713</v>
      </c>
    </row>
    <row r="40" spans="1:50" ht="17.45" customHeight="1">
      <c r="A40" s="684">
        <v>12</v>
      </c>
      <c r="B40" s="975">
        <f>'CG. MPA'!B40*100</f>
        <v>275</v>
      </c>
      <c r="C40" s="68">
        <f>'ELEM. MECA.'!S17</f>
        <v>15</v>
      </c>
      <c r="D40" s="38">
        <f>IF(AND('CG. MPA'!D40="CONFINADO",'CG. MPA'!E40="CONCRETO"),0.8,IF('CG. MPA'!D40="NO CONFINADO",0.3,0.6))</f>
        <v>0.6</v>
      </c>
      <c r="E40" s="68">
        <v>0.6</v>
      </c>
      <c r="F40" s="38">
        <f>IF('CG. MPA'!E40="CONCRETO",G40,'RMCV.PA'!H40+'RMCV.PA'!I40+'RMCV.PA'!J40+K40+L40)</f>
        <v>15</v>
      </c>
      <c r="G40" s="542">
        <f>IF('CG. MPA'!E40="CONCRETO",0.6*$G$24,0)</f>
        <v>0</v>
      </c>
      <c r="H40" s="38">
        <f>IF(AND('CG. MPA'!E40="TABIQUE",'CG. MPA'!F40="MACIZO"),15,0)</f>
        <v>0</v>
      </c>
      <c r="I40" s="38">
        <f>IF(AND('CG. MPA'!E40="TABIQUE",'CG. MPA'!F40="HUECO"),IF(E32="III",30,40),0)</f>
        <v>0</v>
      </c>
      <c r="J40" s="575">
        <f>IF('CG. MPA'!E40="TABICON",IF(E28="I",20,15),0)</f>
        <v>15</v>
      </c>
      <c r="K40" s="575">
        <f>IF('CG. MPA'!E40="ADOBE",10,0)</f>
        <v>0</v>
      </c>
      <c r="L40" s="575">
        <f>IF('CG. MPA'!E40="LIGERO",10,0)</f>
        <v>0</v>
      </c>
      <c r="M40" s="576">
        <f t="shared" si="4"/>
        <v>4125</v>
      </c>
      <c r="N40" s="918">
        <f>ABS('ELEM. MECA.'!M17)</f>
        <v>8174.6145191799251</v>
      </c>
      <c r="O40" s="919">
        <f>IF(AND('CG. MPA'!E40="TABIQUE",'CG. MPA'!F40="HUECO"),V40,IF(AND('CG. MPA'!D40="CONFINADO",'CG. MPA'!E40="TABIQUE",'CG. MPA'!F40="MACIZO"),'RMCV.PA'!W40,IF(AND('CG. MPA'!D40="CONFINADO",'CG. MPA'!E40="TABICON",'CG. MPA'!F40="MACIZO"),'RMCV.PA'!W40,IF(AND('CG. MPA'!D40="CONFINADO",'CG. MPA'!E40="LIGERO",'CG. MPA'!F40="MACIZO"),'RMCV.PA'!W40,IF(AND('CG. MPA'!D40="NO CONFINADO",'CG. MPA'!E40="TABIQUE",'CG. MPA'!F40="MACIZO"),X40,IF(AND('CG. MPA'!D40="NO CONFINADO",'CG. MPA'!E40="TABICON",'CG. MPA'!F40="MACIZO"),X40,IF(AND('CG. MPA'!D40="NO CONFINADO",'CG. MPA'!E40="LIGERO",'CG. MPA'!F40="MACIZO"),X40,IF('CG. MPA'!E40="ADOBE",'RMCV.PA'!Y40,Z40))))))))</f>
        <v>30863.16</v>
      </c>
      <c r="P40" s="685" t="str">
        <f t="shared" si="0"/>
        <v>PASA</v>
      </c>
      <c r="Q40" s="88">
        <f>IF(D40*E40*(F40*M40+'CASTILLOS-PA'!W40*FY)&gt;1.25*D40*E40*F40*M40,1.25*D40*E40*F40*M40,D40*E40*(F40*M40+'CASTILLOS-PA'!W40*FY))</f>
        <v>27843.749999999996</v>
      </c>
      <c r="R40" s="88">
        <f>D40*E40*(F40*M40+'CASTILLOS-PA'!G40*FY*2)</f>
        <v>30863.16</v>
      </c>
      <c r="S40" s="88">
        <f t="shared" si="1"/>
        <v>22274.999999999996</v>
      </c>
      <c r="T40" s="88">
        <f t="shared" si="2"/>
        <v>22274.999999999996</v>
      </c>
      <c r="U40" s="536">
        <f>D40*(0.7*$G$24*(B40*C40)+2000*'MUR.CONC-PA'!K40)</f>
        <v>433125</v>
      </c>
      <c r="V40" s="544">
        <f>IF(AND('CG. MPA'!E40="TABIQUE",'CG. MPA'!F40="HUECO"),Q40,0)</f>
        <v>0</v>
      </c>
      <c r="W40" s="544">
        <f>IF(AND('CG. MPA'!D40="CONFINADO",'CG. MPA'!E40="TABIQUE",'CG. MPA'!F40="MACIZO"),'RMCV.PA'!R40,IF(AND('CG. MPA'!D40="CONFINADO",'CG. MPA'!E40="TABICON",'CG. MPA'!F40="MACIZO"),'RMCV.PA'!R40,IF(AND('CG. MPA'!D40="CONFINADO",'CG. MPA'!E40="LIGERO",'CG. MPA'!F40="MACIZO"),'RMCV.PA'!R40,0)))</f>
        <v>30863.16</v>
      </c>
      <c r="X40" s="544">
        <f>IF(AND('CG. MPA'!D40="NO CONFINADO",'CG. MPA'!E40="TABIQUE",'CG. MPA'!F40="MACIZO"),S40,IF(AND('CG. MPA'!D40="NO CONFINADO",'CG. MPA'!E40="TABICON",'CG. MPA'!F40="MACIZO"),S40,IF(AND('CG. MPA'!D40="NO CONFINADO",'CG. MPA'!E40="LIGERO",'CG. MPA'!F40="MACIZO"),S40,0)))</f>
        <v>0</v>
      </c>
      <c r="Y40" s="544">
        <f>IF('CG. MPA'!E40="ADOBE",'RMCV.PA'!T40,0)</f>
        <v>0</v>
      </c>
      <c r="Z40" s="544">
        <f>IF('CG. MPA'!E40="CONCRETO",'RMCV.PA'!U40,0)</f>
        <v>0</v>
      </c>
      <c r="AA40" s="93">
        <f t="shared" si="3"/>
        <v>3.125</v>
      </c>
      <c r="AB40" s="428">
        <v>0.8</v>
      </c>
      <c r="AC40" s="4">
        <f>(1-2*AA40/C40)*(1-(AB40*'CG. MPA'!C40*10/(30*C40))^2)</f>
        <v>0.58188793415637852</v>
      </c>
      <c r="AD40" s="350">
        <f>(1-(2*AA40/C40))*(1-(AB40*'CG. MPA'!C40*10/(30*C40))^2)*(1-('CG. MPA'!C40*10/B40))+('CG. MPA'!C40*10/B40)</f>
        <v>0.62445934449681995</v>
      </c>
      <c r="AE40" s="429">
        <f t="shared" si="5"/>
        <v>0.62445934449681995</v>
      </c>
    </row>
    <row r="41" spans="1:50" ht="17.45" customHeight="1">
      <c r="A41" s="684">
        <v>13</v>
      </c>
      <c r="B41" s="975">
        <f>'CG. MPA'!B41*100</f>
        <v>374.70000333600223</v>
      </c>
      <c r="C41" s="68">
        <f>'ELEM. MECA.'!S18</f>
        <v>15</v>
      </c>
      <c r="D41" s="38">
        <f>IF(AND('CG. MPA'!D41="CONFINADO",'CG. MPA'!E41="CONCRETO"),0.8,IF('CG. MPA'!D41="NO CONFINADO",0.3,0.6))</f>
        <v>0.6</v>
      </c>
      <c r="E41" s="68">
        <v>0.8</v>
      </c>
      <c r="F41" s="38">
        <f>IF('CG. MPA'!E41="CONCRETO",G41,'RMCV.PA'!H41+'RMCV.PA'!I41+'RMCV.PA'!J41+K41+L41)</f>
        <v>15</v>
      </c>
      <c r="G41" s="542">
        <f>IF('CG. MPA'!E41="CONCRETO",0.6*$G$24,0)</f>
        <v>0</v>
      </c>
      <c r="H41" s="38">
        <f>IF(AND('CG. MPA'!E41="TABIQUE",'CG. MPA'!F41="MACIZO"),15,0)</f>
        <v>0</v>
      </c>
      <c r="I41" s="38">
        <f>IF(AND('CG. MPA'!E41="TABIQUE",'CG. MPA'!F41="HUECO"),IF(E33="III",30,40),0)</f>
        <v>0</v>
      </c>
      <c r="J41" s="575">
        <f>IF('CG. MPA'!E41="TABICON",IF(E29="I",20,15),0)</f>
        <v>15</v>
      </c>
      <c r="K41" s="575">
        <f>IF('CG. MPA'!E41="ADOBE",10,0)</f>
        <v>0</v>
      </c>
      <c r="L41" s="575">
        <f>IF('CG. MPA'!E41="LIGERO",10,0)</f>
        <v>0</v>
      </c>
      <c r="M41" s="576">
        <f t="shared" si="4"/>
        <v>5620.5000500400338</v>
      </c>
      <c r="N41" s="918">
        <f>ABS('ELEM. MECA.'!M18)</f>
        <v>19782.185781397209</v>
      </c>
      <c r="O41" s="919">
        <f>IF(AND('CG. MPA'!E41="TABIQUE",'CG. MPA'!F41="HUECO"),V41,IF(AND('CG. MPA'!D41="CONFINADO",'CG. MPA'!E41="TABIQUE",'CG. MPA'!F41="MACIZO"),'RMCV.PA'!W41,IF(AND('CG. MPA'!D41="CONFINADO",'CG. MPA'!E41="TABICON",'CG. MPA'!F41="MACIZO"),'RMCV.PA'!W41,IF(AND('CG. MPA'!D41="CONFINADO",'CG. MPA'!E41="LIGERO",'CG. MPA'!F41="MACIZO"),'RMCV.PA'!W41,IF(AND('CG. MPA'!D41="NO CONFINADO",'CG. MPA'!E41="TABIQUE",'CG. MPA'!F41="MACIZO"),X41,IF(AND('CG. MPA'!D41="NO CONFINADO",'CG. MPA'!E41="TABICON",'CG. MPA'!F41="MACIZO"),X41,IF(AND('CG. MPA'!D41="NO CONFINADO",'CG. MPA'!E41="LIGERO",'CG. MPA'!F41="MACIZO"),X41,IF('CG. MPA'!E41="ADOBE",'RMCV.PA'!Y41,Z41))))))))</f>
        <v>51918.480360288238</v>
      </c>
      <c r="P41" s="685" t="str">
        <f t="shared" si="0"/>
        <v>PASA</v>
      </c>
      <c r="Q41" s="88">
        <f>IF(D41*E41*(F41*M41+'CASTILLOS-PA'!W41*FY)&gt;1.25*D41*E41*F41*M41,1.25*D41*E41*F41*M41,D41*E41*(F41*M41+'CASTILLOS-PA'!W41*FY))</f>
        <v>50584.500450360312</v>
      </c>
      <c r="R41" s="88">
        <f>D41*E41*(F41*M41+'CASTILLOS-PA'!G41*FY*2)</f>
        <v>51918.480360288238</v>
      </c>
      <c r="S41" s="88">
        <f t="shared" si="1"/>
        <v>40467.600360288241</v>
      </c>
      <c r="T41" s="88">
        <f t="shared" si="2"/>
        <v>40467.600360288241</v>
      </c>
      <c r="U41" s="536">
        <f>D41*(0.7*$G$24*(B41*C41)+2000*'MUR.CONC-PA'!K41)</f>
        <v>590152.50525420357</v>
      </c>
      <c r="V41" s="544">
        <f>IF(AND('CG. MPA'!E41="TABIQUE",'CG. MPA'!F41="HUECO"),Q41,0)</f>
        <v>0</v>
      </c>
      <c r="W41" s="544">
        <f>IF(AND('CG. MPA'!D41="CONFINADO",'CG. MPA'!E41="TABIQUE",'CG. MPA'!F41="MACIZO"),'RMCV.PA'!R41,IF(AND('CG. MPA'!D41="CONFINADO",'CG. MPA'!E41="TABICON",'CG. MPA'!F41="MACIZO"),'RMCV.PA'!R41,IF(AND('CG. MPA'!D41="CONFINADO",'CG. MPA'!E41="LIGERO",'CG. MPA'!F41="MACIZO"),'RMCV.PA'!R41,0)))</f>
        <v>51918.480360288238</v>
      </c>
      <c r="X41" s="544">
        <f>IF(AND('CG. MPA'!D41="NO CONFINADO",'CG. MPA'!E41="TABIQUE",'CG. MPA'!F41="MACIZO"),S41,IF(AND('CG. MPA'!D41="NO CONFINADO",'CG. MPA'!E41="TABICON",'CG. MPA'!F41="MACIZO"),S41,IF(AND('CG. MPA'!D41="NO CONFINADO",'CG. MPA'!E41="LIGERO",'CG. MPA'!F41="MACIZO"),S41,0)))</f>
        <v>0</v>
      </c>
      <c r="Y41" s="544">
        <f>IF('CG. MPA'!E41="ADOBE",'RMCV.PA'!T41,0)</f>
        <v>0</v>
      </c>
      <c r="Z41" s="544">
        <f>IF('CG. MPA'!E41="CONCRETO",'RMCV.PA'!U41,0)</f>
        <v>0</v>
      </c>
      <c r="AA41" s="93">
        <f t="shared" si="3"/>
        <v>3.125</v>
      </c>
      <c r="AB41" s="428">
        <v>0.8</v>
      </c>
      <c r="AC41" s="4">
        <f>(1-2*AA41/C41)*(1-(AB41*'CG. MPA'!C41*10/(30*C41))^2)</f>
        <v>0.58188793415637852</v>
      </c>
      <c r="AD41" s="350">
        <f>(1-(2*AA41/C41))*(1-(AB41*'CG. MPA'!C41*10/(30*C41))^2)*(1-('CG. MPA'!C41*10/B41))+('CG. MPA'!C41*10/B41)</f>
        <v>0.61313196335144471</v>
      </c>
      <c r="AE41" s="429">
        <f t="shared" si="5"/>
        <v>0.61313196335144471</v>
      </c>
    </row>
    <row r="42" spans="1:50" ht="17.45" customHeight="1" thickBot="1">
      <c r="A42" s="684">
        <v>14</v>
      </c>
      <c r="B42" s="975">
        <f>'CG. MPA'!B42*100</f>
        <v>257.50000485436885</v>
      </c>
      <c r="C42" s="68">
        <f>'ELEM. MECA.'!S19</f>
        <v>15</v>
      </c>
      <c r="D42" s="38">
        <f>IF(AND('CG. MPA'!D42="CONFINADO",'CG. MPA'!E42="CONCRETO"),0.8,IF('CG. MPA'!D42="NO CONFINADO",0.3,0.6))</f>
        <v>0.6</v>
      </c>
      <c r="E42" s="68">
        <v>0.6</v>
      </c>
      <c r="F42" s="38">
        <f>IF('CG. MPA'!E42="CONCRETO",G42,'RMCV.PA'!H42+'RMCV.PA'!I42+'RMCV.PA'!J42+K42+L42)</f>
        <v>15</v>
      </c>
      <c r="G42" s="542">
        <f>IF('CG. MPA'!E42="CONCRETO",0.6*$G$24,0)</f>
        <v>0</v>
      </c>
      <c r="H42" s="38">
        <f>IF(AND('CG. MPA'!E42="TABIQUE",'CG. MPA'!F42="MACIZO"),15,0)</f>
        <v>0</v>
      </c>
      <c r="I42" s="38">
        <f>IF(AND('CG. MPA'!E42="TABIQUE",'CG. MPA'!F42="HUECO"),IF(E34="III",30,40),0)</f>
        <v>0</v>
      </c>
      <c r="J42" s="575">
        <f>IF('CG. MPA'!E42="TABICON",IF(E30="I",20,15),0)</f>
        <v>15</v>
      </c>
      <c r="K42" s="575">
        <f>IF('CG. MPA'!E42="ADOBE",10,0)</f>
        <v>0</v>
      </c>
      <c r="L42" s="575">
        <f>IF('CG. MPA'!E42="LIGERO",10,0)</f>
        <v>0</v>
      </c>
      <c r="M42" s="576">
        <f t="shared" si="4"/>
        <v>3862.5000728155328</v>
      </c>
      <c r="N42" s="918">
        <f>ABS('ELEM. MECA.'!M19)</f>
        <v>8843.6094035457954</v>
      </c>
      <c r="O42" s="919">
        <f>IF(AND('CG. MPA'!E42="TABIQUE",'CG. MPA'!F42="HUECO"),V42,IF(AND('CG. MPA'!D42="CONFINADO",'CG. MPA'!E42="TABIQUE",'CG. MPA'!F42="MACIZO"),'RMCV.PA'!W42,IF(AND('CG. MPA'!D42="CONFINADO",'CG. MPA'!E42="TABICON",'CG. MPA'!F42="MACIZO"),'RMCV.PA'!W42,IF(AND('CG. MPA'!D42="CONFINADO",'CG. MPA'!E42="LIGERO",'CG. MPA'!F42="MACIZO"),'RMCV.PA'!W42,IF(AND('CG. MPA'!D42="NO CONFINADO",'CG. MPA'!E42="TABIQUE",'CG. MPA'!F42="MACIZO"),X42,IF(AND('CG. MPA'!D42="NO CONFINADO",'CG. MPA'!E42="TABICON",'CG. MPA'!F42="MACIZO"),X42,IF(AND('CG. MPA'!D42="NO CONFINADO",'CG. MPA'!E42="LIGERO",'CG. MPA'!F42="MACIZO"),X42,IF('CG. MPA'!E42="ADOBE",'RMCV.PA'!Y42,Z42))))))))</f>
        <v>29445.660393203878</v>
      </c>
      <c r="P42" s="685" t="str">
        <f t="shared" si="0"/>
        <v>PASA</v>
      </c>
      <c r="Q42" s="88">
        <f>IF(D42*E42*(F42*M42+'CASTILLOS-PA'!W42*FY)&gt;1.25*D42*E42*F42*M42,1.25*D42*E42*F42*M42,D42*E42*(F42*M42+'CASTILLOS-PA'!W42*FY))</f>
        <v>26071.875491504841</v>
      </c>
      <c r="R42" s="88">
        <f>D42*E42*(F42*M42+'CASTILLOS-PA'!G42*FY*2)</f>
        <v>29445.660393203878</v>
      </c>
      <c r="S42" s="88">
        <f t="shared" si="1"/>
        <v>20857.500393203874</v>
      </c>
      <c r="T42" s="88">
        <f t="shared" si="2"/>
        <v>20857.500393203874</v>
      </c>
      <c r="U42" s="536">
        <f>D42*(0.7*$G$24*(B42*C42)+2000*'MUR.CONC-PA'!K42)</f>
        <v>405562.50764563092</v>
      </c>
      <c r="V42" s="544">
        <f>IF(AND('CG. MPA'!E42="TABIQUE",'CG. MPA'!F42="HUECO"),Q42,0)</f>
        <v>0</v>
      </c>
      <c r="W42" s="544">
        <f>IF(AND('CG. MPA'!D42="CONFINADO",'CG. MPA'!E42="TABIQUE",'CG. MPA'!F42="MACIZO"),'RMCV.PA'!R42,IF(AND('CG. MPA'!D42="CONFINADO",'CG. MPA'!E42="TABICON",'CG. MPA'!F42="MACIZO"),'RMCV.PA'!R42,IF(AND('CG. MPA'!D42="CONFINADO",'CG. MPA'!E42="LIGERO",'CG. MPA'!F42="MACIZO"),'RMCV.PA'!R42,0)))</f>
        <v>29445.660393203878</v>
      </c>
      <c r="X42" s="544">
        <f>IF(AND('CG. MPA'!D42="NO CONFINADO",'CG. MPA'!E42="TABIQUE",'CG. MPA'!F42="MACIZO"),S42,IF(AND('CG. MPA'!D42="NO CONFINADO",'CG. MPA'!E42="TABICON",'CG. MPA'!F42="MACIZO"),S42,IF(AND('CG. MPA'!D42="NO CONFINADO",'CG. MPA'!E42="LIGERO",'CG. MPA'!F42="MACIZO"),S42,0)))</f>
        <v>0</v>
      </c>
      <c r="Y42" s="544">
        <f>IF('CG. MPA'!E42="ADOBE",'RMCV.PA'!T42,0)</f>
        <v>0</v>
      </c>
      <c r="Z42" s="544">
        <f>IF('CG. MPA'!E42="CONCRETO",'RMCV.PA'!U42,0)</f>
        <v>0</v>
      </c>
      <c r="AA42" s="93">
        <f t="shared" si="3"/>
        <v>3.125</v>
      </c>
      <c r="AB42" s="428">
        <v>0.8</v>
      </c>
      <c r="AC42" s="4">
        <f>(1-2*AA42/C42)*(1-(AB42*'CG. MPA'!C42*10/(30*C42))^2)</f>
        <v>0.58188793415637852</v>
      </c>
      <c r="AD42" s="350">
        <f>(1-(2*AA42/C42))*(1-(AB42*'CG. MPA'!C42*10/(30*C42))^2)*(1-('CG. MPA'!C42*10/B42))+('CG. MPA'!C42*10/B42)</f>
        <v>0.62735254628422088</v>
      </c>
      <c r="AE42" s="429">
        <f t="shared" si="5"/>
        <v>0.62735254628422088</v>
      </c>
    </row>
    <row r="43" spans="1:50" ht="17.45" hidden="1" customHeight="1">
      <c r="A43" s="684">
        <v>15</v>
      </c>
      <c r="B43" s="975">
        <f>'CG. MPA'!B43*100</f>
        <v>0</v>
      </c>
      <c r="C43" s="68" t="str">
        <f>'ELEM. MECA.'!S20</f>
        <v>-</v>
      </c>
      <c r="D43" s="38">
        <f>IF(AND('CG. MPA'!D43="CONFINADO",'CG. MPA'!E43="CONCRETO"),0.8,IF('CG. MPA'!D43="NO CONFINADO",0.3,0.6))</f>
        <v>0.6</v>
      </c>
      <c r="E43" s="68">
        <v>0.6</v>
      </c>
      <c r="F43" s="38">
        <f>IF('CG. MPA'!E43="CONCRETO",G43,'RMCV.PA'!H43+'RMCV.PA'!I43+'RMCV.PA'!J43+K43+L43)</f>
        <v>0</v>
      </c>
      <c r="G43" s="542">
        <f>IF('CG. MPA'!E43="CONCRETO",0.6*$G$24,0)</f>
        <v>0</v>
      </c>
      <c r="H43" s="38">
        <f>IF(AND('CG. MPA'!E43="TABIQUE",'CG. MPA'!F43="MACIZO"),15,0)</f>
        <v>0</v>
      </c>
      <c r="I43" s="38">
        <f>IF(AND('CG. MPA'!E43="TABIQUE",'CG. MPA'!F43="HUECO"),IF(E35="III",30,40),0)</f>
        <v>0</v>
      </c>
      <c r="J43" s="575">
        <f>IF('CG. MPA'!E43="TABICON",IF(E31="I",20,15),0)</f>
        <v>0</v>
      </c>
      <c r="K43" s="575">
        <f>IF('CG. MPA'!E43="ADOBE",10,0)</f>
        <v>0</v>
      </c>
      <c r="L43" s="575">
        <f>IF('CG. MPA'!E43="LIGERO",10,0)</f>
        <v>0</v>
      </c>
      <c r="M43" s="576" t="e">
        <f t="shared" si="4"/>
        <v>#VALUE!</v>
      </c>
      <c r="N43" s="918" t="e">
        <f>ABS('ELEM. MECA.'!M20)</f>
        <v>#VALUE!</v>
      </c>
      <c r="O43" s="919">
        <f>IF(AND('CG. MPA'!E43="TABIQUE",'CG. MPA'!F43="HUECO"),V43,IF(AND('CG. MPA'!D43="CONFINADO",'CG. MPA'!E43="TABIQUE",'CG. MPA'!F43="MACIZO"),'RMCV.PA'!W43,IF(AND('CG. MPA'!D43="CONFINADO",'CG. MPA'!E43="TABICON",'CG. MPA'!F43="MACIZO"),'RMCV.PA'!W43,IF(AND('CG. MPA'!D43="CONFINADO",'CG. MPA'!E43="LIGERO",'CG. MPA'!F43="MACIZO"),'RMCV.PA'!W43,IF(AND('CG. MPA'!D43="NO CONFINADO",'CG. MPA'!E43="TABIQUE",'CG. MPA'!F43="MACIZO"),X43,IF(AND('CG. MPA'!D43="NO CONFINADO",'CG. MPA'!E43="TABICON",'CG. MPA'!F43="MACIZO"),X43,IF(AND('CG. MPA'!D43="NO CONFINADO",'CG. MPA'!E43="LIGERO",'CG. MPA'!F43="MACIZO"),X43,IF('CG. MPA'!E43="ADOBE",'RMCV.PA'!Y43,Z43))))))))</f>
        <v>0</v>
      </c>
      <c r="P43" s="685" t="e">
        <f t="shared" si="0"/>
        <v>#VALUE!</v>
      </c>
      <c r="Q43" s="88" t="e">
        <f>IF(D43*E43*(F43*M43+'CASTILLOS-PA'!W43*FY)&gt;1.25*D43*E43*F43*M43,1.25*D43*E43*F43*M43,D43*E43*(F43*M43+'CASTILLOS-PA'!W43*FY))</f>
        <v>#VALUE!</v>
      </c>
      <c r="R43" s="88" t="e">
        <f>D43*E43*(F43*M43+'CASTILLOS-PA'!G43*FY*2)</f>
        <v>#VALUE!</v>
      </c>
      <c r="S43" s="88" t="e">
        <f t="shared" si="1"/>
        <v>#VALUE!</v>
      </c>
      <c r="T43" s="88" t="e">
        <f t="shared" si="2"/>
        <v>#VALUE!</v>
      </c>
      <c r="U43" s="536" t="e">
        <f>D43*(0.7*$G$24*(B43*C43)+2000*'MUR.CONC-PA'!K43)</f>
        <v>#VALUE!</v>
      </c>
      <c r="V43" s="544">
        <f>IF(AND('CG. MPA'!E43="TABIQUE",'CG. MPA'!F43="HUECO"),Q43,0)</f>
        <v>0</v>
      </c>
      <c r="W43" s="544">
        <f>IF(AND('CG. MPA'!D43="CONFINADO",'CG. MPA'!E43="TABIQUE",'CG. MPA'!F43="MACIZO"),'RMCV.PA'!R43,IF(AND('CG. MPA'!D43="CONFINADO",'CG. MPA'!E43="TABICON",'CG. MPA'!F43="MACIZO"),'RMCV.PA'!R43,IF(AND('CG. MPA'!D43="CONFINADO",'CG. MPA'!E43="LIGERO",'CG. MPA'!F43="MACIZO"),'RMCV.PA'!R43,0)))</f>
        <v>0</v>
      </c>
      <c r="X43" s="544">
        <f>IF(AND('CG. MPA'!D43="NO CONFINADO",'CG. MPA'!E43="TABIQUE",'CG. MPA'!F43="MACIZO"),S43,IF(AND('CG. MPA'!D43="NO CONFINADO",'CG. MPA'!E43="TABICON",'CG. MPA'!F43="MACIZO"),S43,IF(AND('CG. MPA'!D43="NO CONFINADO",'CG. MPA'!E43="LIGERO",'CG. MPA'!F43="MACIZO"),S43,0)))</f>
        <v>0</v>
      </c>
      <c r="Y43" s="544">
        <f>IF('CG. MPA'!E43="ADOBE",'RMCV.PA'!T43,0)</f>
        <v>0</v>
      </c>
      <c r="Z43" s="544">
        <f>IF('CG. MPA'!E43="CONCRETO",'RMCV.PA'!U43,0)</f>
        <v>0</v>
      </c>
      <c r="AA43" s="93" t="e">
        <f t="shared" si="3"/>
        <v>#VALUE!</v>
      </c>
      <c r="AB43" s="428">
        <v>0.8</v>
      </c>
      <c r="AC43" s="4" t="e">
        <f>(1-2*AA43/C43)*(1-(AB43*'CG. MPA'!C43*10/(30*C43))^2)</f>
        <v>#VALUE!</v>
      </c>
      <c r="AD43" s="350" t="e">
        <f>(1-(2*AA43/C43))*(1-(AB43*'CG. MPA'!C43*10/(30*C43))^2)*(1-('CG. MPA'!C43*10/B43))+('CG. MPA'!C43*10/B43)</f>
        <v>#VALUE!</v>
      </c>
      <c r="AE43" s="429" t="e">
        <f>IF(AD43&gt;0.9,0.9,AD43)</f>
        <v>#VALUE!</v>
      </c>
    </row>
    <row r="44" spans="1:50" ht="17.45" hidden="1" customHeight="1">
      <c r="A44" s="684">
        <v>16</v>
      </c>
      <c r="B44" s="975">
        <f>'CG. MPA'!B44*100</f>
        <v>0</v>
      </c>
      <c r="C44" s="68" t="str">
        <f>'ELEM. MECA.'!S21</f>
        <v>-</v>
      </c>
      <c r="D44" s="38">
        <f>IF(AND('CG. MPA'!D44="CONFINADO",'CG. MPA'!E44="CONCRETO"),0.8,IF('CG. MPA'!D44="NO CONFINADO",0.3,0.6))</f>
        <v>0.6</v>
      </c>
      <c r="E44" s="68">
        <v>0.6</v>
      </c>
      <c r="F44" s="38">
        <f>IF('CG. MPA'!E44="CONCRETO",G44,'RMCV.PA'!H44+'RMCV.PA'!I44+'RMCV.PA'!J44+K44+L44)</f>
        <v>0</v>
      </c>
      <c r="G44" s="542">
        <f>IF('CG. MPA'!E44="CONCRETO",0.6*$G$24,0)</f>
        <v>0</v>
      </c>
      <c r="H44" s="38">
        <f>IF(AND('CG. MPA'!E44="TABIQUE",'CG. MPA'!F44="MACIZO"),15,0)</f>
        <v>0</v>
      </c>
      <c r="I44" s="38">
        <f>IF(AND('CG. MPA'!E44="TABIQUE",'CG. MPA'!F44="HUECO"),IF(E36="III",30,40),0)</f>
        <v>0</v>
      </c>
      <c r="J44" s="575">
        <f>IF('CG. MPA'!E44="TABICON",IF(E32="I",20,15),0)</f>
        <v>0</v>
      </c>
      <c r="K44" s="575">
        <f>IF('CG. MPA'!E44="ADOBE",10,0)</f>
        <v>0</v>
      </c>
      <c r="L44" s="575">
        <f>IF('CG. MPA'!E44="LIGERO",10,0)</f>
        <v>0</v>
      </c>
      <c r="M44" s="576" t="e">
        <f t="shared" si="4"/>
        <v>#VALUE!</v>
      </c>
      <c r="N44" s="918" t="e">
        <f>ABS('ELEM. MECA.'!M21)</f>
        <v>#VALUE!</v>
      </c>
      <c r="O44" s="919">
        <f>IF(AND('CG. MPA'!E44="TABIQUE",'CG. MPA'!F44="HUECO"),V44,IF(AND('CG. MPA'!D44="CONFINADO",'CG. MPA'!E44="TABIQUE",'CG. MPA'!F44="MACIZO"),'RMCV.PA'!W44,IF(AND('CG. MPA'!D44="CONFINADO",'CG. MPA'!E44="TABICON",'CG. MPA'!F44="MACIZO"),'RMCV.PA'!W44,IF(AND('CG. MPA'!D44="CONFINADO",'CG. MPA'!E44="LIGERO",'CG. MPA'!F44="MACIZO"),'RMCV.PA'!W44,IF(AND('CG. MPA'!D44="NO CONFINADO",'CG. MPA'!E44="TABIQUE",'CG. MPA'!F44="MACIZO"),X44,IF(AND('CG. MPA'!D44="NO CONFINADO",'CG. MPA'!E44="TABICON",'CG. MPA'!F44="MACIZO"),X44,IF(AND('CG. MPA'!D44="NO CONFINADO",'CG. MPA'!E44="LIGERO",'CG. MPA'!F44="MACIZO"),X44,IF('CG. MPA'!E44="ADOBE",'RMCV.PA'!Y44,Z44))))))))</f>
        <v>0</v>
      </c>
      <c r="P44" s="685" t="e">
        <f t="shared" si="0"/>
        <v>#VALUE!</v>
      </c>
      <c r="Q44" s="88" t="e">
        <f>IF(D44*E44*(F44*M44+'CASTILLOS-PA'!W44*FY)&gt;1.25*D44*E44*F44*M44,1.25*D44*E44*F44*M44,D44*E44*(F44*M44+'CASTILLOS-PA'!W44*FY))</f>
        <v>#VALUE!</v>
      </c>
      <c r="R44" s="88" t="e">
        <f>D44*E44*(F44*M44+'CASTILLOS-PA'!G44*FY*2)</f>
        <v>#VALUE!</v>
      </c>
      <c r="S44" s="88" t="e">
        <f t="shared" si="1"/>
        <v>#VALUE!</v>
      </c>
      <c r="T44" s="88" t="e">
        <f t="shared" si="2"/>
        <v>#VALUE!</v>
      </c>
      <c r="U44" s="536" t="e">
        <f>D44*(0.7*$G$24*(B44*C44)+2000*'MUR.CONC-PA'!K44)</f>
        <v>#VALUE!</v>
      </c>
      <c r="V44" s="544">
        <f>IF(AND('CG. MPA'!E44="TABIQUE",'CG. MPA'!F44="HUECO"),Q44,0)</f>
        <v>0</v>
      </c>
      <c r="W44" s="544">
        <f>IF(AND('CG. MPA'!D44="CONFINADO",'CG. MPA'!E44="TABIQUE",'CG. MPA'!F44="MACIZO"),'RMCV.PA'!R44,IF(AND('CG. MPA'!D44="CONFINADO",'CG. MPA'!E44="TABICON",'CG. MPA'!F44="MACIZO"),'RMCV.PA'!R44,IF(AND('CG. MPA'!D44="CONFINADO",'CG. MPA'!E44="LIGERO",'CG. MPA'!F44="MACIZO"),'RMCV.PA'!R44,0)))</f>
        <v>0</v>
      </c>
      <c r="X44" s="544">
        <f>IF(AND('CG. MPA'!D44="NO CONFINADO",'CG. MPA'!E44="TABIQUE",'CG. MPA'!F44="MACIZO"),S44,IF(AND('CG. MPA'!D44="NO CONFINADO",'CG. MPA'!E44="TABICON",'CG. MPA'!F44="MACIZO"),S44,IF(AND('CG. MPA'!D44="NO CONFINADO",'CG. MPA'!E44="LIGERO",'CG. MPA'!F44="MACIZO"),S44,0)))</f>
        <v>0</v>
      </c>
      <c r="Y44" s="544">
        <f>IF('CG. MPA'!E44="ADOBE",'RMCV.PA'!T44,0)</f>
        <v>0</v>
      </c>
      <c r="Z44" s="544">
        <f>IF('CG. MPA'!E44="CONCRETO",'RMCV.PA'!U44,0)</f>
        <v>0</v>
      </c>
      <c r="AA44" s="93" t="e">
        <f t="shared" si="3"/>
        <v>#VALUE!</v>
      </c>
      <c r="AB44" s="428">
        <v>0.8</v>
      </c>
      <c r="AC44" s="4" t="e">
        <f>(1-2*AA44/C44)*(1-(AB44*'CG. MPA'!C44*10/(30*C44))^2)</f>
        <v>#VALUE!</v>
      </c>
      <c r="AD44" s="350" t="e">
        <f>(1-(2*AA44/C44))*(1-(AB44*'CG. MPA'!C44*10/(30*C44))^2)*(1-('CG. MPA'!C44*10/B44))+('CG. MPA'!C44*10/B44)</f>
        <v>#VALUE!</v>
      </c>
      <c r="AE44" s="429" t="e">
        <f t="shared" ref="AE44:AE69" si="6">IF(AD44&gt;0.9,0.9,AD44)</f>
        <v>#VALUE!</v>
      </c>
    </row>
    <row r="45" spans="1:50" ht="17.45" hidden="1" customHeight="1">
      <c r="A45" s="684">
        <v>17</v>
      </c>
      <c r="B45" s="975">
        <f>'CG. MPA'!B45*100</f>
        <v>0</v>
      </c>
      <c r="C45" s="68">
        <f>'ELEM. MECA.'!S22</f>
        <v>0</v>
      </c>
      <c r="D45" s="38">
        <f>IF('CG. MPA'!D45="NO CONFINADO",0.3,0.6)</f>
        <v>0.6</v>
      </c>
      <c r="E45" s="68">
        <v>0.6</v>
      </c>
      <c r="F45" s="38">
        <f>IF('CG. MPA'!E45="CONCRETO",G45,'RMCV.PA'!H45+'RMCV.PA'!I45+'RMCV.PA'!J45+K45+L45)</f>
        <v>0</v>
      </c>
      <c r="G45" s="542">
        <f>IF('CG. MPA'!E45="CONCRETO",0.6*$G$24,0)</f>
        <v>0</v>
      </c>
      <c r="H45" s="38">
        <f>IF(AND('CG. MPA'!E45="TABIQUE",'CG. MPA'!F45="MACIZO"),15,0)</f>
        <v>0</v>
      </c>
      <c r="I45" s="38">
        <f>IF(AND('CG. MPA'!E45="TABIQUE",'CG. MPA'!F45="HUECO"),IF(E37="III",30,40),0)</f>
        <v>0</v>
      </c>
      <c r="J45" s="575">
        <f>IF('CG. MPA'!E45="TABICON",IF(E33="I",20,15),0)</f>
        <v>0</v>
      </c>
      <c r="K45" s="575">
        <f>IF('CG. MPA'!E45="ADOBE",10,0)</f>
        <v>0</v>
      </c>
      <c r="L45" s="575">
        <f>IF('CG. MPA'!E45="LIGERO",10,0)</f>
        <v>0</v>
      </c>
      <c r="M45" s="576">
        <f t="shared" si="4"/>
        <v>0</v>
      </c>
      <c r="N45" s="918">
        <f>ABS('ELEM. MECA.'!M22)</f>
        <v>0</v>
      </c>
      <c r="O45" s="919">
        <f>IF(AND('CG. MPA'!E45="TABIQUE",'CG. MPA'!F45="HUECO"),V45,IF(AND('CG. MPA'!D45="CONFINADO",'CG. MPA'!E45="TABIQUE",'CG. MPA'!F45="MACIZO"),'RMCV.PA'!W45,IF(AND('CG. MPA'!D45="CONFINADO",'CG. MPA'!E45="TABICON",'CG. MPA'!F45="MACIZO"),'RMCV.PA'!W45,IF(AND('CG. MPA'!D45="CONFINADO",'CG. MPA'!E45="LIGERO",'CG. MPA'!F45="MACIZO"),'RMCV.PA'!W45,IF(AND('CG. MPA'!D45="NO CONFINADO",'CG. MPA'!E45="TABIQUE",'CG. MPA'!F45="MACIZO"),X45,IF(AND('CG. MPA'!D45="NO CONFINADO",'CG. MPA'!E45="TABICON",'CG. MPA'!F45="MACIZO"),X45,IF(AND('CG. MPA'!D45="NO CONFINADO",'CG. MPA'!E45="LIGERO",'CG. MPA'!F45="MACIZO"),X45,IF('CG. MPA'!E45="ADOBE",'RMCV.PA'!Y45,Z45))))))))</f>
        <v>0</v>
      </c>
      <c r="P45" s="685" t="str">
        <f t="shared" si="0"/>
        <v>PASA</v>
      </c>
      <c r="Q45" s="88" t="e">
        <f>IF(D45*E45*(F45*M45+'CASTILLOS-PA'!W45*FY)&gt;1.25*D45*E45*F45*M45,1.25*D45*E45*F45*M45,D45*E45*(F45*M45+'CASTILLOS-PA'!W45*FY))</f>
        <v>#DIV/0!</v>
      </c>
      <c r="R45" s="88">
        <f>D45*E45*(F45*M45+'CASTILLOS-PA'!G45*FY*2)</f>
        <v>8588.16</v>
      </c>
      <c r="S45" s="88">
        <f t="shared" si="1"/>
        <v>0</v>
      </c>
      <c r="T45" s="88">
        <f t="shared" si="2"/>
        <v>0</v>
      </c>
      <c r="U45" s="536">
        <f>D45*(0.7*$G$24*(B45*C45)+2000*'MUR.CONC-PA'!K45)</f>
        <v>0</v>
      </c>
      <c r="V45" s="544">
        <f>IF(AND('CG. MPA'!E45="TABIQUE",'CG. MPA'!F45="HUECO"),Q45,0)</f>
        <v>0</v>
      </c>
      <c r="W45" s="544">
        <f>IF(AND('CG. MPA'!D45="CONFINADO",'CG. MPA'!E45="TABIQUE",'CG. MPA'!F45="MACIZO"),'RMCV.PA'!R45,IF(AND('CG. MPA'!D45="CONFINADO",'CG. MPA'!E45="TABICON",'CG. MPA'!F45="MACIZO"),'RMCV.PA'!R45,IF(AND('CG. MPA'!D45="CONFINADO",'CG. MPA'!E45="LIGERO",'CG. MPA'!F45="MACIZO"),'RMCV.PA'!R45,0)))</f>
        <v>0</v>
      </c>
      <c r="X45" s="544">
        <f>IF(AND('CG. MPA'!D45="NO CONFINADO",'CG. MPA'!E45="TABIQUE",'CG. MPA'!F45="MACIZO"),S45,IF(AND('CG. MPA'!D45="NO CONFINADO",'CG. MPA'!E45="TABICON",'CG. MPA'!F45="MACIZO"),S45,IF(AND('CG. MPA'!D45="NO CONFINADO",'CG. MPA'!E45="LIGERO",'CG. MPA'!F45="MACIZO"),S45,0)))</f>
        <v>0</v>
      </c>
      <c r="Y45" s="544">
        <f>IF('CG. MPA'!E45="ADOBE",'RMCV.PA'!T45,0)</f>
        <v>0</v>
      </c>
      <c r="Z45" s="544">
        <f>IF('CG. MPA'!E45="CONCRETO",'RMCV.PA'!U45,0)</f>
        <v>0</v>
      </c>
      <c r="AA45" s="93">
        <f t="shared" si="3"/>
        <v>0</v>
      </c>
      <c r="AB45" s="428">
        <v>0.8</v>
      </c>
      <c r="AC45" s="4" t="e">
        <f>(1-2*AA45/C45)*(1-(AB45*'CG. MPA'!C45*10/(30*C45))^2)</f>
        <v>#DIV/0!</v>
      </c>
      <c r="AD45" s="350" t="e">
        <f>(1-(2*AA45/C45))*(1-(AB45*'CG. MPA'!C45*10/(30*C45))^2)*(1-('CG. MPA'!C45*10/B45))+('CG. MPA'!C45*10/B45)</f>
        <v>#DIV/0!</v>
      </c>
      <c r="AE45" s="429" t="e">
        <f t="shared" si="6"/>
        <v>#DIV/0!</v>
      </c>
    </row>
    <row r="46" spans="1:50" ht="17.45" hidden="1" customHeight="1">
      <c r="A46" s="684">
        <v>18</v>
      </c>
      <c r="B46" s="975">
        <f>'CG. MPA'!B46*100</f>
        <v>0</v>
      </c>
      <c r="C46" s="68">
        <f>'ELEM. MECA.'!S23</f>
        <v>0</v>
      </c>
      <c r="D46" s="38">
        <f>IF('CG. MPA'!D46="NO CONFINADO",0.3,0.6)</f>
        <v>0.6</v>
      </c>
      <c r="E46" s="68">
        <v>0.6</v>
      </c>
      <c r="F46" s="38">
        <f>IF('CG. MPA'!E46="CONCRETO",G46,'RMCV.PA'!H46+'RMCV.PA'!I46+'RMCV.PA'!J46+K46+L46)</f>
        <v>0</v>
      </c>
      <c r="G46" s="542">
        <f>IF('CG. MPA'!E46="CONCRETO",0.6*$G$24,0)</f>
        <v>0</v>
      </c>
      <c r="H46" s="38">
        <f>IF(AND('CG. MPA'!E46="TABIQUE",'CG. MPA'!F46="MACIZO"),15,0)</f>
        <v>0</v>
      </c>
      <c r="I46" s="38">
        <f>IF(AND('CG. MPA'!E46="TABIQUE",'CG. MPA'!F46="HUECO"),IF(E38="III",30,40),0)</f>
        <v>0</v>
      </c>
      <c r="J46" s="575">
        <f>IF('CG. MPA'!E46="TABICON",IF(E34="I",20,15),0)</f>
        <v>0</v>
      </c>
      <c r="K46" s="575">
        <f>IF('CG. MPA'!E46="ADOBE",10,0)</f>
        <v>0</v>
      </c>
      <c r="L46" s="575">
        <f>IF('CG. MPA'!E46="LIGERO",10,0)</f>
        <v>0</v>
      </c>
      <c r="M46" s="576">
        <f t="shared" si="4"/>
        <v>0</v>
      </c>
      <c r="N46" s="918">
        <f>ABS('ELEM. MECA.'!M23)</f>
        <v>0</v>
      </c>
      <c r="O46" s="919">
        <f>IF(AND('CG. MPA'!E46="TABIQUE",'CG. MPA'!F46="HUECO"),V46,IF(AND('CG. MPA'!D46="CONFINADO",'CG. MPA'!E46="TABIQUE",'CG. MPA'!F46="MACIZO"),'RMCV.PA'!W46,IF(AND('CG. MPA'!D46="CONFINADO",'CG. MPA'!E46="TABICON",'CG. MPA'!F46="MACIZO"),'RMCV.PA'!W46,IF(AND('CG. MPA'!D46="CONFINADO",'CG. MPA'!E46="LIGERO",'CG. MPA'!F46="MACIZO"),'RMCV.PA'!W46,IF(AND('CG. MPA'!D46="NO CONFINADO",'CG. MPA'!E46="TABIQUE",'CG. MPA'!F46="MACIZO"),X46,IF(AND('CG. MPA'!D46="NO CONFINADO",'CG. MPA'!E46="TABICON",'CG. MPA'!F46="MACIZO"),X46,IF(AND('CG. MPA'!D46="NO CONFINADO",'CG. MPA'!E46="LIGERO",'CG. MPA'!F46="MACIZO"),X46,IF('CG. MPA'!E46="ADOBE",'RMCV.PA'!Y46,Z46))))))))</f>
        <v>0</v>
      </c>
      <c r="P46" s="685" t="str">
        <f t="shared" si="0"/>
        <v>PASA</v>
      </c>
      <c r="Q46" s="88" t="e">
        <f>IF(D46*E46*(F46*M46+'CASTILLOS-PA'!W46*FY)&gt;1.25*D46*E46*F46*M46,1.25*D46*E46*F46*M46,D46*E46*(F46*M46+'CASTILLOS-PA'!W46*FY))</f>
        <v>#DIV/0!</v>
      </c>
      <c r="R46" s="88">
        <f>D46*E46*(F46*M46+'CASTILLOS-PA'!G46*FY*2)</f>
        <v>8588.16</v>
      </c>
      <c r="S46" s="88">
        <f t="shared" si="1"/>
        <v>0</v>
      </c>
      <c r="T46" s="88">
        <f t="shared" si="2"/>
        <v>0</v>
      </c>
      <c r="U46" s="536">
        <f>D46*(0.7*$G$24*(B46*C46)+2000*'MUR.CONC-PA'!K46)</f>
        <v>0</v>
      </c>
      <c r="V46" s="544">
        <f>IF(AND('CG. MPA'!E46="TABIQUE",'CG. MPA'!F46="HUECO"),Q46,0)</f>
        <v>0</v>
      </c>
      <c r="W46" s="544">
        <f>IF(AND('CG. MPA'!D46="CONFINADO",'CG. MPA'!E46="TABIQUE",'CG. MPA'!F46="MACIZO"),'RMCV.PA'!R46,IF(AND('CG. MPA'!D46="CONFINADO",'CG. MPA'!E46="TABICON",'CG. MPA'!F46="MACIZO"),'RMCV.PA'!R46,IF(AND('CG. MPA'!D46="CONFINADO",'CG. MPA'!E46="LIGERO",'CG. MPA'!F46="MACIZO"),'RMCV.PA'!R46,0)))</f>
        <v>0</v>
      </c>
      <c r="X46" s="544">
        <f>IF(AND('CG. MPA'!D46="NO CONFINADO",'CG. MPA'!E46="TABIQUE",'CG. MPA'!F46="MACIZO"),S46,IF(AND('CG. MPA'!D46="NO CONFINADO",'CG. MPA'!E46="TABICON",'CG. MPA'!F46="MACIZO"),S46,IF(AND('CG. MPA'!D46="NO CONFINADO",'CG. MPA'!E46="LIGERO",'CG. MPA'!F46="MACIZO"),S46,0)))</f>
        <v>0</v>
      </c>
      <c r="Y46" s="544">
        <f>IF('CG. MPA'!E46="ADOBE",'RMCV.PA'!T46,0)</f>
        <v>0</v>
      </c>
      <c r="Z46" s="544">
        <f>IF('CG. MPA'!E46="CONCRETO",'RMCV.PA'!U46,0)</f>
        <v>0</v>
      </c>
      <c r="AA46" s="93">
        <f t="shared" si="3"/>
        <v>0</v>
      </c>
      <c r="AB46" s="428">
        <v>0.8</v>
      </c>
      <c r="AC46" s="4" t="e">
        <f>(1-2*AA46/C46)*(1-(AB46*'CG. MPA'!C46*10/(30*C46))^2)</f>
        <v>#DIV/0!</v>
      </c>
      <c r="AD46" s="350" t="e">
        <f>(1-(2*AA46/C46))*(1-(AB46*'CG. MPA'!C46*10/(30*C46))^2)*(1-('CG. MPA'!C46*10/B46))+('CG. MPA'!C46*10/B46)</f>
        <v>#DIV/0!</v>
      </c>
      <c r="AE46" s="429" t="e">
        <f t="shared" si="6"/>
        <v>#DIV/0!</v>
      </c>
    </row>
    <row r="47" spans="1:50" ht="17.45" hidden="1" customHeight="1">
      <c r="A47" s="684">
        <v>19</v>
      </c>
      <c r="B47" s="975">
        <f>'CG. MPA'!B47*100</f>
        <v>0</v>
      </c>
      <c r="C47" s="68">
        <f>'ELEM. MECA.'!S24</f>
        <v>0</v>
      </c>
      <c r="D47" s="38">
        <f>IF('CG. MPA'!D47="NO CONFINADO",0.3,0.6)</f>
        <v>0.6</v>
      </c>
      <c r="E47" s="68">
        <v>0.6</v>
      </c>
      <c r="F47" s="38">
        <f>IF('CG. MPA'!E47="CONCRETO",G47,'RMCV.PA'!H47+'RMCV.PA'!I47+'RMCV.PA'!J47+K47+L47)</f>
        <v>0</v>
      </c>
      <c r="G47" s="542">
        <f>IF('CG. MPA'!E47="CONCRETO",0.6*$G$24,0)</f>
        <v>0</v>
      </c>
      <c r="H47" s="38">
        <f>IF(AND('CG. MPA'!E47="TABIQUE",'CG. MPA'!F47="MACIZO"),15,0)</f>
        <v>0</v>
      </c>
      <c r="I47" s="38">
        <f>IF(AND('CG. MPA'!E47="TABIQUE",'CG. MPA'!F47="HUECO"),IF(E39="III",30,40),0)</f>
        <v>0</v>
      </c>
      <c r="J47" s="575">
        <f>IF('CG. MPA'!E47="TABICON",IF(E35="I",20,15),0)</f>
        <v>0</v>
      </c>
      <c r="K47" s="575">
        <f>IF('CG. MPA'!E47="ADOBE",10,0)</f>
        <v>0</v>
      </c>
      <c r="L47" s="575">
        <f>IF('CG. MPA'!E47="LIGERO",10,0)</f>
        <v>0</v>
      </c>
      <c r="M47" s="576">
        <f t="shared" si="4"/>
        <v>0</v>
      </c>
      <c r="N47" s="918">
        <f>ABS('ELEM. MECA.'!M24)</f>
        <v>0</v>
      </c>
      <c r="O47" s="919">
        <f>IF(AND('CG. MPA'!E47="TABIQUE",'CG. MPA'!F47="HUECO"),V47,IF(AND('CG. MPA'!D47="CONFINADO",'CG. MPA'!E47="TABIQUE",'CG. MPA'!F47="MACIZO"),'RMCV.PA'!W47,IF(AND('CG. MPA'!D47="CONFINADO",'CG. MPA'!E47="TABICON",'CG. MPA'!F47="MACIZO"),'RMCV.PA'!W47,IF(AND('CG. MPA'!D47="CONFINADO",'CG. MPA'!E47="LIGERO",'CG. MPA'!F47="MACIZO"),'RMCV.PA'!W47,IF(AND('CG. MPA'!D47="NO CONFINADO",'CG. MPA'!E47="TABIQUE",'CG. MPA'!F47="MACIZO"),X47,IF(AND('CG. MPA'!D47="NO CONFINADO",'CG. MPA'!E47="TABICON",'CG. MPA'!F47="MACIZO"),X47,IF(AND('CG. MPA'!D47="NO CONFINADO",'CG. MPA'!E47="LIGERO",'CG. MPA'!F47="MACIZO"),X47,IF('CG. MPA'!E47="ADOBE",'RMCV.PA'!Y47,Z47))))))))</f>
        <v>0</v>
      </c>
      <c r="P47" s="685" t="str">
        <f t="shared" si="0"/>
        <v>PASA</v>
      </c>
      <c r="Q47" s="88" t="e">
        <f>IF(D47*E47*(F47*M47+'CASTILLOS-PA'!W47*FY)&gt;1.25*D47*E47*F47*M47,1.25*D47*E47*F47*M47,D47*E47*(F47*M47+'CASTILLOS-PA'!W47*FY))</f>
        <v>#DIV/0!</v>
      </c>
      <c r="R47" s="88">
        <f>D47*E47*(F47*M47+'CASTILLOS-PA'!G47*FY*2)</f>
        <v>8588.16</v>
      </c>
      <c r="S47" s="88">
        <f t="shared" si="1"/>
        <v>0</v>
      </c>
      <c r="T47" s="88">
        <f t="shared" si="2"/>
        <v>0</v>
      </c>
      <c r="U47" s="536">
        <f>D47*(0.7*$G$24*(B47*C47)+2000*'MUR.CONC-PA'!K47)</f>
        <v>0</v>
      </c>
      <c r="V47" s="544">
        <f>IF(AND('CG. MPA'!E47="TABIQUE",'CG. MPA'!F47="HUECO"),Q47,0)</f>
        <v>0</v>
      </c>
      <c r="W47" s="544">
        <f>IF(AND('CG. MPA'!D47="CONFINADO",'CG. MPA'!E47="TABIQUE",'CG. MPA'!F47="MACIZO"),'RMCV.PA'!R47,IF(AND('CG. MPA'!D47="CONFINADO",'CG. MPA'!E47="TABICON",'CG. MPA'!F47="MACIZO"),'RMCV.PA'!R47,IF(AND('CG. MPA'!D47="CONFINADO",'CG. MPA'!E47="LIGERO",'CG. MPA'!F47="MACIZO"),'RMCV.PA'!R47,0)))</f>
        <v>0</v>
      </c>
      <c r="X47" s="544">
        <f>IF(AND('CG. MPA'!D47="NO CONFINADO",'CG. MPA'!E47="TABIQUE",'CG. MPA'!F47="MACIZO"),S47,IF(AND('CG. MPA'!D47="NO CONFINADO",'CG. MPA'!E47="TABICON",'CG. MPA'!F47="MACIZO"),S47,IF(AND('CG. MPA'!D47="NO CONFINADO",'CG. MPA'!E47="LIGERO",'CG. MPA'!F47="MACIZO"),S47,0)))</f>
        <v>0</v>
      </c>
      <c r="Y47" s="544">
        <f>IF('CG. MPA'!E47="ADOBE",'RMCV.PA'!T47,0)</f>
        <v>0</v>
      </c>
      <c r="Z47" s="544">
        <f>IF('CG. MPA'!E47="CONCRETO",'RMCV.PA'!U47,0)</f>
        <v>0</v>
      </c>
      <c r="AA47" s="93">
        <f t="shared" si="3"/>
        <v>0</v>
      </c>
      <c r="AB47" s="428">
        <v>0.8</v>
      </c>
      <c r="AC47" s="4" t="e">
        <f>(1-2*AA47/C47)*(1-(AB47*'CG. MPA'!C47*10/(30*C47))^2)</f>
        <v>#DIV/0!</v>
      </c>
      <c r="AD47" s="350" t="e">
        <f>(1-(2*AA47/C47))*(1-(AB47*'CG. MPA'!C47*10/(30*C47))^2)*(1-('CG. MPA'!C47*10/B47))+('CG. MPA'!C47*10/B47)</f>
        <v>#DIV/0!</v>
      </c>
      <c r="AE47" s="429" t="e">
        <f t="shared" si="6"/>
        <v>#DIV/0!</v>
      </c>
    </row>
    <row r="48" spans="1:50" ht="17.45" hidden="1" customHeight="1">
      <c r="A48" s="684">
        <v>20</v>
      </c>
      <c r="B48" s="975">
        <f>'CG. MPA'!B48*100</f>
        <v>0</v>
      </c>
      <c r="C48" s="68">
        <f>'ELEM. MECA.'!S25</f>
        <v>0</v>
      </c>
      <c r="D48" s="38">
        <f>IF('CG. MPA'!D48="NO CONFINADO",0.3,0.6)</f>
        <v>0.6</v>
      </c>
      <c r="E48" s="68">
        <v>0.6</v>
      </c>
      <c r="F48" s="38">
        <f>IF('CG. MPA'!E48="CONCRETO",G48,'RMCV.PA'!H48+'RMCV.PA'!I48+'RMCV.PA'!J48+K48+L48)</f>
        <v>0</v>
      </c>
      <c r="G48" s="542">
        <f>IF('CG. MPA'!E48="CONCRETO",0.6*$G$24,0)</f>
        <v>0</v>
      </c>
      <c r="H48" s="38">
        <f>IF(AND('CG. MPA'!E48="TABIQUE",'CG. MPA'!F48="MACIZO"),15,0)</f>
        <v>0</v>
      </c>
      <c r="I48" s="38">
        <f>IF(AND('CG. MPA'!E48="TABIQUE",'CG. MPA'!F48="HUECO"),IF(E40="III",30,40),0)</f>
        <v>0</v>
      </c>
      <c r="J48" s="575">
        <f>IF('CG. MPA'!E48="TABICON",IF(E36="I",20,15),0)</f>
        <v>0</v>
      </c>
      <c r="K48" s="575">
        <f>IF('CG. MPA'!E48="ADOBE",10,0)</f>
        <v>0</v>
      </c>
      <c r="L48" s="575">
        <f>IF('CG. MPA'!E48="LIGERO",10,0)</f>
        <v>0</v>
      </c>
      <c r="M48" s="576">
        <f t="shared" si="4"/>
        <v>0</v>
      </c>
      <c r="N48" s="918">
        <f>ABS('ELEM. MECA.'!M25)</f>
        <v>0</v>
      </c>
      <c r="O48" s="919">
        <f>IF(AND('CG. MPA'!E48="TABIQUE",'CG. MPA'!F48="HUECO"),V48,IF(AND('CG. MPA'!D48="CONFINADO",'CG. MPA'!E48="TABIQUE",'CG. MPA'!F48="MACIZO"),'RMCV.PA'!W48,IF(AND('CG. MPA'!D48="CONFINADO",'CG. MPA'!E48="TABICON",'CG. MPA'!F48="MACIZO"),'RMCV.PA'!W48,IF(AND('CG. MPA'!D48="CONFINADO",'CG. MPA'!E48="LIGERO",'CG. MPA'!F48="MACIZO"),'RMCV.PA'!W48,IF(AND('CG. MPA'!D48="NO CONFINADO",'CG. MPA'!E48="TABIQUE",'CG. MPA'!F48="MACIZO"),X48,IF(AND('CG. MPA'!D48="NO CONFINADO",'CG. MPA'!E48="TABICON",'CG. MPA'!F48="MACIZO"),X48,IF(AND('CG. MPA'!D48="NO CONFINADO",'CG. MPA'!E48="LIGERO",'CG. MPA'!F48="MACIZO"),X48,IF('CG. MPA'!E48="ADOBE",'RMCV.PA'!Y48,Z48))))))))</f>
        <v>0</v>
      </c>
      <c r="P48" s="685" t="str">
        <f t="shared" si="0"/>
        <v>PASA</v>
      </c>
      <c r="Q48" s="88" t="e">
        <f>IF(D48*E48*(F48*M48+'CASTILLOS-PA'!W48*FY)&gt;1.25*D48*E48*F48*M48,1.25*D48*E48*F48*M48,D48*E48*(F48*M48+'CASTILLOS-PA'!W48*FY))</f>
        <v>#DIV/0!</v>
      </c>
      <c r="R48" s="88">
        <f>D48*E48*(F48*M48+'CASTILLOS-PA'!G48*FY*2)</f>
        <v>8588.16</v>
      </c>
      <c r="S48" s="88">
        <f t="shared" si="1"/>
        <v>0</v>
      </c>
      <c r="T48" s="88">
        <f t="shared" si="2"/>
        <v>0</v>
      </c>
      <c r="U48" s="536">
        <f>D48*(0.7*$G$24*(B48*C48)+2000*'MUR.CONC-PA'!K48)</f>
        <v>0</v>
      </c>
      <c r="V48" s="544">
        <f>IF(AND('CG. MPA'!E48="TABIQUE",'CG. MPA'!F48="HUECO"),Q48,0)</f>
        <v>0</v>
      </c>
      <c r="W48" s="544">
        <f>IF(AND('CG. MPA'!D48="CONFINADO",'CG. MPA'!E48="TABIQUE",'CG. MPA'!F48="MACIZO"),'RMCV.PA'!R48,IF(AND('CG. MPA'!D48="CONFINADO",'CG. MPA'!E48="TABICON",'CG. MPA'!F48="MACIZO"),'RMCV.PA'!R48,IF(AND('CG. MPA'!D48="CONFINADO",'CG. MPA'!E48="LIGERO",'CG. MPA'!F48="MACIZO"),'RMCV.PA'!R48,0)))</f>
        <v>0</v>
      </c>
      <c r="X48" s="544">
        <f>IF(AND('CG. MPA'!D48="NO CONFINADO",'CG. MPA'!E48="TABIQUE",'CG. MPA'!F48="MACIZO"),S48,IF(AND('CG. MPA'!D48="NO CONFINADO",'CG. MPA'!E48="TABICON",'CG. MPA'!F48="MACIZO"),S48,IF(AND('CG. MPA'!D48="NO CONFINADO",'CG. MPA'!E48="LIGERO",'CG. MPA'!F48="MACIZO"),S48,0)))</f>
        <v>0</v>
      </c>
      <c r="Y48" s="544">
        <f>IF('CG. MPA'!E48="ADOBE",'RMCV.PA'!T48,0)</f>
        <v>0</v>
      </c>
      <c r="Z48" s="544">
        <f>IF('CG. MPA'!E48="CONCRETO",'RMCV.PA'!U48,0)</f>
        <v>0</v>
      </c>
      <c r="AA48" s="93">
        <f t="shared" si="3"/>
        <v>0</v>
      </c>
      <c r="AB48" s="428">
        <v>0.8</v>
      </c>
      <c r="AC48" s="4" t="e">
        <f>(1-2*AA48/C48)*(1-(AB48*'CG. MPA'!C48*10/(30*C48))^2)</f>
        <v>#DIV/0!</v>
      </c>
      <c r="AD48" s="350" t="e">
        <f>(1-(2*AA48/C48))*(1-(AB48*'CG. MPA'!C48*10/(30*C48))^2)*(1-('CG. MPA'!C48*10/B48))+('CG. MPA'!C48*10/B48)</f>
        <v>#DIV/0!</v>
      </c>
      <c r="AE48" s="429" t="e">
        <f t="shared" si="6"/>
        <v>#DIV/0!</v>
      </c>
    </row>
    <row r="49" spans="1:31" ht="17.45" hidden="1" customHeight="1">
      <c r="A49" s="684">
        <v>21</v>
      </c>
      <c r="B49" s="975">
        <f>'CG. MPA'!B49*100</f>
        <v>0</v>
      </c>
      <c r="C49" s="68">
        <f>'ELEM. MECA.'!S26</f>
        <v>0</v>
      </c>
      <c r="D49" s="38">
        <f>IF('CG. MPA'!D49="NO CONFINADO",0.3,0.6)</f>
        <v>0.6</v>
      </c>
      <c r="E49" s="68">
        <v>0.6</v>
      </c>
      <c r="F49" s="38">
        <f>IF('CG. MPA'!E49="CONCRETO",G49,'RMCV.PA'!H49+'RMCV.PA'!I49+'RMCV.PA'!J49+K49+L49)</f>
        <v>0</v>
      </c>
      <c r="G49" s="542">
        <f>IF('CG. MPA'!E49="CONCRETO",0.6*$G$24,0)</f>
        <v>0</v>
      </c>
      <c r="H49" s="38">
        <f>IF(AND('CG. MPA'!E49="TABIQUE",'CG. MPA'!F49="MACIZO"),15,0)</f>
        <v>0</v>
      </c>
      <c r="I49" s="38">
        <f>IF(AND('CG. MPA'!E49="TABIQUE",'CG. MPA'!F49="HUECO"),IF(E41="III",30,40),0)</f>
        <v>0</v>
      </c>
      <c r="J49" s="575">
        <f>IF('CG. MPA'!E49="TABICON",IF(E37="I",20,15),0)</f>
        <v>0</v>
      </c>
      <c r="K49" s="575">
        <f>IF('CG. MPA'!E49="ADOBE",10,0)</f>
        <v>0</v>
      </c>
      <c r="L49" s="575">
        <f>IF('CG. MPA'!E49="LIGERO",10,0)</f>
        <v>0</v>
      </c>
      <c r="M49" s="576">
        <f t="shared" ref="M49:M51" si="7">B49*C49</f>
        <v>0</v>
      </c>
      <c r="N49" s="918">
        <f>ABS('ELEM. MECA.'!M26)</f>
        <v>0</v>
      </c>
      <c r="O49" s="919">
        <f>IF(AND('CG. MPA'!E49="TABIQUE",'CG. MPA'!F49="HUECO"),V49,IF(AND('CG. MPA'!D49="CONFINADO",'CG. MPA'!E49="TABIQUE",'CG. MPA'!F49="MACIZO"),'RMCV.PA'!W49,IF(AND('CG. MPA'!D49="CONFINADO",'CG. MPA'!E49="TABICON",'CG. MPA'!F49="MACIZO"),'RMCV.PA'!W49,IF(AND('CG. MPA'!D49="CONFINADO",'CG. MPA'!E49="LIGERO",'CG. MPA'!F49="MACIZO"),'RMCV.PA'!W49,IF(AND('CG. MPA'!D49="NO CONFINADO",'CG. MPA'!E49="TABIQUE",'CG. MPA'!F49="MACIZO"),X49,IF(AND('CG. MPA'!D49="NO CONFINADO",'CG. MPA'!E49="TABICON",'CG. MPA'!F49="MACIZO"),X49,IF(AND('CG. MPA'!D49="NO CONFINADO",'CG. MPA'!E49="LIGERO",'CG. MPA'!F49="MACIZO"),X49,IF('CG. MPA'!E49="ADOBE",'RMCV.PA'!Y49,Z49))))))))</f>
        <v>0</v>
      </c>
      <c r="P49" s="685" t="str">
        <f t="shared" ref="P49:P51" si="8">IF(N49&gt;O49,"NO PASA","PASA")</f>
        <v>PASA</v>
      </c>
      <c r="Q49" s="88">
        <f>IF(D49*E49*(F49*M49+'CASTILLOS-PA'!W49*FY)&gt;1.25*D49*E49*F49*M49,1.25*D49*E49*F49*M49,D49*E49*(F49*M49+'CASTILLOS-PA'!W49*FY))</f>
        <v>0</v>
      </c>
      <c r="R49" s="88">
        <f>D49*E49*(F49*M49+'CASTILLOS-PA'!G49*FY*2)</f>
        <v>8588.16</v>
      </c>
      <c r="S49" s="88">
        <f t="shared" si="1"/>
        <v>0</v>
      </c>
      <c r="T49" s="88">
        <f t="shared" si="2"/>
        <v>0</v>
      </c>
      <c r="U49" s="536">
        <f>D49*(0.7*$G$24*(B49*C49)+2000*'MUR.CONC-PA'!K49)</f>
        <v>0</v>
      </c>
      <c r="V49" s="544">
        <f>IF(AND('CG. MPA'!E49="TABIQUE",'CG. MPA'!F49="HUECO"),Q49,0)</f>
        <v>0</v>
      </c>
      <c r="W49" s="544">
        <f>IF(AND('CG. MPA'!D49="CONFINADO",'CG. MPA'!E49="TABIQUE",'CG. MPA'!F49="MACIZO"),'RMCV.PA'!R49,IF(AND('CG. MPA'!D49="CONFINADO",'CG. MPA'!E49="TABICON",'CG. MPA'!F49="MACIZO"),'RMCV.PA'!R49,IF(AND('CG. MPA'!D49="CONFINADO",'CG. MPA'!E49="LIGERO",'CG. MPA'!F49="MACIZO"),'RMCV.PA'!R49,0)))</f>
        <v>0</v>
      </c>
      <c r="X49" s="544">
        <f>IF(AND('CG. MPA'!D60="NO CONFINADO",'CG. MPA'!E60="TABIQUE",'CG. MPA'!F60="MACIZO"),S49,IF(AND('CG. MPA'!D60="NO CONFINADO",'CG. MPA'!E60="TABICON",'CG. MPA'!F60="MACIZO"),S49,IF(AND('CG. MPA'!D60="NO CONFINADO",'CG. MPA'!E60="LIGERO",'CG. MPA'!F60="MACIZO"),S49,0)))</f>
        <v>0</v>
      </c>
      <c r="Y49" s="544">
        <f>IF('CG. MPA'!E60="ADOBE",'RMCV.PA'!T49,0)</f>
        <v>0</v>
      </c>
      <c r="Z49" s="544">
        <f>IF('CG. MPA'!E49="CONCRETO",'RMCV.PA'!U49,0)</f>
        <v>0</v>
      </c>
      <c r="AA49" s="93">
        <f t="shared" si="3"/>
        <v>0</v>
      </c>
      <c r="AB49" s="428">
        <v>0.8</v>
      </c>
      <c r="AC49" s="4" t="e">
        <f>(1-2*AA49/C49)*(1-(AB49*'CG. MPA'!C60*10/(30*C49))^2)</f>
        <v>#DIV/0!</v>
      </c>
      <c r="AD49" s="350" t="e">
        <f>(1-(2*AA49/C49))*(1-(AB49*'CG. MPA'!C60*10/(30*C49))^2)*(1-('CG. MPA'!C60*10/B49))+('CG. MPA'!C60*10/B49)</f>
        <v>#DIV/0!</v>
      </c>
      <c r="AE49" s="429" t="e">
        <f t="shared" si="6"/>
        <v>#DIV/0!</v>
      </c>
    </row>
    <row r="50" spans="1:31" ht="17.45" hidden="1" customHeight="1">
      <c r="A50" s="684">
        <v>22</v>
      </c>
      <c r="B50" s="975">
        <f>'CG. MPA'!B50*100</f>
        <v>0</v>
      </c>
      <c r="C50" s="68">
        <f>'ELEM. MECA.'!S27</f>
        <v>0</v>
      </c>
      <c r="D50" s="38">
        <f>IF('CG. MPA'!D50="NO CONFINADO",0.3,0.6)</f>
        <v>0.6</v>
      </c>
      <c r="E50" s="68">
        <v>0.6</v>
      </c>
      <c r="F50" s="38">
        <f>IF('CG. MPA'!E50="CONCRETO",G50,'RMCV.PA'!H50+'RMCV.PA'!I50+'RMCV.PA'!J50+K50+L50)</f>
        <v>0</v>
      </c>
      <c r="G50" s="542">
        <f>IF('CG. MPA'!E50="CONCRETO",0.6*$G$24,0)</f>
        <v>0</v>
      </c>
      <c r="H50" s="38">
        <f>IF(AND('CG. MPA'!E50="TABIQUE",'CG. MPA'!F50="MACIZO"),15,0)</f>
        <v>0</v>
      </c>
      <c r="I50" s="38">
        <f>IF(AND('CG. MPA'!E50="TABIQUE",'CG. MPA'!F50="HUECO"),IF(E42="III",30,40),0)</f>
        <v>0</v>
      </c>
      <c r="J50" s="575">
        <f>IF('CG. MPA'!E50="TABICON",IF(E38="I",20,15),0)</f>
        <v>0</v>
      </c>
      <c r="K50" s="575">
        <f>IF('CG. MPA'!E50="ADOBE",10,0)</f>
        <v>0</v>
      </c>
      <c r="L50" s="575">
        <f>IF('CG. MPA'!E50="LIGERO",10,0)</f>
        <v>0</v>
      </c>
      <c r="M50" s="576">
        <f t="shared" si="7"/>
        <v>0</v>
      </c>
      <c r="N50" s="918">
        <f>ABS('ELEM. MECA.'!M27)</f>
        <v>0</v>
      </c>
      <c r="O50" s="919">
        <f>IF(AND('CG. MPA'!E50="TABIQUE",'CG. MPA'!F50="HUECO"),V50,IF(AND('CG. MPA'!D50="CONFINADO",'CG. MPA'!E50="TABIQUE",'CG. MPA'!F50="MACIZO"),'RMCV.PA'!W50,IF(AND('CG. MPA'!D50="CONFINADO",'CG. MPA'!E50="TABICON",'CG. MPA'!F50="MACIZO"),'RMCV.PA'!W50,IF(AND('CG. MPA'!D50="CONFINADO",'CG. MPA'!E50="LIGERO",'CG. MPA'!F50="MACIZO"),'RMCV.PA'!W50,IF(AND('CG. MPA'!D50="NO CONFINADO",'CG. MPA'!E50="TABIQUE",'CG. MPA'!F50="MACIZO"),X50,IF(AND('CG. MPA'!D50="NO CONFINADO",'CG. MPA'!E50="TABICON",'CG. MPA'!F50="MACIZO"),X50,IF(AND('CG. MPA'!D50="NO CONFINADO",'CG. MPA'!E50="LIGERO",'CG. MPA'!F50="MACIZO"),X50,IF('CG. MPA'!E50="ADOBE",'RMCV.PA'!Y50,Z50))))))))</f>
        <v>0</v>
      </c>
      <c r="P50" s="685" t="str">
        <f t="shared" si="8"/>
        <v>PASA</v>
      </c>
      <c r="Q50" s="88">
        <f>IF(D50*E50*(F50*M50+'CASTILLOS-PA'!W50*FY)&gt;1.25*D50*E50*F50*M50,1.25*D50*E50*F50*M50,D50*E50*(F50*M50+'CASTILLOS-PA'!W50*FY))</f>
        <v>0</v>
      </c>
      <c r="R50" s="88">
        <f>D50*E50*(F50*M50+'CASTILLOS-PA'!G50*FY*2)</f>
        <v>8588.16</v>
      </c>
      <c r="S50" s="88">
        <f t="shared" si="1"/>
        <v>0</v>
      </c>
      <c r="T50" s="88">
        <f t="shared" si="2"/>
        <v>0</v>
      </c>
      <c r="U50" s="536">
        <f>D50*(0.7*$G$24*(B50*C50)+2000*'MUR.CONC-PA'!K50)</f>
        <v>0</v>
      </c>
      <c r="V50" s="544">
        <f>IF(AND('CG. MPA'!E50="TABIQUE",'CG. MPA'!F50="HUECO"),Q50,0)</f>
        <v>0</v>
      </c>
      <c r="W50" s="544">
        <f>IF(AND('CG. MPA'!D50="CONFINADO",'CG. MPA'!E50="TABIQUE",'CG. MPA'!F50="MACIZO"),'RMCV.PA'!R50,IF(AND('CG. MPA'!D50="CONFINADO",'CG. MPA'!E50="TABICON",'CG. MPA'!F50="MACIZO"),'RMCV.PA'!R50,IF(AND('CG. MPA'!D50="CONFINADO",'CG. MPA'!E50="LIGERO",'CG. MPA'!F50="MACIZO"),'RMCV.PA'!R50,0)))</f>
        <v>0</v>
      </c>
      <c r="X50" s="544">
        <f>IF(AND('CG. MPA'!D50="NO CONFINADO",'CG. MPA'!E50="TABIQUE",'CG. MPA'!F50="MACIZO"),S50,IF(AND('CG. MPA'!D50="NO CONFINADO",'CG. MPA'!E50="TABICON",'CG. MPA'!F50="MACIZO"),S50,IF(AND('CG. MPA'!D50="NO CONFINADO",'CG. MPA'!E50="LIGERO",'CG. MPA'!F50="MACIZO"),S50,0)))</f>
        <v>0</v>
      </c>
      <c r="Y50" s="544">
        <f>IF('CG. MPA'!E50="ADOBE",'RMCV.PA'!T50,0)</f>
        <v>0</v>
      </c>
      <c r="Z50" s="544">
        <f>IF('CG. MPA'!E50="CONCRETO",'RMCV.PA'!U50,0)</f>
        <v>0</v>
      </c>
      <c r="AA50" s="93">
        <f t="shared" ref="AA50:AA60" si="9">C50/2-(C50/3)+C50/24</f>
        <v>0</v>
      </c>
      <c r="AB50" s="428">
        <v>0.8</v>
      </c>
      <c r="AC50" s="4" t="e">
        <f>(1-2*AA50/C50)*(1-(AB50*'CG. MPA'!C50*10/(30*C50))^2)</f>
        <v>#DIV/0!</v>
      </c>
      <c r="AD50" s="350" t="e">
        <f>(1-(2*AA50/C50))*(1-(AB50*'CG. MPA'!C50*10/(30*C50))^2)*(1-('CG. MPA'!C50*10/B50))+('CG. MPA'!C50*10/B50)</f>
        <v>#DIV/0!</v>
      </c>
      <c r="AE50" s="429" t="e">
        <f t="shared" ref="AE50:AE60" si="10">IF(AD50&gt;0.9,0.9,AD50)</f>
        <v>#DIV/0!</v>
      </c>
    </row>
    <row r="51" spans="1:31" ht="17.45" hidden="1" customHeight="1" thickBot="1">
      <c r="A51" s="684">
        <v>23</v>
      </c>
      <c r="B51" s="975">
        <f>'CG. MPA'!B51*100</f>
        <v>0</v>
      </c>
      <c r="C51" s="68">
        <f>'ELEM. MECA.'!S28</f>
        <v>0</v>
      </c>
      <c r="D51" s="38">
        <f>IF('CG. MPA'!D51="NO CONFINADO",0.3,0.6)</f>
        <v>0.6</v>
      </c>
      <c r="E51" s="68">
        <v>0.6</v>
      </c>
      <c r="F51" s="38">
        <f>IF('CG. MPA'!E51="CONCRETO",G51,'RMCV.PA'!H51+'RMCV.PA'!I51+'RMCV.PA'!J51+K51+L51)</f>
        <v>0</v>
      </c>
      <c r="G51" s="542">
        <f>IF('CG. MPA'!E51="CONCRETO",0.6*$G$24,0)</f>
        <v>0</v>
      </c>
      <c r="H51" s="38">
        <f>IF(AND('CG. MPA'!E51="TABIQUE",'CG. MPA'!F51="MACIZO"),15,0)</f>
        <v>0</v>
      </c>
      <c r="I51" s="38">
        <f>IF(AND('CG. MPA'!E51="TABIQUE",'CG. MPA'!F51="HUECO"),IF(E43="III",30,40),0)</f>
        <v>0</v>
      </c>
      <c r="J51" s="575">
        <f>IF('CG. MPA'!E51="TABICON",IF(E39="I",20,15),0)</f>
        <v>0</v>
      </c>
      <c r="K51" s="575">
        <f>IF('CG. MPA'!E51="ADOBE",10,0)</f>
        <v>0</v>
      </c>
      <c r="L51" s="575">
        <f>IF('CG. MPA'!E51="LIGERO",10,0)</f>
        <v>0</v>
      </c>
      <c r="M51" s="576">
        <f t="shared" si="7"/>
        <v>0</v>
      </c>
      <c r="N51" s="918">
        <f>ABS('ELEM. MECA.'!M28)</f>
        <v>0</v>
      </c>
      <c r="O51" s="919">
        <f>IF(AND('CG. MPA'!E51="TABIQUE",'CG. MPA'!F51="HUECO"),V51,IF(AND('CG. MPA'!D51="CONFINADO",'CG. MPA'!E51="TABIQUE",'CG. MPA'!F51="MACIZO"),'RMCV.PA'!W51,IF(AND('CG. MPA'!D51="CONFINADO",'CG. MPA'!E51="TABICON",'CG. MPA'!F51="MACIZO"),'RMCV.PA'!W51,IF(AND('CG. MPA'!D51="CONFINADO",'CG. MPA'!E51="LIGERO",'CG. MPA'!F51="MACIZO"),'RMCV.PA'!W51,IF(AND('CG. MPA'!D51="NO CONFINADO",'CG. MPA'!E51="TABIQUE",'CG. MPA'!F51="MACIZO"),X51,IF(AND('CG. MPA'!D51="NO CONFINADO",'CG. MPA'!E51="TABICON",'CG. MPA'!F51="MACIZO"),X51,IF(AND('CG. MPA'!D51="NO CONFINADO",'CG. MPA'!E51="LIGERO",'CG. MPA'!F51="MACIZO"),X51,IF('CG. MPA'!E51="ADOBE",'RMCV.PA'!Y51,Z51))))))))</f>
        <v>0</v>
      </c>
      <c r="P51" s="685" t="str">
        <f t="shared" si="8"/>
        <v>PASA</v>
      </c>
      <c r="Q51" s="88">
        <f>IF(D51*E51*(F51*M51+'CASTILLOS-PA'!W51*FY)&gt;1.25*D51*E51*F51*M51,1.25*D51*E51*F51*M51,D51*E51*(F51*M51+'CASTILLOS-PA'!W51*FY))</f>
        <v>0</v>
      </c>
      <c r="R51" s="88">
        <f>D51*E51*(F51*M51+'CASTILLOS-PA'!G51*FY*2)</f>
        <v>8588.16</v>
      </c>
      <c r="S51" s="88">
        <f t="shared" si="1"/>
        <v>0</v>
      </c>
      <c r="T51" s="88">
        <f t="shared" si="2"/>
        <v>0</v>
      </c>
      <c r="U51" s="536">
        <f>D51*(0.7*$G$24*(B51*C51)+2000*'MUR.CONC-PA'!K51)</f>
        <v>0</v>
      </c>
      <c r="V51" s="544">
        <f>IF(AND('CG. MPA'!E51="TABIQUE",'CG. MPA'!F51="HUECO"),Q51,0)</f>
        <v>0</v>
      </c>
      <c r="W51" s="544">
        <f>IF(AND('CG. MPA'!D51="CONFINADO",'CG. MPA'!E51="TABIQUE",'CG. MPA'!F51="MACIZO"),'RMCV.PA'!R51,IF(AND('CG. MPA'!D51="CONFINADO",'CG. MPA'!E51="TABICON",'CG. MPA'!F51="MACIZO"),'RMCV.PA'!R51,IF(AND('CG. MPA'!D51="CONFINADO",'CG. MPA'!E51="LIGERO",'CG. MPA'!F51="MACIZO"),'RMCV.PA'!R51,0)))</f>
        <v>0</v>
      </c>
      <c r="X51" s="544">
        <f>IF(AND('CG. MPA'!D51="NO CONFINADO",'CG. MPA'!E51="TABIQUE",'CG. MPA'!F51="MACIZO"),S51,IF(AND('CG. MPA'!D51="NO CONFINADO",'CG. MPA'!E51="TABICON",'CG. MPA'!F51="MACIZO"),S51,IF(AND('CG. MPA'!D51="NO CONFINADO",'CG. MPA'!E51="LIGERO",'CG. MPA'!F51="MACIZO"),S51,0)))</f>
        <v>0</v>
      </c>
      <c r="Y51" s="544">
        <f>IF('CG. MPA'!E51="ADOBE",'RMCV.PA'!T51,0)</f>
        <v>0</v>
      </c>
      <c r="Z51" s="544">
        <f>IF('CG. MPA'!E51="CONCRETO",'RMCV.PA'!U51,0)</f>
        <v>0</v>
      </c>
      <c r="AA51" s="93">
        <f t="shared" si="9"/>
        <v>0</v>
      </c>
      <c r="AB51" s="428">
        <v>0.8</v>
      </c>
      <c r="AC51" s="4" t="e">
        <f>(1-2*AA51/C51)*(1-(AB51*'CG. MPA'!C51*10/(30*C51))^2)</f>
        <v>#DIV/0!</v>
      </c>
      <c r="AD51" s="350" t="e">
        <f>(1-(2*AA51/C51))*(1-(AB51*'CG. MPA'!C51*10/(30*C51))^2)*(1-('CG. MPA'!C51*10/B51))+('CG. MPA'!C51*10/B51)</f>
        <v>#DIV/0!</v>
      </c>
      <c r="AE51" s="429" t="e">
        <f t="shared" si="10"/>
        <v>#DIV/0!</v>
      </c>
    </row>
    <row r="52" spans="1:31" ht="17.45" hidden="1" customHeight="1">
      <c r="A52" s="684">
        <v>24</v>
      </c>
      <c r="B52" s="975">
        <f>'CG. MPA'!B52*100</f>
        <v>0</v>
      </c>
      <c r="C52" s="68">
        <f>'ELEM. MECA.'!S29</f>
        <v>0</v>
      </c>
      <c r="D52" s="38">
        <f>IF('CG. MPA'!D52="NO CONFINADO",0.3,0.6)</f>
        <v>0.6</v>
      </c>
      <c r="E52" s="68">
        <v>0.6</v>
      </c>
      <c r="F52" s="38">
        <f>IF('CG. MPA'!E52="CONCRETO",G52,'RMCV.PA'!H52+'RMCV.PA'!I52+'RMCV.PA'!J52+K52+L52)</f>
        <v>0</v>
      </c>
      <c r="G52" s="542">
        <f>IF('CG. MPA'!E52="CONCRETO",0.6*$G$24,0)</f>
        <v>0</v>
      </c>
      <c r="H52" s="38">
        <f>IF(AND('CG. MPA'!E52="TABIQUE",'CG. MPA'!F52="MACIZO"),15,0)</f>
        <v>0</v>
      </c>
      <c r="I52" s="38">
        <f>IF(AND('CG. MPA'!E52="TABIQUE",'CG. MPA'!F52="HUECO"),IF(E44="III",30,40),0)</f>
        <v>0</v>
      </c>
      <c r="J52" s="575">
        <f>IF('CG. MPA'!E52="TABICON",IF(E40="I",20,15),0)</f>
        <v>0</v>
      </c>
      <c r="K52" s="575">
        <f>IF('CG. MPA'!E52="ADOBE",10,0)</f>
        <v>0</v>
      </c>
      <c r="L52" s="575">
        <f>IF('CG. MPA'!E52="LIGERO",10,0)</f>
        <v>0</v>
      </c>
      <c r="M52" s="576">
        <f t="shared" ref="M52:M60" si="11">B52*C52</f>
        <v>0</v>
      </c>
      <c r="N52" s="918">
        <f>ABS('ELEM. MECA.'!M29)</f>
        <v>0</v>
      </c>
      <c r="O52" s="919">
        <f>IF(AND('CG. MPA'!E52="TABIQUE",'CG. MPA'!F52="HUECO"),V52,IF(AND('CG. MPA'!D52="CONFINADO",'CG. MPA'!E52="TABIQUE",'CG. MPA'!F52="MACIZO"),'RMCV.PA'!W52,IF(AND('CG. MPA'!D52="CONFINADO",'CG. MPA'!E52="TABICON",'CG. MPA'!F52="MACIZO"),'RMCV.PA'!W52,IF(AND('CG. MPA'!D52="CONFINADO",'CG. MPA'!E52="LIGERO",'CG. MPA'!F52="MACIZO"),'RMCV.PA'!W52,IF(AND('CG. MPA'!D52="NO CONFINADO",'CG. MPA'!E52="TABIQUE",'CG. MPA'!F52="MACIZO"),X52,IF(AND('CG. MPA'!D52="NO CONFINADO",'CG. MPA'!E52="TABICON",'CG. MPA'!F52="MACIZO"),X52,IF(AND('CG. MPA'!D52="NO CONFINADO",'CG. MPA'!E52="LIGERO",'CG. MPA'!F52="MACIZO"),X52,IF('CG. MPA'!E52="ADOBE",'RMCV.PA'!Y52,Z52))))))))</f>
        <v>0</v>
      </c>
      <c r="P52" s="685" t="str">
        <f t="shared" ref="P52:P60" si="12">IF(N52&gt;O52,"NO PASA","PASA")</f>
        <v>PASA</v>
      </c>
      <c r="Q52" s="88">
        <f>IF(D52*E52*(F52*M52+'CASTILLOS-PA'!W52*FY)&gt;1.25*D52*E52*F52*M52,1.25*D52*E52*F52*M52,D52*E52*(F52*M52+'CASTILLOS-PA'!W52*FY))</f>
        <v>0</v>
      </c>
      <c r="R52" s="88">
        <f>D52*E52*(F52*M52+'CASTILLOS-PA'!G52*FY*2)</f>
        <v>8588.16</v>
      </c>
      <c r="S52" s="88">
        <f t="shared" si="1"/>
        <v>0</v>
      </c>
      <c r="T52" s="88">
        <f t="shared" si="2"/>
        <v>0</v>
      </c>
      <c r="U52" s="536">
        <f>D52*(0.7*$G$24*(B52*C52)+2000*'MUR.CONC-PA'!K52)</f>
        <v>0</v>
      </c>
      <c r="V52" s="544">
        <f>IF(AND('CG. MPA'!E52="TABIQUE",'CG. MPA'!F52="HUECO"),Q52,0)</f>
        <v>0</v>
      </c>
      <c r="W52" s="544">
        <f>IF(AND('CG. MPA'!D52="CONFINADO",'CG. MPA'!E52="TABIQUE",'CG. MPA'!F52="MACIZO"),'RMCV.PA'!R52,IF(AND('CG. MPA'!D52="CONFINADO",'CG. MPA'!E52="TABICON",'CG. MPA'!F52="MACIZO"),'RMCV.PA'!R52,IF(AND('CG. MPA'!D52="CONFINADO",'CG. MPA'!E52="LIGERO",'CG. MPA'!F52="MACIZO"),'RMCV.PA'!R52,0)))</f>
        <v>0</v>
      </c>
      <c r="X52" s="544">
        <f>IF(AND('CG. MPA'!D63="NO CONFINADO",'CG. MPA'!E63="TABIQUE",'CG. MPA'!F63="MACIZO"),S52,IF(AND('CG. MPA'!D63="NO CONFINADO",'CG. MPA'!E63="TABICON",'CG. MPA'!F63="MACIZO"),S52,IF(AND('CG. MPA'!D63="NO CONFINADO",'CG. MPA'!E63="LIGERO",'CG. MPA'!F63="MACIZO"),S52,0)))</f>
        <v>0</v>
      </c>
      <c r="Y52" s="544">
        <f>IF('CG. MPA'!E63="ADOBE",'RMCV.PA'!T52,0)</f>
        <v>0</v>
      </c>
      <c r="Z52" s="544">
        <f>IF('CG. MPA'!E52="CONCRETO",'RMCV.PA'!U52,0)</f>
        <v>0</v>
      </c>
      <c r="AA52" s="93">
        <f t="shared" si="9"/>
        <v>0</v>
      </c>
      <c r="AB52" s="428">
        <v>0.8</v>
      </c>
      <c r="AC52" s="4" t="e">
        <f>(1-2*AA52/C52)*(1-(AB52*'CG. MPA'!C63*10/(30*C52))^2)</f>
        <v>#DIV/0!</v>
      </c>
      <c r="AD52" s="350" t="e">
        <f>(1-(2*AA52/C52))*(1-(AB52*'CG. MPA'!C63*10/(30*C52))^2)*(1-('CG. MPA'!C63*10/B52))+('CG. MPA'!C63*10/B52)</f>
        <v>#DIV/0!</v>
      </c>
      <c r="AE52" s="429" t="e">
        <f t="shared" si="10"/>
        <v>#DIV/0!</v>
      </c>
    </row>
    <row r="53" spans="1:31" ht="17.45" hidden="1" customHeight="1">
      <c r="A53" s="684">
        <v>25</v>
      </c>
      <c r="B53" s="975">
        <f>'CG. MPA'!B53*100</f>
        <v>0</v>
      </c>
      <c r="C53" s="68">
        <f>'ELEM. MECA.'!S30</f>
        <v>0</v>
      </c>
      <c r="D53" s="38">
        <f>IF('CG. MPA'!D53="NO CONFINADO",0.3,0.6)</f>
        <v>0.6</v>
      </c>
      <c r="E53" s="68">
        <v>0.6</v>
      </c>
      <c r="F53" s="38">
        <f>IF('CG. MPA'!E53="CONCRETO",G53,'RMCV.PA'!H53+'RMCV.PA'!I53+'RMCV.PA'!J53+K53+L53)</f>
        <v>0</v>
      </c>
      <c r="G53" s="542">
        <f>IF('CG. MPA'!E53="CONCRETO",0.6*$G$24,0)</f>
        <v>0</v>
      </c>
      <c r="H53" s="38">
        <f>IF(AND('CG. MPA'!E53="TABIQUE",'CG. MPA'!F53="MACIZO"),15,0)</f>
        <v>0</v>
      </c>
      <c r="I53" s="38">
        <f>IF(AND('CG. MPA'!E53="TABIQUE",'CG. MPA'!F53="HUECO"),IF(E45="III",30,40),0)</f>
        <v>0</v>
      </c>
      <c r="J53" s="575">
        <f>IF('CG. MPA'!E53="TABICON",IF(E41="I",20,15),0)</f>
        <v>0</v>
      </c>
      <c r="K53" s="575">
        <f>IF('CG. MPA'!E53="ADOBE",10,0)</f>
        <v>0</v>
      </c>
      <c r="L53" s="575">
        <f>IF('CG. MPA'!E53="LIGERO",10,0)</f>
        <v>0</v>
      </c>
      <c r="M53" s="576">
        <f t="shared" si="11"/>
        <v>0</v>
      </c>
      <c r="N53" s="918">
        <f>ABS('ELEM. MECA.'!M30)</f>
        <v>0</v>
      </c>
      <c r="O53" s="919">
        <f>IF(AND('CG. MPA'!E53="TABIQUE",'CG. MPA'!F53="HUECO"),V53,IF(AND('CG. MPA'!D53="CONFINADO",'CG. MPA'!E53="TABIQUE",'CG. MPA'!F53="MACIZO"),'RMCV.PA'!W53,IF(AND('CG. MPA'!D53="CONFINADO",'CG. MPA'!E53="TABICON",'CG. MPA'!F53="MACIZO"),'RMCV.PA'!W53,IF(AND('CG. MPA'!D53="CONFINADO",'CG. MPA'!E53="LIGERO",'CG. MPA'!F53="MACIZO"),'RMCV.PA'!W53,IF(AND('CG. MPA'!D53="NO CONFINADO",'CG. MPA'!E53="TABIQUE",'CG. MPA'!F53="MACIZO"),X53,IF(AND('CG. MPA'!D53="NO CONFINADO",'CG. MPA'!E53="TABICON",'CG. MPA'!F53="MACIZO"),X53,IF(AND('CG. MPA'!D53="NO CONFINADO",'CG. MPA'!E53="LIGERO",'CG. MPA'!F53="MACIZO"),X53,IF('CG. MPA'!E53="ADOBE",'RMCV.PA'!Y53,Z53))))))))</f>
        <v>0</v>
      </c>
      <c r="P53" s="685" t="str">
        <f t="shared" si="12"/>
        <v>PASA</v>
      </c>
      <c r="Q53" s="88">
        <f>IF(D53*E53*(F53*M53+'CASTILLOS-PA'!W53*FY)&gt;1.25*D53*E53*F53*M53,1.25*D53*E53*F53*M53,D53*E53*(F53*M53+'CASTILLOS-PA'!W53*FY))</f>
        <v>0</v>
      </c>
      <c r="R53" s="88">
        <f>D53*E53*(F53*M53+'CASTILLOS-PA'!G53*FY*2)</f>
        <v>8588.16</v>
      </c>
      <c r="S53" s="88">
        <f t="shared" si="1"/>
        <v>0</v>
      </c>
      <c r="T53" s="88">
        <f t="shared" si="2"/>
        <v>0</v>
      </c>
      <c r="U53" s="536">
        <f>D53*(0.7*$G$24*(B53*C53)+2000*'MUR.CONC-PA'!K53)</f>
        <v>0</v>
      </c>
      <c r="V53" s="544">
        <f>IF(AND('CG. MPA'!E53="TABIQUE",'CG. MPA'!F53="HUECO"),Q53,0)</f>
        <v>0</v>
      </c>
      <c r="W53" s="544">
        <f>IF(AND('CG. MPA'!D53="CONFINADO",'CG. MPA'!E53="TABIQUE",'CG. MPA'!F53="MACIZO"),'RMCV.PA'!R53,IF(AND('CG. MPA'!D53="CONFINADO",'CG. MPA'!E53="TABICON",'CG. MPA'!F53="MACIZO"),'RMCV.PA'!R53,IF(AND('CG. MPA'!D53="CONFINADO",'CG. MPA'!E53="LIGERO",'CG. MPA'!F53="MACIZO"),'RMCV.PA'!R53,0)))</f>
        <v>0</v>
      </c>
      <c r="X53" s="544">
        <f>IF(AND('CG. MPA'!D53="NO CONFINADO",'CG. MPA'!E53="TABIQUE",'CG. MPA'!F53="MACIZO"),S53,IF(AND('CG. MPA'!D53="NO CONFINADO",'CG. MPA'!E53="TABICON",'CG. MPA'!F53="MACIZO"),S53,IF(AND('CG. MPA'!D53="NO CONFINADO",'CG. MPA'!E53="LIGERO",'CG. MPA'!F53="MACIZO"),S53,0)))</f>
        <v>0</v>
      </c>
      <c r="Y53" s="544">
        <f>IF('CG. MPA'!E53="ADOBE",'RMCV.PA'!T53,0)</f>
        <v>0</v>
      </c>
      <c r="Z53" s="544">
        <f>IF('CG. MPA'!E53="CONCRETO",'RMCV.PA'!U53,0)</f>
        <v>0</v>
      </c>
      <c r="AA53" s="93">
        <f t="shared" si="9"/>
        <v>0</v>
      </c>
      <c r="AB53" s="428">
        <v>0.8</v>
      </c>
      <c r="AC53" s="4" t="e">
        <f>(1-2*AA53/C53)*(1-(AB53*'CG. MPA'!C53*10/(30*C53))^2)</f>
        <v>#DIV/0!</v>
      </c>
      <c r="AD53" s="350" t="e">
        <f>(1-(2*AA53/C53))*(1-(AB53*'CG. MPA'!C53*10/(30*C53))^2)*(1-('CG. MPA'!C53*10/B53))+('CG. MPA'!C53*10/B53)</f>
        <v>#DIV/0!</v>
      </c>
      <c r="AE53" s="429" t="e">
        <f t="shared" si="10"/>
        <v>#DIV/0!</v>
      </c>
    </row>
    <row r="54" spans="1:31" ht="17.45" hidden="1" customHeight="1">
      <c r="A54" s="684">
        <v>26</v>
      </c>
      <c r="B54" s="975">
        <f>'CG. MPA'!B54*100</f>
        <v>0</v>
      </c>
      <c r="C54" s="68">
        <f>'ELEM. MECA.'!S31</f>
        <v>0</v>
      </c>
      <c r="D54" s="38">
        <f>IF('CG. MPA'!D54="NO CONFINADO",0.3,0.6)</f>
        <v>0.6</v>
      </c>
      <c r="E54" s="68">
        <v>0.6</v>
      </c>
      <c r="F54" s="38">
        <f>IF('CG. MPA'!E54="CONCRETO",G54,'RMCV.PA'!H54+'RMCV.PA'!I54+'RMCV.PA'!J54+K54+L54)</f>
        <v>0</v>
      </c>
      <c r="G54" s="542">
        <f>IF('CG. MPA'!E54="CONCRETO",0.6*$G$24,0)</f>
        <v>0</v>
      </c>
      <c r="H54" s="38">
        <f>IF(AND('CG. MPA'!E54="TABIQUE",'CG. MPA'!F54="MACIZO"),15,0)</f>
        <v>0</v>
      </c>
      <c r="I54" s="38">
        <f>IF(AND('CG. MPA'!E54="TABIQUE",'CG. MPA'!F54="HUECO"),IF(E46="III",30,40),0)</f>
        <v>0</v>
      </c>
      <c r="J54" s="575">
        <f>IF('CG. MPA'!E54="TABICON",IF(E42="I",20,15),0)</f>
        <v>0</v>
      </c>
      <c r="K54" s="575">
        <f>IF('CG. MPA'!E54="ADOBE",10,0)</f>
        <v>0</v>
      </c>
      <c r="L54" s="575">
        <f>IF('CG. MPA'!E54="LIGERO",10,0)</f>
        <v>0</v>
      </c>
      <c r="M54" s="576">
        <f t="shared" si="11"/>
        <v>0</v>
      </c>
      <c r="N54" s="918">
        <f>ABS('ELEM. MECA.'!M31)</f>
        <v>0</v>
      </c>
      <c r="O54" s="919">
        <f>IF(AND('CG. MPA'!E54="TABIQUE",'CG. MPA'!F54="HUECO"),V54,IF(AND('CG. MPA'!D54="CONFINADO",'CG. MPA'!E54="TABIQUE",'CG. MPA'!F54="MACIZO"),'RMCV.PA'!W54,IF(AND('CG. MPA'!D54="CONFINADO",'CG. MPA'!E54="TABICON",'CG. MPA'!F54="MACIZO"),'RMCV.PA'!W54,IF(AND('CG. MPA'!D54="CONFINADO",'CG. MPA'!E54="LIGERO",'CG. MPA'!F54="MACIZO"),'RMCV.PA'!W54,IF(AND('CG. MPA'!D54="NO CONFINADO",'CG. MPA'!E54="TABIQUE",'CG. MPA'!F54="MACIZO"),X54,IF(AND('CG. MPA'!D54="NO CONFINADO",'CG. MPA'!E54="TABICON",'CG. MPA'!F54="MACIZO"),X54,IF(AND('CG. MPA'!D54="NO CONFINADO",'CG. MPA'!E54="LIGERO",'CG. MPA'!F54="MACIZO"),X54,IF('CG. MPA'!E54="ADOBE",'RMCV.PA'!Y54,Z54))))))))</f>
        <v>0</v>
      </c>
      <c r="P54" s="685" t="str">
        <f t="shared" si="12"/>
        <v>PASA</v>
      </c>
      <c r="Q54" s="88">
        <f>IF(D54*E54*(F54*M54+'CASTILLOS-PA'!W54*FY)&gt;1.25*D54*E54*F54*M54,1.25*D54*E54*F54*M54,D54*E54*(F54*M54+'CASTILLOS-PA'!W54*FY))</f>
        <v>0</v>
      </c>
      <c r="R54" s="88">
        <f>D54*E54*(F54*M54+'CASTILLOS-PA'!G54*FY*2)</f>
        <v>8588.16</v>
      </c>
      <c r="S54" s="88">
        <f t="shared" si="1"/>
        <v>0</v>
      </c>
      <c r="T54" s="88">
        <f t="shared" si="2"/>
        <v>0</v>
      </c>
      <c r="U54" s="536">
        <f>D54*(0.7*$G$24*(B54*C54)+2000*'MUR.CONC-PA'!K54)</f>
        <v>0</v>
      </c>
      <c r="V54" s="544">
        <f>IF(AND('CG. MPA'!E54="TABIQUE",'CG. MPA'!F54="HUECO"),Q54,0)</f>
        <v>0</v>
      </c>
      <c r="W54" s="544">
        <f>IF(AND('CG. MPA'!D54="CONFINADO",'CG. MPA'!E54="TABIQUE",'CG. MPA'!F54="MACIZO"),'RMCV.PA'!R54,IF(AND('CG. MPA'!D54="CONFINADO",'CG. MPA'!E54="TABICON",'CG. MPA'!F54="MACIZO"),'RMCV.PA'!R54,IF(AND('CG. MPA'!D54="CONFINADO",'CG. MPA'!E54="LIGERO",'CG. MPA'!F54="MACIZO"),'RMCV.PA'!R54,0)))</f>
        <v>0</v>
      </c>
      <c r="X54" s="544">
        <f>IF(AND('CG. MPA'!D54="NO CONFINADO",'CG. MPA'!E54="TABIQUE",'CG. MPA'!F54="MACIZO"),S54,IF(AND('CG. MPA'!D54="NO CONFINADO",'CG. MPA'!E54="TABICON",'CG. MPA'!F54="MACIZO"),S54,IF(AND('CG. MPA'!D54="NO CONFINADO",'CG. MPA'!E54="LIGERO",'CG. MPA'!F54="MACIZO"),S54,0)))</f>
        <v>0</v>
      </c>
      <c r="Y54" s="544">
        <f>IF('CG. MPA'!E54="ADOBE",'RMCV.PA'!T54,0)</f>
        <v>0</v>
      </c>
      <c r="Z54" s="544">
        <f>IF('CG. MPA'!E54="CONCRETO",'RMCV.PA'!U54,0)</f>
        <v>0</v>
      </c>
      <c r="AA54" s="93">
        <f t="shared" si="9"/>
        <v>0</v>
      </c>
      <c r="AB54" s="428">
        <v>0.8</v>
      </c>
      <c r="AC54" s="4" t="e">
        <f>(1-2*AA54/C54)*(1-(AB54*'CG. MPA'!C54*10/(30*C54))^2)</f>
        <v>#DIV/0!</v>
      </c>
      <c r="AD54" s="350" t="e">
        <f>(1-(2*AA54/C54))*(1-(AB54*'CG. MPA'!C54*10/(30*C54))^2)*(1-('CG. MPA'!C54*10/B54))+('CG. MPA'!C54*10/B54)</f>
        <v>#DIV/0!</v>
      </c>
      <c r="AE54" s="429" t="e">
        <f t="shared" si="10"/>
        <v>#DIV/0!</v>
      </c>
    </row>
    <row r="55" spans="1:31" ht="17.45" hidden="1" customHeight="1">
      <c r="A55" s="684">
        <v>27</v>
      </c>
      <c r="B55" s="975">
        <f>'CG. MPA'!B55*100</f>
        <v>0</v>
      </c>
      <c r="C55" s="68">
        <f>'ELEM. MECA.'!S32</f>
        <v>0</v>
      </c>
      <c r="D55" s="38">
        <f>IF('CG. MPA'!D55="NO CONFINADO",0.3,0.6)</f>
        <v>0.6</v>
      </c>
      <c r="E55" s="68">
        <v>0.6</v>
      </c>
      <c r="F55" s="38">
        <f>IF('CG. MPA'!E55="CONCRETO",G55,'RMCV.PA'!H55+'RMCV.PA'!I55+'RMCV.PA'!J55+K55+L55)</f>
        <v>0</v>
      </c>
      <c r="G55" s="542">
        <f>IF('CG. MPA'!E55="CONCRETO",0.6*$G$24,0)</f>
        <v>0</v>
      </c>
      <c r="H55" s="38">
        <f>IF(AND('CG. MPA'!E55="TABIQUE",'CG. MPA'!F55="MACIZO"),15,0)</f>
        <v>0</v>
      </c>
      <c r="I55" s="38">
        <f>IF(AND('CG. MPA'!E55="TABIQUE",'CG. MPA'!F55="HUECO"),IF(E47="III",30,40),0)</f>
        <v>0</v>
      </c>
      <c r="J55" s="575">
        <f>IF('CG. MPA'!E55="TABICON",IF(E43="I",20,15),0)</f>
        <v>0</v>
      </c>
      <c r="K55" s="575">
        <f>IF('CG. MPA'!E55="ADOBE",10,0)</f>
        <v>0</v>
      </c>
      <c r="L55" s="575">
        <f>IF('CG. MPA'!E55="LIGERO",10,0)</f>
        <v>0</v>
      </c>
      <c r="M55" s="576">
        <f t="shared" si="11"/>
        <v>0</v>
      </c>
      <c r="N55" s="918">
        <f>ABS('ELEM. MECA.'!M32)</f>
        <v>0</v>
      </c>
      <c r="O55" s="919">
        <f>IF(AND('CG. MPA'!E55="TABIQUE",'CG. MPA'!F55="HUECO"),V55,IF(AND('CG. MPA'!D55="CONFINADO",'CG. MPA'!E55="TABIQUE",'CG. MPA'!F55="MACIZO"),'RMCV.PA'!W55,IF(AND('CG. MPA'!D55="CONFINADO",'CG. MPA'!E55="TABICON",'CG. MPA'!F55="MACIZO"),'RMCV.PA'!W55,IF(AND('CG. MPA'!D55="CONFINADO",'CG. MPA'!E55="LIGERO",'CG. MPA'!F55="MACIZO"),'RMCV.PA'!W55,IF(AND('CG. MPA'!D55="NO CONFINADO",'CG. MPA'!E55="TABIQUE",'CG. MPA'!F55="MACIZO"),X55,IF(AND('CG. MPA'!D55="NO CONFINADO",'CG. MPA'!E55="TABICON",'CG. MPA'!F55="MACIZO"),X55,IF(AND('CG. MPA'!D55="NO CONFINADO",'CG. MPA'!E55="LIGERO",'CG. MPA'!F55="MACIZO"),X55,IF('CG. MPA'!E55="ADOBE",'RMCV.PA'!Y55,Z55))))))))</f>
        <v>0</v>
      </c>
      <c r="P55" s="685" t="str">
        <f t="shared" si="12"/>
        <v>PASA</v>
      </c>
      <c r="Q55" s="88">
        <f>IF(D55*E55*(F55*M55+'CASTILLOS-PA'!W55*FY)&gt;1.25*D55*E55*F55*M55,1.25*D55*E55*F55*M55,D55*E55*(F55*M55+'CASTILLOS-PA'!W55*FY))</f>
        <v>0</v>
      </c>
      <c r="R55" s="88">
        <f>D55*E55*(F55*M55+'CASTILLOS-PA'!G55*FY*2)</f>
        <v>8588.16</v>
      </c>
      <c r="S55" s="88">
        <f t="shared" si="1"/>
        <v>0</v>
      </c>
      <c r="T55" s="88">
        <f t="shared" si="2"/>
        <v>0</v>
      </c>
      <c r="U55" s="536">
        <f>D55*(0.7*$G$24*(B55*C55)+2000*'MUR.CONC-PA'!K55)</f>
        <v>0</v>
      </c>
      <c r="V55" s="544">
        <f>IF(AND('CG. MPA'!E55="TABIQUE",'CG. MPA'!F55="HUECO"),Q55,0)</f>
        <v>0</v>
      </c>
      <c r="W55" s="544">
        <f>IF(AND('CG. MPA'!D55="CONFINADO",'CG. MPA'!E55="TABIQUE",'CG. MPA'!F55="MACIZO"),'RMCV.PA'!R55,IF(AND('CG. MPA'!D55="CONFINADO",'CG. MPA'!E55="TABICON",'CG. MPA'!F55="MACIZO"),'RMCV.PA'!R55,IF(AND('CG. MPA'!D55="CONFINADO",'CG. MPA'!E55="LIGERO",'CG. MPA'!F55="MACIZO"),'RMCV.PA'!R55,0)))</f>
        <v>0</v>
      </c>
      <c r="X55" s="544">
        <f>IF(AND('CG. MPA'!D66="NO CONFINADO",'CG. MPA'!E66="TABIQUE",'CG. MPA'!F66="MACIZO"),S55,IF(AND('CG. MPA'!D66="NO CONFINADO",'CG. MPA'!E66="TABICON",'CG. MPA'!F66="MACIZO"),S55,IF(AND('CG. MPA'!D66="NO CONFINADO",'CG. MPA'!E66="LIGERO",'CG. MPA'!F66="MACIZO"),S55,0)))</f>
        <v>0</v>
      </c>
      <c r="Y55" s="544">
        <f>IF('CG. MPA'!E66="ADOBE",'RMCV.PA'!T55,0)</f>
        <v>0</v>
      </c>
      <c r="Z55" s="544">
        <f>IF('CG. MPA'!E55="CONCRETO",'RMCV.PA'!U55,0)</f>
        <v>0</v>
      </c>
      <c r="AA55" s="93">
        <f t="shared" si="9"/>
        <v>0</v>
      </c>
      <c r="AB55" s="428">
        <v>0.8</v>
      </c>
      <c r="AC55" s="4" t="e">
        <f>(1-2*AA55/C55)*(1-(AB55*'CG. MPA'!C66*10/(30*C55))^2)</f>
        <v>#DIV/0!</v>
      </c>
      <c r="AD55" s="350" t="e">
        <f>(1-(2*AA55/C55))*(1-(AB55*'CG. MPA'!C66*10/(30*C55))^2)*(1-('CG. MPA'!C66*10/B55))+('CG. MPA'!C66*10/B55)</f>
        <v>#DIV/0!</v>
      </c>
      <c r="AE55" s="429" t="e">
        <f t="shared" si="10"/>
        <v>#DIV/0!</v>
      </c>
    </row>
    <row r="56" spans="1:31" ht="17.45" hidden="1" customHeight="1">
      <c r="A56" s="684">
        <v>28</v>
      </c>
      <c r="B56" s="975">
        <f>'CG. MPA'!B56*100</f>
        <v>0</v>
      </c>
      <c r="C56" s="68">
        <f>'ELEM. MECA.'!S33</f>
        <v>0</v>
      </c>
      <c r="D56" s="38">
        <f>IF('CG. MPA'!D56="NO CONFINADO",0.3,0.6)</f>
        <v>0.6</v>
      </c>
      <c r="E56" s="68">
        <v>0.6</v>
      </c>
      <c r="F56" s="38">
        <f>IF('CG. MPA'!E56="CONCRETO",G56,'RMCV.PA'!H56+'RMCV.PA'!I56+'RMCV.PA'!J56+K56+L56)</f>
        <v>0</v>
      </c>
      <c r="G56" s="542">
        <f>IF('CG. MPA'!E56="CONCRETO",0.6*$G$24,0)</f>
        <v>0</v>
      </c>
      <c r="H56" s="38">
        <f>IF(AND('CG. MPA'!E56="TABIQUE",'CG. MPA'!F56="MACIZO"),15,0)</f>
        <v>0</v>
      </c>
      <c r="I56" s="38">
        <f>IF(AND('CG. MPA'!E56="TABIQUE",'CG. MPA'!F56="HUECO"),IF(E48="III",30,40),0)</f>
        <v>0</v>
      </c>
      <c r="J56" s="575">
        <f>IF('CG. MPA'!E56="TABICON",IF(E44="I",20,15),0)</f>
        <v>0</v>
      </c>
      <c r="K56" s="575">
        <f>IF('CG. MPA'!E56="ADOBE",10,0)</f>
        <v>0</v>
      </c>
      <c r="L56" s="575">
        <f>IF('CG. MPA'!E56="LIGERO",10,0)</f>
        <v>0</v>
      </c>
      <c r="M56" s="576">
        <f t="shared" si="11"/>
        <v>0</v>
      </c>
      <c r="N56" s="918">
        <f>ABS('ELEM. MECA.'!M33)</f>
        <v>0</v>
      </c>
      <c r="O56" s="919">
        <f>IF(AND('CG. MPA'!E56="TABIQUE",'CG. MPA'!F56="HUECO"),V56,IF(AND('CG. MPA'!D56="CONFINADO",'CG. MPA'!E56="TABIQUE",'CG. MPA'!F56="MACIZO"),'RMCV.PA'!W56,IF(AND('CG. MPA'!D56="CONFINADO",'CG. MPA'!E56="TABICON",'CG. MPA'!F56="MACIZO"),'RMCV.PA'!W56,IF(AND('CG. MPA'!D56="CONFINADO",'CG. MPA'!E56="LIGERO",'CG. MPA'!F56="MACIZO"),'RMCV.PA'!W56,IF(AND('CG. MPA'!D56="NO CONFINADO",'CG. MPA'!E56="TABIQUE",'CG. MPA'!F56="MACIZO"),X56,IF(AND('CG. MPA'!D56="NO CONFINADO",'CG. MPA'!E56="TABICON",'CG. MPA'!F56="MACIZO"),X56,IF(AND('CG. MPA'!D56="NO CONFINADO",'CG. MPA'!E56="LIGERO",'CG. MPA'!F56="MACIZO"),X56,IF('CG. MPA'!E56="ADOBE",'RMCV.PA'!Y56,Z56))))))))</f>
        <v>0</v>
      </c>
      <c r="P56" s="685" t="str">
        <f t="shared" si="12"/>
        <v>PASA</v>
      </c>
      <c r="Q56" s="88">
        <f>IF(D56*E56*(F56*M56+'CASTILLOS-PA'!W56*FY)&gt;1.25*D56*E56*F56*M56,1.25*D56*E56*F56*M56,D56*E56*(F56*M56+'CASTILLOS-PA'!W56*FY))</f>
        <v>0</v>
      </c>
      <c r="R56" s="88">
        <f>D56*E56*(F56*M56+'CASTILLOS-PA'!G56*FY*2)</f>
        <v>8588.16</v>
      </c>
      <c r="S56" s="88">
        <f t="shared" si="1"/>
        <v>0</v>
      </c>
      <c r="T56" s="88">
        <f t="shared" si="2"/>
        <v>0</v>
      </c>
      <c r="U56" s="536">
        <f>D56*(0.7*$G$24*(B56*C56)+2000*'MUR.CONC-PA'!K56)</f>
        <v>0</v>
      </c>
      <c r="V56" s="544">
        <f>IF(AND('CG. MPA'!E56="TABIQUE",'CG. MPA'!F56="HUECO"),Q56,0)</f>
        <v>0</v>
      </c>
      <c r="W56" s="544">
        <f>IF(AND('CG. MPA'!D56="CONFINADO",'CG. MPA'!E56="TABIQUE",'CG. MPA'!F56="MACIZO"),'RMCV.PA'!R56,IF(AND('CG. MPA'!D56="CONFINADO",'CG. MPA'!E56="TABICON",'CG. MPA'!F56="MACIZO"),'RMCV.PA'!R56,IF(AND('CG. MPA'!D56="CONFINADO",'CG. MPA'!E56="LIGERO",'CG. MPA'!F56="MACIZO"),'RMCV.PA'!R56,0)))</f>
        <v>0</v>
      </c>
      <c r="X56" s="544">
        <f>IF(AND('CG. MPA'!D56="NO CONFINADO",'CG. MPA'!E56="TABIQUE",'CG. MPA'!F56="MACIZO"),S56,IF(AND('CG. MPA'!D56="NO CONFINADO",'CG. MPA'!E56="TABICON",'CG. MPA'!F56="MACIZO"),S56,IF(AND('CG. MPA'!D56="NO CONFINADO",'CG. MPA'!E56="LIGERO",'CG. MPA'!F56="MACIZO"),S56,0)))</f>
        <v>0</v>
      </c>
      <c r="Y56" s="544">
        <f>IF('CG. MPA'!E56="ADOBE",'RMCV.PA'!T56,0)</f>
        <v>0</v>
      </c>
      <c r="Z56" s="544">
        <f>IF('CG. MPA'!E56="CONCRETO",'RMCV.PA'!U56,0)</f>
        <v>0</v>
      </c>
      <c r="AA56" s="93">
        <f t="shared" si="9"/>
        <v>0</v>
      </c>
      <c r="AB56" s="428">
        <v>0.8</v>
      </c>
      <c r="AC56" s="4" t="e">
        <f>(1-2*AA56/C56)*(1-(AB56*'CG. MPA'!C56*10/(30*C56))^2)</f>
        <v>#DIV/0!</v>
      </c>
      <c r="AD56" s="350" t="e">
        <f>(1-(2*AA56/C56))*(1-(AB56*'CG. MPA'!C56*10/(30*C56))^2)*(1-('CG. MPA'!C56*10/B56))+('CG. MPA'!C56*10/B56)</f>
        <v>#DIV/0!</v>
      </c>
      <c r="AE56" s="429" t="e">
        <f t="shared" si="10"/>
        <v>#DIV/0!</v>
      </c>
    </row>
    <row r="57" spans="1:31" ht="17.45" hidden="1" customHeight="1">
      <c r="A57" s="684">
        <v>29</v>
      </c>
      <c r="B57" s="975">
        <f>'CG. MPA'!B57*100</f>
        <v>0</v>
      </c>
      <c r="C57" s="68">
        <f>'ELEM. MECA.'!S34</f>
        <v>0</v>
      </c>
      <c r="D57" s="38">
        <f>IF('CG. MPA'!D57="NO CONFINADO",0.3,0.6)</f>
        <v>0.6</v>
      </c>
      <c r="E57" s="68">
        <v>0.6</v>
      </c>
      <c r="F57" s="38">
        <f>IF('CG. MPA'!E57="CONCRETO",G57,'RMCV.PA'!H57+'RMCV.PA'!I57+'RMCV.PA'!J57+K57+L57)</f>
        <v>0</v>
      </c>
      <c r="G57" s="542">
        <f>IF('CG. MPA'!E57="CONCRETO",0.6*$G$24,0)</f>
        <v>0</v>
      </c>
      <c r="H57" s="38">
        <f>IF(AND('CG. MPA'!E57="TABIQUE",'CG. MPA'!F57="MACIZO"),15,0)</f>
        <v>0</v>
      </c>
      <c r="I57" s="38">
        <f>IF(AND('CG. MPA'!E57="TABIQUE",'CG. MPA'!F57="HUECO"),IF(E49="III",30,40),0)</f>
        <v>0</v>
      </c>
      <c r="J57" s="575">
        <f>IF('CG. MPA'!E57="TABICON",IF(E45="I",20,15),0)</f>
        <v>0</v>
      </c>
      <c r="K57" s="575">
        <f>IF('CG. MPA'!E57="ADOBE",10,0)</f>
        <v>0</v>
      </c>
      <c r="L57" s="575">
        <f>IF('CG. MPA'!E57="LIGERO",10,0)</f>
        <v>0</v>
      </c>
      <c r="M57" s="576">
        <f t="shared" si="11"/>
        <v>0</v>
      </c>
      <c r="N57" s="918">
        <f>ABS('ELEM. MECA.'!M34)</f>
        <v>0</v>
      </c>
      <c r="O57" s="919">
        <f>IF(AND('CG. MPA'!E57="TABIQUE",'CG. MPA'!F57="HUECO"),V57,IF(AND('CG. MPA'!D57="CONFINADO",'CG. MPA'!E57="TABIQUE",'CG. MPA'!F57="MACIZO"),'RMCV.PA'!W57,IF(AND('CG. MPA'!D57="CONFINADO",'CG. MPA'!E57="TABICON",'CG. MPA'!F57="MACIZO"),'RMCV.PA'!W57,IF(AND('CG. MPA'!D57="CONFINADO",'CG. MPA'!E57="LIGERO",'CG. MPA'!F57="MACIZO"),'RMCV.PA'!W57,IF(AND('CG. MPA'!D57="NO CONFINADO",'CG. MPA'!E57="TABIQUE",'CG. MPA'!F57="MACIZO"),X57,IF(AND('CG. MPA'!D57="NO CONFINADO",'CG. MPA'!E57="TABICON",'CG. MPA'!F57="MACIZO"),X57,IF(AND('CG. MPA'!D57="NO CONFINADO",'CG. MPA'!E57="LIGERO",'CG. MPA'!F57="MACIZO"),X57,IF('CG. MPA'!E57="ADOBE",'RMCV.PA'!Y57,Z57))))))))</f>
        <v>0</v>
      </c>
      <c r="P57" s="685" t="str">
        <f t="shared" si="12"/>
        <v>PASA</v>
      </c>
      <c r="Q57" s="88">
        <f>IF(D57*E57*(F57*M57+'CASTILLOS-PA'!W57*FY)&gt;1.25*D57*E57*F57*M57,1.25*D57*E57*F57*M57,D57*E57*(F57*M57+'CASTILLOS-PA'!W57*FY))</f>
        <v>0</v>
      </c>
      <c r="R57" s="88">
        <f>D57*E57*(F57*M57+'CASTILLOS-PA'!G57*FY*2)</f>
        <v>8588.16</v>
      </c>
      <c r="S57" s="88">
        <f t="shared" si="1"/>
        <v>0</v>
      </c>
      <c r="T57" s="88">
        <f t="shared" si="2"/>
        <v>0</v>
      </c>
      <c r="U57" s="536">
        <f>D57*(0.7*$G$24*(B57*C57)+2000*'MUR.CONC-PA'!K57)</f>
        <v>0</v>
      </c>
      <c r="V57" s="544">
        <f>IF(AND('CG. MPA'!E57="TABIQUE",'CG. MPA'!F57="HUECO"),Q57,0)</f>
        <v>0</v>
      </c>
      <c r="W57" s="544">
        <f>IF(AND('CG. MPA'!D57="CONFINADO",'CG. MPA'!E57="TABIQUE",'CG. MPA'!F57="MACIZO"),'RMCV.PA'!R57,IF(AND('CG. MPA'!D57="CONFINADO",'CG. MPA'!E57="TABICON",'CG. MPA'!F57="MACIZO"),'RMCV.PA'!R57,IF(AND('CG. MPA'!D57="CONFINADO",'CG. MPA'!E57="LIGERO",'CG. MPA'!F57="MACIZO"),'RMCV.PA'!R57,0)))</f>
        <v>0</v>
      </c>
      <c r="X57" s="544">
        <f>IF(AND('CG. MPA'!D57="NO CONFINADO",'CG. MPA'!E57="TABIQUE",'CG. MPA'!F57="MACIZO"),S57,IF(AND('CG. MPA'!D57="NO CONFINADO",'CG. MPA'!E57="TABICON",'CG. MPA'!F57="MACIZO"),S57,IF(AND('CG. MPA'!D57="NO CONFINADO",'CG. MPA'!E57="LIGERO",'CG. MPA'!F57="MACIZO"),S57,0)))</f>
        <v>0</v>
      </c>
      <c r="Y57" s="544">
        <f>IF('CG. MPA'!E57="ADOBE",'RMCV.PA'!T57,0)</f>
        <v>0</v>
      </c>
      <c r="Z57" s="544">
        <f>IF('CG. MPA'!E57="CONCRETO",'RMCV.PA'!U57,0)</f>
        <v>0</v>
      </c>
      <c r="AA57" s="93">
        <f t="shared" si="9"/>
        <v>0</v>
      </c>
      <c r="AB57" s="428">
        <v>0.8</v>
      </c>
      <c r="AC57" s="4" t="e">
        <f>(1-2*AA57/C57)*(1-(AB57*'CG. MPA'!C57*10/(30*C57))^2)</f>
        <v>#DIV/0!</v>
      </c>
      <c r="AD57" s="350" t="e">
        <f>(1-(2*AA57/C57))*(1-(AB57*'CG. MPA'!C57*10/(30*C57))^2)*(1-('CG. MPA'!C57*10/B57))+('CG. MPA'!C57*10/B57)</f>
        <v>#DIV/0!</v>
      </c>
      <c r="AE57" s="429" t="e">
        <f t="shared" si="10"/>
        <v>#DIV/0!</v>
      </c>
    </row>
    <row r="58" spans="1:31" ht="17.45" hidden="1" customHeight="1">
      <c r="A58" s="684">
        <v>30</v>
      </c>
      <c r="B58" s="975">
        <f>'CG. MPA'!B58*100</f>
        <v>0</v>
      </c>
      <c r="C58" s="68">
        <f>'ELEM. MECA.'!S35</f>
        <v>0</v>
      </c>
      <c r="D58" s="38">
        <f>IF('CG. MPA'!D58="NO CONFINADO",0.3,0.6)</f>
        <v>0.6</v>
      </c>
      <c r="E58" s="68">
        <v>0.6</v>
      </c>
      <c r="F58" s="38">
        <f>IF('CG. MPA'!E58="CONCRETO",G58,'RMCV.PA'!H58+'RMCV.PA'!I58+'RMCV.PA'!J58+K58+L58)</f>
        <v>0</v>
      </c>
      <c r="G58" s="542">
        <f>IF('CG. MPA'!E58="CONCRETO",0.6*$G$24,0)</f>
        <v>0</v>
      </c>
      <c r="H58" s="38">
        <f>IF(AND('CG. MPA'!E58="TABIQUE",'CG. MPA'!F58="MACIZO"),15,0)</f>
        <v>0</v>
      </c>
      <c r="I58" s="38">
        <f>IF(AND('CG. MPA'!E58="TABIQUE",'CG. MPA'!F58="HUECO"),IF(E50="III",30,40),0)</f>
        <v>0</v>
      </c>
      <c r="J58" s="575">
        <f>IF('CG. MPA'!E58="TABICON",IF(E46="I",20,15),0)</f>
        <v>0</v>
      </c>
      <c r="K58" s="575">
        <f>IF('CG. MPA'!E58="ADOBE",10,0)</f>
        <v>0</v>
      </c>
      <c r="L58" s="575">
        <f>IF('CG. MPA'!E58="LIGERO",10,0)</f>
        <v>0</v>
      </c>
      <c r="M58" s="576">
        <f t="shared" si="11"/>
        <v>0</v>
      </c>
      <c r="N58" s="918">
        <f>ABS('ELEM. MECA.'!M35)</f>
        <v>0</v>
      </c>
      <c r="O58" s="919">
        <f>IF(AND('CG. MPA'!E58="TABIQUE",'CG. MPA'!F58="HUECO"),V58,IF(AND('CG. MPA'!D58="CONFINADO",'CG. MPA'!E58="TABIQUE",'CG. MPA'!F58="MACIZO"),'RMCV.PA'!W58,IF(AND('CG. MPA'!D58="CONFINADO",'CG. MPA'!E58="TABICON",'CG. MPA'!F58="MACIZO"),'RMCV.PA'!W58,IF(AND('CG. MPA'!D58="CONFINADO",'CG. MPA'!E58="LIGERO",'CG. MPA'!F58="MACIZO"),'RMCV.PA'!W58,IF(AND('CG. MPA'!D58="NO CONFINADO",'CG. MPA'!E58="TABIQUE",'CG. MPA'!F58="MACIZO"),X58,IF(AND('CG. MPA'!D58="NO CONFINADO",'CG. MPA'!E58="TABICON",'CG. MPA'!F58="MACIZO"),X58,IF(AND('CG. MPA'!D58="NO CONFINADO",'CG. MPA'!E58="LIGERO",'CG. MPA'!F58="MACIZO"),X58,IF('CG. MPA'!E58="ADOBE",'RMCV.PA'!Y58,Z58))))))))</f>
        <v>0</v>
      </c>
      <c r="P58" s="685" t="str">
        <f t="shared" si="12"/>
        <v>PASA</v>
      </c>
      <c r="Q58" s="88">
        <f>IF(D58*E58*(F58*M58+'CASTILLOS-PA'!W58*FY)&gt;1.25*D58*E58*F58*M58,1.25*D58*E58*F58*M58,D58*E58*(F58*M58+'CASTILLOS-PA'!W58*FY))</f>
        <v>0</v>
      </c>
      <c r="R58" s="88">
        <f>D58*E58*(F58*M58+'CASTILLOS-PA'!G58*FY*2)</f>
        <v>8588.16</v>
      </c>
      <c r="S58" s="88">
        <f t="shared" si="1"/>
        <v>0</v>
      </c>
      <c r="T58" s="88">
        <f t="shared" si="2"/>
        <v>0</v>
      </c>
      <c r="U58" s="536">
        <f>D58*(0.7*$G$24*(B58*C58)+2000*'MUR.CONC-PA'!K58)</f>
        <v>0</v>
      </c>
      <c r="V58" s="544">
        <f>IF(AND('CG. MPA'!E58="TABIQUE",'CG. MPA'!F58="HUECO"),Q58,0)</f>
        <v>0</v>
      </c>
      <c r="W58" s="544">
        <f>IF(AND('CG. MPA'!D58="CONFINADO",'CG. MPA'!E58="TABIQUE",'CG. MPA'!F58="MACIZO"),'RMCV.PA'!R58,IF(AND('CG. MPA'!D58="CONFINADO",'CG. MPA'!E58="TABICON",'CG. MPA'!F58="MACIZO"),'RMCV.PA'!R58,IF(AND('CG. MPA'!D58="CONFINADO",'CG. MPA'!E58="LIGERO",'CG. MPA'!F58="MACIZO"),'RMCV.PA'!R58,0)))</f>
        <v>0</v>
      </c>
      <c r="X58" s="544">
        <f>IF(AND('CG. MPA'!D69="NO CONFINADO",'CG. MPA'!E69="TABIQUE",'CG. MPA'!F69="MACIZO"),S58,IF(AND('CG. MPA'!D69="NO CONFINADO",'CG. MPA'!E69="TABICON",'CG. MPA'!F69="MACIZO"),S58,IF(AND('CG. MPA'!D69="NO CONFINADO",'CG. MPA'!E69="LIGERO",'CG. MPA'!F69="MACIZO"),S58,0)))</f>
        <v>0</v>
      </c>
      <c r="Y58" s="544">
        <f>IF('CG. MPA'!E69="ADOBE",'RMCV.PA'!T58,0)</f>
        <v>0</v>
      </c>
      <c r="Z58" s="544">
        <f>IF('CG. MPA'!E58="CONCRETO",'RMCV.PA'!U58,0)</f>
        <v>0</v>
      </c>
      <c r="AA58" s="93">
        <f t="shared" si="9"/>
        <v>0</v>
      </c>
      <c r="AB58" s="428">
        <v>0.8</v>
      </c>
      <c r="AC58" s="4" t="e">
        <f>(1-2*AA58/C58)*(1-(AB58*'CG. MPA'!C69*10/(30*C58))^2)</f>
        <v>#DIV/0!</v>
      </c>
      <c r="AD58" s="350" t="e">
        <f>(1-(2*AA58/C58))*(1-(AB58*'CG. MPA'!C69*10/(30*C58))^2)*(1-('CG. MPA'!C69*10/B58))+('CG. MPA'!C69*10/B58)</f>
        <v>#DIV/0!</v>
      </c>
      <c r="AE58" s="429" t="e">
        <f t="shared" si="10"/>
        <v>#DIV/0!</v>
      </c>
    </row>
    <row r="59" spans="1:31" ht="17.45" hidden="1" customHeight="1">
      <c r="A59" s="684">
        <v>31</v>
      </c>
      <c r="B59" s="975">
        <f>'CG. MPA'!B59*100</f>
        <v>0</v>
      </c>
      <c r="C59" s="68">
        <f>'ELEM. MECA.'!S36</f>
        <v>0</v>
      </c>
      <c r="D59" s="38">
        <f>IF('CG. MPA'!D59="NO CONFINADO",0.3,0.6)</f>
        <v>0.6</v>
      </c>
      <c r="E59" s="68">
        <v>0.6</v>
      </c>
      <c r="F59" s="38">
        <f>IF('CG. MPA'!E59="CONCRETO",G59,'RMCV.PA'!H59+'RMCV.PA'!I59+'RMCV.PA'!J59+K59+L59)</f>
        <v>0</v>
      </c>
      <c r="G59" s="542">
        <f>IF('CG. MPA'!E59="CONCRETO",0.6*$G$24,0)</f>
        <v>0</v>
      </c>
      <c r="H59" s="38">
        <f>IF(AND('CG. MPA'!E59="TABIQUE",'CG. MPA'!F59="MACIZO"),15,0)</f>
        <v>0</v>
      </c>
      <c r="I59" s="38">
        <f>IF(AND('CG. MPA'!E59="TABIQUE",'CG. MPA'!F59="HUECO"),IF(E51="III",30,40),0)</f>
        <v>0</v>
      </c>
      <c r="J59" s="575">
        <f>IF('CG. MPA'!E59="TABICON",IF(E47="I",20,15),0)</f>
        <v>0</v>
      </c>
      <c r="K59" s="575">
        <f>IF('CG. MPA'!E59="ADOBE",10,0)</f>
        <v>0</v>
      </c>
      <c r="L59" s="575">
        <f>IF('CG. MPA'!E59="LIGERO",10,0)</f>
        <v>0</v>
      </c>
      <c r="M59" s="576">
        <f t="shared" si="11"/>
        <v>0</v>
      </c>
      <c r="N59" s="918">
        <f>ABS('ELEM. MECA.'!M36)</f>
        <v>0</v>
      </c>
      <c r="O59" s="919">
        <f>IF(AND('CG. MPA'!E59="TABIQUE",'CG. MPA'!F59="HUECO"),V59,IF(AND('CG. MPA'!D59="CONFINADO",'CG. MPA'!E59="TABIQUE",'CG. MPA'!F59="MACIZO"),'RMCV.PA'!W59,IF(AND('CG. MPA'!D59="CONFINADO",'CG. MPA'!E59="TABICON",'CG. MPA'!F59="MACIZO"),'RMCV.PA'!W59,IF(AND('CG. MPA'!D59="CONFINADO",'CG. MPA'!E59="LIGERO",'CG. MPA'!F59="MACIZO"),'RMCV.PA'!W59,IF(AND('CG. MPA'!D59="NO CONFINADO",'CG. MPA'!E59="TABIQUE",'CG. MPA'!F59="MACIZO"),X59,IF(AND('CG. MPA'!D59="NO CONFINADO",'CG. MPA'!E59="TABICON",'CG. MPA'!F59="MACIZO"),X59,IF(AND('CG. MPA'!D59="NO CONFINADO",'CG. MPA'!E59="LIGERO",'CG. MPA'!F59="MACIZO"),X59,IF('CG. MPA'!E59="ADOBE",'RMCV.PA'!Y59,Z59))))))))</f>
        <v>0</v>
      </c>
      <c r="P59" s="685" t="str">
        <f t="shared" si="12"/>
        <v>PASA</v>
      </c>
      <c r="Q59" s="88">
        <f>IF(D59*E59*(F59*M59+'CASTILLOS-PA'!W59*FY)&gt;1.25*D59*E59*F59*M59,1.25*D59*E59*F59*M59,D59*E59*(F59*M59+'CASTILLOS-PA'!W59*FY))</f>
        <v>0</v>
      </c>
      <c r="R59" s="88">
        <f>D59*E59*(F59*M59+'CASTILLOS-PA'!G59*FY*2)</f>
        <v>8588.16</v>
      </c>
      <c r="S59" s="88">
        <f t="shared" si="1"/>
        <v>0</v>
      </c>
      <c r="T59" s="88">
        <f t="shared" si="2"/>
        <v>0</v>
      </c>
      <c r="U59" s="536">
        <f>D59*(0.7*$G$24*(B59*C59)+2000*'MUR.CONC-PA'!K59)</f>
        <v>0</v>
      </c>
      <c r="V59" s="544">
        <f>IF(AND('CG. MPA'!E59="TABIQUE",'CG. MPA'!F59="HUECO"),Q59,0)</f>
        <v>0</v>
      </c>
      <c r="W59" s="544">
        <f>IF(AND('CG. MPA'!D59="CONFINADO",'CG. MPA'!E59="TABIQUE",'CG. MPA'!F59="MACIZO"),'RMCV.PA'!R59,IF(AND('CG. MPA'!D59="CONFINADO",'CG. MPA'!E59="TABICON",'CG. MPA'!F59="MACIZO"),'RMCV.PA'!R59,IF(AND('CG. MPA'!D59="CONFINADO",'CG. MPA'!E59="LIGERO",'CG. MPA'!F59="MACIZO"),'RMCV.PA'!R59,0)))</f>
        <v>0</v>
      </c>
      <c r="X59" s="544">
        <f>IF(AND('CG. MPA'!D59="NO CONFINADO",'CG. MPA'!E59="TABIQUE",'CG. MPA'!F59="MACIZO"),S59,IF(AND('CG. MPA'!D59="NO CONFINADO",'CG. MPA'!E59="TABICON",'CG. MPA'!F59="MACIZO"),S59,IF(AND('CG. MPA'!D59="NO CONFINADO",'CG. MPA'!E59="LIGERO",'CG. MPA'!F59="MACIZO"),S59,0)))</f>
        <v>0</v>
      </c>
      <c r="Y59" s="544">
        <f>IF('CG. MPA'!E59="ADOBE",'RMCV.PA'!T59,0)</f>
        <v>0</v>
      </c>
      <c r="Z59" s="544">
        <f>IF('CG. MPA'!E59="CONCRETO",'RMCV.PA'!U59,0)</f>
        <v>0</v>
      </c>
      <c r="AA59" s="93">
        <f t="shared" si="9"/>
        <v>0</v>
      </c>
      <c r="AB59" s="428">
        <v>0.8</v>
      </c>
      <c r="AC59" s="4" t="e">
        <f>(1-2*AA59/C59)*(1-(AB59*'CG. MPA'!C59*10/(30*C59))^2)</f>
        <v>#DIV/0!</v>
      </c>
      <c r="AD59" s="350" t="e">
        <f>(1-(2*AA59/C59))*(1-(AB59*'CG. MPA'!C59*10/(30*C59))^2)*(1-('CG. MPA'!C59*10/B59))+('CG. MPA'!C59*10/B59)</f>
        <v>#DIV/0!</v>
      </c>
      <c r="AE59" s="429" t="e">
        <f t="shared" si="10"/>
        <v>#DIV/0!</v>
      </c>
    </row>
    <row r="60" spans="1:31" ht="17.45" hidden="1" customHeight="1">
      <c r="A60" s="684">
        <v>32</v>
      </c>
      <c r="B60" s="975">
        <f>'CG. MPA'!B60*100</f>
        <v>0</v>
      </c>
      <c r="C60" s="68">
        <f>'ELEM. MECA.'!S37</f>
        <v>0</v>
      </c>
      <c r="D60" s="38">
        <f>IF('CG. MPA'!D60="NO CONFINADO",0.3,0.6)</f>
        <v>0.6</v>
      </c>
      <c r="E60" s="68">
        <v>0.6</v>
      </c>
      <c r="F60" s="38">
        <f>IF('CG. MPA'!E60="CONCRETO",G60,'RMCV.PA'!H60+'RMCV.PA'!I60+'RMCV.PA'!J60+K60+L60)</f>
        <v>0</v>
      </c>
      <c r="G60" s="542">
        <f>IF('CG. MPA'!E60="CONCRETO",0.6*$G$24,0)</f>
        <v>0</v>
      </c>
      <c r="H60" s="38">
        <f>IF(AND('CG. MPA'!E60="TABIQUE",'CG. MPA'!F60="MACIZO"),15,0)</f>
        <v>0</v>
      </c>
      <c r="I60" s="38">
        <f>IF(AND('CG. MPA'!E60="TABIQUE",'CG. MPA'!F60="HUECO"),IF(E52="III",30,40),0)</f>
        <v>0</v>
      </c>
      <c r="J60" s="575">
        <f>IF('CG. MPA'!E60="TABICON",IF(E48="I",20,15),0)</f>
        <v>0</v>
      </c>
      <c r="K60" s="575">
        <f>IF('CG. MPA'!E60="ADOBE",10,0)</f>
        <v>0</v>
      </c>
      <c r="L60" s="575">
        <f>IF('CG. MPA'!E60="LIGERO",10,0)</f>
        <v>0</v>
      </c>
      <c r="M60" s="576">
        <f t="shared" si="11"/>
        <v>0</v>
      </c>
      <c r="N60" s="918">
        <f>ABS('ELEM. MECA.'!M37)</f>
        <v>0</v>
      </c>
      <c r="O60" s="919">
        <f>IF(AND('CG. MPA'!E60="TABIQUE",'CG. MPA'!F60="HUECO"),V60,IF(AND('CG. MPA'!D60="CONFINADO",'CG. MPA'!E60="TABIQUE",'CG. MPA'!F60="MACIZO"),'RMCV.PA'!W60,IF(AND('CG. MPA'!D60="CONFINADO",'CG. MPA'!E60="TABICON",'CG. MPA'!F60="MACIZO"),'RMCV.PA'!W60,IF(AND('CG. MPA'!D60="CONFINADO",'CG. MPA'!E60="LIGERO",'CG. MPA'!F60="MACIZO"),'RMCV.PA'!W60,IF(AND('CG. MPA'!D60="NO CONFINADO",'CG. MPA'!E60="TABIQUE",'CG. MPA'!F60="MACIZO"),X60,IF(AND('CG. MPA'!D60="NO CONFINADO",'CG. MPA'!E60="TABICON",'CG. MPA'!F60="MACIZO"),X60,IF(AND('CG. MPA'!D60="NO CONFINADO",'CG. MPA'!E60="LIGERO",'CG. MPA'!F60="MACIZO"),X60,IF('CG. MPA'!E60="ADOBE",'RMCV.PA'!Y60,Z60))))))))</f>
        <v>0</v>
      </c>
      <c r="P60" s="685" t="str">
        <f t="shared" si="12"/>
        <v>PASA</v>
      </c>
      <c r="Q60" s="88" t="e">
        <f>IF(D60*E60*(F60*M60+'CASTILLOS-PA'!W60*FY)&gt;1.25*D60*E60*F60*M60,1.25*D60*E60*F60*M60,D60*E60*(F60*M60+'CASTILLOS-PA'!W60*FY))</f>
        <v>#DIV/0!</v>
      </c>
      <c r="R60" s="88">
        <f>D60*E60*(F60*M60+'CASTILLOS-PA'!G60*FY*2)</f>
        <v>8588.16</v>
      </c>
      <c r="S60" s="88">
        <f t="shared" si="1"/>
        <v>0</v>
      </c>
      <c r="T60" s="88">
        <f t="shared" si="2"/>
        <v>0</v>
      </c>
      <c r="U60" s="536">
        <f>D60*(0.7*$G$24*(B60*C60)+2000*'MUR.CONC-PA'!K60)</f>
        <v>0</v>
      </c>
      <c r="V60" s="544">
        <f>IF(AND('CG. MPA'!E60="TABIQUE",'CG. MPA'!F60="HUECO"),Q60,0)</f>
        <v>0</v>
      </c>
      <c r="W60" s="544">
        <f>IF(AND('CG. MPA'!D60="CONFINADO",'CG. MPA'!E60="TABIQUE",'CG. MPA'!F60="MACIZO"),'RMCV.PA'!R60,IF(AND('CG. MPA'!D60="CONFINADO",'CG. MPA'!E60="TABICON",'CG. MPA'!F60="MACIZO"),'RMCV.PA'!R60,IF(AND('CG. MPA'!D60="CONFINADO",'CG. MPA'!E60="LIGERO",'CG. MPA'!F60="MACIZO"),'RMCV.PA'!R60,0)))</f>
        <v>0</v>
      </c>
      <c r="X60" s="544">
        <f>IF(AND('CG. MPA'!D60="NO CONFINADO",'CG. MPA'!E60="TABIQUE",'CG. MPA'!F60="MACIZO"),S60,IF(AND('CG. MPA'!D60="NO CONFINADO",'CG. MPA'!E60="TABICON",'CG. MPA'!F60="MACIZO"),S60,IF(AND('CG. MPA'!D60="NO CONFINADO",'CG. MPA'!E60="LIGERO",'CG. MPA'!F60="MACIZO"),S60,0)))</f>
        <v>0</v>
      </c>
      <c r="Y60" s="544">
        <f>IF('CG. MPA'!E60="ADOBE",'RMCV.PA'!T60,0)</f>
        <v>0</v>
      </c>
      <c r="Z60" s="544">
        <f>IF('CG. MPA'!E60="CONCRETO",'RMCV.PA'!U60,0)</f>
        <v>0</v>
      </c>
      <c r="AA60" s="93">
        <f t="shared" si="9"/>
        <v>0</v>
      </c>
      <c r="AB60" s="428">
        <v>0.8</v>
      </c>
      <c r="AC60" s="4" t="e">
        <f>(1-2*AA60/C60)*(1-(AB60*'CG. MPA'!C60*10/(30*C60))^2)</f>
        <v>#DIV/0!</v>
      </c>
      <c r="AD60" s="350" t="e">
        <f>(1-(2*AA60/C60))*(1-(AB60*'CG. MPA'!C60*10/(30*C60))^2)*(1-('CG. MPA'!C60*10/B60))+('CG. MPA'!C60*10/B60)</f>
        <v>#DIV/0!</v>
      </c>
      <c r="AE60" s="429" t="e">
        <f t="shared" si="10"/>
        <v>#DIV/0!</v>
      </c>
    </row>
    <row r="61" spans="1:31" ht="17.45" hidden="1" customHeight="1">
      <c r="A61" s="684">
        <f>'CG. MPA'!A61</f>
        <v>33</v>
      </c>
      <c r="B61" s="975">
        <f>'CG. MPA'!B61*100</f>
        <v>0</v>
      </c>
      <c r="C61" s="68">
        <f>'ELEM. MECA.'!S38</f>
        <v>0</v>
      </c>
      <c r="D61" s="38">
        <f>IF('CG. MPA'!D61="NO CONFINADO",0.3,0.6)</f>
        <v>0.6</v>
      </c>
      <c r="E61" s="68">
        <v>0.6</v>
      </c>
      <c r="F61" s="38">
        <f>IF('CG. MPA'!E61="CONCRETO",G61,'RMCV.PA'!H61+'RMCV.PA'!I61+'RMCV.PA'!J61+K61+L61)</f>
        <v>0</v>
      </c>
      <c r="G61" s="542">
        <f>IF('CG. MPA'!E61="CONCRETO",0.6*$G$24,0)</f>
        <v>0</v>
      </c>
      <c r="H61" s="38">
        <f>IF(AND('CG. MPA'!E61="TABIQUE",'CG. MPA'!F61="MACIZO"),15,0)</f>
        <v>0</v>
      </c>
      <c r="I61" s="38">
        <f>IF(AND('CG. MPA'!E61="TABIQUE",'CG. MPA'!F61="HUECO"),IF(E42="III",30,40),0)</f>
        <v>0</v>
      </c>
      <c r="J61" s="575">
        <f>IF('CG. MPA'!E61="TABICON",IF(E38="I",20,15),0)</f>
        <v>0</v>
      </c>
      <c r="K61" s="575">
        <f>IF('CG. MPA'!E61="ADOBE",10,0)</f>
        <v>0</v>
      </c>
      <c r="L61" s="575">
        <f>IF('CG. MPA'!E61="LIGERO",10,0)</f>
        <v>0</v>
      </c>
      <c r="M61" s="576">
        <f t="shared" si="4"/>
        <v>0</v>
      </c>
      <c r="N61" s="918">
        <f>ABS('ELEM. MECA.'!M38)</f>
        <v>0</v>
      </c>
      <c r="O61" s="919">
        <f>IF(AND('CG. MPA'!E50="TABIQUE",'CG. MPA'!F50="HUECO"),V61,IF(AND('CG. MPA'!D50="CONFINADO",'CG. MPA'!E50="TABIQUE",'CG. MPA'!F50="MACIZO"),'RMCV.PA'!W61,IF(AND('CG. MPA'!D50="CONFINADO",'CG. MPA'!E50="TABICON",'CG. MPA'!F50="MACIZO"),'RMCV.PA'!W61,IF(AND('CG. MPA'!D50="CONFINADO",'CG. MPA'!E50="LIGERO",'CG. MPA'!F50="MACIZO"),'RMCV.PA'!W61,IF(AND('CG. MPA'!D50="NO CONFINADO",'CG. MPA'!E50="TABIQUE",'CG. MPA'!F50="MACIZO"),X61,IF(AND('CG. MPA'!D50="NO CONFINADO",'CG. MPA'!E50="TABICON",'CG. MPA'!F50="MACIZO"),X61,IF(AND('CG. MPA'!D50="NO CONFINADO",'CG. MPA'!E50="LIGERO",'CG. MPA'!F50="MACIZO"),X61,IF('CG. MPA'!E50="ADOBE",'RMCV.PA'!Y61,Z61))))))))</f>
        <v>0</v>
      </c>
      <c r="P61" s="685" t="str">
        <f t="shared" si="0"/>
        <v>PASA</v>
      </c>
      <c r="Q61" s="88" t="e">
        <f>IF(D61*E61*(F61*M61+'CASTILLOS-PA'!W61*FY)&gt;1.25*D61*E61*F61*M61,1.25*D61*E61*F61*M61,D61*E61*(F61*M61+'CASTILLOS-PA'!W61*FY))</f>
        <v>#DIV/0!</v>
      </c>
      <c r="R61" s="88">
        <f>D61*E61*(F61*M61+'CASTILLOS-PA'!G61*FY*2)</f>
        <v>8588.16</v>
      </c>
      <c r="S61" s="88">
        <f t="shared" si="1"/>
        <v>0</v>
      </c>
      <c r="T61" s="88">
        <f t="shared" si="2"/>
        <v>0</v>
      </c>
      <c r="U61" s="536">
        <f>D61*(0.7*$G$24*(B61*C61)+2000*'MUR.CONC-PA'!K61)</f>
        <v>0</v>
      </c>
      <c r="V61" s="544">
        <f>IF(AND('CG. MPA'!E61="TABIQUE",'CG. MPA'!F61="HUECO"),Q61,0)</f>
        <v>0</v>
      </c>
      <c r="W61" s="544">
        <f>IF(AND('CG. MPA'!D61="CONFINADO",'CG. MPA'!E61="TABIQUE",'CG. MPA'!F61="MACIZO"),'RMCV.PA'!R61,IF(AND('CG. MPA'!D61="CONFINADO",'CG. MPA'!E61="TABICON",'CG. MPA'!F61="MACIZO"),'RMCV.PA'!R61,IF(AND('CG. MPA'!D61="CONFINADO",'CG. MPA'!E61="LIGERO",'CG. MPA'!F61="MACIZO"),'RMCV.PA'!R61,0)))</f>
        <v>0</v>
      </c>
      <c r="X61" s="544">
        <f>IF(AND('CG. MPA'!D61="NO CONFINADO",'CG. MPA'!E61="TABIQUE",'CG. MPA'!F61="MACIZO"),S61,IF(AND('CG. MPA'!D61="NO CONFINADO",'CG. MPA'!E61="TABICON",'CG. MPA'!F61="MACIZO"),S61,IF(AND('CG. MPA'!D61="NO CONFINADO",'CG. MPA'!E61="LIGERO",'CG. MPA'!F61="MACIZO"),S61,0)))</f>
        <v>0</v>
      </c>
      <c r="Y61" s="544">
        <f>IF('CG. MPA'!E61="ADOBE",'RMCV.PA'!T61,0)</f>
        <v>0</v>
      </c>
      <c r="Z61" s="544">
        <f>IF('CG. MPA'!E50="CONCRETO",'RMCV.PA'!U61,0)</f>
        <v>0</v>
      </c>
      <c r="AA61" s="93">
        <f t="shared" si="3"/>
        <v>0</v>
      </c>
      <c r="AB61" s="428">
        <v>0.8</v>
      </c>
      <c r="AC61" s="4" t="e">
        <f>(1-2*AA61/C61)*(1-(AB61*'CG. MPA'!C61*10/(30*C61))^2)</f>
        <v>#DIV/0!</v>
      </c>
      <c r="AD61" s="350" t="e">
        <f>(1-(2*AA61/C61))*(1-(AB61*'CG. MPA'!C61*10/(30*C61))^2)*(1-('CG. MPA'!C61*10/B61))+('CG. MPA'!C61*10/B61)</f>
        <v>#DIV/0!</v>
      </c>
      <c r="AE61" s="429" t="e">
        <f t="shared" si="6"/>
        <v>#DIV/0!</v>
      </c>
    </row>
    <row r="62" spans="1:31" ht="17.45" hidden="1" customHeight="1">
      <c r="A62" s="684">
        <f>'CG. MPA'!A62</f>
        <v>34</v>
      </c>
      <c r="B62" s="975">
        <f>'CG. MPA'!B62*100</f>
        <v>0</v>
      </c>
      <c r="C62" s="68">
        <f>'ELEM. MECA.'!S39</f>
        <v>0</v>
      </c>
      <c r="D62" s="38">
        <f>IF('CG. MPA'!D62="NO CONFINADO",0.3,0.6)</f>
        <v>0.6</v>
      </c>
      <c r="E62" s="68">
        <v>0.6</v>
      </c>
      <c r="F62" s="38">
        <f>IF('CG. MPA'!E62="CONCRETO",G62,'RMCV.PA'!H62+'RMCV.PA'!I62+'RMCV.PA'!J62+K62+L62)</f>
        <v>0</v>
      </c>
      <c r="G62" s="542">
        <f>IF('CG. MPA'!E62="CONCRETO",0.6*$G$24,0)</f>
        <v>0</v>
      </c>
      <c r="H62" s="38">
        <f>IF(AND('CG. MPA'!E62="TABIQUE",'CG. MPA'!F62="MACIZO"),15,0)</f>
        <v>0</v>
      </c>
      <c r="I62" s="38">
        <f>IF(AND('CG. MPA'!E62="TABIQUE",'CG. MPA'!F62="HUECO"),IF(E43="III",30,40),0)</f>
        <v>0</v>
      </c>
      <c r="J62" s="575">
        <f>IF('CG. MPA'!E62="TABICON",IF(E39="I",20,15),0)</f>
        <v>0</v>
      </c>
      <c r="K62" s="575">
        <f>IF('CG. MPA'!E62="ADOBE",10,0)</f>
        <v>0</v>
      </c>
      <c r="L62" s="575">
        <f>IF('CG. MPA'!E62="LIGERO",10,0)</f>
        <v>0</v>
      </c>
      <c r="M62" s="576">
        <f t="shared" si="4"/>
        <v>0</v>
      </c>
      <c r="N62" s="918">
        <f>ABS('ELEM. MECA.'!M39)</f>
        <v>0</v>
      </c>
      <c r="O62" s="919">
        <f>IF(AND('CG. MPA'!E51="TABIQUE",'CG. MPA'!F51="HUECO"),V62,IF(AND('CG. MPA'!D51="CONFINADO",'CG. MPA'!E51="TABIQUE",'CG. MPA'!F51="MACIZO"),'RMCV.PA'!W62,IF(AND('CG. MPA'!D51="CONFINADO",'CG. MPA'!E51="TABICON",'CG. MPA'!F51="MACIZO"),'RMCV.PA'!W62,IF(AND('CG. MPA'!D51="CONFINADO",'CG. MPA'!E51="LIGERO",'CG. MPA'!F51="MACIZO"),'RMCV.PA'!W62,IF(AND('CG. MPA'!D51="NO CONFINADO",'CG. MPA'!E51="TABIQUE",'CG. MPA'!F51="MACIZO"),X62,IF(AND('CG. MPA'!D51="NO CONFINADO",'CG. MPA'!E51="TABICON",'CG. MPA'!F51="MACIZO"),X62,IF(AND('CG. MPA'!D51="NO CONFINADO",'CG. MPA'!E51="LIGERO",'CG. MPA'!F51="MACIZO"),X62,IF('CG. MPA'!E51="ADOBE",'RMCV.PA'!Y62,Z62))))))))</f>
        <v>0</v>
      </c>
      <c r="P62" s="685" t="str">
        <f t="shared" si="0"/>
        <v>PASA</v>
      </c>
      <c r="Q62" s="88" t="e">
        <f>IF(D62*E62*(F62*M62+'CASTILLOS-PA'!W62*FY)&gt;1.25*D62*E62*F62*M62,1.25*D62*E62*F62*M62,D62*E62*(F62*M62+'CASTILLOS-PA'!W62*FY))</f>
        <v>#DIV/0!</v>
      </c>
      <c r="R62" s="88">
        <f>D62*E62*(F62*M62+'CASTILLOS-PA'!G62*FY*2)</f>
        <v>8588.16</v>
      </c>
      <c r="S62" s="88">
        <f t="shared" si="1"/>
        <v>0</v>
      </c>
      <c r="T62" s="88">
        <f t="shared" si="2"/>
        <v>0</v>
      </c>
      <c r="U62" s="536">
        <f>D62*(0.7*$G$24*(B62*C62)+2000*'MUR.CONC-PA'!K62)</f>
        <v>0</v>
      </c>
      <c r="V62" s="544">
        <f>IF(AND('CG. MPA'!E62="TABIQUE",'CG. MPA'!F62="HUECO"),Q62,0)</f>
        <v>0</v>
      </c>
      <c r="W62" s="544">
        <f>IF(AND('CG. MPA'!D62="CONFINADO",'CG. MPA'!E62="TABIQUE",'CG. MPA'!F62="MACIZO"),'RMCV.PA'!R62,IF(AND('CG. MPA'!D62="CONFINADO",'CG. MPA'!E62="TABICON",'CG. MPA'!F62="MACIZO"),'RMCV.PA'!R62,IF(AND('CG. MPA'!D62="CONFINADO",'CG. MPA'!E62="LIGERO",'CG. MPA'!F62="MACIZO"),'RMCV.PA'!R62,0)))</f>
        <v>0</v>
      </c>
      <c r="X62" s="544">
        <f>IF(AND('CG. MPA'!D62="NO CONFINADO",'CG. MPA'!E62="TABIQUE",'CG. MPA'!F62="MACIZO"),S62,IF(AND('CG. MPA'!D62="NO CONFINADO",'CG. MPA'!E62="TABICON",'CG. MPA'!F62="MACIZO"),S62,IF(AND('CG. MPA'!D62="NO CONFINADO",'CG. MPA'!E62="LIGERO",'CG. MPA'!F62="MACIZO"),S62,0)))</f>
        <v>0</v>
      </c>
      <c r="Y62" s="544">
        <f>IF('CG. MPA'!E62="ADOBE",'RMCV.PA'!T62,0)</f>
        <v>0</v>
      </c>
      <c r="Z62" s="544">
        <f>IF('CG. MPA'!E51="CONCRETO",'RMCV.PA'!U62,0)</f>
        <v>0</v>
      </c>
      <c r="AA62" s="93">
        <f t="shared" si="3"/>
        <v>0</v>
      </c>
      <c r="AB62" s="428">
        <v>0.8</v>
      </c>
      <c r="AC62" s="4" t="e">
        <f>(1-2*AA62/C62)*(1-(AB62*'CG. MPA'!C62*10/(30*C62))^2)</f>
        <v>#DIV/0!</v>
      </c>
      <c r="AD62" s="350" t="e">
        <f>(1-(2*AA62/C62))*(1-(AB62*'CG. MPA'!C62*10/(30*C62))^2)*(1-('CG. MPA'!C62*10/B62))+('CG. MPA'!C62*10/B62)</f>
        <v>#DIV/0!</v>
      </c>
      <c r="AE62" s="429" t="e">
        <f t="shared" si="6"/>
        <v>#DIV/0!</v>
      </c>
    </row>
    <row r="63" spans="1:31" ht="17.45" hidden="1" customHeight="1">
      <c r="A63" s="684">
        <f>'CG. MPA'!A63</f>
        <v>35</v>
      </c>
      <c r="B63" s="975">
        <f>'CG. MPA'!B63*100</f>
        <v>0</v>
      </c>
      <c r="C63" s="68">
        <f>'ELEM. MECA.'!S40</f>
        <v>0</v>
      </c>
      <c r="D63" s="38">
        <f>IF('CG. MPA'!D63="NO CONFINADO",0.3,0.6)</f>
        <v>0.6</v>
      </c>
      <c r="E63" s="68">
        <v>0.6</v>
      </c>
      <c r="F63" s="38">
        <f>IF('CG. MPA'!E63="CONCRETO",G63,'RMCV.PA'!H63+'RMCV.PA'!I63+'RMCV.PA'!J63+K63+L63)</f>
        <v>0</v>
      </c>
      <c r="G63" s="542">
        <f>IF('CG. MPA'!E63="CONCRETO",0.6*$G$24,0)</f>
        <v>0</v>
      </c>
      <c r="H63" s="38">
        <f>IF(AND('CG. MPA'!E63="TABIQUE",'CG. MPA'!F63="MACIZO"),15,0)</f>
        <v>0</v>
      </c>
      <c r="I63" s="38">
        <f>IF(AND('CG. MPA'!E63="TABIQUE",'CG. MPA'!F63="HUECO"),IF(E44="III",30,40),0)</f>
        <v>0</v>
      </c>
      <c r="J63" s="575">
        <f>IF('CG. MPA'!E63="TABICON",IF(E40="I",20,15),0)</f>
        <v>0</v>
      </c>
      <c r="K63" s="575">
        <f>IF('CG. MPA'!E63="ADOBE",10,0)</f>
        <v>0</v>
      </c>
      <c r="L63" s="575">
        <f>IF('CG. MPA'!E63="LIGERO",10,0)</f>
        <v>0</v>
      </c>
      <c r="M63" s="576">
        <f t="shared" si="4"/>
        <v>0</v>
      </c>
      <c r="N63" s="918">
        <f>ABS('ELEM. MECA.'!M40)</f>
        <v>0</v>
      </c>
      <c r="O63" s="919">
        <f>IF(AND('CG. MPA'!E52="TABIQUE",'CG. MPA'!F52="HUECO"),V63,IF(AND('CG. MPA'!D52="CONFINADO",'CG. MPA'!E52="TABIQUE",'CG. MPA'!F52="MACIZO"),'RMCV.PA'!W63,IF(AND('CG. MPA'!D52="CONFINADO",'CG. MPA'!E52="TABICON",'CG. MPA'!F52="MACIZO"),'RMCV.PA'!W63,IF(AND('CG. MPA'!D52="CONFINADO",'CG. MPA'!E52="LIGERO",'CG. MPA'!F52="MACIZO"),'RMCV.PA'!W63,IF(AND('CG. MPA'!D52="NO CONFINADO",'CG. MPA'!E52="TABIQUE",'CG. MPA'!F52="MACIZO"),X63,IF(AND('CG. MPA'!D52="NO CONFINADO",'CG. MPA'!E52="TABICON",'CG. MPA'!F52="MACIZO"),X63,IF(AND('CG. MPA'!D52="NO CONFINADO",'CG. MPA'!E52="LIGERO",'CG. MPA'!F52="MACIZO"),X63,IF('CG. MPA'!E52="ADOBE",'RMCV.PA'!Y63,Z63))))))))</f>
        <v>0</v>
      </c>
      <c r="P63" s="685" t="str">
        <f t="shared" si="0"/>
        <v>PASA</v>
      </c>
      <c r="Q63" s="88" t="e">
        <f>IF(D63*E63*(F63*M63+'CASTILLOS-PA'!W63*FY)&gt;1.25*D63*E63*F63*M63,1.25*D63*E63*F63*M63,D63*E63*(F63*M63+'CASTILLOS-PA'!W63*FY))</f>
        <v>#DIV/0!</v>
      </c>
      <c r="R63" s="88">
        <f>D63*E63*(F63*M63+'CASTILLOS-PA'!G63*FY*2)</f>
        <v>8588.16</v>
      </c>
      <c r="S63" s="88">
        <f t="shared" si="1"/>
        <v>0</v>
      </c>
      <c r="T63" s="88">
        <f t="shared" si="2"/>
        <v>0</v>
      </c>
      <c r="U63" s="536">
        <f>D63*(0.7*$G$24*(B63*C63)+2000*'MUR.CONC-PA'!K63)</f>
        <v>0</v>
      </c>
      <c r="V63" s="544">
        <f>IF(AND('CG. MPA'!E63="TABIQUE",'CG. MPA'!F63="HUECO"),Q63,0)</f>
        <v>0</v>
      </c>
      <c r="W63" s="544">
        <f>IF(AND('CG. MPA'!D63="CONFINADO",'CG. MPA'!E63="TABIQUE",'CG. MPA'!F63="MACIZO"),'RMCV.PA'!R63,IF(AND('CG. MPA'!D63="CONFINADO",'CG. MPA'!E63="TABICON",'CG. MPA'!F63="MACIZO"),'RMCV.PA'!R63,IF(AND('CG. MPA'!D63="CONFINADO",'CG. MPA'!E63="LIGERO",'CG. MPA'!F63="MACIZO"),'RMCV.PA'!R63,0)))</f>
        <v>0</v>
      </c>
      <c r="X63" s="544">
        <f>IF(AND('CG. MPA'!D63="NO CONFINADO",'CG. MPA'!E63="TABIQUE",'CG. MPA'!F63="MACIZO"),S63,IF(AND('CG. MPA'!D63="NO CONFINADO",'CG. MPA'!E63="TABICON",'CG. MPA'!F63="MACIZO"),S63,IF(AND('CG. MPA'!D63="NO CONFINADO",'CG. MPA'!E63="LIGERO",'CG. MPA'!F63="MACIZO"),S63,0)))</f>
        <v>0</v>
      </c>
      <c r="Y63" s="544">
        <f>IF('CG. MPA'!E63="ADOBE",'RMCV.PA'!T63,0)</f>
        <v>0</v>
      </c>
      <c r="Z63" s="544">
        <f>IF('CG. MPA'!E52="CONCRETO",'RMCV.PA'!U63,0)</f>
        <v>0</v>
      </c>
      <c r="AA63" s="93">
        <f t="shared" si="3"/>
        <v>0</v>
      </c>
      <c r="AB63" s="428">
        <v>0.8</v>
      </c>
      <c r="AC63" s="4" t="e">
        <f>(1-2*AA63/C63)*(1-(AB63*'CG. MPA'!C63*10/(30*C63))^2)</f>
        <v>#DIV/0!</v>
      </c>
      <c r="AD63" s="350" t="e">
        <f>(1-(2*AA63/C63))*(1-(AB63*'CG. MPA'!C63*10/(30*C63))^2)*(1-('CG. MPA'!C63*10/B63))+('CG. MPA'!C63*10/B63)</f>
        <v>#DIV/0!</v>
      </c>
      <c r="AE63" s="429" t="e">
        <f t="shared" si="6"/>
        <v>#DIV/0!</v>
      </c>
    </row>
    <row r="64" spans="1:31" ht="17.45" hidden="1" customHeight="1">
      <c r="A64" s="684">
        <f>'CG. MPA'!A64</f>
        <v>36</v>
      </c>
      <c r="B64" s="975">
        <f>'CG. MPA'!B64*100</f>
        <v>0</v>
      </c>
      <c r="C64" s="68">
        <f>'ELEM. MECA.'!S41</f>
        <v>0</v>
      </c>
      <c r="D64" s="38">
        <f>IF('CG. MPA'!D64="NO CONFINADO",0.3,0.6)</f>
        <v>0.6</v>
      </c>
      <c r="E64" s="68">
        <v>0.6</v>
      </c>
      <c r="F64" s="38">
        <f>IF('CG. MPA'!E64="CONCRETO",G64,'RMCV.PA'!H64+'RMCV.PA'!I64+'RMCV.PA'!J64+K64+L64)</f>
        <v>0</v>
      </c>
      <c r="G64" s="542">
        <f>IF('CG. MPA'!E64="CONCRETO",0.6*$G$24,0)</f>
        <v>0</v>
      </c>
      <c r="H64" s="38">
        <f>IF(AND('CG. MPA'!E64="TABIQUE",'CG. MPA'!F64="MACIZO"),15,0)</f>
        <v>0</v>
      </c>
      <c r="I64" s="38">
        <f>IF(AND('CG. MPA'!E64="TABIQUE",'CG. MPA'!F64="HUECO"),IF(E45="III",30,40),0)</f>
        <v>0</v>
      </c>
      <c r="J64" s="575">
        <f>IF('CG. MPA'!E64="TABICON",IF(E41="I",20,15),0)</f>
        <v>0</v>
      </c>
      <c r="K64" s="575">
        <f>IF('CG. MPA'!E64="ADOBE",10,0)</f>
        <v>0</v>
      </c>
      <c r="L64" s="575">
        <f>IF('CG. MPA'!E64="LIGERO",10,0)</f>
        <v>0</v>
      </c>
      <c r="M64" s="576">
        <f t="shared" si="4"/>
        <v>0</v>
      </c>
      <c r="N64" s="918">
        <f>ABS('ELEM. MECA.'!M41)</f>
        <v>0</v>
      </c>
      <c r="O64" s="919">
        <f>IF(AND('CG. MPA'!E53="TABIQUE",'CG. MPA'!F53="HUECO"),V64,IF(AND('CG. MPA'!D53="CONFINADO",'CG. MPA'!E53="TABIQUE",'CG. MPA'!F53="MACIZO"),'RMCV.PA'!W64,IF(AND('CG. MPA'!D53="CONFINADO",'CG. MPA'!E53="TABICON",'CG. MPA'!F53="MACIZO"),'RMCV.PA'!W64,IF(AND('CG. MPA'!D53="CONFINADO",'CG. MPA'!E53="LIGERO",'CG. MPA'!F53="MACIZO"),'RMCV.PA'!W64,IF(AND('CG. MPA'!D53="NO CONFINADO",'CG. MPA'!E53="TABIQUE",'CG. MPA'!F53="MACIZO"),X64,IF(AND('CG. MPA'!D53="NO CONFINADO",'CG. MPA'!E53="TABICON",'CG. MPA'!F53="MACIZO"),X64,IF(AND('CG. MPA'!D53="NO CONFINADO",'CG. MPA'!E53="LIGERO",'CG. MPA'!F53="MACIZO"),X64,IF('CG. MPA'!E53="ADOBE",'RMCV.PA'!Y64,Z64))))))))</f>
        <v>0</v>
      </c>
      <c r="P64" s="685" t="str">
        <f t="shared" si="0"/>
        <v>PASA</v>
      </c>
      <c r="Q64" s="88" t="e">
        <f>IF(D64*E64*(F64*M64+'CASTILLOS-PA'!W64*FY)&gt;1.25*D64*E64*F64*M64,1.25*D64*E64*F64*M64,D64*E64*(F64*M64+'CASTILLOS-PA'!W64*FY))</f>
        <v>#DIV/0!</v>
      </c>
      <c r="R64" s="88">
        <f>D64*E64*(F64*M64+'CASTILLOS-PA'!G64*FY*2)</f>
        <v>8588.16</v>
      </c>
      <c r="S64" s="88">
        <f t="shared" si="1"/>
        <v>0</v>
      </c>
      <c r="T64" s="88">
        <f t="shared" si="2"/>
        <v>0</v>
      </c>
      <c r="U64" s="536">
        <f>D64*(0.7*$G$24*(B64*C64)+2000*'MUR.CONC-PA'!K64)</f>
        <v>0</v>
      </c>
      <c r="V64" s="544">
        <f>IF(AND('CG. MPA'!E64="TABIQUE",'CG. MPA'!F64="HUECO"),Q64,0)</f>
        <v>0</v>
      </c>
      <c r="W64" s="544">
        <f>IF(AND('CG. MPA'!D64="CONFINADO",'CG. MPA'!E64="TABIQUE",'CG. MPA'!F64="MACIZO"),'RMCV.PA'!R64,IF(AND('CG. MPA'!D64="CONFINADO",'CG. MPA'!E64="TABICON",'CG. MPA'!F64="MACIZO"),'RMCV.PA'!R64,IF(AND('CG. MPA'!D64="CONFINADO",'CG. MPA'!E64="LIGERO",'CG. MPA'!F64="MACIZO"),'RMCV.PA'!R64,0)))</f>
        <v>0</v>
      </c>
      <c r="X64" s="544">
        <f>IF(AND('CG. MPA'!D64="NO CONFINADO",'CG. MPA'!E64="TABIQUE",'CG. MPA'!F64="MACIZO"),S64,IF(AND('CG. MPA'!D64="NO CONFINADO",'CG. MPA'!E64="TABICON",'CG. MPA'!F64="MACIZO"),S64,IF(AND('CG. MPA'!D64="NO CONFINADO",'CG. MPA'!E64="LIGERO",'CG. MPA'!F64="MACIZO"),S64,0)))</f>
        <v>0</v>
      </c>
      <c r="Y64" s="544">
        <f>IF('CG. MPA'!E64="ADOBE",'RMCV.PA'!T64,0)</f>
        <v>0</v>
      </c>
      <c r="Z64" s="544">
        <f>IF('CG. MPA'!E53="CONCRETO",'RMCV.PA'!U64,0)</f>
        <v>0</v>
      </c>
      <c r="AA64" s="93">
        <f t="shared" si="3"/>
        <v>0</v>
      </c>
      <c r="AB64" s="428">
        <v>0.8</v>
      </c>
      <c r="AC64" s="4" t="e">
        <f>(1-2*AA64/C64)*(1-(AB64*'CG. MPA'!C64*10/(30*C64))^2)</f>
        <v>#DIV/0!</v>
      </c>
      <c r="AD64" s="350" t="e">
        <f>(1-(2*AA64/C64))*(1-(AB64*'CG. MPA'!C64*10/(30*C64))^2)*(1-('CG. MPA'!C64*10/B64))+('CG. MPA'!C64*10/B64)</f>
        <v>#DIV/0!</v>
      </c>
      <c r="AE64" s="429" t="e">
        <f t="shared" si="6"/>
        <v>#DIV/0!</v>
      </c>
    </row>
    <row r="65" spans="1:31" ht="17.45" hidden="1" customHeight="1">
      <c r="A65" s="684">
        <f>'CG. MPA'!A65</f>
        <v>37</v>
      </c>
      <c r="B65" s="975">
        <f>'CG. MPA'!B65*100</f>
        <v>0</v>
      </c>
      <c r="C65" s="68">
        <f>'ELEM. MECA.'!S42</f>
        <v>0</v>
      </c>
      <c r="D65" s="38">
        <f>IF('CG. MPA'!D65="NO CONFINADO",0.3,0.6)</f>
        <v>0.6</v>
      </c>
      <c r="E65" s="68">
        <v>0.6</v>
      </c>
      <c r="F65" s="38">
        <f>IF('CG. MPA'!E65="CONCRETO",G65,'RMCV.PA'!H65+'RMCV.PA'!I65+'RMCV.PA'!J65+K65+L65)</f>
        <v>0</v>
      </c>
      <c r="G65" s="542">
        <f>IF('CG. MPA'!E65="CONCRETO",0.6*$G$24,0)</f>
        <v>0</v>
      </c>
      <c r="H65" s="38">
        <f>IF(AND('CG. MPA'!E65="TABIQUE",'CG. MPA'!F65="MACIZO"),15,0)</f>
        <v>0</v>
      </c>
      <c r="I65" s="38">
        <f>IF(AND('CG. MPA'!E65="TABIQUE",'CG. MPA'!F65="HUECO"),IF(#REF!="III",30,40),0)</f>
        <v>0</v>
      </c>
      <c r="J65" s="575">
        <f>IF('CG. MPA'!E65="TABICON",IF(E42="I",20,15),0)</f>
        <v>0</v>
      </c>
      <c r="K65" s="575">
        <f>IF('CG. MPA'!E65="ADOBE",10,0)</f>
        <v>0</v>
      </c>
      <c r="L65" s="575">
        <f>IF('CG. MPA'!E65="LIGERO",10,0)</f>
        <v>0</v>
      </c>
      <c r="M65" s="576">
        <f t="shared" si="4"/>
        <v>0</v>
      </c>
      <c r="N65" s="918">
        <f>ABS('ELEM. MECA.'!M42)</f>
        <v>0</v>
      </c>
      <c r="O65" s="919">
        <f>IF(AND('CG. MPA'!E54="TABIQUE",'CG. MPA'!F54="HUECO"),V65,IF(AND('CG. MPA'!D54="CONFINADO",'CG. MPA'!E54="TABIQUE",'CG. MPA'!F54="MACIZO"),'RMCV.PA'!W65,IF(AND('CG. MPA'!D54="CONFINADO",'CG. MPA'!E54="TABICON",'CG. MPA'!F54="MACIZO"),'RMCV.PA'!W65,IF(AND('CG. MPA'!D54="CONFINADO",'CG. MPA'!E54="LIGERO",'CG. MPA'!F54="MACIZO"),'RMCV.PA'!W65,IF(AND('CG. MPA'!D54="NO CONFINADO",'CG. MPA'!E54="TABIQUE",'CG. MPA'!F54="MACIZO"),X65,IF(AND('CG. MPA'!D54="NO CONFINADO",'CG. MPA'!E54="TABICON",'CG. MPA'!F54="MACIZO"),X65,IF(AND('CG. MPA'!D54="NO CONFINADO",'CG. MPA'!E54="LIGERO",'CG. MPA'!F54="MACIZO"),X65,IF('CG. MPA'!E54="ADOBE",'RMCV.PA'!Y65,Z65))))))))</f>
        <v>0</v>
      </c>
      <c r="P65" s="685" t="str">
        <f t="shared" si="0"/>
        <v>PASA</v>
      </c>
      <c r="Q65" s="88" t="e">
        <f>IF(D65*E65*(F65*M65+'CASTILLOS-PA'!W65*FY)&gt;1.25*D65*E65*F65*M65,1.25*D65*E65*F65*M65,D65*E65*(F65*M65+'CASTILLOS-PA'!W65*FY))</f>
        <v>#DIV/0!</v>
      </c>
      <c r="R65" s="88">
        <f>D65*E65*(F65*M65+'CASTILLOS-PA'!G65*FY*2)</f>
        <v>8588.16</v>
      </c>
      <c r="S65" s="88">
        <f t="shared" si="1"/>
        <v>0</v>
      </c>
      <c r="T65" s="88">
        <f t="shared" si="2"/>
        <v>0</v>
      </c>
      <c r="U65" s="536">
        <f>D65*(0.7*$G$24*(B65*C65)+2000*'MUR.CONC-PA'!K65)</f>
        <v>0</v>
      </c>
      <c r="V65" s="544">
        <f>IF(AND('CG. MPA'!E65="TABIQUE",'CG. MPA'!F65="HUECO"),Q65,0)</f>
        <v>0</v>
      </c>
      <c r="W65" s="544">
        <f>IF(AND('CG. MPA'!D65="CONFINADO",'CG. MPA'!E65="TABIQUE",'CG. MPA'!F65="MACIZO"),'RMCV.PA'!R65,IF(AND('CG. MPA'!D65="CONFINADO",'CG. MPA'!E65="TABICON",'CG. MPA'!F65="MACIZO"),'RMCV.PA'!R65,IF(AND('CG. MPA'!D65="CONFINADO",'CG. MPA'!E65="LIGERO",'CG. MPA'!F65="MACIZO"),'RMCV.PA'!R65,0)))</f>
        <v>0</v>
      </c>
      <c r="X65" s="544">
        <f>IF(AND('CG. MPA'!D65="NO CONFINADO",'CG. MPA'!E65="TABIQUE",'CG. MPA'!F65="MACIZO"),S65,IF(AND('CG. MPA'!D65="NO CONFINADO",'CG. MPA'!E65="TABICON",'CG. MPA'!F65="MACIZO"),S65,IF(AND('CG. MPA'!D65="NO CONFINADO",'CG. MPA'!E65="LIGERO",'CG. MPA'!F65="MACIZO"),S65,0)))</f>
        <v>0</v>
      </c>
      <c r="Y65" s="544">
        <f>IF('CG. MPA'!E65="ADOBE",'RMCV.PA'!T65,0)</f>
        <v>0</v>
      </c>
      <c r="Z65" s="544">
        <f>IF('CG. MPA'!E54="CONCRETO",'RMCV.PA'!U65,0)</f>
        <v>0</v>
      </c>
      <c r="AA65" s="93">
        <f t="shared" si="3"/>
        <v>0</v>
      </c>
      <c r="AB65" s="428">
        <v>0.8</v>
      </c>
      <c r="AC65" s="4" t="e">
        <f>(1-2*AA65/C65)*(1-(AB65*'CG. MPA'!C65*10/(30*C65))^2)</f>
        <v>#DIV/0!</v>
      </c>
      <c r="AD65" s="350" t="e">
        <f>(1-(2*AA65/C65))*(1-(AB65*'CG. MPA'!C65*10/(30*C65))^2)*(1-('CG. MPA'!C65*10/B65))+('CG. MPA'!C65*10/B65)</f>
        <v>#DIV/0!</v>
      </c>
      <c r="AE65" s="429" t="e">
        <f t="shared" si="6"/>
        <v>#DIV/0!</v>
      </c>
    </row>
    <row r="66" spans="1:31" ht="17.45" hidden="1" customHeight="1">
      <c r="A66" s="684">
        <f>'CG. MPA'!A66</f>
        <v>38</v>
      </c>
      <c r="B66" s="975">
        <f>'CG. MPA'!B66*100</f>
        <v>0</v>
      </c>
      <c r="C66" s="68">
        <f>'ELEM. MECA.'!S43</f>
        <v>0</v>
      </c>
      <c r="D66" s="38">
        <f>IF('CG. MPA'!D66="NO CONFINADO",0.3,0.6)</f>
        <v>0.6</v>
      </c>
      <c r="E66" s="68">
        <v>0.6</v>
      </c>
      <c r="F66" s="38">
        <f>IF('CG. MPA'!E66="CONCRETO",G66,'RMCV.PA'!H66+'RMCV.PA'!I66+'RMCV.PA'!J66+K66+L66)</f>
        <v>0</v>
      </c>
      <c r="G66" s="542">
        <f>IF('CG. MPA'!E66="CONCRETO",0.6*$G$24,0)</f>
        <v>0</v>
      </c>
      <c r="H66" s="38">
        <f>IF(AND('CG. MPA'!E66="TABIQUE",'CG. MPA'!F66="MACIZO"),15,0)</f>
        <v>0</v>
      </c>
      <c r="I66" s="38">
        <f>IF(AND('CG. MPA'!E66="TABIQUE",'CG. MPA'!F66="HUECO"),IF(#REF!="III",30,40),0)</f>
        <v>0</v>
      </c>
      <c r="J66" s="575">
        <f>IF('CG. MPA'!E66="TABICON",IF(E43="I",20,15),0)</f>
        <v>0</v>
      </c>
      <c r="K66" s="575">
        <f>IF('CG. MPA'!E66="ADOBE",10,0)</f>
        <v>0</v>
      </c>
      <c r="L66" s="575">
        <f>IF('CG. MPA'!E66="LIGERO",10,0)</f>
        <v>0</v>
      </c>
      <c r="M66" s="576">
        <f t="shared" si="4"/>
        <v>0</v>
      </c>
      <c r="N66" s="918">
        <f>ABS('ELEM. MECA.'!M43)</f>
        <v>0</v>
      </c>
      <c r="O66" s="919">
        <f>IF(AND('CG. MPA'!E55="TABIQUE",'CG. MPA'!F55="HUECO"),V66,IF(AND('CG. MPA'!D55="CONFINADO",'CG. MPA'!E55="TABIQUE",'CG. MPA'!F55="MACIZO"),'RMCV.PA'!W66,IF(AND('CG. MPA'!D55="CONFINADO",'CG. MPA'!E55="TABICON",'CG. MPA'!F55="MACIZO"),'RMCV.PA'!W66,IF(AND('CG. MPA'!D55="CONFINADO",'CG. MPA'!E55="LIGERO",'CG. MPA'!F55="MACIZO"),'RMCV.PA'!W66,IF(AND('CG. MPA'!D55="NO CONFINADO",'CG. MPA'!E55="TABIQUE",'CG. MPA'!F55="MACIZO"),X66,IF(AND('CG. MPA'!D55="NO CONFINADO",'CG. MPA'!E55="TABICON",'CG. MPA'!F55="MACIZO"),X66,IF(AND('CG. MPA'!D55="NO CONFINADO",'CG. MPA'!E55="LIGERO",'CG. MPA'!F55="MACIZO"),X66,IF('CG. MPA'!E55="ADOBE",'RMCV.PA'!Y66,Z66))))))))</f>
        <v>0</v>
      </c>
      <c r="P66" s="685" t="str">
        <f t="shared" si="0"/>
        <v>PASA</v>
      </c>
      <c r="Q66" s="88" t="e">
        <f>IF(D66*E66*(F66*M66+'CASTILLOS-PA'!W66*FY)&gt;1.25*D66*E66*F66*M66,1.25*D66*E66*F66*M66,D66*E66*(F66*M66+'CASTILLOS-PA'!W66*FY))</f>
        <v>#DIV/0!</v>
      </c>
      <c r="R66" s="88">
        <f>D66*E66*(F66*M66+'CASTILLOS-PA'!G66*FY*2)</f>
        <v>8588.16</v>
      </c>
      <c r="S66" s="88">
        <f t="shared" si="1"/>
        <v>0</v>
      </c>
      <c r="T66" s="88">
        <f t="shared" si="2"/>
        <v>0</v>
      </c>
      <c r="U66" s="536">
        <f>D66*(0.7*$G$24*(B66*C66)+2000*'MUR.CONC-PA'!K66)</f>
        <v>0</v>
      </c>
      <c r="V66" s="544">
        <f>IF(AND('CG. MPA'!E66="TABIQUE",'CG. MPA'!F66="HUECO"),Q66,0)</f>
        <v>0</v>
      </c>
      <c r="W66" s="544">
        <f>IF(AND('CG. MPA'!D66="CONFINADO",'CG. MPA'!E66="TABIQUE",'CG. MPA'!F66="MACIZO"),'RMCV.PA'!R66,IF(AND('CG. MPA'!D66="CONFINADO",'CG. MPA'!E66="TABICON",'CG. MPA'!F66="MACIZO"),'RMCV.PA'!R66,IF(AND('CG. MPA'!D66="CONFINADO",'CG. MPA'!E66="LIGERO",'CG. MPA'!F66="MACIZO"),'RMCV.PA'!R66,0)))</f>
        <v>0</v>
      </c>
      <c r="X66" s="544">
        <f>IF(AND('CG. MPA'!D66="NO CONFINADO",'CG. MPA'!E66="TABIQUE",'CG. MPA'!F66="MACIZO"),S66,IF(AND('CG. MPA'!D66="NO CONFINADO",'CG. MPA'!E66="TABICON",'CG. MPA'!F66="MACIZO"),S66,IF(AND('CG. MPA'!D66="NO CONFINADO",'CG. MPA'!E66="LIGERO",'CG. MPA'!F66="MACIZO"),S66,0)))</f>
        <v>0</v>
      </c>
      <c r="Y66" s="544">
        <f>IF('CG. MPA'!E66="ADOBE",'RMCV.PA'!T66,0)</f>
        <v>0</v>
      </c>
      <c r="Z66" s="544">
        <f>IF('CG. MPA'!E55="CONCRETO",'RMCV.PA'!U66,0)</f>
        <v>0</v>
      </c>
      <c r="AA66" s="93">
        <f t="shared" si="3"/>
        <v>0</v>
      </c>
      <c r="AB66" s="428">
        <v>0.8</v>
      </c>
      <c r="AC66" s="4" t="e">
        <f>(1-2*AA66/C66)*(1-(AB66*'CG. MPA'!C66*10/(30*C66))^2)</f>
        <v>#DIV/0!</v>
      </c>
      <c r="AD66" s="350" t="e">
        <f>(1-(2*AA66/C66))*(1-(AB66*'CG. MPA'!C66*10/(30*C66))^2)*(1-('CG. MPA'!C66*10/B66))+('CG. MPA'!C66*10/B66)</f>
        <v>#DIV/0!</v>
      </c>
      <c r="AE66" s="429" t="e">
        <f t="shared" si="6"/>
        <v>#DIV/0!</v>
      </c>
    </row>
    <row r="67" spans="1:31" ht="17.45" hidden="1" customHeight="1">
      <c r="A67" s="684">
        <f>'CG. MPA'!A67</f>
        <v>39</v>
      </c>
      <c r="B67" s="975">
        <f>'CG. MPA'!B67*100</f>
        <v>0</v>
      </c>
      <c r="C67" s="68">
        <f>'ELEM. MECA.'!S44</f>
        <v>0</v>
      </c>
      <c r="D67" s="38">
        <f>IF('CG. MPA'!D67="NO CONFINADO",0.3,0.6)</f>
        <v>0.6</v>
      </c>
      <c r="E67" s="68">
        <v>0.6</v>
      </c>
      <c r="F67" s="38">
        <f>IF('CG. MPA'!E67="CONCRETO",G67,'RMCV.PA'!H67+'RMCV.PA'!I67+'RMCV.PA'!J67+K67+L67)</f>
        <v>0</v>
      </c>
      <c r="G67" s="542">
        <f>IF('CG. MPA'!E67="CONCRETO",0.6*$G$24,0)</f>
        <v>0</v>
      </c>
      <c r="H67" s="38">
        <f>IF(AND('CG. MPA'!E67="TABIQUE",'CG. MPA'!F67="MACIZO"),15,0)</f>
        <v>0</v>
      </c>
      <c r="I67" s="38">
        <f>IF(AND('CG. MPA'!E67="TABIQUE",'CG. MPA'!F67="HUECO"),IF(#REF!="III",30,40),0)</f>
        <v>0</v>
      </c>
      <c r="J67" s="575">
        <f>IF('CG. MPA'!E67="TABICON",IF(E44="I",20,15),0)</f>
        <v>0</v>
      </c>
      <c r="K67" s="575">
        <f>IF('CG. MPA'!E67="ADOBE",10,0)</f>
        <v>0</v>
      </c>
      <c r="L67" s="575">
        <f>IF('CG. MPA'!E67="LIGERO",10,0)</f>
        <v>0</v>
      </c>
      <c r="M67" s="576">
        <f t="shared" si="4"/>
        <v>0</v>
      </c>
      <c r="N67" s="918">
        <f>ABS('ELEM. MECA.'!M44)</f>
        <v>0</v>
      </c>
      <c r="O67" s="919">
        <f>IF(AND('CG. MPA'!E56="TABIQUE",'CG. MPA'!F56="HUECO"),V67,IF(AND('CG. MPA'!D56="CONFINADO",'CG. MPA'!E56="TABIQUE",'CG. MPA'!F56="MACIZO"),'RMCV.PA'!W67,IF(AND('CG. MPA'!D56="CONFINADO",'CG. MPA'!E56="TABICON",'CG. MPA'!F56="MACIZO"),'RMCV.PA'!W67,IF(AND('CG. MPA'!D56="CONFINADO",'CG. MPA'!E56="LIGERO",'CG. MPA'!F56="MACIZO"),'RMCV.PA'!W67,IF(AND('CG. MPA'!D56="NO CONFINADO",'CG. MPA'!E56="TABIQUE",'CG. MPA'!F56="MACIZO"),X67,IF(AND('CG. MPA'!D56="NO CONFINADO",'CG. MPA'!E56="TABICON",'CG. MPA'!F56="MACIZO"),X67,IF(AND('CG. MPA'!D56="NO CONFINADO",'CG. MPA'!E56="LIGERO",'CG. MPA'!F56="MACIZO"),X67,IF('CG. MPA'!E56="ADOBE",'RMCV.PA'!Y67,Z67))))))))</f>
        <v>0</v>
      </c>
      <c r="P67" s="685" t="str">
        <f t="shared" si="0"/>
        <v>PASA</v>
      </c>
      <c r="Q67" s="88" t="e">
        <f>IF(D67*E67*(F67*M67+'CASTILLOS-PA'!W67*FY)&gt;1.25*D67*E67*F67*M67,1.25*D67*E67*F67*M67,D67*E67*(F67*M67+'CASTILLOS-PA'!W67*FY))</f>
        <v>#DIV/0!</v>
      </c>
      <c r="R67" s="88">
        <f>D67*E67*(F67*M67+'CASTILLOS-PA'!G67*FY*2)</f>
        <v>8588.16</v>
      </c>
      <c r="S67" s="88">
        <f t="shared" si="1"/>
        <v>0</v>
      </c>
      <c r="T67" s="88">
        <f t="shared" si="2"/>
        <v>0</v>
      </c>
      <c r="U67" s="536">
        <f>D67*(0.7*$G$24*(B67*C67)+2000*'MUR.CONC-PA'!K67)</f>
        <v>0</v>
      </c>
      <c r="V67" s="544">
        <f>IF(AND('CG. MPA'!E67="TABIQUE",'CG. MPA'!F67="HUECO"),Q67,0)</f>
        <v>0</v>
      </c>
      <c r="W67" s="544">
        <f>IF(AND('CG. MPA'!D67="CONFINADO",'CG. MPA'!E67="TABIQUE",'CG. MPA'!F67="MACIZO"),'RMCV.PA'!R67,IF(AND('CG. MPA'!D67="CONFINADO",'CG. MPA'!E67="TABICON",'CG. MPA'!F67="MACIZO"),'RMCV.PA'!R67,IF(AND('CG. MPA'!D67="CONFINADO",'CG. MPA'!E67="LIGERO",'CG. MPA'!F67="MACIZO"),'RMCV.PA'!R67,0)))</f>
        <v>0</v>
      </c>
      <c r="X67" s="544">
        <f>IF(AND('CG. MPA'!D67="NO CONFINADO",'CG. MPA'!E67="TABIQUE",'CG. MPA'!F67="MACIZO"),S67,IF(AND('CG. MPA'!D67="NO CONFINADO",'CG. MPA'!E67="TABICON",'CG. MPA'!F67="MACIZO"),S67,IF(AND('CG. MPA'!D67="NO CONFINADO",'CG. MPA'!E67="LIGERO",'CG. MPA'!F67="MACIZO"),S67,0)))</f>
        <v>0</v>
      </c>
      <c r="Y67" s="544">
        <f>IF('CG. MPA'!E67="ADOBE",'RMCV.PA'!T67,0)</f>
        <v>0</v>
      </c>
      <c r="Z67" s="544">
        <f>IF('CG. MPA'!E56="CONCRETO",'RMCV.PA'!U67,0)</f>
        <v>0</v>
      </c>
      <c r="AA67" s="93">
        <f t="shared" si="3"/>
        <v>0</v>
      </c>
      <c r="AB67" s="428">
        <v>0.8</v>
      </c>
      <c r="AC67" s="4" t="e">
        <f>(1-2*AA67/C67)*(1-(AB67*'CG. MPA'!C67*10/(30*C67))^2)</f>
        <v>#DIV/0!</v>
      </c>
      <c r="AD67" s="350" t="e">
        <f>(1-(2*AA67/C67))*(1-(AB67*'CG. MPA'!C67*10/(30*C67))^2)*(1-('CG. MPA'!C67*10/B67))+('CG. MPA'!C67*10/B67)</f>
        <v>#DIV/0!</v>
      </c>
      <c r="AE67" s="429" t="e">
        <f t="shared" si="6"/>
        <v>#DIV/0!</v>
      </c>
    </row>
    <row r="68" spans="1:31" ht="17.45" hidden="1" customHeight="1">
      <c r="A68" s="684">
        <f>'CG. MPA'!A68</f>
        <v>40</v>
      </c>
      <c r="B68" s="975">
        <f>'CG. MPA'!B68*100</f>
        <v>0</v>
      </c>
      <c r="C68" s="68">
        <f>'ELEM. MECA.'!S45</f>
        <v>0</v>
      </c>
      <c r="D68" s="38">
        <f>IF('CG. MPA'!D68="NO CONFINADO",0.3,0.6)</f>
        <v>0.6</v>
      </c>
      <c r="E68" s="68">
        <v>0.6</v>
      </c>
      <c r="F68" s="38">
        <f>IF('CG. MPA'!E68="CONCRETO",G68,'RMCV.PA'!H68+'RMCV.PA'!I68+'RMCV.PA'!J68+K68+L68)</f>
        <v>0</v>
      </c>
      <c r="G68" s="542">
        <f>IF('CG. MPA'!E68="CONCRETO",0.6*$G$24,0)</f>
        <v>0</v>
      </c>
      <c r="H68" s="38">
        <f>IF(AND('CG. MPA'!E68="TABIQUE",'CG. MPA'!F68="MACIZO"),15,0)</f>
        <v>0</v>
      </c>
      <c r="I68" s="38">
        <f>IF(AND('CG. MPA'!E68="TABIQUE",'CG. MPA'!F68="HUECO"),IF(#REF!="III",30,40),0)</f>
        <v>0</v>
      </c>
      <c r="J68" s="575">
        <f>IF('CG. MPA'!E68="TABICON",IF(E45="I",20,15),0)</f>
        <v>0</v>
      </c>
      <c r="K68" s="575">
        <f>IF('CG. MPA'!E68="ADOBE",10,0)</f>
        <v>0</v>
      </c>
      <c r="L68" s="575">
        <f>IF('CG. MPA'!E68="LIGERO",10,0)</f>
        <v>0</v>
      </c>
      <c r="M68" s="576">
        <f t="shared" si="4"/>
        <v>0</v>
      </c>
      <c r="N68" s="918">
        <f>ABS('ELEM. MECA.'!M45)</f>
        <v>0</v>
      </c>
      <c r="O68" s="919">
        <f>IF(AND('CG. MPA'!E57="TABIQUE",'CG. MPA'!F57="HUECO"),V68,IF(AND('CG. MPA'!D57="CONFINADO",'CG. MPA'!E57="TABIQUE",'CG. MPA'!F57="MACIZO"),'RMCV.PA'!W68,IF(AND('CG. MPA'!D57="CONFINADO",'CG. MPA'!E57="TABICON",'CG. MPA'!F57="MACIZO"),'RMCV.PA'!W68,IF(AND('CG. MPA'!D57="CONFINADO",'CG. MPA'!E57="LIGERO",'CG. MPA'!F57="MACIZO"),'RMCV.PA'!W68,IF(AND('CG. MPA'!D57="NO CONFINADO",'CG. MPA'!E57="TABIQUE",'CG. MPA'!F57="MACIZO"),X68,IF(AND('CG. MPA'!D57="NO CONFINADO",'CG. MPA'!E57="TABICON",'CG. MPA'!F57="MACIZO"),X68,IF(AND('CG. MPA'!D57="NO CONFINADO",'CG. MPA'!E57="LIGERO",'CG. MPA'!F57="MACIZO"),X68,IF('CG. MPA'!E57="ADOBE",'RMCV.PA'!Y68,Z68))))))))</f>
        <v>0</v>
      </c>
      <c r="P68" s="685" t="str">
        <f t="shared" si="0"/>
        <v>PASA</v>
      </c>
      <c r="Q68" s="88" t="e">
        <f>IF(D68*E68*(F68*M68+'CASTILLOS-PA'!W68*FY)&gt;1.25*D68*E68*F68*M68,1.25*D68*E68*F68*M68,D68*E68*(F68*M68+'CASTILLOS-PA'!W68*FY))</f>
        <v>#DIV/0!</v>
      </c>
      <c r="R68" s="88">
        <f>D68*E68*(F68*M68+'CASTILLOS-PA'!G68*FY*2)</f>
        <v>8588.16</v>
      </c>
      <c r="S68" s="88">
        <f t="shared" si="1"/>
        <v>0</v>
      </c>
      <c r="T68" s="88">
        <f t="shared" si="2"/>
        <v>0</v>
      </c>
      <c r="U68" s="536">
        <f>D68*(0.7*$G$24*(B68*C68)+2000*'MUR.CONC-PA'!K68)</f>
        <v>0</v>
      </c>
      <c r="V68" s="544">
        <f>IF(AND('CG. MPA'!E68="TABIQUE",'CG. MPA'!F68="HUECO"),Q68,0)</f>
        <v>0</v>
      </c>
      <c r="W68" s="544">
        <f>IF(AND('CG. MPA'!D68="CONFINADO",'CG. MPA'!E68="TABIQUE",'CG. MPA'!F68="MACIZO"),'RMCV.PA'!R68,IF(AND('CG. MPA'!D68="CONFINADO",'CG. MPA'!E68="TABICON",'CG. MPA'!F68="MACIZO"),'RMCV.PA'!R68,IF(AND('CG. MPA'!D68="CONFINADO",'CG. MPA'!E68="LIGERO",'CG. MPA'!F68="MACIZO"),'RMCV.PA'!R68,0)))</f>
        <v>0</v>
      </c>
      <c r="X68" s="544">
        <f>IF(AND('CG. MPA'!D68="NO CONFINADO",'CG. MPA'!E68="TABIQUE",'CG. MPA'!F68="MACIZO"),S68,IF(AND('CG. MPA'!D68="NO CONFINADO",'CG. MPA'!E68="TABICON",'CG. MPA'!F68="MACIZO"),S68,IF(AND('CG. MPA'!D68="NO CONFINADO",'CG. MPA'!E68="LIGERO",'CG. MPA'!F68="MACIZO"),S68,0)))</f>
        <v>0</v>
      </c>
      <c r="Y68" s="544">
        <f>IF('CG. MPA'!E68="ADOBE",'RMCV.PA'!T68,0)</f>
        <v>0</v>
      </c>
      <c r="Z68" s="544">
        <f>IF('CG. MPA'!E57="CONCRETO",'RMCV.PA'!U68,0)</f>
        <v>0</v>
      </c>
      <c r="AA68" s="93">
        <f t="shared" si="3"/>
        <v>0</v>
      </c>
      <c r="AB68" s="428">
        <v>0.8</v>
      </c>
      <c r="AC68" s="4" t="e">
        <f>(1-2*AA68/C68)*(1-(AB68*'CG. MPA'!C68*10/(30*C68))^2)</f>
        <v>#DIV/0!</v>
      </c>
      <c r="AD68" s="350" t="e">
        <f>(1-(2*AA68/C68))*(1-(AB68*'CG. MPA'!C68*10/(30*C68))^2)*(1-('CG. MPA'!C68*10/B68))+('CG. MPA'!C68*10/B68)</f>
        <v>#DIV/0!</v>
      </c>
      <c r="AE68" s="429" t="e">
        <f t="shared" si="6"/>
        <v>#DIV/0!</v>
      </c>
    </row>
    <row r="69" spans="1:31" ht="17.45" hidden="1" customHeight="1">
      <c r="A69" s="684">
        <f>'CG. MPA'!A69</f>
        <v>41</v>
      </c>
      <c r="B69" s="975">
        <f>'CG. MPA'!B69*100</f>
        <v>0</v>
      </c>
      <c r="C69" s="68">
        <f>'ELEM. MECA.'!S46</f>
        <v>0</v>
      </c>
      <c r="D69" s="38">
        <f>IF('CG. MPA'!D69="NO CONFINADO",0.3,0.6)</f>
        <v>0.6</v>
      </c>
      <c r="E69" s="68">
        <v>0.6</v>
      </c>
      <c r="F69" s="38">
        <f>IF('CG. MPA'!E69="CONCRETO",G69,'RMCV.PA'!H69+'RMCV.PA'!I69+'RMCV.PA'!J69+K69+L69)</f>
        <v>0</v>
      </c>
      <c r="G69" s="542">
        <f>IF('CG. MPA'!E69="CONCRETO",0.6*$G$24,0)</f>
        <v>0</v>
      </c>
      <c r="H69" s="38">
        <f>IF(AND('CG. MPA'!E69="TABIQUE",'CG. MPA'!F69="MACIZO"),15,0)</f>
        <v>0</v>
      </c>
      <c r="I69" s="38">
        <f>IF(AND('CG. MPA'!E69="TABIQUE",'CG. MPA'!F69="HUECO"),IF(#REF!="III",30,40),0)</f>
        <v>0</v>
      </c>
      <c r="J69" s="575">
        <f>IF('CG. MPA'!E69="TABICON",IF(E46="I",20,15),0)</f>
        <v>0</v>
      </c>
      <c r="K69" s="575">
        <f>IF('CG. MPA'!E69="ADOBE",10,0)</f>
        <v>0</v>
      </c>
      <c r="L69" s="575">
        <f>IF('CG. MPA'!E69="LIGERO",10,0)</f>
        <v>0</v>
      </c>
      <c r="M69" s="576">
        <f t="shared" si="4"/>
        <v>0</v>
      </c>
      <c r="N69" s="918">
        <f>ABS('ELEM. MECA.'!M46)</f>
        <v>0</v>
      </c>
      <c r="O69" s="919">
        <f>IF(AND('CG. MPA'!E58="TABIQUE",'CG. MPA'!F58="HUECO"),V69,IF(AND('CG. MPA'!D58="CONFINADO",'CG. MPA'!E58="TABIQUE",'CG. MPA'!F58="MACIZO"),'RMCV.PA'!W69,IF(AND('CG. MPA'!D58="CONFINADO",'CG. MPA'!E58="TABICON",'CG. MPA'!F58="MACIZO"),'RMCV.PA'!W69,IF(AND('CG. MPA'!D58="CONFINADO",'CG. MPA'!E58="LIGERO",'CG. MPA'!F58="MACIZO"),'RMCV.PA'!W69,IF(AND('CG. MPA'!D58="NO CONFINADO",'CG. MPA'!E58="TABIQUE",'CG. MPA'!F58="MACIZO"),X69,IF(AND('CG. MPA'!D58="NO CONFINADO",'CG. MPA'!E58="TABICON",'CG. MPA'!F58="MACIZO"),X69,IF(AND('CG. MPA'!D58="NO CONFINADO",'CG. MPA'!E58="LIGERO",'CG. MPA'!F58="MACIZO"),X69,IF('CG. MPA'!E58="ADOBE",'RMCV.PA'!Y69,Z69))))))))</f>
        <v>0</v>
      </c>
      <c r="P69" s="685" t="str">
        <f t="shared" si="0"/>
        <v>PASA</v>
      </c>
      <c r="Q69" s="88" t="e">
        <f>IF(D69*E69*(F69*M69+'CASTILLOS-PA'!W69*FY)&gt;1.25*D69*E69*F69*M69,1.25*D69*E69*F69*M69,D69*E69*(F69*M69+'CASTILLOS-PA'!W69*FY))</f>
        <v>#DIV/0!</v>
      </c>
      <c r="R69" s="88">
        <f>D69*E69*(F69*M69+'CASTILLOS-PA'!G69*FY*2)</f>
        <v>8588.16</v>
      </c>
      <c r="S69" s="88">
        <f t="shared" si="1"/>
        <v>0</v>
      </c>
      <c r="T69" s="88">
        <f t="shared" si="2"/>
        <v>0</v>
      </c>
      <c r="U69" s="536">
        <f>D69*(0.7*$G$24*(B69*C69)+2000*'MUR.CONC-PA'!K69)</f>
        <v>0</v>
      </c>
      <c r="V69" s="544">
        <f>IF(AND('CG. MPA'!E69="TABIQUE",'CG. MPA'!F69="HUECO"),Q69,0)</f>
        <v>0</v>
      </c>
      <c r="W69" s="544">
        <f>IF(AND('CG. MPA'!D69="CONFINADO",'CG. MPA'!E69="TABIQUE",'CG. MPA'!F69="MACIZO"),'RMCV.PA'!R69,IF(AND('CG. MPA'!D69="CONFINADO",'CG. MPA'!E69="TABICON",'CG. MPA'!F69="MACIZO"),'RMCV.PA'!R69,IF(AND('CG. MPA'!D69="CONFINADO",'CG. MPA'!E69="LIGERO",'CG. MPA'!F69="MACIZO"),'RMCV.PA'!R69,0)))</f>
        <v>0</v>
      </c>
      <c r="X69" s="544">
        <f>IF(AND('CG. MPA'!D69="NO CONFINADO",'CG. MPA'!E69="TABIQUE",'CG. MPA'!F69="MACIZO"),S69,IF(AND('CG. MPA'!D69="NO CONFINADO",'CG. MPA'!E69="TABICON",'CG. MPA'!F69="MACIZO"),S69,IF(AND('CG. MPA'!D69="NO CONFINADO",'CG. MPA'!E69="LIGERO",'CG. MPA'!F69="MACIZO"),S69,0)))</f>
        <v>0</v>
      </c>
      <c r="Y69" s="544">
        <f>IF('CG. MPA'!E69="ADOBE",'RMCV.PA'!T69,0)</f>
        <v>0</v>
      </c>
      <c r="Z69" s="544">
        <f>IF('CG. MPA'!E58="CONCRETO",'RMCV.PA'!U69,0)</f>
        <v>0</v>
      </c>
      <c r="AA69" s="93">
        <f t="shared" si="3"/>
        <v>0</v>
      </c>
      <c r="AB69" s="428">
        <v>0.8</v>
      </c>
      <c r="AC69" s="4" t="e">
        <f>(1-2*AA69/C69)*(1-(AB69*'CG. MPA'!C69*10/(30*C69))^2)</f>
        <v>#DIV/0!</v>
      </c>
      <c r="AD69" s="350" t="e">
        <f>(1-(2*AA69/C69))*(1-(AB69*'CG. MPA'!C69*10/(30*C69))^2)*(1-('CG. MPA'!C69*10/B69))+('CG. MPA'!C69*10/B69)</f>
        <v>#DIV/0!</v>
      </c>
      <c r="AE69" s="429" t="e">
        <f t="shared" si="6"/>
        <v>#DIV/0!</v>
      </c>
    </row>
    <row r="70" spans="1:31" ht="17.45" hidden="1" customHeight="1">
      <c r="A70" s="684">
        <f>'CG. MPA'!A70</f>
        <v>42</v>
      </c>
      <c r="B70" s="975">
        <f>'CG. MPA'!B70*100</f>
        <v>0</v>
      </c>
      <c r="C70" s="68">
        <f>'ELEM. MECA.'!S47</f>
        <v>0</v>
      </c>
      <c r="D70" s="38">
        <f>IF('CG. MPA'!D70="NO CONFINADO",0.3,0.6)</f>
        <v>0.6</v>
      </c>
      <c r="E70" s="68">
        <v>0.6</v>
      </c>
      <c r="F70" s="38">
        <f>IF('CG. MPA'!E70="CONCRETO",G70,'RMCV.PA'!H70+'RMCV.PA'!I70+'RMCV.PA'!J70+K70+L70)</f>
        <v>0</v>
      </c>
      <c r="G70" s="542">
        <f>IF('CG. MPA'!E70="CONCRETO",0.6*$G$24,0)</f>
        <v>0</v>
      </c>
      <c r="H70" s="38">
        <f>IF(AND('CG. MPA'!E70="TABIQUE",'CG. MPA'!F70="MACIZO"),15,0)</f>
        <v>0</v>
      </c>
      <c r="I70" s="38">
        <f>IF(AND('CG. MPA'!E70="TABIQUE",'CG. MPA'!F70="HUECO"),IF(#REF!="III",30,40),0)</f>
        <v>0</v>
      </c>
      <c r="J70" s="575">
        <f>IF('CG. MPA'!E70="TABICON",IF(E47="I",20,15),0)</f>
        <v>0</v>
      </c>
      <c r="K70" s="575">
        <f>IF('CG. MPA'!E70="ADOBE",10,0)</f>
        <v>0</v>
      </c>
      <c r="L70" s="575">
        <f>IF('CG. MPA'!E70="LIGERO",10,0)</f>
        <v>0</v>
      </c>
      <c r="M70" s="576">
        <f t="shared" ref="M70:M78" si="13">B70*C70</f>
        <v>0</v>
      </c>
      <c r="N70" s="918">
        <f>ABS('ELEM. MECA.'!M47)</f>
        <v>0</v>
      </c>
      <c r="O70" s="919">
        <f>IF(AND('CG. MPA'!E59="TABIQUE",'CG. MPA'!F59="HUECO"),V70,IF(AND('CG. MPA'!D59="CONFINADO",'CG. MPA'!E59="TABIQUE",'CG. MPA'!F59="MACIZO"),'RMCV.PA'!W70,IF(AND('CG. MPA'!D59="CONFINADO",'CG. MPA'!E59="TABICON",'CG. MPA'!F59="MACIZO"),'RMCV.PA'!W70,IF(AND('CG. MPA'!D59="CONFINADO",'CG. MPA'!E59="LIGERO",'CG. MPA'!F59="MACIZO"),'RMCV.PA'!W70,IF(AND('CG. MPA'!D59="NO CONFINADO",'CG. MPA'!E59="TABIQUE",'CG. MPA'!F59="MACIZO"),X70,IF(AND('CG. MPA'!D59="NO CONFINADO",'CG. MPA'!E59="TABICON",'CG. MPA'!F59="MACIZO"),X70,IF(AND('CG. MPA'!D59="NO CONFINADO",'CG. MPA'!E59="LIGERO",'CG. MPA'!F59="MACIZO"),X70,IF('CG. MPA'!E59="ADOBE",'RMCV.PA'!Y70,Z70))))))))</f>
        <v>0</v>
      </c>
      <c r="P70" s="685" t="str">
        <f t="shared" ref="P70:P78" si="14">IF(N70&gt;O70,"NO PASA","PASA")</f>
        <v>PASA</v>
      </c>
      <c r="Q70" s="88">
        <f>IF(D70*E70*(F70*M70+'CASTILLOS-PA'!W70*FY)&gt;1.25*D70*E70*F70*M70,1.25*D70*E70*F70*M70,D70*E70*(F70*M70+'CASTILLOS-PA'!W70*FY))</f>
        <v>0</v>
      </c>
      <c r="R70" s="88">
        <f>D70*E70*(F70*M70+'CASTILLOS-PA'!G70*FY*2)</f>
        <v>8588.16</v>
      </c>
      <c r="S70" s="88">
        <f t="shared" si="1"/>
        <v>0</v>
      </c>
      <c r="T70" s="88">
        <f t="shared" si="2"/>
        <v>0</v>
      </c>
      <c r="U70" s="536">
        <f>D70*(0.7*$G$24*(B70*C70)+2000*'MUR.CONC-PA'!K70)</f>
        <v>0</v>
      </c>
      <c r="V70" s="544">
        <f>IF(AND('CG. MPA'!E70="TABIQUE",'CG. MPA'!F70="HUECO"),Q70,0)</f>
        <v>0</v>
      </c>
      <c r="W70" s="544">
        <f>IF(AND('CG. MPA'!D70="CONFINADO",'CG. MPA'!E70="TABIQUE",'CG. MPA'!F70="MACIZO"),'RMCV.PA'!R70,IF(AND('CG. MPA'!D70="CONFINADO",'CG. MPA'!E70="TABICON",'CG. MPA'!F70="MACIZO"),'RMCV.PA'!R70,IF(AND('CG. MPA'!D70="CONFINADO",'CG. MPA'!E70="LIGERO",'CG. MPA'!F70="MACIZO"),'RMCV.PA'!R70,0)))</f>
        <v>0</v>
      </c>
      <c r="X70" s="544">
        <f>IF(AND('CG. MPA'!D70="NO CONFINADO",'CG. MPA'!E70="TABIQUE",'CG. MPA'!F70="MACIZO"),S70,IF(AND('CG. MPA'!D70="NO CONFINADO",'CG. MPA'!E70="TABICON",'CG. MPA'!F70="MACIZO"),S70,IF(AND('CG. MPA'!D70="NO CONFINADO",'CG. MPA'!E70="LIGERO",'CG. MPA'!F70="MACIZO"),S70,0)))</f>
        <v>0</v>
      </c>
      <c r="Y70" s="544">
        <f>IF('CG. MPA'!E70="ADOBE",'RMCV.PA'!T70,0)</f>
        <v>0</v>
      </c>
      <c r="Z70" s="544">
        <f>IF('CG. MPA'!E59="CONCRETO",'RMCV.PA'!U70,0)</f>
        <v>0</v>
      </c>
      <c r="AA70" s="93">
        <f t="shared" ref="AA70:AA78" si="15">C70/2-(C70/3)+C70/24</f>
        <v>0</v>
      </c>
      <c r="AB70" s="428">
        <v>0.8</v>
      </c>
      <c r="AC70" s="4" t="e">
        <f>(1-2*AA70/C70)*(1-(AB70*'CG. MPA'!C70*10/(30*C70))^2)</f>
        <v>#DIV/0!</v>
      </c>
      <c r="AD70" s="350" t="e">
        <f>(1-(2*AA70/C70))*(1-(AB70*'CG. MPA'!C70*10/(30*C70))^2)*(1-('CG. MPA'!C70*10/B70))+('CG. MPA'!C70*10/B70)</f>
        <v>#DIV/0!</v>
      </c>
      <c r="AE70" s="429" t="e">
        <f t="shared" ref="AE70:AE78" si="16">IF(AD70&gt;0.9,0.9,AD70)</f>
        <v>#DIV/0!</v>
      </c>
    </row>
    <row r="71" spans="1:31" ht="17.45" hidden="1" customHeight="1">
      <c r="A71" s="684">
        <f>'CG. MPA'!A71</f>
        <v>43</v>
      </c>
      <c r="B71" s="975">
        <f>'CG. MPA'!B71*100</f>
        <v>0</v>
      </c>
      <c r="C71" s="68">
        <f>'ELEM. MECA.'!S48</f>
        <v>0</v>
      </c>
      <c r="D71" s="38">
        <f>IF('CG. MPA'!D71="NO CONFINADO",0.3,0.6)</f>
        <v>0.6</v>
      </c>
      <c r="E71" s="68">
        <v>0.6</v>
      </c>
      <c r="F71" s="38">
        <f>IF('CG. MPA'!E71="CONCRETO",G71,'RMCV.PA'!H71+'RMCV.PA'!I71+'RMCV.PA'!J71+K71+L71)</f>
        <v>0</v>
      </c>
      <c r="G71" s="542">
        <f>IF('CG. MPA'!E71="CONCRETO",0.6*$G$24,0)</f>
        <v>0</v>
      </c>
      <c r="H71" s="38">
        <f>IF(AND('CG. MPA'!E71="TABIQUE",'CG. MPA'!F71="MACIZO"),15,0)</f>
        <v>0</v>
      </c>
      <c r="I71" s="38">
        <f>IF(AND('CG. MPA'!E71="TABIQUE",'CG. MPA'!F71="HUECO"),IF(#REF!="III",30,40),0)</f>
        <v>0</v>
      </c>
      <c r="J71" s="575">
        <f>IF('CG. MPA'!E71="TABICON",IF(E48="I",20,15),0)</f>
        <v>0</v>
      </c>
      <c r="K71" s="575">
        <f>IF('CG. MPA'!E71="ADOBE",10,0)</f>
        <v>0</v>
      </c>
      <c r="L71" s="575">
        <f>IF('CG. MPA'!E71="LIGERO",10,0)</f>
        <v>0</v>
      </c>
      <c r="M71" s="576">
        <f t="shared" si="13"/>
        <v>0</v>
      </c>
      <c r="N71" s="918">
        <f>ABS('ELEM. MECA.'!M48)</f>
        <v>0</v>
      </c>
      <c r="O71" s="919">
        <f>IF(AND('CG. MPA'!E60="TABIQUE",'CG. MPA'!F60="HUECO"),V71,IF(AND('CG. MPA'!D60="CONFINADO",'CG. MPA'!E60="TABIQUE",'CG. MPA'!F60="MACIZO"),'RMCV.PA'!W71,IF(AND('CG. MPA'!D60="CONFINADO",'CG. MPA'!E60="TABICON",'CG. MPA'!F60="MACIZO"),'RMCV.PA'!W71,IF(AND('CG. MPA'!D60="CONFINADO",'CG. MPA'!E60="LIGERO",'CG. MPA'!F60="MACIZO"),'RMCV.PA'!W71,IF(AND('CG. MPA'!D60="NO CONFINADO",'CG. MPA'!E60="TABIQUE",'CG. MPA'!F60="MACIZO"),X71,IF(AND('CG. MPA'!D60="NO CONFINADO",'CG. MPA'!E60="TABICON",'CG. MPA'!F60="MACIZO"),X71,IF(AND('CG. MPA'!D60="NO CONFINADO",'CG. MPA'!E60="LIGERO",'CG. MPA'!F60="MACIZO"),X71,IF('CG. MPA'!E60="ADOBE",'RMCV.PA'!Y71,Z71))))))))</f>
        <v>0</v>
      </c>
      <c r="P71" s="685" t="str">
        <f t="shared" si="14"/>
        <v>PASA</v>
      </c>
      <c r="Q71" s="88">
        <f>IF(D71*E71*(F71*M71+'CASTILLOS-PA'!W71*FY)&gt;1.25*D71*E71*F71*M71,1.25*D71*E71*F71*M71,D71*E71*(F71*M71+'CASTILLOS-PA'!W71*FY))</f>
        <v>0</v>
      </c>
      <c r="R71" s="88">
        <f>D71*E71*(F71*M71+'CASTILLOS-PA'!G71*FY*2)</f>
        <v>8588.16</v>
      </c>
      <c r="S71" s="88">
        <f t="shared" si="1"/>
        <v>0</v>
      </c>
      <c r="T71" s="88">
        <f t="shared" si="2"/>
        <v>0</v>
      </c>
      <c r="U71" s="536">
        <f>D71*(0.7*$G$24*(B71*C71)+2000*'MUR.CONC-PA'!K71)</f>
        <v>0</v>
      </c>
      <c r="V71" s="544">
        <f>IF(AND('CG. MPA'!E71="TABIQUE",'CG. MPA'!F71="HUECO"),Q71,0)</f>
        <v>0</v>
      </c>
      <c r="W71" s="544">
        <f>IF(AND('CG. MPA'!D71="CONFINADO",'CG. MPA'!E71="TABIQUE",'CG. MPA'!F71="MACIZO"),'RMCV.PA'!R71,IF(AND('CG. MPA'!D71="CONFINADO",'CG. MPA'!E71="TABICON",'CG. MPA'!F71="MACIZO"),'RMCV.PA'!R71,IF(AND('CG. MPA'!D71="CONFINADO",'CG. MPA'!E71="LIGERO",'CG. MPA'!F71="MACIZO"),'RMCV.PA'!R71,0)))</f>
        <v>0</v>
      </c>
      <c r="X71" s="544">
        <f>IF(AND('CG. MPA'!D71="NO CONFINADO",'CG. MPA'!E71="TABIQUE",'CG. MPA'!F71="MACIZO"),S71,IF(AND('CG. MPA'!D71="NO CONFINADO",'CG. MPA'!E71="TABICON",'CG. MPA'!F71="MACIZO"),S71,IF(AND('CG. MPA'!D71="NO CONFINADO",'CG. MPA'!E71="LIGERO",'CG. MPA'!F71="MACIZO"),S71,0)))</f>
        <v>0</v>
      </c>
      <c r="Y71" s="544">
        <f>IF('CG. MPA'!E71="ADOBE",'RMCV.PA'!T71,0)</f>
        <v>0</v>
      </c>
      <c r="Z71" s="544">
        <f>IF('CG. MPA'!E60="CONCRETO",'RMCV.PA'!U71,0)</f>
        <v>0</v>
      </c>
      <c r="AA71" s="93">
        <f t="shared" si="15"/>
        <v>0</v>
      </c>
      <c r="AB71" s="428">
        <v>0.8</v>
      </c>
      <c r="AC71" s="4" t="e">
        <f>(1-2*AA71/C71)*(1-(AB71*'CG. MPA'!C71*10/(30*C71))^2)</f>
        <v>#DIV/0!</v>
      </c>
      <c r="AD71" s="350" t="e">
        <f>(1-(2*AA71/C71))*(1-(AB71*'CG. MPA'!C71*10/(30*C71))^2)*(1-('CG. MPA'!C71*10/B71))+('CG. MPA'!C71*10/B71)</f>
        <v>#DIV/0!</v>
      </c>
      <c r="AE71" s="429" t="e">
        <f t="shared" si="16"/>
        <v>#DIV/0!</v>
      </c>
    </row>
    <row r="72" spans="1:31" ht="17.45" hidden="1" customHeight="1">
      <c r="A72" s="684">
        <f>'CG. MPA'!A72</f>
        <v>44</v>
      </c>
      <c r="B72" s="975">
        <f>'CG. MPA'!B72*100</f>
        <v>0</v>
      </c>
      <c r="C72" s="68">
        <f>'ELEM. MECA.'!S49</f>
        <v>0</v>
      </c>
      <c r="D72" s="38">
        <f>IF('CG. MPA'!D72="NO CONFINADO",0.3,0.6)</f>
        <v>0.6</v>
      </c>
      <c r="E72" s="68">
        <v>0.6</v>
      </c>
      <c r="F72" s="38">
        <f>IF('CG. MPA'!E72="CONCRETO",G72,'RMCV.PA'!H72+'RMCV.PA'!I72+'RMCV.PA'!J72+K72+L72)</f>
        <v>0</v>
      </c>
      <c r="G72" s="542">
        <f>IF('CG. MPA'!E72="CONCRETO",0.6*$G$24,0)</f>
        <v>0</v>
      </c>
      <c r="H72" s="38">
        <f>IF(AND('CG. MPA'!E72="TABIQUE",'CG. MPA'!F72="MACIZO"),15,0)</f>
        <v>0</v>
      </c>
      <c r="I72" s="38">
        <f>IF(AND('CG. MPA'!E72="TABIQUE",'CG. MPA'!F72="HUECO"),IF(#REF!="III",30,40),0)</f>
        <v>0</v>
      </c>
      <c r="J72" s="575">
        <f>IF('CG. MPA'!E72="TABICON",IF(E49="I",20,15),0)</f>
        <v>0</v>
      </c>
      <c r="K72" s="575">
        <f>IF('CG. MPA'!E72="ADOBE",10,0)</f>
        <v>0</v>
      </c>
      <c r="L72" s="575">
        <f>IF('CG. MPA'!E72="LIGERO",10,0)</f>
        <v>0</v>
      </c>
      <c r="M72" s="576">
        <f t="shared" si="13"/>
        <v>0</v>
      </c>
      <c r="N72" s="918">
        <f>ABS('ELEM. MECA.'!M49)</f>
        <v>0</v>
      </c>
      <c r="O72" s="919">
        <f>IF(AND('CG. MPA'!E61="TABIQUE",'CG. MPA'!F61="HUECO"),V72,IF(AND('CG. MPA'!D61="CONFINADO",'CG. MPA'!E61="TABIQUE",'CG. MPA'!F61="MACIZO"),'RMCV.PA'!W72,IF(AND('CG. MPA'!D61="CONFINADO",'CG. MPA'!E61="TABICON",'CG. MPA'!F61="MACIZO"),'RMCV.PA'!W72,IF(AND('CG. MPA'!D61="CONFINADO",'CG. MPA'!E61="LIGERO",'CG. MPA'!F61="MACIZO"),'RMCV.PA'!W72,IF(AND('CG. MPA'!D61="NO CONFINADO",'CG. MPA'!E61="TABIQUE",'CG. MPA'!F61="MACIZO"),X72,IF(AND('CG. MPA'!D61="NO CONFINADO",'CG. MPA'!E61="TABICON",'CG. MPA'!F61="MACIZO"),X72,IF(AND('CG. MPA'!D61="NO CONFINADO",'CG. MPA'!E61="LIGERO",'CG. MPA'!F61="MACIZO"),X72,IF('CG. MPA'!E61="ADOBE",'RMCV.PA'!Y72,Z72))))))))</f>
        <v>0</v>
      </c>
      <c r="P72" s="685" t="str">
        <f t="shared" si="14"/>
        <v>PASA</v>
      </c>
      <c r="Q72" s="88">
        <f>IF(D72*E72*(F72*M72+'CASTILLOS-PA'!W72*FY)&gt;1.25*D72*E72*F72*M72,1.25*D72*E72*F72*M72,D72*E72*(F72*M72+'CASTILLOS-PA'!W72*FY))</f>
        <v>0</v>
      </c>
      <c r="R72" s="88">
        <f>D72*E72*(F72*M72+'CASTILLOS-PA'!G72*FY*2)</f>
        <v>8588.16</v>
      </c>
      <c r="S72" s="88">
        <f t="shared" si="1"/>
        <v>0</v>
      </c>
      <c r="T72" s="88">
        <f t="shared" si="2"/>
        <v>0</v>
      </c>
      <c r="U72" s="536">
        <f>D72*(0.7*$G$24*(B72*C72)+2000*'MUR.CONC-PA'!K72)</f>
        <v>0</v>
      </c>
      <c r="V72" s="544">
        <f>IF(AND('CG. MPA'!E72="TABIQUE",'CG. MPA'!F72="HUECO"),Q72,0)</f>
        <v>0</v>
      </c>
      <c r="W72" s="544">
        <f>IF(AND('CG. MPA'!D72="CONFINADO",'CG. MPA'!E72="TABIQUE",'CG. MPA'!F72="MACIZO"),'RMCV.PA'!R72,IF(AND('CG. MPA'!D72="CONFINADO",'CG. MPA'!E72="TABICON",'CG. MPA'!F72="MACIZO"),'RMCV.PA'!R72,IF(AND('CG. MPA'!D72="CONFINADO",'CG. MPA'!E72="LIGERO",'CG. MPA'!F72="MACIZO"),'RMCV.PA'!R72,0)))</f>
        <v>0</v>
      </c>
      <c r="X72" s="544">
        <f>IF(AND('CG. MPA'!D72="NO CONFINADO",'CG. MPA'!E72="TABIQUE",'CG. MPA'!F72="MACIZO"),S72,IF(AND('CG. MPA'!D72="NO CONFINADO",'CG. MPA'!E72="TABICON",'CG. MPA'!F72="MACIZO"),S72,IF(AND('CG. MPA'!D72="NO CONFINADO",'CG. MPA'!E72="LIGERO",'CG. MPA'!F72="MACIZO"),S72,0)))</f>
        <v>0</v>
      </c>
      <c r="Y72" s="544">
        <f>IF('CG. MPA'!E72="ADOBE",'RMCV.PA'!T72,0)</f>
        <v>0</v>
      </c>
      <c r="Z72" s="544">
        <f>IF('CG. MPA'!E61="CONCRETO",'RMCV.PA'!U72,0)</f>
        <v>0</v>
      </c>
      <c r="AA72" s="93">
        <f t="shared" si="15"/>
        <v>0</v>
      </c>
      <c r="AB72" s="428">
        <v>0.8</v>
      </c>
      <c r="AC72" s="4" t="e">
        <f>(1-2*AA72/C72)*(1-(AB72*'CG. MPA'!C72*10/(30*C72))^2)</f>
        <v>#DIV/0!</v>
      </c>
      <c r="AD72" s="350" t="e">
        <f>(1-(2*AA72/C72))*(1-(AB72*'CG. MPA'!C72*10/(30*C72))^2)*(1-('CG. MPA'!C72*10/B72))+('CG. MPA'!C72*10/B72)</f>
        <v>#DIV/0!</v>
      </c>
      <c r="AE72" s="429" t="e">
        <f t="shared" si="16"/>
        <v>#DIV/0!</v>
      </c>
    </row>
    <row r="73" spans="1:31" ht="17.45" hidden="1" customHeight="1">
      <c r="A73" s="684">
        <f>'CG. MPA'!A73</f>
        <v>45</v>
      </c>
      <c r="B73" s="975">
        <f>'CG. MPA'!B73*100</f>
        <v>0</v>
      </c>
      <c r="C73" s="68">
        <f>'ELEM. MECA.'!S50</f>
        <v>0</v>
      </c>
      <c r="D73" s="38">
        <f>IF('CG. MPA'!D73="NO CONFINADO",0.3,0.6)</f>
        <v>0.6</v>
      </c>
      <c r="E73" s="68">
        <v>0.6</v>
      </c>
      <c r="F73" s="38">
        <f>IF('CG. MPA'!E73="CONCRETO",G73,'RMCV.PA'!H73+'RMCV.PA'!I73+'RMCV.PA'!J73+K73+L73)</f>
        <v>0</v>
      </c>
      <c r="G73" s="542">
        <f>IF('CG. MPA'!E73="CONCRETO",0.6*$G$24,0)</f>
        <v>0</v>
      </c>
      <c r="H73" s="38">
        <f>IF(AND('CG. MPA'!E73="TABIQUE",'CG. MPA'!F73="MACIZO"),15,0)</f>
        <v>0</v>
      </c>
      <c r="I73" s="38">
        <f>IF(AND('CG. MPA'!E73="TABIQUE",'CG. MPA'!F73="HUECO"),IF(#REF!="III",30,40),0)</f>
        <v>0</v>
      </c>
      <c r="J73" s="575">
        <f>IF('CG. MPA'!E73="TABICON",IF(E61="I",20,15),0)</f>
        <v>0</v>
      </c>
      <c r="K73" s="575">
        <f>IF('CG. MPA'!E73="ADOBE",10,0)</f>
        <v>0</v>
      </c>
      <c r="L73" s="575">
        <f>IF('CG. MPA'!E73="LIGERO",10,0)</f>
        <v>0</v>
      </c>
      <c r="M73" s="576">
        <f t="shared" si="13"/>
        <v>0</v>
      </c>
      <c r="N73" s="918">
        <f>ABS('ELEM. MECA.'!M50)</f>
        <v>0</v>
      </c>
      <c r="O73" s="919">
        <f>IF(AND('CG. MPA'!E62="TABIQUE",'CG. MPA'!F62="HUECO"),V73,IF(AND('CG. MPA'!D62="CONFINADO",'CG. MPA'!E62="TABIQUE",'CG. MPA'!F62="MACIZO"),'RMCV.PA'!W73,IF(AND('CG. MPA'!D62="CONFINADO",'CG. MPA'!E62="TABICON",'CG. MPA'!F62="MACIZO"),'RMCV.PA'!W73,IF(AND('CG. MPA'!D62="CONFINADO",'CG. MPA'!E62="LIGERO",'CG. MPA'!F62="MACIZO"),'RMCV.PA'!W73,IF(AND('CG. MPA'!D62="NO CONFINADO",'CG. MPA'!E62="TABIQUE",'CG. MPA'!F62="MACIZO"),X73,IF(AND('CG. MPA'!D62="NO CONFINADO",'CG. MPA'!E62="TABICON",'CG. MPA'!F62="MACIZO"),X73,IF(AND('CG. MPA'!D62="NO CONFINADO",'CG. MPA'!E62="LIGERO",'CG. MPA'!F62="MACIZO"),X73,IF('CG. MPA'!E62="ADOBE",'RMCV.PA'!Y73,Z73))))))))</f>
        <v>0</v>
      </c>
      <c r="P73" s="685" t="str">
        <f t="shared" si="14"/>
        <v>PASA</v>
      </c>
      <c r="Q73" s="88">
        <f>IF(D73*E73*(F73*M73+'CASTILLOS-PA'!W73*FY)&gt;1.25*D73*E73*F73*M73,1.25*D73*E73*F73*M73,D73*E73*(F73*M73+'CASTILLOS-PA'!W73*FY))</f>
        <v>0</v>
      </c>
      <c r="R73" s="88">
        <f>D73*E73*(F73*M73+'CASTILLOS-PA'!G73*FY*2)</f>
        <v>8588.16</v>
      </c>
      <c r="S73" s="88">
        <f t="shared" si="1"/>
        <v>0</v>
      </c>
      <c r="T73" s="88">
        <f t="shared" si="2"/>
        <v>0</v>
      </c>
      <c r="U73" s="536">
        <f>D73*(0.7*$G$24*(B73*C73)+2000*'MUR.CONC-PA'!K73)</f>
        <v>0</v>
      </c>
      <c r="V73" s="544">
        <f>IF(AND('CG. MPA'!E73="TABIQUE",'CG. MPA'!F73="HUECO"),Q73,0)</f>
        <v>0</v>
      </c>
      <c r="W73" s="544">
        <f>IF(AND('CG. MPA'!D73="CONFINADO",'CG. MPA'!E73="TABIQUE",'CG. MPA'!F73="MACIZO"),'RMCV.PA'!R73,IF(AND('CG. MPA'!D73="CONFINADO",'CG. MPA'!E73="TABICON",'CG. MPA'!F73="MACIZO"),'RMCV.PA'!R73,IF(AND('CG. MPA'!D73="CONFINADO",'CG. MPA'!E73="LIGERO",'CG. MPA'!F73="MACIZO"),'RMCV.PA'!R73,0)))</f>
        <v>0</v>
      </c>
      <c r="X73" s="544">
        <f>IF(AND('CG. MPA'!D73="NO CONFINADO",'CG. MPA'!E73="TABIQUE",'CG. MPA'!F73="MACIZO"),S73,IF(AND('CG. MPA'!D73="NO CONFINADO",'CG. MPA'!E73="TABICON",'CG. MPA'!F73="MACIZO"),S73,IF(AND('CG. MPA'!D73="NO CONFINADO",'CG. MPA'!E73="LIGERO",'CG. MPA'!F73="MACIZO"),S73,0)))</f>
        <v>0</v>
      </c>
      <c r="Y73" s="544">
        <f>IF('CG. MPA'!E73="ADOBE",'RMCV.PA'!T73,0)</f>
        <v>0</v>
      </c>
      <c r="Z73" s="544">
        <f>IF('CG. MPA'!E62="CONCRETO",'RMCV.PA'!U73,0)</f>
        <v>0</v>
      </c>
      <c r="AA73" s="93">
        <f t="shared" si="15"/>
        <v>0</v>
      </c>
      <c r="AB73" s="428">
        <v>0.8</v>
      </c>
      <c r="AC73" s="4" t="e">
        <f>(1-2*AA73/C73)*(1-(AB73*'CG. MPA'!C73*10/(30*C73))^2)</f>
        <v>#DIV/0!</v>
      </c>
      <c r="AD73" s="350" t="e">
        <f>(1-(2*AA73/C73))*(1-(AB73*'CG. MPA'!C73*10/(30*C73))^2)*(1-('CG. MPA'!C73*10/B73))+('CG. MPA'!C73*10/B73)</f>
        <v>#DIV/0!</v>
      </c>
      <c r="AE73" s="429" t="e">
        <f t="shared" si="16"/>
        <v>#DIV/0!</v>
      </c>
    </row>
    <row r="74" spans="1:31" ht="17.45" hidden="1" customHeight="1">
      <c r="A74" s="684">
        <f>'CG. MPA'!A74</f>
        <v>46</v>
      </c>
      <c r="B74" s="975">
        <f>'CG. MPA'!B74*100</f>
        <v>0</v>
      </c>
      <c r="C74" s="68">
        <f>'ELEM. MECA.'!S51</f>
        <v>0</v>
      </c>
      <c r="D74" s="38">
        <f>IF('CG. MPA'!D74="NO CONFINADO",0.3,0.6)</f>
        <v>0.6</v>
      </c>
      <c r="E74" s="68">
        <v>0.6</v>
      </c>
      <c r="F74" s="38">
        <f>IF('CG. MPA'!E74="CONCRETO",G74,'RMCV.PA'!H74+'RMCV.PA'!I74+'RMCV.PA'!J74+K74+L74)</f>
        <v>0</v>
      </c>
      <c r="G74" s="542">
        <f>IF('CG. MPA'!E74="CONCRETO",0.6*$G$24,0)</f>
        <v>0</v>
      </c>
      <c r="H74" s="38">
        <f>IF(AND('CG. MPA'!E74="TABIQUE",'CG. MPA'!F74="MACIZO"),15,0)</f>
        <v>0</v>
      </c>
      <c r="I74" s="38">
        <f>IF(AND('CG. MPA'!E74="TABIQUE",'CG. MPA'!F74="HUECO"),IF(#REF!="III",30,40),0)</f>
        <v>0</v>
      </c>
      <c r="J74" s="575">
        <f>IF('CG. MPA'!E74="TABICON",IF(E62="I",20,15),0)</f>
        <v>0</v>
      </c>
      <c r="K74" s="575">
        <f>IF('CG. MPA'!E74="ADOBE",10,0)</f>
        <v>0</v>
      </c>
      <c r="L74" s="575">
        <f>IF('CG. MPA'!E74="LIGERO",10,0)</f>
        <v>0</v>
      </c>
      <c r="M74" s="576">
        <f t="shared" si="13"/>
        <v>0</v>
      </c>
      <c r="N74" s="918">
        <f>ABS('ELEM. MECA.'!M51)</f>
        <v>0</v>
      </c>
      <c r="O74" s="919">
        <f>IF(AND('CG. MPA'!E63="TABIQUE",'CG. MPA'!F63="HUECO"),V74,IF(AND('CG. MPA'!D63="CONFINADO",'CG. MPA'!E63="TABIQUE",'CG. MPA'!F63="MACIZO"),'RMCV.PA'!W74,IF(AND('CG. MPA'!D63="CONFINADO",'CG. MPA'!E63="TABICON",'CG. MPA'!F63="MACIZO"),'RMCV.PA'!W74,IF(AND('CG. MPA'!D63="CONFINADO",'CG. MPA'!E63="LIGERO",'CG. MPA'!F63="MACIZO"),'RMCV.PA'!W74,IF(AND('CG. MPA'!D63="NO CONFINADO",'CG. MPA'!E63="TABIQUE",'CG. MPA'!F63="MACIZO"),X74,IF(AND('CG. MPA'!D63="NO CONFINADO",'CG. MPA'!E63="TABICON",'CG. MPA'!F63="MACIZO"),X74,IF(AND('CG. MPA'!D63="NO CONFINADO",'CG. MPA'!E63="LIGERO",'CG. MPA'!F63="MACIZO"),X74,IF('CG. MPA'!E63="ADOBE",'RMCV.PA'!Y74,Z74))))))))</f>
        <v>0</v>
      </c>
      <c r="P74" s="685" t="str">
        <f t="shared" si="14"/>
        <v>PASA</v>
      </c>
      <c r="Q74" s="88">
        <f>IF(D74*E74*(F74*M74+'CASTILLOS-PA'!W74*FY)&gt;1.25*D74*E74*F74*M74,1.25*D74*E74*F74*M74,D74*E74*(F74*M74+'CASTILLOS-PA'!W74*FY))</f>
        <v>0</v>
      </c>
      <c r="R74" s="88">
        <f>D74*E74*(F74*M74+'CASTILLOS-PA'!G74*FY*2)</f>
        <v>8588.16</v>
      </c>
      <c r="S74" s="88">
        <f t="shared" si="1"/>
        <v>0</v>
      </c>
      <c r="T74" s="88">
        <f t="shared" si="2"/>
        <v>0</v>
      </c>
      <c r="U74" s="536">
        <f>D74*(0.7*$G$24*(B74*C74)+2000*'MUR.CONC-PA'!K74)</f>
        <v>0</v>
      </c>
      <c r="V74" s="544">
        <f>IF(AND('CG. MPA'!E74="TABIQUE",'CG. MPA'!F74="HUECO"),Q74,0)</f>
        <v>0</v>
      </c>
      <c r="W74" s="544">
        <f>IF(AND('CG. MPA'!D74="CONFINADO",'CG. MPA'!E74="TABIQUE",'CG. MPA'!F74="MACIZO"),'RMCV.PA'!R74,IF(AND('CG. MPA'!D74="CONFINADO",'CG. MPA'!E74="TABICON",'CG. MPA'!F74="MACIZO"),'RMCV.PA'!R74,IF(AND('CG. MPA'!D74="CONFINADO",'CG. MPA'!E74="LIGERO",'CG. MPA'!F74="MACIZO"),'RMCV.PA'!R74,0)))</f>
        <v>0</v>
      </c>
      <c r="X74" s="544">
        <f>IF(AND('CG. MPA'!D74="NO CONFINADO",'CG. MPA'!E74="TABIQUE",'CG. MPA'!F74="MACIZO"),S74,IF(AND('CG. MPA'!D74="NO CONFINADO",'CG. MPA'!E74="TABICON",'CG. MPA'!F74="MACIZO"),S74,IF(AND('CG. MPA'!D74="NO CONFINADO",'CG. MPA'!E74="LIGERO",'CG. MPA'!F74="MACIZO"),S74,0)))</f>
        <v>0</v>
      </c>
      <c r="Y74" s="544">
        <f>IF('CG. MPA'!E74="ADOBE",'RMCV.PA'!T74,0)</f>
        <v>0</v>
      </c>
      <c r="Z74" s="544">
        <f>IF('CG. MPA'!E63="CONCRETO",'RMCV.PA'!U74,0)</f>
        <v>0</v>
      </c>
      <c r="AA74" s="93">
        <f t="shared" si="15"/>
        <v>0</v>
      </c>
      <c r="AB74" s="428">
        <v>0.8</v>
      </c>
      <c r="AC74" s="4" t="e">
        <f>(1-2*AA74/C74)*(1-(AB74*'CG. MPA'!C74*10/(30*C74))^2)</f>
        <v>#DIV/0!</v>
      </c>
      <c r="AD74" s="350" t="e">
        <f>(1-(2*AA74/C74))*(1-(AB74*'CG. MPA'!C74*10/(30*C74))^2)*(1-('CG. MPA'!C74*10/B74))+('CG. MPA'!C74*10/B74)</f>
        <v>#DIV/0!</v>
      </c>
      <c r="AE74" s="429" t="e">
        <f t="shared" si="16"/>
        <v>#DIV/0!</v>
      </c>
    </row>
    <row r="75" spans="1:31" ht="17.45" hidden="1" customHeight="1">
      <c r="A75" s="684">
        <f>'CG. MPA'!A75</f>
        <v>47</v>
      </c>
      <c r="B75" s="975">
        <f>'CG. MPA'!B75*100</f>
        <v>0</v>
      </c>
      <c r="C75" s="68">
        <f>'ELEM. MECA.'!S52</f>
        <v>0</v>
      </c>
      <c r="D75" s="38">
        <f>IF('CG. MPA'!D75="NO CONFINADO",0.3,0.6)</f>
        <v>0.6</v>
      </c>
      <c r="E75" s="68">
        <v>0.6</v>
      </c>
      <c r="F75" s="38">
        <f>IF('CG. MPA'!E75="CONCRETO",G75,'RMCV.PA'!H75+'RMCV.PA'!I75+'RMCV.PA'!J75+K75+L75)</f>
        <v>0</v>
      </c>
      <c r="G75" s="542">
        <f>IF('CG. MPA'!E75="CONCRETO",0.6*$G$24,0)</f>
        <v>0</v>
      </c>
      <c r="H75" s="38">
        <f>IF(AND('CG. MPA'!E75="TABIQUE",'CG. MPA'!F75="MACIZO"),15,0)</f>
        <v>0</v>
      </c>
      <c r="I75" s="38">
        <f>IF(AND('CG. MPA'!E75="TABIQUE",'CG. MPA'!F75="HUECO"),IF(#REF!="III",30,40),0)</f>
        <v>0</v>
      </c>
      <c r="J75" s="575">
        <f>IF('CG. MPA'!E75="TABICON",IF(E63="I",20,15),0)</f>
        <v>0</v>
      </c>
      <c r="K75" s="575">
        <f>IF('CG. MPA'!E75="ADOBE",10,0)</f>
        <v>0</v>
      </c>
      <c r="L75" s="575">
        <f>IF('CG. MPA'!E75="LIGERO",10,0)</f>
        <v>0</v>
      </c>
      <c r="M75" s="576">
        <f t="shared" si="13"/>
        <v>0</v>
      </c>
      <c r="N75" s="918">
        <f>ABS('ELEM. MECA.'!M52)</f>
        <v>0</v>
      </c>
      <c r="O75" s="919">
        <f>IF(AND('CG. MPA'!E64="TABIQUE",'CG. MPA'!F64="HUECO"),V75,IF(AND('CG. MPA'!D64="CONFINADO",'CG. MPA'!E64="TABIQUE",'CG. MPA'!F64="MACIZO"),'RMCV.PA'!W75,IF(AND('CG. MPA'!D64="CONFINADO",'CG. MPA'!E64="TABICON",'CG. MPA'!F64="MACIZO"),'RMCV.PA'!W75,IF(AND('CG. MPA'!D64="CONFINADO",'CG. MPA'!E64="LIGERO",'CG. MPA'!F64="MACIZO"),'RMCV.PA'!W75,IF(AND('CG. MPA'!D64="NO CONFINADO",'CG. MPA'!E64="TABIQUE",'CG. MPA'!F64="MACIZO"),X75,IF(AND('CG. MPA'!D64="NO CONFINADO",'CG. MPA'!E64="TABICON",'CG. MPA'!F64="MACIZO"),X75,IF(AND('CG. MPA'!D64="NO CONFINADO",'CG. MPA'!E64="LIGERO",'CG. MPA'!F64="MACIZO"),X75,IF('CG. MPA'!E64="ADOBE",'RMCV.PA'!Y75,Z75))))))))</f>
        <v>0</v>
      </c>
      <c r="P75" s="685" t="str">
        <f t="shared" si="14"/>
        <v>PASA</v>
      </c>
      <c r="Q75" s="88">
        <f>IF(D75*E75*(F75*M75+'CASTILLOS-PA'!W75*FY)&gt;1.25*D75*E75*F75*M75,1.25*D75*E75*F75*M75,D75*E75*(F75*M75+'CASTILLOS-PA'!W75*FY))</f>
        <v>0</v>
      </c>
      <c r="R75" s="88">
        <f>D75*E75*(F75*M75+'CASTILLOS-PA'!G75*FY*2)</f>
        <v>8588.16</v>
      </c>
      <c r="S75" s="88">
        <f t="shared" si="1"/>
        <v>0</v>
      </c>
      <c r="T75" s="88">
        <f t="shared" si="2"/>
        <v>0</v>
      </c>
      <c r="U75" s="536">
        <f>D75*(0.7*$G$24*(B75*C75)+2000*'MUR.CONC-PA'!K75)</f>
        <v>0</v>
      </c>
      <c r="V75" s="544">
        <f>IF(AND('CG. MPA'!E75="TABIQUE",'CG. MPA'!F75="HUECO"),Q75,0)</f>
        <v>0</v>
      </c>
      <c r="W75" s="544">
        <f>IF(AND('CG. MPA'!D75="CONFINADO",'CG. MPA'!E75="TABIQUE",'CG. MPA'!F75="MACIZO"),'RMCV.PA'!R75,IF(AND('CG. MPA'!D75="CONFINADO",'CG. MPA'!E75="TABICON",'CG. MPA'!F75="MACIZO"),'RMCV.PA'!R75,IF(AND('CG. MPA'!D75="CONFINADO",'CG. MPA'!E75="LIGERO",'CG. MPA'!F75="MACIZO"),'RMCV.PA'!R75,0)))</f>
        <v>0</v>
      </c>
      <c r="X75" s="544">
        <f>IF(AND('CG. MPA'!D75="NO CONFINADO",'CG. MPA'!E75="TABIQUE",'CG. MPA'!F75="MACIZO"),S75,IF(AND('CG. MPA'!D75="NO CONFINADO",'CG. MPA'!E75="TABICON",'CG. MPA'!F75="MACIZO"),S75,IF(AND('CG. MPA'!D75="NO CONFINADO",'CG. MPA'!E75="LIGERO",'CG. MPA'!F75="MACIZO"),S75,0)))</f>
        <v>0</v>
      </c>
      <c r="Y75" s="544">
        <f>IF('CG. MPA'!E75="ADOBE",'RMCV.PA'!T75,0)</f>
        <v>0</v>
      </c>
      <c r="Z75" s="544">
        <f>IF('CG. MPA'!E64="CONCRETO",'RMCV.PA'!U75,0)</f>
        <v>0</v>
      </c>
      <c r="AA75" s="93">
        <f t="shared" si="15"/>
        <v>0</v>
      </c>
      <c r="AB75" s="428">
        <v>0.8</v>
      </c>
      <c r="AC75" s="4" t="e">
        <f>(1-2*AA75/C75)*(1-(AB75*'CG. MPA'!C75*10/(30*C75))^2)</f>
        <v>#DIV/0!</v>
      </c>
      <c r="AD75" s="350" t="e">
        <f>(1-(2*AA75/C75))*(1-(AB75*'CG. MPA'!C75*10/(30*C75))^2)*(1-('CG. MPA'!C75*10/B75))+('CG. MPA'!C75*10/B75)</f>
        <v>#DIV/0!</v>
      </c>
      <c r="AE75" s="429" t="e">
        <f t="shared" si="16"/>
        <v>#DIV/0!</v>
      </c>
    </row>
    <row r="76" spans="1:31" ht="17.45" hidden="1" customHeight="1">
      <c r="A76" s="684">
        <f>'CG. MPA'!A76</f>
        <v>48</v>
      </c>
      <c r="B76" s="975">
        <f>'CG. MPA'!B76*100</f>
        <v>0</v>
      </c>
      <c r="C76" s="68">
        <f>'ELEM. MECA.'!S53</f>
        <v>0</v>
      </c>
      <c r="D76" s="38">
        <f>IF('CG. MPA'!D76="NO CONFINADO",0.3,0.6)</f>
        <v>0.6</v>
      </c>
      <c r="E76" s="68">
        <v>0.6</v>
      </c>
      <c r="F76" s="38">
        <f>IF('CG. MPA'!E76="CONCRETO",G76,'RMCV.PA'!H76+'RMCV.PA'!I76+'RMCV.PA'!J76+K76+L76)</f>
        <v>0</v>
      </c>
      <c r="G76" s="542">
        <f>IF('CG. MPA'!E76="CONCRETO",0.6*$G$24,0)</f>
        <v>0</v>
      </c>
      <c r="H76" s="38">
        <f>IF(AND('CG. MPA'!E76="TABIQUE",'CG. MPA'!F76="MACIZO"),15,0)</f>
        <v>0</v>
      </c>
      <c r="I76" s="38">
        <f>IF(AND('CG. MPA'!E76="TABIQUE",'CG. MPA'!F76="HUECO"),IF(#REF!="III",30,40),0)</f>
        <v>0</v>
      </c>
      <c r="J76" s="575">
        <f>IF('CG. MPA'!E76="TABICON",IF(E64="I",20,15),0)</f>
        <v>0</v>
      </c>
      <c r="K76" s="575">
        <f>IF('CG. MPA'!E76="ADOBE",10,0)</f>
        <v>0</v>
      </c>
      <c r="L76" s="575">
        <f>IF('CG. MPA'!E76="LIGERO",10,0)</f>
        <v>0</v>
      </c>
      <c r="M76" s="576">
        <f t="shared" si="13"/>
        <v>0</v>
      </c>
      <c r="N76" s="918">
        <f>ABS('ELEM. MECA.'!M53)</f>
        <v>0</v>
      </c>
      <c r="O76" s="919">
        <f>IF(AND('CG. MPA'!E65="TABIQUE",'CG. MPA'!F65="HUECO"),V76,IF(AND('CG. MPA'!D65="CONFINADO",'CG. MPA'!E65="TABIQUE",'CG. MPA'!F65="MACIZO"),'RMCV.PA'!W76,IF(AND('CG. MPA'!D65="CONFINADO",'CG. MPA'!E65="TABICON",'CG. MPA'!F65="MACIZO"),'RMCV.PA'!W76,IF(AND('CG. MPA'!D65="CONFINADO",'CG. MPA'!E65="LIGERO",'CG. MPA'!F65="MACIZO"),'RMCV.PA'!W76,IF(AND('CG. MPA'!D65="NO CONFINADO",'CG. MPA'!E65="TABIQUE",'CG. MPA'!F65="MACIZO"),X76,IF(AND('CG. MPA'!D65="NO CONFINADO",'CG. MPA'!E65="TABICON",'CG. MPA'!F65="MACIZO"),X76,IF(AND('CG. MPA'!D65="NO CONFINADO",'CG. MPA'!E65="LIGERO",'CG. MPA'!F65="MACIZO"),X76,IF('CG. MPA'!E65="ADOBE",'RMCV.PA'!Y76,Z76))))))))</f>
        <v>0</v>
      </c>
      <c r="P76" s="685" t="str">
        <f t="shared" si="14"/>
        <v>PASA</v>
      </c>
      <c r="Q76" s="88">
        <f>IF(D76*E76*(F76*M76+'CASTILLOS-PA'!W76*FY)&gt;1.25*D76*E76*F76*M76,1.25*D76*E76*F76*M76,D76*E76*(F76*M76+'CASTILLOS-PA'!W76*FY))</f>
        <v>0</v>
      </c>
      <c r="R76" s="88">
        <f>D76*E76*(F76*M76+'CASTILLOS-PA'!G76*FY*2)</f>
        <v>8588.16</v>
      </c>
      <c r="S76" s="88">
        <f t="shared" si="1"/>
        <v>0</v>
      </c>
      <c r="T76" s="88">
        <f t="shared" si="2"/>
        <v>0</v>
      </c>
      <c r="U76" s="536">
        <f>D76*(0.7*$G$24*(B76*C76)+2000*'MUR.CONC-PA'!K76)</f>
        <v>0</v>
      </c>
      <c r="V76" s="544">
        <f>IF(AND('CG. MPA'!E76="TABIQUE",'CG. MPA'!F76="HUECO"),Q76,0)</f>
        <v>0</v>
      </c>
      <c r="W76" s="544">
        <f>IF(AND('CG. MPA'!D76="CONFINADO",'CG. MPA'!E76="TABIQUE",'CG. MPA'!F76="MACIZO"),'RMCV.PA'!R76,IF(AND('CG. MPA'!D76="CONFINADO",'CG. MPA'!E76="TABICON",'CG. MPA'!F76="MACIZO"),'RMCV.PA'!R76,IF(AND('CG. MPA'!D76="CONFINADO",'CG. MPA'!E76="LIGERO",'CG. MPA'!F76="MACIZO"),'RMCV.PA'!R76,0)))</f>
        <v>0</v>
      </c>
      <c r="X76" s="544">
        <f>IF(AND('CG. MPA'!D76="NO CONFINADO",'CG. MPA'!E76="TABIQUE",'CG. MPA'!F76="MACIZO"),S76,IF(AND('CG. MPA'!D76="NO CONFINADO",'CG. MPA'!E76="TABICON",'CG. MPA'!F76="MACIZO"),S76,IF(AND('CG. MPA'!D76="NO CONFINADO",'CG. MPA'!E76="LIGERO",'CG. MPA'!F76="MACIZO"),S76,0)))</f>
        <v>0</v>
      </c>
      <c r="Y76" s="544">
        <f>IF('CG. MPA'!E76="ADOBE",'RMCV.PA'!T76,0)</f>
        <v>0</v>
      </c>
      <c r="Z76" s="544">
        <f>IF('CG. MPA'!E65="CONCRETO",'RMCV.PA'!U76,0)</f>
        <v>0</v>
      </c>
      <c r="AA76" s="93">
        <f t="shared" si="15"/>
        <v>0</v>
      </c>
      <c r="AB76" s="428">
        <v>0.8</v>
      </c>
      <c r="AC76" s="4" t="e">
        <f>(1-2*AA76/C76)*(1-(AB76*'CG. MPA'!C76*10/(30*C76))^2)</f>
        <v>#DIV/0!</v>
      </c>
      <c r="AD76" s="350" t="e">
        <f>(1-(2*AA76/C76))*(1-(AB76*'CG. MPA'!C76*10/(30*C76))^2)*(1-('CG. MPA'!C76*10/B76))+('CG. MPA'!C76*10/B76)</f>
        <v>#DIV/0!</v>
      </c>
      <c r="AE76" s="429" t="e">
        <f t="shared" si="16"/>
        <v>#DIV/0!</v>
      </c>
    </row>
    <row r="77" spans="1:31" ht="17.45" hidden="1" customHeight="1">
      <c r="A77" s="684">
        <f>'CG. MPA'!A77</f>
        <v>49</v>
      </c>
      <c r="B77" s="975">
        <f>'CG. MPA'!B77*100</f>
        <v>0</v>
      </c>
      <c r="C77" s="68">
        <f>'ELEM. MECA.'!S54</f>
        <v>0</v>
      </c>
      <c r="D77" s="38">
        <f>IF('CG. MPA'!D77="NO CONFINADO",0.3,0.6)</f>
        <v>0.6</v>
      </c>
      <c r="E77" s="68">
        <v>0.6</v>
      </c>
      <c r="F77" s="38">
        <f>IF('CG. MPA'!E77="CONCRETO",G77,'RMCV.PA'!H77+'RMCV.PA'!I77+'RMCV.PA'!J77+K77+L77)</f>
        <v>0</v>
      </c>
      <c r="G77" s="542">
        <f>IF('CG. MPA'!E77="CONCRETO",0.6*$G$24,0)</f>
        <v>0</v>
      </c>
      <c r="H77" s="38">
        <f>IF(AND('CG. MPA'!E77="TABIQUE",'CG. MPA'!F77="MACIZO"),15,0)</f>
        <v>0</v>
      </c>
      <c r="I77" s="38">
        <f>IF(AND('CG. MPA'!E77="TABIQUE",'CG. MPA'!F77="HUECO"),IF(#REF!="III",30,40),0)</f>
        <v>0</v>
      </c>
      <c r="J77" s="575">
        <f>IF('CG. MPA'!E77="TABICON",IF(E65="I",20,15),0)</f>
        <v>0</v>
      </c>
      <c r="K77" s="575">
        <f>IF('CG. MPA'!E77="ADOBE",10,0)</f>
        <v>0</v>
      </c>
      <c r="L77" s="575">
        <f>IF('CG. MPA'!E77="LIGERO",10,0)</f>
        <v>0</v>
      </c>
      <c r="M77" s="576">
        <f t="shared" si="13"/>
        <v>0</v>
      </c>
      <c r="N77" s="918">
        <f>ABS('ELEM. MECA.'!M54)</f>
        <v>0</v>
      </c>
      <c r="O77" s="919">
        <f>IF(AND('CG. MPA'!E66="TABIQUE",'CG. MPA'!F66="HUECO"),V77,IF(AND('CG. MPA'!D66="CONFINADO",'CG. MPA'!E66="TABIQUE",'CG. MPA'!F66="MACIZO"),'RMCV.PA'!W77,IF(AND('CG. MPA'!D66="CONFINADO",'CG. MPA'!E66="TABICON",'CG. MPA'!F66="MACIZO"),'RMCV.PA'!W77,IF(AND('CG. MPA'!D66="CONFINADO",'CG. MPA'!E66="LIGERO",'CG. MPA'!F66="MACIZO"),'RMCV.PA'!W77,IF(AND('CG. MPA'!D66="NO CONFINADO",'CG. MPA'!E66="TABIQUE",'CG. MPA'!F66="MACIZO"),X77,IF(AND('CG. MPA'!D66="NO CONFINADO",'CG. MPA'!E66="TABICON",'CG. MPA'!F66="MACIZO"),X77,IF(AND('CG. MPA'!D66="NO CONFINADO",'CG. MPA'!E66="LIGERO",'CG. MPA'!F66="MACIZO"),X77,IF('CG. MPA'!E66="ADOBE",'RMCV.PA'!Y77,Z77))))))))</f>
        <v>0</v>
      </c>
      <c r="P77" s="685" t="str">
        <f t="shared" si="14"/>
        <v>PASA</v>
      </c>
      <c r="Q77" s="88">
        <f>IF(D77*E77*(F77*M77+'CASTILLOS-PA'!W77*FY)&gt;1.25*D77*E77*F77*M77,1.25*D77*E77*F77*M77,D77*E77*(F77*M77+'CASTILLOS-PA'!W77*FY))</f>
        <v>0</v>
      </c>
      <c r="R77" s="88">
        <f>D77*E77*(F77*M77+'CASTILLOS-PA'!G77*FY*2)</f>
        <v>8588.16</v>
      </c>
      <c r="S77" s="88">
        <f t="shared" si="1"/>
        <v>0</v>
      </c>
      <c r="T77" s="88">
        <f t="shared" si="2"/>
        <v>0</v>
      </c>
      <c r="U77" s="536">
        <f>D77*(0.7*$G$24*(B77*C77)+2000*'MUR.CONC-PA'!K77)</f>
        <v>0</v>
      </c>
      <c r="V77" s="544">
        <f>IF(AND('CG. MPA'!E77="TABIQUE",'CG. MPA'!F77="HUECO"),Q77,0)</f>
        <v>0</v>
      </c>
      <c r="W77" s="544">
        <f>IF(AND('CG. MPA'!D77="CONFINADO",'CG. MPA'!E77="TABIQUE",'CG. MPA'!F77="MACIZO"),'RMCV.PA'!R77,IF(AND('CG. MPA'!D77="CONFINADO",'CG. MPA'!E77="TABICON",'CG. MPA'!F77="MACIZO"),'RMCV.PA'!R77,IF(AND('CG. MPA'!D77="CONFINADO",'CG. MPA'!E77="LIGERO",'CG. MPA'!F77="MACIZO"),'RMCV.PA'!R77,0)))</f>
        <v>0</v>
      </c>
      <c r="X77" s="544">
        <f>IF(AND('CG. MPA'!D77="NO CONFINADO",'CG. MPA'!E77="TABIQUE",'CG. MPA'!F77="MACIZO"),S77,IF(AND('CG. MPA'!D77="NO CONFINADO",'CG. MPA'!E77="TABICON",'CG. MPA'!F77="MACIZO"),S77,IF(AND('CG. MPA'!D77="NO CONFINADO",'CG. MPA'!E77="LIGERO",'CG. MPA'!F77="MACIZO"),S77,0)))</f>
        <v>0</v>
      </c>
      <c r="Y77" s="544">
        <f>IF('CG. MPA'!E77="ADOBE",'RMCV.PA'!T77,0)</f>
        <v>0</v>
      </c>
      <c r="Z77" s="544">
        <f>IF('CG. MPA'!E66="CONCRETO",'RMCV.PA'!U77,0)</f>
        <v>0</v>
      </c>
      <c r="AA77" s="93">
        <f t="shared" si="15"/>
        <v>0</v>
      </c>
      <c r="AB77" s="428">
        <v>0.8</v>
      </c>
      <c r="AC77" s="4" t="e">
        <f>(1-2*AA77/C77)*(1-(AB77*'CG. MPA'!C77*10/(30*C77))^2)</f>
        <v>#DIV/0!</v>
      </c>
      <c r="AD77" s="350" t="e">
        <f>(1-(2*AA77/C77))*(1-(AB77*'CG. MPA'!C77*10/(30*C77))^2)*(1-('CG. MPA'!C77*10/B77))+('CG. MPA'!C77*10/B77)</f>
        <v>#DIV/0!</v>
      </c>
      <c r="AE77" s="429" t="e">
        <f t="shared" si="16"/>
        <v>#DIV/0!</v>
      </c>
    </row>
    <row r="78" spans="1:31" ht="15.75" hidden="1" customHeight="1" thickBot="1">
      <c r="A78" s="684">
        <f>'CG. MPA'!A78</f>
        <v>50</v>
      </c>
      <c r="B78" s="975">
        <f>'CG. MPA'!B78*100</f>
        <v>0</v>
      </c>
      <c r="C78" s="68">
        <f>'ELEM. MECA.'!S55</f>
        <v>0</v>
      </c>
      <c r="D78" s="38">
        <f>IF('CG. MPA'!D78="NO CONFINADO",0.3,0.6)</f>
        <v>0.6</v>
      </c>
      <c r="E78" s="68">
        <v>0.6</v>
      </c>
      <c r="F78" s="38">
        <f>IF('CG. MPA'!E78="CONCRETO",G78,'RMCV.PA'!H78+'RMCV.PA'!I78+'RMCV.PA'!J78+K78+L78)</f>
        <v>0</v>
      </c>
      <c r="G78" s="542">
        <f>IF('CG. MPA'!E78="CONCRETO",0.6*$G$24,0)</f>
        <v>0</v>
      </c>
      <c r="H78" s="38">
        <f>IF(AND('CG. MPA'!E78="TABIQUE",'CG. MPA'!F78="MACIZO"),15,0)</f>
        <v>0</v>
      </c>
      <c r="I78" s="38">
        <f>IF(AND('CG. MPA'!E78="TABIQUE",'CG. MPA'!F78="HUECO"),IF(#REF!="III",30,40),0)</f>
        <v>0</v>
      </c>
      <c r="J78" s="575">
        <f>IF('CG. MPA'!E78="TABICON",IF(E66="I",20,15),0)</f>
        <v>0</v>
      </c>
      <c r="K78" s="575">
        <f>IF('CG. MPA'!E78="ADOBE",10,0)</f>
        <v>0</v>
      </c>
      <c r="L78" s="575">
        <f>IF('CG. MPA'!E78="LIGERO",10,0)</f>
        <v>0</v>
      </c>
      <c r="M78" s="576">
        <f t="shared" si="13"/>
        <v>0</v>
      </c>
      <c r="N78" s="918">
        <f>ABS('ELEM. MECA.'!M55)</f>
        <v>0</v>
      </c>
      <c r="O78" s="919">
        <f>IF(AND('CG. MPA'!E67="TABIQUE",'CG. MPA'!F67="HUECO"),V78,IF(AND('CG. MPA'!D67="CONFINADO",'CG. MPA'!E67="TABIQUE",'CG. MPA'!F67="MACIZO"),'RMCV.PA'!W78,IF(AND('CG. MPA'!D67="CONFINADO",'CG. MPA'!E67="TABICON",'CG. MPA'!F67="MACIZO"),'RMCV.PA'!W78,IF(AND('CG. MPA'!D67="CONFINADO",'CG. MPA'!E67="LIGERO",'CG. MPA'!F67="MACIZO"),'RMCV.PA'!W78,IF(AND('CG. MPA'!D67="NO CONFINADO",'CG. MPA'!E67="TABIQUE",'CG. MPA'!F67="MACIZO"),X78,IF(AND('CG. MPA'!D67="NO CONFINADO",'CG. MPA'!E67="TABICON",'CG. MPA'!F67="MACIZO"),X78,IF(AND('CG. MPA'!D67="NO CONFINADO",'CG. MPA'!E67="LIGERO",'CG. MPA'!F67="MACIZO"),X78,IF('CG. MPA'!E67="ADOBE",'RMCV.PA'!Y78,Z78))))))))</f>
        <v>0</v>
      </c>
      <c r="P78" s="685" t="str">
        <f t="shared" si="14"/>
        <v>PASA</v>
      </c>
      <c r="Q78" s="88">
        <f>IF(D78*E78*(F78*M78+'CASTILLOS-PA'!W78*FY)&gt;1.25*D78*E78*F78*M78,1.25*D78*E78*F78*M78,D78*E78*(F78*M78+'CASTILLOS-PA'!W78*FY))</f>
        <v>0</v>
      </c>
      <c r="R78" s="88">
        <f>D78*E78*(F78*M78+'CASTILLOS-PA'!G78*FY*2)</f>
        <v>8588.16</v>
      </c>
      <c r="S78" s="88">
        <f t="shared" si="1"/>
        <v>0</v>
      </c>
      <c r="T78" s="88">
        <f t="shared" si="2"/>
        <v>0</v>
      </c>
      <c r="U78" s="536">
        <f>D78*(0.7*$G$24*(B78*C78)+2000*'MUR.CONC-PA'!K78)</f>
        <v>0</v>
      </c>
      <c r="V78" s="544">
        <f>IF(AND('CG. MPA'!E78="TABIQUE",'CG. MPA'!F78="HUECO"),Q78,0)</f>
        <v>0</v>
      </c>
      <c r="W78" s="544">
        <f>IF(AND('CG. MPA'!D78="CONFINADO",'CG. MPA'!E78="TABIQUE",'CG. MPA'!F78="MACIZO"),'RMCV.PA'!R78,IF(AND('CG. MPA'!D78="CONFINADO",'CG. MPA'!E78="TABICON",'CG. MPA'!F78="MACIZO"),'RMCV.PA'!R78,IF(AND('CG. MPA'!D78="CONFINADO",'CG. MPA'!E78="LIGERO",'CG. MPA'!F78="MACIZO"),'RMCV.PA'!R78,0)))</f>
        <v>0</v>
      </c>
      <c r="X78" s="544">
        <f>IF(AND('CG. MPA'!D78="NO CONFINADO",'CG. MPA'!E78="TABIQUE",'CG. MPA'!F78="MACIZO"),S78,IF(AND('CG. MPA'!D78="NO CONFINADO",'CG. MPA'!E78="TABICON",'CG. MPA'!F78="MACIZO"),S78,IF(AND('CG. MPA'!D78="NO CONFINADO",'CG. MPA'!E78="LIGERO",'CG. MPA'!F78="MACIZO"),S78,0)))</f>
        <v>0</v>
      </c>
      <c r="Y78" s="544">
        <f>IF('CG. MPA'!E78="ADOBE",'RMCV.PA'!T78,0)</f>
        <v>0</v>
      </c>
      <c r="Z78" s="544">
        <f>IF('CG. MPA'!E67="CONCRETO",'RMCV.PA'!U78,0)</f>
        <v>0</v>
      </c>
      <c r="AA78" s="93">
        <f t="shared" si="15"/>
        <v>0</v>
      </c>
      <c r="AB78" s="428">
        <v>0.8</v>
      </c>
      <c r="AC78" s="4" t="e">
        <f>(1-2*AA78/C78)*(1-(AB78*'CG. MPA'!C78*10/(30*C78))^2)</f>
        <v>#DIV/0!</v>
      </c>
      <c r="AD78" s="350" t="e">
        <f>(1-(2*AA78/C78))*(1-(AB78*'CG. MPA'!C78*10/(30*C78))^2)*(1-('CG. MPA'!C78*10/B78))+('CG. MPA'!C78*10/B78)</f>
        <v>#DIV/0!</v>
      </c>
      <c r="AE78" s="429" t="e">
        <f t="shared" si="16"/>
        <v>#DIV/0!</v>
      </c>
    </row>
    <row r="79" spans="1:31" ht="17.45" customHeight="1">
      <c r="A79" s="665" t="s">
        <v>88</v>
      </c>
      <c r="B79" s="973"/>
      <c r="C79" s="688"/>
      <c r="D79" s="689"/>
      <c r="E79" s="688"/>
      <c r="F79" s="689"/>
      <c r="G79" s="690"/>
      <c r="H79" s="689"/>
      <c r="I79" s="689"/>
      <c r="J79" s="689"/>
      <c r="K79" s="691"/>
      <c r="L79" s="689"/>
      <c r="M79" s="692"/>
      <c r="N79" s="920"/>
      <c r="O79" s="921"/>
      <c r="P79" s="694"/>
      <c r="Q79" s="88"/>
      <c r="R79" s="88"/>
      <c r="S79" s="88"/>
      <c r="T79" s="88"/>
      <c r="U79" s="536"/>
      <c r="V79" s="544"/>
      <c r="W79" s="544">
        <f>IF(AND('CG. MPA'!D79="CONFINADO",'CG. MPA'!E79="TABIQUE",'CG. MPA'!F79="MACIZO"),'RMCV.PA'!R79,IF(AND('CG. MPA'!D79="CONFINADO",'CG. MPA'!E79="TABICON",'CG. MPA'!F79="MACIZO"),'RMCV.PA'!R79,IF(AND('CG. MPA'!D79="CONFINADO",'CG. MPA'!E79="LIGERO",'CG. MPA'!F79="MACIZO"),'RMCV.PA'!R79,0)))</f>
        <v>0</v>
      </c>
      <c r="X79" s="544"/>
      <c r="Y79" s="544"/>
      <c r="Z79" s="544"/>
    </row>
    <row r="80" spans="1:31">
      <c r="A80" s="684">
        <f>'CG. MPA'!A80</f>
        <v>1</v>
      </c>
      <c r="B80" s="975">
        <f>'CG. MPA'!B80*100</f>
        <v>102.54999999999994</v>
      </c>
      <c r="C80" s="68">
        <f>'ELEM. MECA.'!S207</f>
        <v>15</v>
      </c>
      <c r="D80" s="38">
        <f>IF(AND('CG. MPA'!D80="CONFINADO",'CG. MPA'!E80="CONCRETO"),0.8,IF('CG. MPA'!D80="NO CONFINADO",0.3,0.6))</f>
        <v>0.6</v>
      </c>
      <c r="E80" s="68">
        <v>0.6</v>
      </c>
      <c r="F80" s="38">
        <f>IF('CG. MPA'!E80="CONCRETO",G80,'RMCV.PA'!H80+'RMCV.PA'!I80+'RMCV.PA'!J80+K80+L80)</f>
        <v>20</v>
      </c>
      <c r="G80" s="542">
        <f>IF('CG. MPA'!E80="CONCRETO",0.6*$G$24,0)</f>
        <v>0</v>
      </c>
      <c r="H80" s="38">
        <f>IF(AND('CG. MPA'!E80="TABIQUE",'CG. MPA'!F80="MACIZO"),15,0)</f>
        <v>0</v>
      </c>
      <c r="I80" s="38">
        <f>IF(AND('CG. MPA'!E80="TABIQUE",'CG. MPA'!F80="HUECO"),IF(E17="III",30,40),0)</f>
        <v>0</v>
      </c>
      <c r="J80" s="575">
        <f>IF('CG. MPA'!E80="TABICON",IF(E17="I",20,15),0)</f>
        <v>20</v>
      </c>
      <c r="K80" s="575">
        <f>IF('CG. MPA'!E80="ADOBE",10,0)</f>
        <v>0</v>
      </c>
      <c r="L80" s="575">
        <f>IF('CG. MPA'!E80="LIGERO",10,0)</f>
        <v>0</v>
      </c>
      <c r="M80" s="576">
        <f t="shared" ref="M80:M88" si="17">B80*C80</f>
        <v>1538.2499999999991</v>
      </c>
      <c r="N80" s="918">
        <f>ABS('ELEM. MECA.'!M207)</f>
        <v>3582.8248003788476</v>
      </c>
      <c r="O80" s="919">
        <f>IF(AND('CG. MPA'!E80="TABIQUE",'CG. MPA'!F80="HUECO"),V80,IF(AND('CG. MPA'!D80="CONFINADO",'CG. MPA'!E80="TABIQUE",'CG. MPA'!F80="MACIZO"),'RMCV.PA'!W80,IF(AND('CG. MPA'!D80="CONFINADO",'CG. MPA'!E80="TABICON",'CG. MPA'!F80="MACIZO"),'RMCV.PA'!W80,IF(AND('CG. MPA'!D80="CONFINADO",'CG. MPA'!E80="LIGERO",'CG. MPA'!F80="MACIZO"),'RMCV.PA'!W80,IF(AND('CG. MPA'!D80="NO CONFINADO",'CG. MPA'!E80="TABIQUE",'CG. MPA'!F80="MACIZO"),X80,IF(AND('CG. MPA'!D80="NO CONFINADO",'CG. MPA'!E80="TABICON",'CG. MPA'!F80="MACIZO"),X80,IF(AND('CG. MPA'!D80="NO CONFINADO",'CG. MPA'!E80="LIGERO",'CG. MPA'!F80="MACIZO"),X80,IF('CG. MPA'!E80="ADOBE",'RMCV.PA'!Y80,Z80))))))))</f>
        <v>19663.559999999994</v>
      </c>
      <c r="P80" s="685" t="str">
        <f t="shared" ref="P80:P88" si="18">IF(N80&gt;O80,"NO PASA","PASA")</f>
        <v>PASA</v>
      </c>
      <c r="Q80" s="88">
        <f>IF(D80*E80*(F80*M80+'CASTILLOS-PA'!W80*FY)&gt;1.25*D80*E80*F80*M80,1.25*D80*E80*F80*M80,D80*E80*(F80*M80+'CASTILLOS-PA'!W80*FY))</f>
        <v>13844.249999999993</v>
      </c>
      <c r="R80" s="88">
        <f>D80*E80*(F80*M80+'CASTILLOS-PA'!G80*FY*2)</f>
        <v>19663.559999999994</v>
      </c>
      <c r="S80" s="88">
        <f t="shared" ref="S80:S129" si="19">D80*E80*F80*M80</f>
        <v>11075.399999999992</v>
      </c>
      <c r="T80" s="88">
        <f t="shared" ref="T80:T129" si="20">D80*E80*F80*M80</f>
        <v>11075.399999999992</v>
      </c>
      <c r="U80" s="536">
        <f>D80*(0.7*$G$24*(B80*C80)+2000*'MUR.CONC-PA'!K80)</f>
        <v>161516.24999999988</v>
      </c>
      <c r="V80" s="544">
        <f>IF(AND('CG. MPA'!E80="TABIQUE",'CG. MPA'!F80="HUECO"),Q80,0)</f>
        <v>0</v>
      </c>
      <c r="W80" s="544">
        <f>IF(AND('CG. MPA'!D80="CONFINADO",'CG. MPA'!E80="TABIQUE",'CG. MPA'!F80="MACIZO"),'RMCV.PA'!R80,IF(AND('CG. MPA'!D80="CONFINADO",'CG. MPA'!E80="TABICON",'CG. MPA'!F80="MACIZO"),'RMCV.PA'!R80,IF(AND('CG. MPA'!D80="CONFINADO",'CG. MPA'!E80="LIGERO",'CG. MPA'!F80="MACIZO"),'RMCV.PA'!R80,0)))</f>
        <v>19663.559999999994</v>
      </c>
      <c r="X80" s="544">
        <f>IF(AND('CG. MPA'!D80="NO CONFINADO",'CG. MPA'!E80="TABIQUE",'CG. MPA'!F80="MACIZO"),S80,IF(AND('CG. MPA'!D80="NO CONFINADO",'CG. MPA'!E80="TABICON",'CG. MPA'!F80="MACIZO"),S80,IF(AND('CG. MPA'!D80="NO CONFINADO",'CG. MPA'!E80="LIGERO",'CG. MPA'!F80="MACIZO"),S80,0)))</f>
        <v>0</v>
      </c>
      <c r="Y80" s="544">
        <f>IF('CG. MPA'!E80="ADOBE",'RMCV.PA'!T80,0)</f>
        <v>0</v>
      </c>
      <c r="Z80" s="544">
        <f>IF('CG. MPA'!E80="CONCRETO",'RMCV.PA'!U80,0)</f>
        <v>0</v>
      </c>
      <c r="AA80" s="93">
        <f t="shared" ref="AA80:AA83" si="21">C80/2-(C80/3)+C80/24</f>
        <v>3.125</v>
      </c>
      <c r="AB80" s="428">
        <v>1</v>
      </c>
      <c r="AC80" s="4">
        <f>(1-2*AA80/C80)*(1-(AB80*'CG. MPA'!C80*10/(30*C80))^2)</f>
        <v>0.58107489711934146</v>
      </c>
      <c r="AD80" s="350">
        <f>(1-(2*AA80/C80))*(1-(AB80*'CG. MPA'!C80*10/(30*C80))^2)*(1-('CG. MPA'!C80*10/B80))+('CG. MPA'!C80*10/B80)</f>
        <v>0.69545717776935068</v>
      </c>
      <c r="AE80" s="429">
        <f t="shared" ref="AE80:AE83" si="22">IF(AD80&gt;0.9,0.9,AD80)</f>
        <v>0.69545717776935068</v>
      </c>
    </row>
    <row r="81" spans="1:31">
      <c r="A81" s="684">
        <f>'CG. MPA'!A81</f>
        <v>2</v>
      </c>
      <c r="B81" s="975">
        <f>'CG. MPA'!B81*100</f>
        <v>130.35000000000005</v>
      </c>
      <c r="C81" s="68">
        <f>'ELEM. MECA.'!S208</f>
        <v>15</v>
      </c>
      <c r="D81" s="38">
        <f>IF(AND('CG. MPA'!D81="CONFINADO",'CG. MPA'!E81="CONCRETO"),0.8,IF('CG. MPA'!D81="NO CONFINADO",0.3,0.6))</f>
        <v>0.6</v>
      </c>
      <c r="E81" s="68">
        <v>0.6</v>
      </c>
      <c r="F81" s="38">
        <f>IF('CG. MPA'!E81="CONCRETO",G81,'RMCV.PA'!H81+'RMCV.PA'!I81+'RMCV.PA'!J81+K81+L81)</f>
        <v>15</v>
      </c>
      <c r="G81" s="542">
        <f>IF('CG. MPA'!E81="CONCRETO",0.6*$G$24,0)</f>
        <v>0</v>
      </c>
      <c r="H81" s="38">
        <f>IF(AND('CG. MPA'!E81="TABIQUE",'CG. MPA'!F81="MACIZO"),15,0)</f>
        <v>0</v>
      </c>
      <c r="I81" s="38">
        <f>IF(AND('CG. MPA'!E81="TABIQUE",'CG. MPA'!F81="HUECO"),IF(E18="III",30,40),0)</f>
        <v>0</v>
      </c>
      <c r="J81" s="575">
        <f>IF('CG. MPA'!E81="TABICON",IF(E18="I",20,15),0)</f>
        <v>15</v>
      </c>
      <c r="K81" s="575">
        <f>IF('CG. MPA'!E81="ADOBE",10,0)</f>
        <v>0</v>
      </c>
      <c r="L81" s="575">
        <f>IF('CG. MPA'!E81="LIGERO",10,0)</f>
        <v>0</v>
      </c>
      <c r="M81" s="576">
        <f t="shared" si="17"/>
        <v>1955.2500000000007</v>
      </c>
      <c r="N81" s="918">
        <f>ABS('ELEM. MECA.'!M208)</f>
        <v>5768.7632159134537</v>
      </c>
      <c r="O81" s="919">
        <f>IF(AND('CG. MPA'!E81="TABIQUE",'CG. MPA'!F81="HUECO"),V81,IF(AND('CG. MPA'!D81="CONFINADO",'CG. MPA'!E81="TABIQUE",'CG. MPA'!F81="MACIZO"),'RMCV.PA'!W81,IF(AND('CG. MPA'!D81="CONFINADO",'CG. MPA'!E81="TABICON",'CG. MPA'!F81="MACIZO"),'RMCV.PA'!W81,IF(AND('CG. MPA'!D81="CONFINADO",'CG. MPA'!E81="LIGERO",'CG. MPA'!F81="MACIZO"),'RMCV.PA'!W81,IF(AND('CG. MPA'!D81="NO CONFINADO",'CG. MPA'!E81="TABIQUE",'CG. MPA'!F81="MACIZO"),X81,IF(AND('CG. MPA'!D81="NO CONFINADO",'CG. MPA'!E81="TABICON",'CG. MPA'!F81="MACIZO"),X81,IF(AND('CG. MPA'!D81="NO CONFINADO",'CG. MPA'!E81="LIGERO",'CG. MPA'!F81="MACIZO"),X81,IF('CG. MPA'!E81="ADOBE",'RMCV.PA'!Y81,Z81))))))))</f>
        <v>19146.510000000006</v>
      </c>
      <c r="P81" s="685" t="str">
        <f t="shared" si="18"/>
        <v>PASA</v>
      </c>
      <c r="Q81" s="88">
        <f>IF(D81*E81*(F81*M81+'CASTILLOS-PA'!W81*FY)&gt;1.25*D81*E81*F81*M81,1.25*D81*E81*F81*M81,D81*E81*(F81*M81+'CASTILLOS-PA'!W81*FY))</f>
        <v>13197.937500000004</v>
      </c>
      <c r="R81" s="88">
        <f>D81*E81*(F81*M81+'CASTILLOS-PA'!G81*FY*2)</f>
        <v>19146.510000000006</v>
      </c>
      <c r="S81" s="88">
        <f t="shared" si="19"/>
        <v>10558.350000000002</v>
      </c>
      <c r="T81" s="88">
        <f t="shared" si="20"/>
        <v>10558.350000000002</v>
      </c>
      <c r="U81" s="536">
        <f>D81*(0.7*$G$24*(B81*C81)+2000*'MUR.CONC-PA'!K81)</f>
        <v>205301.25000000006</v>
      </c>
      <c r="V81" s="544">
        <f>IF(AND('CG. MPA'!E81="TABIQUE",'CG. MPA'!F81="HUECO"),Q81,0)</f>
        <v>0</v>
      </c>
      <c r="W81" s="544">
        <f>IF(AND('CG. MPA'!D81="CONFINADO",'CG. MPA'!E81="TABIQUE",'CG. MPA'!F81="MACIZO"),'RMCV.PA'!R81,IF(AND('CG. MPA'!D81="CONFINADO",'CG. MPA'!E81="TABICON",'CG. MPA'!F81="MACIZO"),'RMCV.PA'!R81,IF(AND('CG. MPA'!D81="CONFINADO",'CG. MPA'!E81="LIGERO",'CG. MPA'!F81="MACIZO"),'RMCV.PA'!R81,0)))</f>
        <v>19146.510000000006</v>
      </c>
      <c r="X81" s="544">
        <f>IF(AND('CG. MPA'!D81="NO CONFINADO",'CG. MPA'!E81="TABIQUE",'CG. MPA'!F81="MACIZO"),S81,IF(AND('CG. MPA'!D81="NO CONFINADO",'CG. MPA'!E81="TABICON",'CG. MPA'!F81="MACIZO"),S81,IF(AND('CG. MPA'!D81="NO CONFINADO",'CG. MPA'!E81="LIGERO",'CG. MPA'!F81="MACIZO"),S81,0)))</f>
        <v>0</v>
      </c>
      <c r="Y81" s="544">
        <f>IF('CG. MPA'!E81="ADOBE",'RMCV.PA'!T81,0)</f>
        <v>0</v>
      </c>
      <c r="Z81" s="544">
        <f>IF('CG. MPA'!E81="CONCRETO",'RMCV.PA'!U81,0)</f>
        <v>0</v>
      </c>
      <c r="AA81" s="93">
        <f t="shared" si="21"/>
        <v>3.125</v>
      </c>
      <c r="AB81" s="428">
        <v>1</v>
      </c>
      <c r="AC81" s="4">
        <f>(1-2*AA81/C81)*(1-(AB81*'CG. MPA'!C81*10/(30*C81))^2)</f>
        <v>0.58107489711934146</v>
      </c>
      <c r="AD81" s="350">
        <f>(1-(2*AA81/C81))*(1-(AB81*'CG. MPA'!C81*10/(30*C81))^2)*(1-('CG. MPA'!C81*10/B81))+('CG. MPA'!C81*10/B81)</f>
        <v>0.67106264457356801</v>
      </c>
      <c r="AE81" s="429">
        <f t="shared" si="22"/>
        <v>0.67106264457356801</v>
      </c>
    </row>
    <row r="82" spans="1:31">
      <c r="A82" s="684">
        <f>'CG. MPA'!A82</f>
        <v>3</v>
      </c>
      <c r="B82" s="975">
        <f>'CG. MPA'!B82*100</f>
        <v>264.69999999999993</v>
      </c>
      <c r="C82" s="68">
        <f>'ELEM. MECA.'!S209</f>
        <v>15</v>
      </c>
      <c r="D82" s="38">
        <f>IF(AND('CG. MPA'!D82="CONFINADO",'CG. MPA'!E82="CONCRETO"),0.8,IF('CG. MPA'!D82="NO CONFINADO",0.3,0.6))</f>
        <v>0.6</v>
      </c>
      <c r="E82" s="68">
        <v>0.6</v>
      </c>
      <c r="F82" s="38">
        <f>IF('CG. MPA'!E82="CONCRETO",G82,'RMCV.PA'!H82+'RMCV.PA'!I82+'RMCV.PA'!J82+K82+L82)</f>
        <v>15</v>
      </c>
      <c r="G82" s="542">
        <f>IF('CG. MPA'!E82="CONCRETO",0.6*$G$24,0)</f>
        <v>0</v>
      </c>
      <c r="H82" s="38">
        <f>IF(AND('CG. MPA'!E82="TABIQUE",'CG. MPA'!F82="MACIZO"),15,0)</f>
        <v>0</v>
      </c>
      <c r="I82" s="38">
        <f>IF(AND('CG. MPA'!E82="TABIQUE",'CG. MPA'!F82="HUECO"),IF(E19="III",30,40),0)</f>
        <v>0</v>
      </c>
      <c r="J82" s="575">
        <f>IF('CG. MPA'!E82="TABICON",IF(E19="I",20,15),0)</f>
        <v>15</v>
      </c>
      <c r="K82" s="575">
        <f>IF('CG. MPA'!E82="ADOBE",10,0)</f>
        <v>0</v>
      </c>
      <c r="L82" s="575">
        <f>IF('CG. MPA'!E82="LIGERO",10,0)</f>
        <v>0</v>
      </c>
      <c r="M82" s="576">
        <f>B82*C82</f>
        <v>3970.4999999999991</v>
      </c>
      <c r="N82" s="918">
        <f>ABS('ELEM. MECA.'!M209)</f>
        <v>3285.4568507612225</v>
      </c>
      <c r="O82" s="919">
        <f>IF(AND('CG. MPA'!E82="TABIQUE",'CG. MPA'!F82="HUECO"),V82,IF(AND('CG. MPA'!D82="CONFINADO",'CG. MPA'!E82="TABIQUE",'CG. MPA'!F82="MACIZO"),'RMCV.PA'!W82,IF(AND('CG. MPA'!D82="CONFINADO",'CG. MPA'!E82="TABICON",'CG. MPA'!F82="MACIZO"),'RMCV.PA'!W82,IF(AND('CG. MPA'!D82="CONFINADO",'CG. MPA'!E82="LIGERO",'CG. MPA'!F82="MACIZO"),'RMCV.PA'!W82,IF(AND('CG. MPA'!D82="NO CONFINADO",'CG. MPA'!E82="TABIQUE",'CG. MPA'!F82="MACIZO"),X82,IF(AND('CG. MPA'!D82="NO CONFINADO",'CG. MPA'!E82="TABICON",'CG. MPA'!F82="MACIZO"),X82,IF(AND('CG. MPA'!D82="NO CONFINADO",'CG. MPA'!E82="LIGERO",'CG. MPA'!F82="MACIZO"),X82,IF('CG. MPA'!E82="ADOBE",'RMCV.PA'!Y82,Z82))))))))</f>
        <v>30028.859999999993</v>
      </c>
      <c r="P82" s="685" t="str">
        <f>IF(N82&gt;O82,"NO PASA","PASA")</f>
        <v>PASA</v>
      </c>
      <c r="Q82" s="88">
        <f>IF(D82*E82*(F82*M82+'CASTILLOS-PA'!W82*FY)&gt;1.25*D82*E82*F82*M82,1.25*D82*E82*F82*M82,D82*E82*(F82*M82+'CASTILLOS-PA'!W82*FY))</f>
        <v>26800.874999999989</v>
      </c>
      <c r="R82" s="88">
        <f>D82*E82*(F82*M82+'CASTILLOS-PA'!G82*FY*2)</f>
        <v>30028.859999999993</v>
      </c>
      <c r="S82" s="88">
        <f t="shared" si="19"/>
        <v>21440.699999999993</v>
      </c>
      <c r="T82" s="88">
        <f t="shared" si="20"/>
        <v>21440.699999999993</v>
      </c>
      <c r="U82" s="536">
        <f>D82*(0.7*$G$24*(B82*C82)+2000*'MUR.CONC-PA'!K82)</f>
        <v>416902.49999999994</v>
      </c>
      <c r="V82" s="544">
        <f>IF(AND('CG. MPA'!E82="TABIQUE",'CG. MPA'!F82="HUECO"),Q82,0)</f>
        <v>0</v>
      </c>
      <c r="W82" s="544">
        <f>IF(AND('CG. MPA'!D82="CONFINADO",'CG. MPA'!E82="TABIQUE",'CG. MPA'!F82="MACIZO"),'RMCV.PA'!R82,IF(AND('CG. MPA'!D82="CONFINADO",'CG. MPA'!E82="TABICON",'CG. MPA'!F82="MACIZO"),'RMCV.PA'!R82,IF(AND('CG. MPA'!D82="CONFINADO",'CG. MPA'!E82="LIGERO",'CG. MPA'!F82="MACIZO"),'RMCV.PA'!R82,0)))</f>
        <v>30028.859999999993</v>
      </c>
      <c r="X82" s="544">
        <f>IF(AND('CG. MPA'!D82="NO CONFINADO",'CG. MPA'!E82="TABIQUE",'CG. MPA'!F82="MACIZO"),S82,IF(AND('CG. MPA'!D82="NO CONFINADO",'CG. MPA'!E82="TABICON",'CG. MPA'!F82="MACIZO"),S82,IF(AND('CG. MPA'!D82="NO CONFINADO",'CG. MPA'!E82="LIGERO",'CG. MPA'!F82="MACIZO"),S82,0)))</f>
        <v>0</v>
      </c>
      <c r="Y82" s="544">
        <f>IF('CG. MPA'!E82="ADOBE",'RMCV.PA'!T82,0)</f>
        <v>0</v>
      </c>
      <c r="Z82" s="544">
        <f>IF('CG. MPA'!E82="CONCRETO",'RMCV.PA'!U82,0)</f>
        <v>0</v>
      </c>
      <c r="AA82" s="93">
        <f t="shared" si="21"/>
        <v>3.125</v>
      </c>
      <c r="AB82" s="428">
        <v>0.8</v>
      </c>
      <c r="AC82" s="4">
        <f>(1-2*AA82/C82)*(1-(AB82*'CG. MPA'!C82*10/(30*C82))^2)</f>
        <v>0.58188793415637852</v>
      </c>
      <c r="AD82" s="350">
        <f>(1-(2*AA82/C82))*(1-(AB82*'CG. MPA'!C82*10/(30*C82))^2)*(1-('CG. MPA'!C82*10/B82))+('CG. MPA'!C82*10/B82)</f>
        <v>0.62611588218668224</v>
      </c>
      <c r="AE82" s="429">
        <f t="shared" si="22"/>
        <v>0.62611588218668224</v>
      </c>
    </row>
    <row r="83" spans="1:31">
      <c r="A83" s="684">
        <f>'CG. MPA'!A83</f>
        <v>4</v>
      </c>
      <c r="B83" s="975">
        <f>'CG. MPA'!B83*100</f>
        <v>384.99999999999994</v>
      </c>
      <c r="C83" s="68">
        <f>'ELEM. MECA.'!S210</f>
        <v>15</v>
      </c>
      <c r="D83" s="38">
        <f>IF(AND('CG. MPA'!D83="CONFINADO",'CG. MPA'!E83="CONCRETO"),0.8,IF('CG. MPA'!D83="NO CONFINADO",0.3,0.6))</f>
        <v>0.8</v>
      </c>
      <c r="E83" s="68">
        <v>0.6</v>
      </c>
      <c r="F83" s="38">
        <f>IF('CG. MPA'!E83="CONCRETO",G83,'RMCV.PA'!H83+'RMCV.PA'!I83+'RMCV.PA'!J83+K83+L83)</f>
        <v>150</v>
      </c>
      <c r="G83" s="542">
        <f>IF('CG. MPA'!E83="CONCRETO",0.6*$G$24,0)</f>
        <v>150</v>
      </c>
      <c r="H83" s="38">
        <f>IF(AND('CG. MPA'!E83="TABIQUE",'CG. MPA'!F83="MACIZO"),15,0)</f>
        <v>0</v>
      </c>
      <c r="I83" s="38">
        <f>IF(AND('CG. MPA'!E83="TABIQUE",'CG. MPA'!F83="HUECO"),IF(E20="III",30,40),0)</f>
        <v>0</v>
      </c>
      <c r="J83" s="575">
        <f>IF('CG. MPA'!E83="TABICON",IF(E20="I",20,15),0)</f>
        <v>0</v>
      </c>
      <c r="K83" s="575">
        <f>IF('CG. MPA'!E83="ADOBE",10,0)</f>
        <v>0</v>
      </c>
      <c r="L83" s="575">
        <f>IF('CG. MPA'!E83="LIGERO",10,0)</f>
        <v>0</v>
      </c>
      <c r="M83" s="576">
        <f>B83*C83</f>
        <v>5774.9999999999991</v>
      </c>
      <c r="N83" s="918">
        <f>ABS('ELEM. MECA.'!M210)</f>
        <v>91112.978175861062</v>
      </c>
      <c r="O83" s="919">
        <f>IF(AND('CG. MPA'!E83="TABIQUE",'CG. MPA'!F83="HUECO"),V83,IF(AND('CG. MPA'!D83="CONFINADO",'CG. MPA'!E83="TABIQUE",'CG. MPA'!F83="MACIZO"),'RMCV.PA'!W83,IF(AND('CG. MPA'!D83="CONFINADO",'CG. MPA'!E83="TABICON",'CG. MPA'!F83="MACIZO"),'RMCV.PA'!W83,IF(AND('CG. MPA'!D83="CONFINADO",'CG. MPA'!E83="LIGERO",'CG. MPA'!F83="MACIZO"),'RMCV.PA'!W83,IF(AND('CG. MPA'!D83="NO CONFINADO",'CG. MPA'!E83="TABIQUE",'CG. MPA'!F83="MACIZO"),X83,IF(AND('CG. MPA'!D83="NO CONFINADO",'CG. MPA'!E83="TABICON",'CG. MPA'!F83="MACIZO"),X83,IF(AND('CG. MPA'!D83="NO CONFINADO",'CG. MPA'!E83="LIGERO",'CG. MPA'!F83="MACIZO"),X83,IF('CG. MPA'!E83="ADOBE",'RMCV.PA'!Y83,Z83))))))))</f>
        <v>832856.99820415955</v>
      </c>
      <c r="P83" s="685" t="str">
        <f>IF(N83&gt;O83,"NO PASA","PASA")</f>
        <v>PASA</v>
      </c>
      <c r="Q83" s="88">
        <f>IF(D83*E83*(F83*M83+'CASTILLOS-PA'!W83*FY)&gt;1.25*D83*E83*F83*M83,1.25*D83*E83*F83*M83,D83*E83*(F83*M83+'CASTILLOS-PA'!W83*FY))</f>
        <v>434407.67999999993</v>
      </c>
      <c r="R83" s="88">
        <f>D83*E83*(F83*M83+'CASTILLOS-PA'!G83*FY*2)</f>
        <v>427250.87999999995</v>
      </c>
      <c r="S83" s="88">
        <f t="shared" si="19"/>
        <v>415799.99999999994</v>
      </c>
      <c r="T83" s="88">
        <f t="shared" si="20"/>
        <v>415799.99999999994</v>
      </c>
      <c r="U83" s="536">
        <f>D83*(0.7*$G$24*(B83*C83)+2000*'MUR.CONC-PA'!K83)</f>
        <v>832856.99820415955</v>
      </c>
      <c r="V83" s="544">
        <f>IF(AND('CG. MPA'!E83="TABIQUE",'CG. MPA'!F83="HUECO"),Q83,0)</f>
        <v>0</v>
      </c>
      <c r="W83" s="544">
        <f>IF(AND('CG. MPA'!D83="CONFINADO",'CG. MPA'!E83="TABIQUE",'CG. MPA'!F83="MACIZO"),'RMCV.PA'!R83,IF(AND('CG. MPA'!D83="CONFINADO",'CG. MPA'!E83="TABICON",'CG. MPA'!F83="MACIZO"),'RMCV.PA'!R83,IF(AND('CG. MPA'!D83="CONFINADO",'CG. MPA'!E83="LIGERO",'CG. MPA'!F83="MACIZO"),'RMCV.PA'!R83,0)))</f>
        <v>0</v>
      </c>
      <c r="X83" s="544">
        <f>IF(AND('CG. MPA'!D83="NO CONFINADO",'CG. MPA'!E83="TABIQUE",'CG. MPA'!F83="MACIZO"),S83,IF(AND('CG. MPA'!D83="NO CONFINADO",'CG. MPA'!E83="TABICON",'CG. MPA'!F83="MACIZO"),S83,IF(AND('CG. MPA'!D83="NO CONFINADO",'CG. MPA'!E83="LIGERO",'CG. MPA'!F83="MACIZO"),S83,0)))</f>
        <v>0</v>
      </c>
      <c r="Y83" s="544">
        <f>IF('CG. MPA'!E83="ADOBE",'RMCV.PA'!T83,0)</f>
        <v>0</v>
      </c>
      <c r="Z83" s="544">
        <f>IF('CG. MPA'!E83="CONCRETO",'RMCV.PA'!U83,0)</f>
        <v>832856.99820415955</v>
      </c>
      <c r="AA83" s="93">
        <f t="shared" si="21"/>
        <v>3.125</v>
      </c>
      <c r="AB83" s="428">
        <v>0.8</v>
      </c>
      <c r="AC83" s="4">
        <f>(1-2*AA83/C83)*(1-(AB83*'CG. MPA'!C83*10/(30*C83))^2)</f>
        <v>0.58188793415637852</v>
      </c>
      <c r="AD83" s="350">
        <f>(1-(2*AA83/C83))*(1-(AB83*'CG. MPA'!C83*10/(30*C83))^2)*(1-('CG. MPA'!C83*10/B83))+('CG. MPA'!C83*10/B83)</f>
        <v>0.61229608439955097</v>
      </c>
      <c r="AE83" s="429">
        <f t="shared" si="22"/>
        <v>0.61229608439955097</v>
      </c>
    </row>
    <row r="84" spans="1:31">
      <c r="A84" s="684">
        <f>'CG. MPA'!A84</f>
        <v>5</v>
      </c>
      <c r="B84" s="975">
        <f>'CG. MPA'!B84*100</f>
        <v>59.200000000000053</v>
      </c>
      <c r="C84" s="68">
        <f>'ELEM. MECA.'!S211</f>
        <v>15</v>
      </c>
      <c r="D84" s="38">
        <f>IF(AND('CG. MPA'!D84="CONFINADO",'CG. MPA'!E84="CONCRETO"),0.8,IF('CG. MPA'!D84="NO CONFINADO",0.3,0.6))</f>
        <v>0.8</v>
      </c>
      <c r="E84" s="68">
        <v>0.6</v>
      </c>
      <c r="F84" s="38">
        <f>IF('CG. MPA'!E84="CONCRETO",G84,'RMCV.PA'!H84+'RMCV.PA'!I84+'RMCV.PA'!J84+K84+L84)</f>
        <v>150</v>
      </c>
      <c r="G84" s="542">
        <f>IF('CG. MPA'!E84="CONCRETO",0.6*$G$24,0)</f>
        <v>150</v>
      </c>
      <c r="H84" s="38">
        <f>IF(AND('CG. MPA'!E84="TABIQUE",'CG. MPA'!F84="MACIZO"),15,0)</f>
        <v>0</v>
      </c>
      <c r="I84" s="38">
        <f>IF(AND('CG. MPA'!E84="TABIQUE",'CG. MPA'!F84="HUECO"),IF(E21="III",30,40),0)</f>
        <v>0</v>
      </c>
      <c r="J84" s="575">
        <f>IF('CG. MPA'!E84="TABICON",IF(E21="I",20,15),0)</f>
        <v>0</v>
      </c>
      <c r="K84" s="575">
        <f>IF('CG. MPA'!E84="ADOBE",10,0)</f>
        <v>0</v>
      </c>
      <c r="L84" s="575">
        <f>IF('CG. MPA'!E84="LIGERO",10,0)</f>
        <v>0</v>
      </c>
      <c r="M84" s="576">
        <f>B84*C84</f>
        <v>888.0000000000008</v>
      </c>
      <c r="N84" s="918">
        <f>ABS('ELEM. MECA.'!M211)</f>
        <v>16730.372403798465</v>
      </c>
      <c r="O84" s="919">
        <f>IF(AND('CG. MPA'!E84="TABIQUE",'CG. MPA'!F84="HUECO"),V84,IF(AND('CG. MPA'!D84="CONFINADO",'CG. MPA'!E84="TABIQUE",'CG. MPA'!F84="MACIZO"),'RMCV.PA'!W84,IF(AND('CG. MPA'!D84="CONFINADO",'CG. MPA'!E84="TABICON",'CG. MPA'!F84="MACIZO"),'RMCV.PA'!W84,IF(AND('CG. MPA'!D84="CONFINADO",'CG. MPA'!E84="LIGERO",'CG. MPA'!F84="MACIZO"),'RMCV.PA'!W84,IF(AND('CG. MPA'!D84="NO CONFINADO",'CG. MPA'!E84="TABIQUE",'CG. MPA'!F84="MACIZO"),X84,IF(AND('CG. MPA'!D84="NO CONFINADO",'CG. MPA'!E84="TABICON",'CG. MPA'!F84="MACIZO"),X84,IF(AND('CG. MPA'!D84="NO CONFINADO",'CG. MPA'!E84="LIGERO",'CG. MPA'!F84="MACIZO"),X84,IF('CG. MPA'!E84="ADOBE",'RMCV.PA'!Y84,Z84))))))))</f>
        <v>127889.80643672275</v>
      </c>
      <c r="P84" s="685" t="str">
        <f>IF(N84&gt;O84,"NO PASA","PASA")</f>
        <v>PASA</v>
      </c>
      <c r="Q84" s="88">
        <f>IF(D84*E84*(F84*M84+'CASTILLOS-PA'!W84*FY)&gt;1.25*D84*E84*F84*M84,1.25*D84*E84*F84*M84,D84*E84*(F84*M84+'CASTILLOS-PA'!W84*FY))</f>
        <v>75386.880000000048</v>
      </c>
      <c r="R84" s="88">
        <f>D84*E84*(F84*M84+'CASTILLOS-PA'!G84*FY*2)</f>
        <v>75386.880000000048</v>
      </c>
      <c r="S84" s="88">
        <f t="shared" si="19"/>
        <v>63936.000000000058</v>
      </c>
      <c r="T84" s="88">
        <f t="shared" si="20"/>
        <v>63936.000000000058</v>
      </c>
      <c r="U84" s="536">
        <f>D84*(0.7*$G$24*(B84*C84)+2000*'MUR.CONC-PA'!K84)</f>
        <v>127889.80643672275</v>
      </c>
      <c r="V84" s="544">
        <f>IF(AND('CG. MPA'!E84="TABIQUE",'CG. MPA'!F84="HUECO"),Q84,0)</f>
        <v>0</v>
      </c>
      <c r="W84" s="544">
        <f>IF(AND('CG. MPA'!D84="CONFINADO",'CG. MPA'!E84="TABIQUE",'CG. MPA'!F84="MACIZO"),'RMCV.PA'!R84,IF(AND('CG. MPA'!D84="CONFINADO",'CG. MPA'!E84="TABICON",'CG. MPA'!F84="MACIZO"),'RMCV.PA'!R84,IF(AND('CG. MPA'!D84="CONFINADO",'CG. MPA'!E84="LIGERO",'CG. MPA'!F84="MACIZO"),'RMCV.PA'!R84,0)))</f>
        <v>0</v>
      </c>
      <c r="X84" s="544">
        <f>IF(AND('CG. MPA'!D84="NO CONFINADO",'CG. MPA'!E84="TABIQUE",'CG. MPA'!F84="MACIZO"),S84,IF(AND('CG. MPA'!D84="NO CONFINADO",'CG. MPA'!E84="TABICON",'CG. MPA'!F84="MACIZO"),S84,IF(AND('CG. MPA'!D84="NO CONFINADO",'CG. MPA'!E84="LIGERO",'CG. MPA'!F84="MACIZO"),S84,0)))</f>
        <v>0</v>
      </c>
      <c r="Y84" s="544">
        <f>IF('CG. MPA'!E84="ADOBE",'RMCV.PA'!T84,0)</f>
        <v>0</v>
      </c>
      <c r="Z84" s="544">
        <f>IF('CG. MPA'!E84="CONCRETO",'RMCV.PA'!U84,0)</f>
        <v>127889.80643672275</v>
      </c>
      <c r="AA84" s="93">
        <f t="shared" ref="AA84:AA129" si="23">C84/2-(C84/3)+C84/24</f>
        <v>3.125</v>
      </c>
      <c r="AB84" s="428">
        <v>0.8</v>
      </c>
      <c r="AC84" s="4">
        <f>(1-2*AA84/C84)*(1-(AB84*'CG. MPA'!C84*10/(30*C84))^2)</f>
        <v>0.58188793415637852</v>
      </c>
      <c r="AD84" s="350">
        <f>(1-(2*AA84/C84))*(1-(AB84*'CG. MPA'!C84*10/(30*C84))^2)*(1-('CG. MPA'!C84*10/B84))+('CG. MPA'!C84*10/B84)</f>
        <v>0.77964364097430738</v>
      </c>
      <c r="AE84" s="429">
        <f t="shared" ref="AE84:AE129" si="24">IF(AD84&gt;0.9,0.9,AD84)</f>
        <v>0.77964364097430738</v>
      </c>
    </row>
    <row r="85" spans="1:31">
      <c r="A85" s="684">
        <f>'CG. MPA'!A85</f>
        <v>6</v>
      </c>
      <c r="B85" s="975">
        <f>'CG. MPA'!B85*100</f>
        <v>102.54999999999994</v>
      </c>
      <c r="C85" s="68">
        <f>'ELEM. MECA.'!S212</f>
        <v>15</v>
      </c>
      <c r="D85" s="38">
        <f>IF(AND('CG. MPA'!D85="CONFINADO",'CG. MPA'!E85="CONCRETO"),0.8,IF('CG. MPA'!D85="NO CONFINADO",0.3,0.6))</f>
        <v>0.8</v>
      </c>
      <c r="E85" s="68">
        <v>0.6</v>
      </c>
      <c r="F85" s="38">
        <f>IF('CG. MPA'!E85="CONCRETO",G85,'RMCV.PA'!H85+'RMCV.PA'!I85+'RMCV.PA'!J85+K85+L85)</f>
        <v>150</v>
      </c>
      <c r="G85" s="971">
        <f>IF('CG. MPA'!E85="CONCRETO",0.6*$G$24,0)</f>
        <v>150</v>
      </c>
      <c r="H85" s="38">
        <f>IF(AND('CG. MPA'!E85="TABIQUE",'CG. MPA'!F85="MACIZO"),15,0)</f>
        <v>0</v>
      </c>
      <c r="I85" s="38">
        <f>IF(AND('CG. MPA'!E85="TABIQUE",'CG. MPA'!F85="HUECO"),IF(E22="III",30,40),0)</f>
        <v>0</v>
      </c>
      <c r="J85" s="575">
        <f>IF('CG. MPA'!E85="TABICON",IF(E22="I",20,15),0)</f>
        <v>0</v>
      </c>
      <c r="K85" s="575">
        <f>IF('CG. MPA'!E85="ADOBE",10,0)</f>
        <v>0</v>
      </c>
      <c r="L85" s="575">
        <f>IF('CG. MPA'!E85="LIGERO",10,0)</f>
        <v>0</v>
      </c>
      <c r="M85" s="576">
        <f>B85*C85</f>
        <v>1538.2499999999991</v>
      </c>
      <c r="N85" s="918">
        <f>ABS('ELEM. MECA.'!M212)</f>
        <v>11929.363215726065</v>
      </c>
      <c r="O85" s="919">
        <f>IF(AND('CG. MPA'!E85="TABIQUE",'CG. MPA'!F85="HUECO"),V85,IF(AND('CG. MPA'!D85="CONFINADO",'CG. MPA'!E85="TABIQUE",'CG. MPA'!F85="MACIZO"),'RMCV.PA'!W85,IF(AND('CG. MPA'!D85="CONFINADO",'CG. MPA'!E85="TABICON",'CG. MPA'!F85="MACIZO"),'RMCV.PA'!W85,IF(AND('CG. MPA'!D85="CONFINADO",'CG. MPA'!E85="LIGERO",'CG. MPA'!F85="MACIZO"),'RMCV.PA'!W85,IF(AND('CG. MPA'!D85="NO CONFINADO",'CG. MPA'!E85="TABIQUE",'CG. MPA'!F85="MACIZO"),X85,IF(AND('CG. MPA'!D85="NO CONFINADO",'CG. MPA'!E85="TABICON",'CG. MPA'!F85="MACIZO"),X85,IF(AND('CG. MPA'!D85="NO CONFINADO",'CG. MPA'!E85="LIGERO",'CG. MPA'!F85="MACIZO"),X85,IF('CG. MPA'!E85="ADOBE",'RMCV.PA'!Y85,Z85))))))))</f>
        <v>224880.07717240506</v>
      </c>
      <c r="P85" s="685" t="str">
        <f>IF(N85&gt;O85,"NO PASA","PASA")</f>
        <v>PASA</v>
      </c>
      <c r="Q85" s="88">
        <f>IF(D85*E85*(F85*M85+'CASTILLOS-PA'!W85*FY)&gt;1.25*D85*E85*F85*M85,1.25*D85*E85*F85*M85,D85*E85*(F85*M85+'CASTILLOS-PA'!W85*FY))</f>
        <v>123636.23999999993</v>
      </c>
      <c r="R85" s="88">
        <f>D85*E85*(F85*M85+'CASTILLOS-PA'!G85*FY*2)</f>
        <v>122204.87999999993</v>
      </c>
      <c r="S85" s="88">
        <f t="shared" si="19"/>
        <v>110753.99999999994</v>
      </c>
      <c r="T85" s="88">
        <f t="shared" si="20"/>
        <v>110753.99999999994</v>
      </c>
      <c r="U85" s="536">
        <f>D85*(0.7*$G$24*(B85*C85)+2000*'MUR.CONC-PA'!K85)</f>
        <v>224880.07717240506</v>
      </c>
      <c r="V85" s="544">
        <f>IF(AND('CG. MPA'!E85="TABIQUE",'CG. MPA'!F85="HUECO"),Q85,0)</f>
        <v>0</v>
      </c>
      <c r="W85" s="544">
        <f>IF(AND('CG. MPA'!D85="CONFINADO",'CG. MPA'!E85="TABIQUE",'CG. MPA'!F85="MACIZO"),'RMCV.PA'!R85,IF(AND('CG. MPA'!D85="CONFINADO",'CG. MPA'!E85="TABICON",'CG. MPA'!F85="MACIZO"),'RMCV.PA'!R85,IF(AND('CG. MPA'!D85="CONFINADO",'CG. MPA'!E85="LIGERO",'CG. MPA'!F85="MACIZO"),'RMCV.PA'!R85,0)))</f>
        <v>0</v>
      </c>
      <c r="X85" s="544">
        <f>IF(AND('CG. MPA'!D85="NO CONFINADO",'CG. MPA'!E85="TABIQUE",'CG. MPA'!F85="MACIZO"),S85,IF(AND('CG. MPA'!D85="NO CONFINADO",'CG. MPA'!E85="TABICON",'CG. MPA'!F85="MACIZO"),S85,IF(AND('CG. MPA'!D85="NO CONFINADO",'CG. MPA'!E85="LIGERO",'CG. MPA'!F85="MACIZO"),S85,0)))</f>
        <v>0</v>
      </c>
      <c r="Y85" s="544">
        <f>IF('CG. MPA'!E85="ADOBE",'RMCV.PA'!T85,0)</f>
        <v>0</v>
      </c>
      <c r="Z85" s="544">
        <f>IF('CG. MPA'!E85="CONCRETO",'RMCV.PA'!U85,0)</f>
        <v>224880.07717240506</v>
      </c>
      <c r="AA85" s="93">
        <f t="shared" si="23"/>
        <v>3.125</v>
      </c>
      <c r="AB85" s="428">
        <v>0.8</v>
      </c>
      <c r="AC85" s="4">
        <f>(1-2*AA85/C85)*(1-(AB85*'CG. MPA'!C85*10/(30*C85))^2)</f>
        <v>0.58188793415637852</v>
      </c>
      <c r="AD85" s="350">
        <f>(1-(2*AA85/C85))*(1-(AB85*'CG. MPA'!C85*10/(30*C85))^2)*(1-('CG. MPA'!C85*10/B85))+('CG. MPA'!C85*10/B85)</f>
        <v>0.69604822517170184</v>
      </c>
      <c r="AE85" s="429">
        <f t="shared" si="24"/>
        <v>0.69604822517170184</v>
      </c>
    </row>
    <row r="86" spans="1:31">
      <c r="A86" s="684">
        <f>'CG. MPA'!A86</f>
        <v>7</v>
      </c>
      <c r="B86" s="975">
        <f>'CG. MPA'!B86*100</f>
        <v>341.5</v>
      </c>
      <c r="C86" s="68">
        <f>'ELEM. MECA.'!S213</f>
        <v>15</v>
      </c>
      <c r="D86" s="38">
        <f>IF(AND('CG. MPA'!D86="CONFINADO",'CG. MPA'!E86="CONCRETO"),0.8,IF('CG. MPA'!D86="NO CONFINADO",0.3,0.6))</f>
        <v>0.6</v>
      </c>
      <c r="E86" s="68">
        <v>0.6</v>
      </c>
      <c r="F86" s="38">
        <f>IF('CG. MPA'!E86="CONCRETO",G86,'RMCV.PA'!H86+'RMCV.PA'!I86+'RMCV.PA'!J86+K86+L86)</f>
        <v>15</v>
      </c>
      <c r="G86" s="970">
        <f>IF('CG. MPA'!E86="CONCRETO",0.6*$G$24,0)</f>
        <v>0</v>
      </c>
      <c r="H86" s="38">
        <f>IF(AND('CG. MPA'!E86="TABIQUE",'CG. MPA'!F86="MACIZO"),15,0)</f>
        <v>0</v>
      </c>
      <c r="I86" s="38">
        <f>IF(AND('CG. MPA'!E86="TABIQUE",'CG. MPA'!F86="HUECO"),IF(E23="III",30,40),0)</f>
        <v>0</v>
      </c>
      <c r="J86" s="575">
        <f>IF('CG. MPA'!E86="TABICON",IF(E23="I",20,15),0)</f>
        <v>15</v>
      </c>
      <c r="K86" s="575">
        <f>IF('CG. MPA'!E86="ADOBE",10,0)</f>
        <v>0</v>
      </c>
      <c r="L86" s="575">
        <f>IF('CG. MPA'!E86="LIGERO",10,0)</f>
        <v>0</v>
      </c>
      <c r="M86" s="576">
        <f>B86*C86</f>
        <v>5122.5</v>
      </c>
      <c r="N86" s="918">
        <f>ABS('ELEM. MECA.'!M213)</f>
        <v>6397.7663827838787</v>
      </c>
      <c r="O86" s="919">
        <f>IF(AND('CG. MPA'!E86="TABIQUE",'CG. MPA'!F86="HUECO"),V86,IF(AND('CG. MPA'!D86="CONFINADO",'CG. MPA'!E86="TABIQUE",'CG. MPA'!F86="MACIZO"),'RMCV.PA'!W86,IF(AND('CG. MPA'!D86="CONFINADO",'CG. MPA'!E86="TABICON",'CG. MPA'!F86="MACIZO"),'RMCV.PA'!W86,IF(AND('CG. MPA'!D86="CONFINADO",'CG. MPA'!E86="LIGERO",'CG. MPA'!F86="MACIZO"),'RMCV.PA'!W86,IF(AND('CG. MPA'!D86="NO CONFINADO",'CG. MPA'!E86="TABIQUE",'CG. MPA'!F86="MACIZO"),X86,IF(AND('CG. MPA'!D86="NO CONFINADO",'CG. MPA'!E86="TABICON",'CG. MPA'!F86="MACIZO"),X86,IF(AND('CG. MPA'!D86="NO CONFINADO",'CG. MPA'!E86="LIGERO",'CG. MPA'!F86="MACIZO"),X86,IF('CG. MPA'!E86="ADOBE",'RMCV.PA'!Y86,Z86))))))))</f>
        <v>36249.659999999996</v>
      </c>
      <c r="P86" s="685" t="str">
        <f>IF(N86&gt;O86,"NO PASA","PASA")</f>
        <v>PASA</v>
      </c>
      <c r="Q86" s="88">
        <f>IF(D86*E86*(F86*M86+'CASTILLOS-PA'!W86*FY)&gt;1.25*D86*E86*F86*M86,1.25*D86*E86*F86*M86,D86*E86*(F86*M86+'CASTILLOS-PA'!W86*FY))</f>
        <v>34576.874999999993</v>
      </c>
      <c r="R86" s="88">
        <f>D86*E86*(F86*M86+'CASTILLOS-PA'!G86*FY*2)</f>
        <v>36249.659999999996</v>
      </c>
      <c r="S86" s="88">
        <f t="shared" si="19"/>
        <v>27661.499999999996</v>
      </c>
      <c r="T86" s="88">
        <f t="shared" si="20"/>
        <v>27661.499999999996</v>
      </c>
      <c r="U86" s="536">
        <f>D86*(0.7*$G$24*(B86*C86)+2000*'MUR.CONC-PA'!K86)</f>
        <v>537862.5</v>
      </c>
      <c r="V86" s="544">
        <f>IF(AND('CG. MPA'!E86="TABIQUE",'CG. MPA'!F86="HUECO"),Q86,0)</f>
        <v>0</v>
      </c>
      <c r="W86" s="544">
        <f>IF(AND('CG. MPA'!D86="CONFINADO",'CG. MPA'!E86="TABIQUE",'CG. MPA'!F86="MACIZO"),'RMCV.PA'!R86,IF(AND('CG. MPA'!D86="CONFINADO",'CG. MPA'!E86="TABICON",'CG. MPA'!F86="MACIZO"),'RMCV.PA'!R86,IF(AND('CG. MPA'!D86="CONFINADO",'CG. MPA'!E86="LIGERO",'CG. MPA'!F86="MACIZO"),'RMCV.PA'!R86,0)))</f>
        <v>36249.659999999996</v>
      </c>
      <c r="X86" s="544">
        <f>IF(AND('CG. MPA'!D86="NO CONFINADO",'CG. MPA'!E86="TABIQUE",'CG. MPA'!F86="MACIZO"),S86,IF(AND('CG. MPA'!D86="NO CONFINADO",'CG. MPA'!E86="TABICON",'CG. MPA'!F86="MACIZO"),S86,IF(AND('CG. MPA'!D86="NO CONFINADO",'CG. MPA'!E86="LIGERO",'CG. MPA'!F86="MACIZO"),S86,0)))</f>
        <v>0</v>
      </c>
      <c r="Y86" s="544">
        <f>IF('CG. MPA'!E86="ADOBE",'RMCV.PA'!T86,0)</f>
        <v>0</v>
      </c>
      <c r="Z86" s="544">
        <f>IF('CG. MPA'!E86="CONCRETO",'RMCV.PA'!U86,0)</f>
        <v>0</v>
      </c>
      <c r="AA86" s="93">
        <f t="shared" si="23"/>
        <v>3.125</v>
      </c>
      <c r="AB86" s="428">
        <v>0.8</v>
      </c>
      <c r="AC86" s="4">
        <f>(1-2*AA86/C86)*(1-(AB86*'CG. MPA'!C86*10/(30*C86))^2)</f>
        <v>0.58188793415637852</v>
      </c>
      <c r="AD86" s="350">
        <f>(1-(2*AA86/C86))*(1-(AB86*'CG. MPA'!C86*10/(30*C86))^2)*(1-('CG. MPA'!C86*10/B86))+('CG. MPA'!C86*10/B86)</f>
        <v>0.61616945053594341</v>
      </c>
      <c r="AE86" s="429">
        <f t="shared" si="24"/>
        <v>0.61616945053594341</v>
      </c>
    </row>
    <row r="87" spans="1:31">
      <c r="A87" s="684">
        <f>'CG. MPA'!A87</f>
        <v>8</v>
      </c>
      <c r="B87" s="975">
        <f>'CG. MPA'!B87*100</f>
        <v>0</v>
      </c>
      <c r="C87" s="68" t="str">
        <f>'ELEM. MECA.'!S214</f>
        <v>-</v>
      </c>
      <c r="D87" s="38">
        <f>IF(AND('CG. MPA'!D87="CONFINADO",'CG. MPA'!E87="CONCRETO"),0.8,IF('CG. MPA'!D87="NO CONFINADO",0.3,0.6))</f>
        <v>0.6</v>
      </c>
      <c r="E87" s="68">
        <v>0.6</v>
      </c>
      <c r="F87" s="38">
        <f>IF('CG. MPA'!E87="CONCRETO",G87,'RMCV.PA'!H87+'RMCV.PA'!I87+'RMCV.PA'!J87+K87+L87)</f>
        <v>0</v>
      </c>
      <c r="G87" s="542">
        <f>IF('CG. MPA'!E87="CONCRETO",0.6*$G$24,0)</f>
        <v>0</v>
      </c>
      <c r="H87" s="38">
        <f>IF(AND('CG. MPA'!E87="TABIQUE",'CG. MPA'!F87="MACIZO"),15,0)</f>
        <v>0</v>
      </c>
      <c r="I87" s="38">
        <f>IF(AND('CG. MPA'!E87="TABIQUE",'CG. MPA'!F87="HUECO"),IF(E24="III",30,40),0)</f>
        <v>0</v>
      </c>
      <c r="J87" s="575">
        <f>IF('CG. MPA'!E87="TABICON",IF(E24="I",20,15),0)</f>
        <v>0</v>
      </c>
      <c r="K87" s="575">
        <f>IF('CG. MPA'!E87="ADOBE",10,0)</f>
        <v>0</v>
      </c>
      <c r="L87" s="575">
        <f>IF('CG. MPA'!E87="LIGERO",10,0)</f>
        <v>0</v>
      </c>
      <c r="M87" s="576" t="e">
        <f t="shared" si="17"/>
        <v>#VALUE!</v>
      </c>
      <c r="N87" s="918" t="e">
        <f>ABS('ELEM. MECA.'!M214)</f>
        <v>#VALUE!</v>
      </c>
      <c r="O87" s="919">
        <f>IF(AND('CG. MPA'!E87="TABIQUE",'CG. MPA'!F87="HUECO"),V87,IF(AND('CG. MPA'!D87="CONFINADO",'CG. MPA'!E87="TABIQUE",'CG. MPA'!F87="MACIZO"),'RMCV.PA'!W87,IF(AND('CG. MPA'!D87="CONFINADO",'CG. MPA'!E87="TABICON",'CG. MPA'!F87="MACIZO"),'RMCV.PA'!W87,IF(AND('CG. MPA'!D87="CONFINADO",'CG. MPA'!E87="LIGERO",'CG. MPA'!F87="MACIZO"),'RMCV.PA'!W87,IF(AND('CG. MPA'!D87="NO CONFINADO",'CG. MPA'!E87="TABIQUE",'CG. MPA'!F87="MACIZO"),X87,IF(AND('CG. MPA'!D87="NO CONFINADO",'CG. MPA'!E87="TABICON",'CG. MPA'!F87="MACIZO"),X87,IF(AND('CG. MPA'!D87="NO CONFINADO",'CG. MPA'!E87="LIGERO",'CG. MPA'!F87="MACIZO"),X87,IF('CG. MPA'!E87="ADOBE",'RMCV.PA'!Y87,Z87))))))))</f>
        <v>0</v>
      </c>
      <c r="P87" s="685" t="e">
        <f t="shared" si="18"/>
        <v>#VALUE!</v>
      </c>
      <c r="Q87" s="88" t="e">
        <f>IF(D87*E87*(F87*M87+'CASTILLOS-PA'!W87*FY)&gt;1.25*D87*E87*F87*M87,1.25*D87*E87*F87*M87,D87*E87*(F87*M87+'CASTILLOS-PA'!W87*FY))</f>
        <v>#VALUE!</v>
      </c>
      <c r="R87" s="88" t="e">
        <f>D87*E87*(F87*M87+'CASTILLOS-PA'!G87*FY*2)</f>
        <v>#VALUE!</v>
      </c>
      <c r="S87" s="88" t="e">
        <f t="shared" si="19"/>
        <v>#VALUE!</v>
      </c>
      <c r="T87" s="88" t="e">
        <f t="shared" si="20"/>
        <v>#VALUE!</v>
      </c>
      <c r="U87" s="536" t="e">
        <f>D87*(0.7*$G$24*(B87*C87)+2000*'MUR.CONC-PA'!K87)</f>
        <v>#VALUE!</v>
      </c>
      <c r="V87" s="544">
        <f>IF(AND('CG. MPA'!E87="TABIQUE",'CG. MPA'!F87="HUECO"),Q87,0)</f>
        <v>0</v>
      </c>
      <c r="W87" s="544">
        <f>IF(AND('CG. MPA'!D87="CONFINADO",'CG. MPA'!E87="TABIQUE",'CG. MPA'!F87="MACIZO"),'RMCV.PA'!R87,IF(AND('CG. MPA'!D87="CONFINADO",'CG. MPA'!E87="TABICON",'CG. MPA'!F87="MACIZO"),'RMCV.PA'!R87,IF(AND('CG. MPA'!D87="CONFINADO",'CG. MPA'!E87="LIGERO",'CG. MPA'!F87="MACIZO"),'RMCV.PA'!R87,0)))</f>
        <v>0</v>
      </c>
      <c r="X87" s="544">
        <f>IF(AND('CG. MPA'!D87="NO CONFINADO",'CG. MPA'!E87="TABIQUE",'CG. MPA'!F87="MACIZO"),S87,IF(AND('CG. MPA'!D87="NO CONFINADO",'CG. MPA'!E87="TABICON",'CG. MPA'!F87="MACIZO"),S87,IF(AND('CG. MPA'!D87="NO CONFINADO",'CG. MPA'!E87="LIGERO",'CG. MPA'!F87="MACIZO"),S87,0)))</f>
        <v>0</v>
      </c>
      <c r="Y87" s="544">
        <f>IF('CG. MPA'!E87="ADOBE",'RMCV.PA'!T87,0)</f>
        <v>0</v>
      </c>
      <c r="Z87" s="544">
        <f>IF('CG. MPA'!E87="CONCRETO",'RMCV.PA'!U87,0)</f>
        <v>0</v>
      </c>
      <c r="AA87" s="93" t="e">
        <f t="shared" si="23"/>
        <v>#VALUE!</v>
      </c>
      <c r="AB87" s="428">
        <v>0.8</v>
      </c>
      <c r="AC87" s="4" t="e">
        <f>(1-2*AA87/C87)*(1-(AB87*'CG. MPA'!C87*10/(30*C87))^2)</f>
        <v>#VALUE!</v>
      </c>
      <c r="AD87" s="350" t="e">
        <f>(1-(2*AA87/C87))*(1-(AB87*'CG. MPA'!C87*10/(30*C87))^2)*(1-('CG. MPA'!C87*10/B87))+('CG. MPA'!C87*10/B87)</f>
        <v>#VALUE!</v>
      </c>
      <c r="AE87" s="429" t="e">
        <f t="shared" si="24"/>
        <v>#VALUE!</v>
      </c>
    </row>
    <row r="88" spans="1:31">
      <c r="A88" s="684">
        <f>'CG. MPA'!A88</f>
        <v>9</v>
      </c>
      <c r="B88" s="975">
        <f>'CG. MPA'!B88*100</f>
        <v>0</v>
      </c>
      <c r="C88" s="68" t="str">
        <f>'ELEM. MECA.'!S215</f>
        <v>-</v>
      </c>
      <c r="D88" s="38">
        <f>IF(AND('CG. MPA'!D88="CONFINADO",'CG. MPA'!E88="CONCRETO"),0.8,IF('CG. MPA'!D88="NO CONFINADO",0.3,0.6))</f>
        <v>0.6</v>
      </c>
      <c r="E88" s="68">
        <v>0.6</v>
      </c>
      <c r="F88" s="38">
        <f>IF('CG. MPA'!E88="CONCRETO",G88,'RMCV.PA'!H88+'RMCV.PA'!I88+'RMCV.PA'!J88+K88+L88)</f>
        <v>0</v>
      </c>
      <c r="G88" s="542">
        <f>IF('CG. MPA'!E88="CONCRETO",0.6*$G$24,0)</f>
        <v>0</v>
      </c>
      <c r="H88" s="38">
        <f>IF(AND('CG. MPA'!E88="TABIQUE",'CG. MPA'!F88="MACIZO"),15,0)</f>
        <v>0</v>
      </c>
      <c r="I88" s="38">
        <f>IF(AND('CG. MPA'!E88="TABIQUE",'CG. MPA'!F88="HUECO"),IF(E25="III",30,40),0)</f>
        <v>0</v>
      </c>
      <c r="J88" s="575">
        <f>IF('CG. MPA'!E88="TABICON",IF(E30="I",20,15),0)</f>
        <v>0</v>
      </c>
      <c r="K88" s="575">
        <f>IF('CG. MPA'!E88="ADOBE",10,0)</f>
        <v>0</v>
      </c>
      <c r="L88" s="575">
        <f>IF('CG. MPA'!E88="LIGERO",10,0)</f>
        <v>0</v>
      </c>
      <c r="M88" s="576" t="e">
        <f t="shared" si="17"/>
        <v>#VALUE!</v>
      </c>
      <c r="N88" s="918" t="e">
        <f>ABS('ELEM. MECA.'!M215)</f>
        <v>#VALUE!</v>
      </c>
      <c r="O88" s="919">
        <f>IF(AND('CG. MPA'!E88="TABIQUE",'CG. MPA'!F88="HUECO"),V88,IF(AND('CG. MPA'!D88="CONFINADO",'CG. MPA'!E88="TABIQUE",'CG. MPA'!F88="MACIZO"),'RMCV.PA'!W88,IF(AND('CG. MPA'!D88="CONFINADO",'CG. MPA'!E88="TABICON",'CG. MPA'!F88="MACIZO"),'RMCV.PA'!W88,IF(AND('CG. MPA'!D88="CONFINADO",'CG. MPA'!E88="LIGERO",'CG. MPA'!F88="MACIZO"),'RMCV.PA'!W88,IF(AND('CG. MPA'!D88="NO CONFINADO",'CG. MPA'!E88="TABIQUE",'CG. MPA'!F88="MACIZO"),X88,IF(AND('CG. MPA'!D88="NO CONFINADO",'CG. MPA'!E88="TABICON",'CG. MPA'!F88="MACIZO"),X88,IF(AND('CG. MPA'!D88="NO CONFINADO",'CG. MPA'!E88="LIGERO",'CG. MPA'!F88="MACIZO"),X88,IF('CG. MPA'!E88="ADOBE",'RMCV.PA'!Y88,Z88))))))))</f>
        <v>0</v>
      </c>
      <c r="P88" s="685" t="e">
        <f t="shared" si="18"/>
        <v>#VALUE!</v>
      </c>
      <c r="Q88" s="88" t="e">
        <f>IF(D88*E88*(F88*M88+'CASTILLOS-PA'!W88*FY)&gt;1.25*D88*E88*F88*M88,1.25*D88*E88*F88*M88,D88*E88*(F88*M88+'CASTILLOS-PA'!W88*FY))</f>
        <v>#VALUE!</v>
      </c>
      <c r="R88" s="88" t="e">
        <f>D88*E88*(F88*M88+'CASTILLOS-PA'!G88*FY*2)</f>
        <v>#VALUE!</v>
      </c>
      <c r="S88" s="88" t="e">
        <f t="shared" si="19"/>
        <v>#VALUE!</v>
      </c>
      <c r="T88" s="88" t="e">
        <f t="shared" si="20"/>
        <v>#VALUE!</v>
      </c>
      <c r="U88" s="536" t="e">
        <f>D88*(0.7*$G$24*(B88*C88)+2000*'MUR.CONC-PA'!K88)</f>
        <v>#VALUE!</v>
      </c>
      <c r="V88" s="544">
        <f>IF(AND('CG. MPA'!E88="TABIQUE",'CG. MPA'!F88="HUECO"),Q88,0)</f>
        <v>0</v>
      </c>
      <c r="W88" s="544">
        <f>IF(AND('CG. MPA'!D88="CONFINADO",'CG. MPA'!E88="TABIQUE",'CG. MPA'!F88="MACIZO"),'RMCV.PA'!R88,IF(AND('CG. MPA'!D88="CONFINADO",'CG. MPA'!E88="TABICON",'CG. MPA'!F88="MACIZO"),'RMCV.PA'!R88,IF(AND('CG. MPA'!D88="CONFINADO",'CG. MPA'!E88="LIGERO",'CG. MPA'!F88="MACIZO"),'RMCV.PA'!R88,0)))</f>
        <v>0</v>
      </c>
      <c r="X88" s="544">
        <f>IF(AND('CG. MPA'!D88="NO CONFINADO",'CG. MPA'!E88="TABIQUE",'CG. MPA'!F88="MACIZO"),S88,IF(AND('CG. MPA'!D88="NO CONFINADO",'CG. MPA'!E88="TABICON",'CG. MPA'!F88="MACIZO"),S88,IF(AND('CG. MPA'!D88="NO CONFINADO",'CG. MPA'!E88="LIGERO",'CG. MPA'!F88="MACIZO"),S88,0)))</f>
        <v>0</v>
      </c>
      <c r="Y88" s="544">
        <f>IF('CG. MPA'!E88="ADOBE",'RMCV.PA'!T88,0)</f>
        <v>0</v>
      </c>
      <c r="Z88" s="544">
        <f>IF('CG. MPA'!E88="CONCRETO",'RMCV.PA'!U88,0)</f>
        <v>0</v>
      </c>
      <c r="AA88" s="93" t="e">
        <f t="shared" si="23"/>
        <v>#VALUE!</v>
      </c>
      <c r="AB88" s="428">
        <v>0.8</v>
      </c>
      <c r="AC88" s="4" t="e">
        <f>(1-2*AA88/C88)*(1-(AB88*'CG. MPA'!C88*10/(30*C88))^2)</f>
        <v>#VALUE!</v>
      </c>
      <c r="AD88" s="350" t="e">
        <f>(1-(2*AA88/C88))*(1-(AB88*'CG. MPA'!C88*10/(30*C88))^2)*(1-('CG. MPA'!C88*10/B88))+('CG. MPA'!C88*10/B88)</f>
        <v>#VALUE!</v>
      </c>
      <c r="AE88" s="429" t="e">
        <f t="shared" si="24"/>
        <v>#VALUE!</v>
      </c>
    </row>
    <row r="89" spans="1:31">
      <c r="A89" s="684">
        <f>'CG. MPA'!A89</f>
        <v>10</v>
      </c>
      <c r="B89" s="975">
        <f>'CG. MPA'!B89*100</f>
        <v>0</v>
      </c>
      <c r="C89" s="68">
        <f>'ELEM. MECA.'!S216</f>
        <v>0</v>
      </c>
      <c r="D89" s="38">
        <f>IF(AND('CG. MPA'!D89="CONFINADO",'CG. MPA'!E89="CONCRETO"),0.8,IF('CG. MPA'!D89="NO CONFINADO",0.3,0.6))</f>
        <v>0.6</v>
      </c>
      <c r="E89" s="68">
        <v>0.6</v>
      </c>
      <c r="F89" s="38">
        <f>IF('CG. MPA'!E89="CONCRETO",G89,'RMCV.PA'!H89+'RMCV.PA'!I89+'RMCV.PA'!J89+K89+L89)</f>
        <v>0</v>
      </c>
      <c r="G89" s="542">
        <f>IF('CG. MPA'!E89="CONCRETO",0.6*$G$24,0)</f>
        <v>0</v>
      </c>
      <c r="H89" s="38">
        <f>IF(AND('CG. MPA'!E89="TABIQUE",'CG. MPA'!F89="MACIZO"),15,0)</f>
        <v>0</v>
      </c>
      <c r="I89" s="38">
        <f>IF(AND('CG. MPA'!E89="TABIQUE",'CG. MPA'!F89="HUECO"),IF(E26="III",30,40),0)</f>
        <v>0</v>
      </c>
      <c r="J89" s="575">
        <f>IF('CG. MPA'!E89="TABICON",IF(E31="I",20,15),0)</f>
        <v>0</v>
      </c>
      <c r="K89" s="575">
        <f>IF('CG. MPA'!E89="ADOBE",10,0)</f>
        <v>0</v>
      </c>
      <c r="L89" s="575">
        <f>IF('CG. MPA'!E89="LIGERO",10,0)</f>
        <v>0</v>
      </c>
      <c r="M89" s="576">
        <f>B89*C89</f>
        <v>0</v>
      </c>
      <c r="N89" s="918">
        <f>ABS('ELEM. MECA.'!M216)</f>
        <v>0</v>
      </c>
      <c r="O89" s="919">
        <f>IF(AND('CG. MPA'!E89="TABIQUE",'CG. MPA'!F89="HUECO"),V89,IF(AND('CG. MPA'!D89="CONFINADO",'CG. MPA'!E89="TABIQUE",'CG. MPA'!F89="MACIZO"),'RMCV.PA'!W89,IF(AND('CG. MPA'!D89="CONFINADO",'CG. MPA'!E89="TABICON",'CG. MPA'!F89="MACIZO"),'RMCV.PA'!W89,IF(AND('CG. MPA'!D89="CONFINADO",'CG. MPA'!E89="LIGERO",'CG. MPA'!F89="MACIZO"),'RMCV.PA'!W89,IF(AND('CG. MPA'!D89="NO CONFINADO",'CG. MPA'!E89="TABIQUE",'CG. MPA'!F89="MACIZO"),X89,IF(AND('CG. MPA'!D89="NO CONFINADO",'CG. MPA'!E89="TABICON",'CG. MPA'!F89="MACIZO"),X89,IF(AND('CG. MPA'!D89="NO CONFINADO",'CG. MPA'!E89="LIGERO",'CG. MPA'!F89="MACIZO"),X89,IF('CG. MPA'!E89="ADOBE",'RMCV.PA'!Y89,Z89))))))))</f>
        <v>0</v>
      </c>
      <c r="P89" s="685" t="str">
        <f>IF(N89&gt;O89,"NO PASA","PASA")</f>
        <v>PASA</v>
      </c>
      <c r="Q89" s="88" t="e">
        <f>IF(D89*E89*(F89*M89+'CASTILLOS-PA'!W89*FY)&gt;1.25*D89*E89*F89*M89,1.25*D89*E89*F89*M89,D89*E89*(F89*M89+'CASTILLOS-PA'!W89*FY))</f>
        <v>#DIV/0!</v>
      </c>
      <c r="R89" s="88">
        <f>D89*E89*(F89*M89+'CASTILLOS-PA'!G89*FY*2)</f>
        <v>8588.16</v>
      </c>
      <c r="S89" s="88">
        <f t="shared" si="19"/>
        <v>0</v>
      </c>
      <c r="T89" s="88">
        <f t="shared" si="20"/>
        <v>0</v>
      </c>
      <c r="U89" s="536">
        <f>D89*(0.7*$G$24*(B89*C89)+2000*'MUR.CONC-PA'!K89)</f>
        <v>0</v>
      </c>
      <c r="V89" s="544">
        <f>IF(AND('CG. MPA'!E89="TABIQUE",'CG. MPA'!F89="HUECO"),Q89,0)</f>
        <v>0</v>
      </c>
      <c r="W89" s="544">
        <f>IF(AND('CG. MPA'!D89="CONFINADO",'CG. MPA'!E89="TABIQUE",'CG. MPA'!F89="MACIZO"),'RMCV.PA'!R89,IF(AND('CG. MPA'!D89="CONFINADO",'CG. MPA'!E89="TABICON",'CG. MPA'!F89="MACIZO"),'RMCV.PA'!R89,IF(AND('CG. MPA'!D89="CONFINADO",'CG. MPA'!E89="LIGERO",'CG. MPA'!F89="MACIZO"),'RMCV.PA'!R89,0)))</f>
        <v>0</v>
      </c>
      <c r="X89" s="544">
        <f>IF(AND('CG. MPA'!D89="NO CONFINADO",'CG. MPA'!E89="TABIQUE",'CG. MPA'!F89="MACIZO"),S89,IF(AND('CG. MPA'!D89="NO CONFINADO",'CG. MPA'!E89="TABICON",'CG. MPA'!F89="MACIZO"),S89,IF(AND('CG. MPA'!D89="NO CONFINADO",'CG. MPA'!E89="LIGERO",'CG. MPA'!F89="MACIZO"),S89,0)))</f>
        <v>0</v>
      </c>
      <c r="Y89" s="544">
        <f>IF('CG. MPA'!E89="ADOBE",'RMCV.PA'!T89,0)</f>
        <v>0</v>
      </c>
      <c r="Z89" s="544">
        <f>IF('CG. MPA'!E89="CONCRETO",'RMCV.PA'!U89,0)</f>
        <v>0</v>
      </c>
      <c r="AA89" s="93">
        <f t="shared" si="23"/>
        <v>0</v>
      </c>
      <c r="AB89" s="428">
        <v>0.8</v>
      </c>
      <c r="AC89" s="4" t="e">
        <f>(1-2*AA89/C89)*(1-(AB89*'CG. MPA'!C89*10/(30*C89))^2)</f>
        <v>#DIV/0!</v>
      </c>
      <c r="AD89" s="350" t="e">
        <f>(1-(2*AA89/C89))*(1-(AB89*'CG. MPA'!C89*10/(30*C89))^2)*(1-('CG. MPA'!C89*10/B89))+('CG. MPA'!C89*10/B89)</f>
        <v>#DIV/0!</v>
      </c>
      <c r="AE89" s="429" t="e">
        <f t="shared" si="24"/>
        <v>#DIV/0!</v>
      </c>
    </row>
    <row r="90" spans="1:31">
      <c r="A90" s="684">
        <f>'CG. MPA'!A90</f>
        <v>11</v>
      </c>
      <c r="B90" s="975">
        <f>'CG. MPA'!B90*100</f>
        <v>0</v>
      </c>
      <c r="C90" s="68">
        <f>'ELEM. MECA.'!S217</f>
        <v>0</v>
      </c>
      <c r="D90" s="38">
        <f>IF(AND('CG. MPA'!D90="CONFINADO",'CG. MPA'!E90="CONCRETO"),0.8,IF('CG. MPA'!D90="NO CONFINADO",0.3,0.6))</f>
        <v>0.6</v>
      </c>
      <c r="E90" s="68">
        <v>0.6</v>
      </c>
      <c r="F90" s="38">
        <f>IF('CG. MPA'!E90="CONCRETO",G90,'RMCV.PA'!H90+'RMCV.PA'!I90+'RMCV.PA'!J90+K90+L90)</f>
        <v>0</v>
      </c>
      <c r="G90" s="542">
        <f>IF('CG. MPA'!E90="CONCRETO",0.6*$G$24,0)</f>
        <v>0</v>
      </c>
      <c r="H90" s="38">
        <f>IF(AND('CG. MPA'!E90="TABIQUE",'CG. MPA'!F90="MACIZO"),15,0)</f>
        <v>0</v>
      </c>
      <c r="I90" s="38">
        <f>IF(AND('CG. MPA'!E90="TABIQUE",'CG. MPA'!F90="HUECO"),IF(E27="III",30,40),0)</f>
        <v>0</v>
      </c>
      <c r="J90" s="575">
        <f>IF('CG. MPA'!E90="TABICON",IF(E32="I",20,15),0)</f>
        <v>0</v>
      </c>
      <c r="K90" s="575">
        <f>IF('CG. MPA'!E90="ADOBE",10,0)</f>
        <v>0</v>
      </c>
      <c r="L90" s="575">
        <f>IF('CG. MPA'!E90="LIGERO",10,0)</f>
        <v>0</v>
      </c>
      <c r="M90" s="576">
        <f t="shared" ref="M90:M127" si="25">B90*C90</f>
        <v>0</v>
      </c>
      <c r="N90" s="918">
        <f>ABS('ELEM. MECA.'!M217)</f>
        <v>0</v>
      </c>
      <c r="O90" s="919">
        <f>IF(AND('CG. MPA'!E90="TABIQUE",'CG. MPA'!F90="HUECO"),V90,IF(AND('CG. MPA'!D90="CONFINADO",'CG. MPA'!E90="TABIQUE",'CG. MPA'!F90="MACIZO"),'RMCV.PA'!W90,IF(AND('CG. MPA'!D90="CONFINADO",'CG. MPA'!E90="TABICON",'CG. MPA'!F90="MACIZO"),'RMCV.PA'!W90,IF(AND('CG. MPA'!D90="CONFINADO",'CG. MPA'!E90="LIGERO",'CG. MPA'!F90="MACIZO"),'RMCV.PA'!W90,IF(AND('CG. MPA'!D90="NO CONFINADO",'CG. MPA'!E90="TABIQUE",'CG. MPA'!F90="MACIZO"),X90,IF(AND('CG. MPA'!D90="NO CONFINADO",'CG. MPA'!E90="TABICON",'CG. MPA'!F90="MACIZO"),X90,IF(AND('CG. MPA'!D90="NO CONFINADO",'CG. MPA'!E90="LIGERO",'CG. MPA'!F90="MACIZO"),X90,IF('CG. MPA'!E90="ADOBE",'RMCV.PA'!Y90,Z90))))))))</f>
        <v>0</v>
      </c>
      <c r="P90" s="685" t="str">
        <f t="shared" ref="P90:P127" si="26">IF(N90&gt;O90,"NO PASA","PASA")</f>
        <v>PASA</v>
      </c>
      <c r="Q90" s="88" t="e">
        <f>IF(D90*E90*(F90*M90+'CASTILLOS-PA'!W90*FY)&gt;1.25*D90*E90*F90*M90,1.25*D90*E90*F90*M90,D90*E90*(F90*M90+'CASTILLOS-PA'!W90*FY))</f>
        <v>#DIV/0!</v>
      </c>
      <c r="R90" s="88">
        <f>D90*E90*(F90*M90+'CASTILLOS-PA'!G90*FY*2)</f>
        <v>8588.16</v>
      </c>
      <c r="S90" s="88">
        <f t="shared" si="19"/>
        <v>0</v>
      </c>
      <c r="T90" s="88">
        <f t="shared" si="20"/>
        <v>0</v>
      </c>
      <c r="U90" s="536">
        <f>D90*(0.7*$G$24*(B90*C90)+2000*'MUR.CONC-PA'!K90)</f>
        <v>0</v>
      </c>
      <c r="V90" s="544">
        <f>IF(AND('CG. MPA'!E90="TABIQUE",'CG. MPA'!F90="HUECO"),Q90,0)</f>
        <v>0</v>
      </c>
      <c r="W90" s="544">
        <f>IF(AND('CG. MPA'!D90="CONFINADO",'CG. MPA'!E90="TABIQUE",'CG. MPA'!F90="MACIZO"),'RMCV.PA'!R90,IF(AND('CG. MPA'!D90="CONFINADO",'CG. MPA'!E90="TABICON",'CG. MPA'!F90="MACIZO"),'RMCV.PA'!R90,IF(AND('CG. MPA'!D90="CONFINADO",'CG. MPA'!E90="LIGERO",'CG. MPA'!F90="MACIZO"),'RMCV.PA'!R90,0)))</f>
        <v>0</v>
      </c>
      <c r="X90" s="544">
        <f>IF(AND('CG. MPA'!D90="NO CONFINADO",'CG. MPA'!E90="TABIQUE",'CG. MPA'!F90="MACIZO"),S90,IF(AND('CG. MPA'!D90="NO CONFINADO",'CG. MPA'!E90="TABICON",'CG. MPA'!F90="MACIZO"),S90,IF(AND('CG. MPA'!D90="NO CONFINADO",'CG. MPA'!E90="LIGERO",'CG. MPA'!F90="MACIZO"),S90,0)))</f>
        <v>0</v>
      </c>
      <c r="Y90" s="544">
        <f>IF('CG. MPA'!E90="ADOBE",'RMCV.PA'!T90,0)</f>
        <v>0</v>
      </c>
      <c r="Z90" s="544">
        <f>IF('CG. MPA'!E90="CONCRETO",'RMCV.PA'!U90,0)</f>
        <v>0</v>
      </c>
      <c r="AA90" s="93">
        <f t="shared" si="23"/>
        <v>0</v>
      </c>
      <c r="AB90" s="428">
        <v>0.8</v>
      </c>
      <c r="AC90" s="4" t="e">
        <f>(1-2*AA90/C90)*(1-(AB90*'CG. MPA'!C90*10/(30*C90))^2)</f>
        <v>#DIV/0!</v>
      </c>
      <c r="AD90" s="350" t="e">
        <f>(1-(2*AA90/C90))*(1-(AB90*'CG. MPA'!C90*10/(30*C90))^2)*(1-('CG. MPA'!C90*10/B90))+('CG. MPA'!C90*10/B90)</f>
        <v>#DIV/0!</v>
      </c>
      <c r="AE90" s="429" t="e">
        <f t="shared" si="24"/>
        <v>#DIV/0!</v>
      </c>
    </row>
    <row r="91" spans="1:31">
      <c r="A91" s="684">
        <f>'CG. MPA'!A91</f>
        <v>12</v>
      </c>
      <c r="B91" s="975">
        <f>'CG. MPA'!B91*100</f>
        <v>0</v>
      </c>
      <c r="C91" s="68">
        <f>'ELEM. MECA.'!S218</f>
        <v>0</v>
      </c>
      <c r="D91" s="38">
        <f>IF(AND('CG. MPA'!D91="CONFINADO",'CG. MPA'!E91="CONCRETO"),0.8,IF('CG. MPA'!D91="NO CONFINADO",0.3,0.6))</f>
        <v>0.6</v>
      </c>
      <c r="E91" s="68">
        <v>0.6</v>
      </c>
      <c r="F91" s="38">
        <f>IF('CG. MPA'!E91="CONCRETO",G91,'RMCV.PA'!H91+'RMCV.PA'!I91+'RMCV.PA'!J91+K91+L91)</f>
        <v>0</v>
      </c>
      <c r="G91" s="542">
        <f>IF('CG. MPA'!E91="CONCRETO",0.6*$G$24,0)</f>
        <v>0</v>
      </c>
      <c r="H91" s="38">
        <f>IF(AND('CG. MPA'!E91="TABIQUE",'CG. MPA'!F91="MACIZO"),15,0)</f>
        <v>0</v>
      </c>
      <c r="I91" s="38">
        <f>IF(AND('CG. MPA'!E91="TABIQUE",'CG. MPA'!F91="HUECO"),IF(E28="III",30,40),0)</f>
        <v>0</v>
      </c>
      <c r="J91" s="575">
        <f>IF('CG. MPA'!E91="TABICON",IF(E33="I",20,15),0)</f>
        <v>0</v>
      </c>
      <c r="K91" s="575">
        <f>IF('CG. MPA'!E91="ADOBE",10,0)</f>
        <v>0</v>
      </c>
      <c r="L91" s="575">
        <f>IF('CG. MPA'!E91="LIGERO",10,0)</f>
        <v>0</v>
      </c>
      <c r="M91" s="576">
        <f t="shared" ref="M91:M92" si="27">B91*C91</f>
        <v>0</v>
      </c>
      <c r="N91" s="918">
        <f>ABS('ELEM. MECA.'!M218)</f>
        <v>0</v>
      </c>
      <c r="O91" s="919">
        <f>IF(AND('CG. MPA'!E91="TABIQUE",'CG. MPA'!F91="HUECO"),V91,IF(AND('CG. MPA'!D91="CONFINADO",'CG. MPA'!E91="TABIQUE",'CG. MPA'!F91="MACIZO"),'RMCV.PA'!W91,IF(AND('CG. MPA'!D91="CONFINADO",'CG. MPA'!E91="TABICON",'CG. MPA'!F91="MACIZO"),'RMCV.PA'!W91,IF(AND('CG. MPA'!D91="CONFINADO",'CG. MPA'!E91="LIGERO",'CG. MPA'!F91="MACIZO"),'RMCV.PA'!W91,IF(AND('CG. MPA'!D91="NO CONFINADO",'CG. MPA'!E91="TABIQUE",'CG. MPA'!F91="MACIZO"),X91,IF(AND('CG. MPA'!D91="NO CONFINADO",'CG. MPA'!E91="TABICON",'CG. MPA'!F91="MACIZO"),X91,IF(AND('CG. MPA'!D91="NO CONFINADO",'CG. MPA'!E91="LIGERO",'CG. MPA'!F91="MACIZO"),X91,IF('CG. MPA'!E91="ADOBE",'RMCV.PA'!Y91,Z91))))))))</f>
        <v>0</v>
      </c>
      <c r="P91" s="685" t="str">
        <f t="shared" ref="P91:P92" si="28">IF(N91&gt;O91,"NO PASA","PASA")</f>
        <v>PASA</v>
      </c>
      <c r="Q91" s="88" t="e">
        <f>IF(D91*E91*(F91*M91+'CASTILLOS-PA'!W91*FY)&gt;1.25*D91*E91*F91*M91,1.25*D91*E91*F91*M91,D91*E91*(F91*M91+'CASTILLOS-PA'!W91*FY))</f>
        <v>#DIV/0!</v>
      </c>
      <c r="R91" s="88">
        <f>D91*E91*(F91*M91+'CASTILLOS-PA'!G91*FY*2)</f>
        <v>8588.16</v>
      </c>
      <c r="S91" s="88">
        <f t="shared" si="19"/>
        <v>0</v>
      </c>
      <c r="T91" s="88">
        <f t="shared" si="20"/>
        <v>0</v>
      </c>
      <c r="U91" s="536">
        <f>D91*(0.7*$G$24*(B91*C91)+2000*'MUR.CONC-PA'!K91)</f>
        <v>0</v>
      </c>
      <c r="V91" s="544">
        <f>IF(AND('CG. MPA'!E91="TABIQUE",'CG. MPA'!F91="HUECO"),Q91,0)</f>
        <v>0</v>
      </c>
      <c r="W91" s="544">
        <f>IF(AND('CG. MPA'!D91="CONFINADO",'CG. MPA'!E91="TABIQUE",'CG. MPA'!F91="MACIZO"),'RMCV.PA'!R91,IF(AND('CG. MPA'!D91="CONFINADO",'CG. MPA'!E91="TABICON",'CG. MPA'!F91="MACIZO"),'RMCV.PA'!R91,IF(AND('CG. MPA'!D91="CONFINADO",'CG. MPA'!E91="LIGERO",'CG. MPA'!F91="MACIZO"),'RMCV.PA'!R91,0)))</f>
        <v>0</v>
      </c>
      <c r="X91" s="544">
        <f>IF(AND('CG. MPA'!D91="NO CONFINADO",'CG. MPA'!E91="TABIQUE",'CG. MPA'!F91="MACIZO"),S91,IF(AND('CG. MPA'!D91="NO CONFINADO",'CG. MPA'!E91="TABICON",'CG. MPA'!F91="MACIZO"),S91,IF(AND('CG. MPA'!D91="NO CONFINADO",'CG. MPA'!E91="LIGERO",'CG. MPA'!F91="MACIZO"),S91,0)))</f>
        <v>0</v>
      </c>
      <c r="Y91" s="544">
        <f>IF('CG. MPA'!E91="ADOBE",'RMCV.PA'!T91,0)</f>
        <v>0</v>
      </c>
      <c r="Z91" s="544">
        <f>IF('CG. MPA'!E91="CONCRETO",'RMCV.PA'!U91,0)</f>
        <v>0</v>
      </c>
      <c r="AA91" s="93">
        <f t="shared" si="23"/>
        <v>0</v>
      </c>
      <c r="AB91" s="428">
        <v>0.8</v>
      </c>
      <c r="AC91" s="4" t="e">
        <f>(1-2*AA91/C91)*(1-(AB91*'CG. MPA'!C91*10/(30*C91))^2)</f>
        <v>#DIV/0!</v>
      </c>
      <c r="AD91" s="350" t="e">
        <f>(1-(2*AA91/C91))*(1-(AB91*'CG. MPA'!C91*10/(30*C91))^2)*(1-('CG. MPA'!C91*10/B91))+('CG. MPA'!C91*10/B91)</f>
        <v>#DIV/0!</v>
      </c>
      <c r="AE91" s="429" t="e">
        <f t="shared" si="24"/>
        <v>#DIV/0!</v>
      </c>
    </row>
    <row r="92" spans="1:31">
      <c r="A92" s="684">
        <f>'CG. MPA'!A92</f>
        <v>13</v>
      </c>
      <c r="B92" s="975">
        <f>'CG. MPA'!B92*100</f>
        <v>0</v>
      </c>
      <c r="C92" s="68">
        <f>'ELEM. MECA.'!S219</f>
        <v>0</v>
      </c>
      <c r="D92" s="38">
        <f>IF(AND('CG. MPA'!D92="CONFINADO",'CG. MPA'!E92="CONCRETO"),0.8,IF('CG. MPA'!D92="NO CONFINADO",0.3,0.6))</f>
        <v>0.6</v>
      </c>
      <c r="E92" s="68">
        <v>0.6</v>
      </c>
      <c r="F92" s="38">
        <f>IF('CG. MPA'!E92="CONCRETO",G92,'RMCV.PA'!H92+'RMCV.PA'!I92+'RMCV.PA'!J92+K92+L92)</f>
        <v>0</v>
      </c>
      <c r="G92" s="542">
        <f>IF('CG. MPA'!E92="CONCRETO",0.6*$G$24,0)</f>
        <v>0</v>
      </c>
      <c r="H92" s="38">
        <f>IF(AND('CG. MPA'!E92="TABIQUE",'CG. MPA'!F92="MACIZO"),15,0)</f>
        <v>0</v>
      </c>
      <c r="I92" s="38">
        <f>IF(AND('CG. MPA'!E92="TABIQUE",'CG. MPA'!F92="HUECO"),IF(E29="III",30,40),0)</f>
        <v>0</v>
      </c>
      <c r="J92" s="575">
        <f>IF('CG. MPA'!E92="TABICON",IF(E34="I",20,15),0)</f>
        <v>0</v>
      </c>
      <c r="K92" s="575">
        <f>IF('CG. MPA'!E92="ADOBE",10,0)</f>
        <v>0</v>
      </c>
      <c r="L92" s="575">
        <f>IF('CG. MPA'!E92="LIGERO",10,0)</f>
        <v>0</v>
      </c>
      <c r="M92" s="576">
        <f t="shared" si="27"/>
        <v>0</v>
      </c>
      <c r="N92" s="918">
        <f>ABS('ELEM. MECA.'!M219)</f>
        <v>0</v>
      </c>
      <c r="O92" s="919">
        <f>IF(AND('CG. MPA'!E92="TABIQUE",'CG. MPA'!F92="HUECO"),V92,IF(AND('CG. MPA'!D92="CONFINADO",'CG. MPA'!E92="TABIQUE",'CG. MPA'!F92="MACIZO"),'RMCV.PA'!W92,IF(AND('CG. MPA'!D92="CONFINADO",'CG. MPA'!E92="TABICON",'CG. MPA'!F92="MACIZO"),'RMCV.PA'!W92,IF(AND('CG. MPA'!D92="CONFINADO",'CG. MPA'!E92="LIGERO",'CG. MPA'!F92="MACIZO"),'RMCV.PA'!W92,IF(AND('CG. MPA'!D92="NO CONFINADO",'CG. MPA'!E92="TABIQUE",'CG. MPA'!F92="MACIZO"),X92,IF(AND('CG. MPA'!D92="NO CONFINADO",'CG. MPA'!E92="TABICON",'CG. MPA'!F92="MACIZO"),X92,IF(AND('CG. MPA'!D92="NO CONFINADO",'CG. MPA'!E92="LIGERO",'CG. MPA'!F92="MACIZO"),X92,IF('CG. MPA'!E92="ADOBE",'RMCV.PA'!Y92,Z92))))))))</f>
        <v>0</v>
      </c>
      <c r="P92" s="685" t="str">
        <f t="shared" si="28"/>
        <v>PASA</v>
      </c>
      <c r="Q92" s="88" t="e">
        <f>IF(D92*E92*(F92*M92+'CASTILLOS-PA'!W92*FY)&gt;1.25*D92*E92*F92*M92,1.25*D92*E92*F92*M92,D92*E92*(F92*M92+'CASTILLOS-PA'!W92*FY))</f>
        <v>#DIV/0!</v>
      </c>
      <c r="R92" s="88">
        <f>D92*E92*(F92*M92+'CASTILLOS-PA'!G92*FY*2)</f>
        <v>8588.16</v>
      </c>
      <c r="S92" s="88">
        <f t="shared" si="19"/>
        <v>0</v>
      </c>
      <c r="T92" s="88">
        <f t="shared" si="20"/>
        <v>0</v>
      </c>
      <c r="U92" s="536">
        <f>D92*(0.7*$G$24*(B92*C92)+2000*'MUR.CONC-PA'!K92)</f>
        <v>0</v>
      </c>
      <c r="V92" s="544">
        <f>IF(AND('CG. MPA'!E92="TABIQUE",'CG. MPA'!F92="HUECO"),Q92,0)</f>
        <v>0</v>
      </c>
      <c r="W92" s="544">
        <f>IF(AND('CG. MPA'!D92="CONFINADO",'CG. MPA'!E92="TABIQUE",'CG. MPA'!F92="MACIZO"),'RMCV.PA'!R92,IF(AND('CG. MPA'!D92="CONFINADO",'CG. MPA'!E92="TABICON",'CG. MPA'!F92="MACIZO"),'RMCV.PA'!R92,IF(AND('CG. MPA'!D92="CONFINADO",'CG. MPA'!E92="LIGERO",'CG. MPA'!F92="MACIZO"),'RMCV.PA'!R92,0)))</f>
        <v>0</v>
      </c>
      <c r="X92" s="544">
        <f>IF(AND('CG. MPA'!D92="NO CONFINADO",'CG. MPA'!E92="TABIQUE",'CG. MPA'!F92="MACIZO"),S92,IF(AND('CG. MPA'!D92="NO CONFINADO",'CG. MPA'!E92="TABICON",'CG. MPA'!F92="MACIZO"),S92,IF(AND('CG. MPA'!D92="NO CONFINADO",'CG. MPA'!E92="LIGERO",'CG. MPA'!F92="MACIZO"),S92,0)))</f>
        <v>0</v>
      </c>
      <c r="Y92" s="544">
        <f>IF('CG. MPA'!E92="ADOBE",'RMCV.PA'!T92,0)</f>
        <v>0</v>
      </c>
      <c r="Z92" s="544">
        <f>IF('CG. MPA'!E92="CONCRETO",'RMCV.PA'!U92,0)</f>
        <v>0</v>
      </c>
      <c r="AA92" s="93">
        <f t="shared" si="23"/>
        <v>0</v>
      </c>
      <c r="AB92" s="428">
        <v>0.8</v>
      </c>
      <c r="AC92" s="4" t="e">
        <f>(1-2*AA92/C92)*(1-(AB92*'CG. MPA'!C92*10/(30*C92))^2)</f>
        <v>#DIV/0!</v>
      </c>
      <c r="AD92" s="350" t="e">
        <f>(1-(2*AA92/C92))*(1-(AB92*'CG. MPA'!C92*10/(30*C92))^2)*(1-('CG. MPA'!C92*10/B92))+('CG. MPA'!C92*10/B92)</f>
        <v>#DIV/0!</v>
      </c>
      <c r="AE92" s="429" t="e">
        <f t="shared" si="24"/>
        <v>#DIV/0!</v>
      </c>
    </row>
    <row r="93" spans="1:31" ht="15" customHeight="1">
      <c r="A93" s="684">
        <f>'CG. MPA'!A93</f>
        <v>14</v>
      </c>
      <c r="B93" s="975">
        <f>'CG. MPA'!B93*100</f>
        <v>0</v>
      </c>
      <c r="C93" s="68">
        <f>'ELEM. MECA.'!S220</f>
        <v>0</v>
      </c>
      <c r="D93" s="38">
        <f>IF(AND('CG. MPA'!D93="CONFINADO",'CG. MPA'!E93="CONCRETO"),0.8,IF('CG. MPA'!D93="NO CONFINADO",0.3,0.6))</f>
        <v>0.6</v>
      </c>
      <c r="E93" s="68">
        <v>0.6</v>
      </c>
      <c r="F93" s="38">
        <f>IF('CG. MPA'!E93="CONCRETO",G93,'RMCV.PA'!H93+'RMCV.PA'!I93+'RMCV.PA'!J93+K93+L93)</f>
        <v>0</v>
      </c>
      <c r="G93" s="542">
        <f>IF('CG. MPA'!E93="CONCRETO",0.6*$G$24,0)</f>
        <v>0</v>
      </c>
      <c r="H93" s="38">
        <f>IF(AND('CG. MPA'!E93="TABIQUE",'CG. MPA'!F93="MACIZO"),15,0)</f>
        <v>0</v>
      </c>
      <c r="I93" s="38">
        <f>IF(AND('CG. MPA'!E93="TABIQUE",'CG. MPA'!F93="HUECO"),IF(E30="III",30,40),0)</f>
        <v>0</v>
      </c>
      <c r="J93" s="575">
        <f>IF('CG. MPA'!E93="TABICON",IF(E35="I",20,15),0)</f>
        <v>0</v>
      </c>
      <c r="K93" s="575">
        <f>IF('CG. MPA'!E93="ADOBE",10,0)</f>
        <v>0</v>
      </c>
      <c r="L93" s="575">
        <f>IF('CG. MPA'!E93="LIGERO",10,0)</f>
        <v>0</v>
      </c>
      <c r="M93" s="576">
        <f t="shared" ref="M93:M95" si="29">B93*C93</f>
        <v>0</v>
      </c>
      <c r="N93" s="918">
        <f>ABS('ELEM. MECA.'!M220)</f>
        <v>0</v>
      </c>
      <c r="O93" s="919">
        <f>IF(AND('CG. MPA'!E93="TABIQUE",'CG. MPA'!F93="HUECO"),V93,IF(AND('CG. MPA'!D93="CONFINADO",'CG. MPA'!E93="TABIQUE",'CG. MPA'!F93="MACIZO"),'RMCV.PA'!W93,IF(AND('CG. MPA'!D93="CONFINADO",'CG. MPA'!E93="TABICON",'CG. MPA'!F93="MACIZO"),'RMCV.PA'!W93,IF(AND('CG. MPA'!D93="CONFINADO",'CG. MPA'!E93="LIGERO",'CG. MPA'!F93="MACIZO"),'RMCV.PA'!W93,IF(AND('CG. MPA'!D93="NO CONFINADO",'CG. MPA'!E93="TABIQUE",'CG. MPA'!F93="MACIZO"),X93,IF(AND('CG. MPA'!D93="NO CONFINADO",'CG. MPA'!E93="TABICON",'CG. MPA'!F93="MACIZO"),X93,IF(AND('CG. MPA'!D93="NO CONFINADO",'CG. MPA'!E93="LIGERO",'CG. MPA'!F93="MACIZO"),X93,IF('CG. MPA'!E93="ADOBE",'RMCV.PA'!Y93,Z93))))))))</f>
        <v>0</v>
      </c>
      <c r="P93" s="685" t="str">
        <f t="shared" ref="P93:P95" si="30">IF(N93&gt;O93,"NO PASA","PASA")</f>
        <v>PASA</v>
      </c>
      <c r="Q93" s="88" t="e">
        <f>IF(D93*E93*(F93*M93+'CASTILLOS-PA'!W93*FY)&gt;1.25*D93*E93*F93*M93,1.25*D93*E93*F93*M93,D93*E93*(F93*M93+'CASTILLOS-PA'!W93*FY))</f>
        <v>#DIV/0!</v>
      </c>
      <c r="R93" s="88">
        <f>D93*E93*(F93*M93+'CASTILLOS-PA'!G93*FY*2)</f>
        <v>8588.16</v>
      </c>
      <c r="S93" s="88">
        <f t="shared" si="19"/>
        <v>0</v>
      </c>
      <c r="T93" s="88">
        <f t="shared" si="20"/>
        <v>0</v>
      </c>
      <c r="U93" s="536">
        <f>D93*(0.7*$G$24*(B93*C93)+2000*'MUR.CONC-PA'!K93)</f>
        <v>0</v>
      </c>
      <c r="V93" s="544">
        <f>IF(AND('CG. MPA'!E93="TABIQUE",'CG. MPA'!F93="HUECO"),Q93,0)</f>
        <v>0</v>
      </c>
      <c r="W93" s="544">
        <f>IF(AND('CG. MPA'!D93="CONFINADO",'CG. MPA'!E93="TABIQUE",'CG. MPA'!F93="MACIZO"),'RMCV.PA'!R93,IF(AND('CG. MPA'!D93="CONFINADO",'CG. MPA'!E93="TABICON",'CG. MPA'!F93="MACIZO"),'RMCV.PA'!R93,IF(AND('CG. MPA'!D93="CONFINADO",'CG. MPA'!E93="LIGERO",'CG. MPA'!F93="MACIZO"),'RMCV.PA'!R93,0)))</f>
        <v>0</v>
      </c>
      <c r="X93" s="544">
        <f>IF(AND('CG. MPA'!D93="NO CONFINADO",'CG. MPA'!E93="TABIQUE",'CG. MPA'!F93="MACIZO"),S93,IF(AND('CG. MPA'!D93="NO CONFINADO",'CG. MPA'!E93="TABICON",'CG. MPA'!F93="MACIZO"),S93,IF(AND('CG. MPA'!D93="NO CONFINADO",'CG. MPA'!E93="LIGERO",'CG. MPA'!F93="MACIZO"),S93,0)))</f>
        <v>0</v>
      </c>
      <c r="Y93" s="544">
        <f>IF('CG. MPA'!E93="ADOBE",'RMCV.PA'!T93,0)</f>
        <v>0</v>
      </c>
      <c r="Z93" s="544">
        <f>IF('CG. MPA'!E93="CONCRETO",'RMCV.PA'!U93,0)</f>
        <v>0</v>
      </c>
      <c r="AA93" s="93">
        <f t="shared" si="23"/>
        <v>0</v>
      </c>
      <c r="AB93" s="428">
        <v>0.8</v>
      </c>
      <c r="AC93" s="4" t="e">
        <f>(1-2*AA93/C93)*(1-(AB93*'CG. MPA'!C93*10/(30*C93))^2)</f>
        <v>#DIV/0!</v>
      </c>
      <c r="AD93" s="350" t="e">
        <f>(1-(2*AA93/C93))*(1-(AB93*'CG. MPA'!C93*10/(30*C93))^2)*(1-('CG. MPA'!C93*10/B93))+('CG. MPA'!C93*10/B93)</f>
        <v>#DIV/0!</v>
      </c>
      <c r="AE93" s="429" t="e">
        <f t="shared" si="24"/>
        <v>#DIV/0!</v>
      </c>
    </row>
    <row r="94" spans="1:31" ht="15" customHeight="1">
      <c r="A94" s="684">
        <f>'CG. MPA'!A94</f>
        <v>15</v>
      </c>
      <c r="B94" s="975">
        <f>'CG. MPA'!B94*100</f>
        <v>0</v>
      </c>
      <c r="C94" s="68">
        <f>'ELEM. MECA.'!S221</f>
        <v>0</v>
      </c>
      <c r="D94" s="38">
        <f>IF(AND('CG. MPA'!D94="CONFINADO",'CG. MPA'!E94="CONCRETO"),0.8,IF('CG. MPA'!D94="NO CONFINADO",0.3,0.6))</f>
        <v>0.6</v>
      </c>
      <c r="E94" s="68">
        <v>0.6</v>
      </c>
      <c r="F94" s="38">
        <f>IF('CG. MPA'!E94="CONCRETO",G94,'RMCV.PA'!H94+'RMCV.PA'!I94+'RMCV.PA'!J94+K94+L94)</f>
        <v>0</v>
      </c>
      <c r="G94" s="542">
        <f>IF('CG. MPA'!E94="CONCRETO",0.6*$G$24,0)</f>
        <v>0</v>
      </c>
      <c r="H94" s="38">
        <f>IF(AND('CG. MPA'!E94="TABIQUE",'CG. MPA'!F94="MACIZO"),15,0)</f>
        <v>0</v>
      </c>
      <c r="I94" s="38">
        <f>IF(AND('CG. MPA'!E94="TABIQUE",'CG. MPA'!F94="HUECO"),IF(E31="III",30,40),0)</f>
        <v>0</v>
      </c>
      <c r="J94" s="575">
        <f>IF('CG. MPA'!E94="TABICON",IF(E36="I",20,15),0)</f>
        <v>0</v>
      </c>
      <c r="K94" s="575">
        <f>IF('CG. MPA'!E94="ADOBE",10,0)</f>
        <v>0</v>
      </c>
      <c r="L94" s="575">
        <f>IF('CG. MPA'!E94="LIGERO",10,0)</f>
        <v>0</v>
      </c>
      <c r="M94" s="576">
        <f t="shared" si="29"/>
        <v>0</v>
      </c>
      <c r="N94" s="918">
        <f>ABS('ELEM. MECA.'!M221)</f>
        <v>0</v>
      </c>
      <c r="O94" s="919">
        <f>IF(AND('CG. MPA'!E94="TABIQUE",'CG. MPA'!F94="HUECO"),V94,IF(AND('CG. MPA'!D94="CONFINADO",'CG. MPA'!E94="TABIQUE",'CG. MPA'!F94="MACIZO"),'RMCV.PA'!W94,IF(AND('CG. MPA'!D94="CONFINADO",'CG. MPA'!E94="TABICON",'CG. MPA'!F94="MACIZO"),'RMCV.PA'!W94,IF(AND('CG. MPA'!D94="CONFINADO",'CG. MPA'!E94="LIGERO",'CG. MPA'!F94="MACIZO"),'RMCV.PA'!W94,IF(AND('CG. MPA'!D94="NO CONFINADO",'CG. MPA'!E94="TABIQUE",'CG. MPA'!F94="MACIZO"),X94,IF(AND('CG. MPA'!D94="NO CONFINADO",'CG. MPA'!E94="TABICON",'CG. MPA'!F94="MACIZO"),X94,IF(AND('CG. MPA'!D94="NO CONFINADO",'CG. MPA'!E94="LIGERO",'CG. MPA'!F94="MACIZO"),X94,IF('CG. MPA'!E94="ADOBE",'RMCV.PA'!Y94,Z94))))))))</f>
        <v>0</v>
      </c>
      <c r="P94" s="685" t="str">
        <f t="shared" si="30"/>
        <v>PASA</v>
      </c>
      <c r="Q94" s="88" t="e">
        <f>IF(D94*E94*(F94*M94+'CASTILLOS-PA'!W94*FY)&gt;1.25*D94*E94*F94*M94,1.25*D94*E94*F94*M94,D94*E94*(F94*M94+'CASTILLOS-PA'!W94*FY))</f>
        <v>#DIV/0!</v>
      </c>
      <c r="R94" s="88">
        <f>D94*E94*(F94*M94+'CASTILLOS-PA'!G94*FY*2)</f>
        <v>8588.16</v>
      </c>
      <c r="S94" s="88">
        <f t="shared" si="19"/>
        <v>0</v>
      </c>
      <c r="T94" s="88">
        <f t="shared" si="20"/>
        <v>0</v>
      </c>
      <c r="U94" s="536">
        <f>D94*(0.7*$G$24*(B94*C94)+2000*'MUR.CONC-PA'!K94)</f>
        <v>0</v>
      </c>
      <c r="V94" s="544">
        <f>IF(AND('CG. MPA'!E94="TABIQUE",'CG. MPA'!F94="HUECO"),Q94,0)</f>
        <v>0</v>
      </c>
      <c r="W94" s="544">
        <f>IF(AND('CG. MPA'!D94="CONFINADO",'CG. MPA'!E94="TABIQUE",'CG. MPA'!F94="MACIZO"),'RMCV.PA'!R94,IF(AND('CG. MPA'!D94="CONFINADO",'CG. MPA'!E94="TABICON",'CG. MPA'!F94="MACIZO"),'RMCV.PA'!R94,IF(AND('CG. MPA'!D94="CONFINADO",'CG. MPA'!E94="LIGERO",'CG. MPA'!F94="MACIZO"),'RMCV.PA'!R94,0)))</f>
        <v>0</v>
      </c>
      <c r="X94" s="544">
        <f>IF(AND('CG. MPA'!D94="NO CONFINADO",'CG. MPA'!E94="TABIQUE",'CG. MPA'!F94="MACIZO"),S94,IF(AND('CG. MPA'!D94="NO CONFINADO",'CG. MPA'!E94="TABICON",'CG. MPA'!F94="MACIZO"),S94,IF(AND('CG. MPA'!D94="NO CONFINADO",'CG. MPA'!E94="LIGERO",'CG. MPA'!F94="MACIZO"),S94,0)))</f>
        <v>0</v>
      </c>
      <c r="Y94" s="544">
        <f>IF('CG. MPA'!E94="ADOBE",'RMCV.PA'!T94,0)</f>
        <v>0</v>
      </c>
      <c r="Z94" s="544">
        <f>IF('CG. MPA'!E94="CONCRETO",'RMCV.PA'!U94,0)</f>
        <v>0</v>
      </c>
      <c r="AA94" s="93">
        <f t="shared" si="23"/>
        <v>0</v>
      </c>
      <c r="AB94" s="428">
        <v>0.8</v>
      </c>
      <c r="AC94" s="4" t="e">
        <f>(1-2*AA94/C94)*(1-(AB94*'CG. MPA'!C94*10/(30*C94))^2)</f>
        <v>#DIV/0!</v>
      </c>
      <c r="AD94" s="350" t="e">
        <f>(1-(2*AA94/C94))*(1-(AB94*'CG. MPA'!C94*10/(30*C94))^2)*(1-('CG. MPA'!C94*10/B94))+('CG. MPA'!C94*10/B94)</f>
        <v>#DIV/0!</v>
      </c>
      <c r="AE94" s="429" t="e">
        <f t="shared" si="24"/>
        <v>#DIV/0!</v>
      </c>
    </row>
    <row r="95" spans="1:31" ht="15" customHeight="1">
      <c r="A95" s="684">
        <f>'CG. MPA'!A95</f>
        <v>16</v>
      </c>
      <c r="B95" s="975">
        <f>'CG. MPA'!B95*100</f>
        <v>0</v>
      </c>
      <c r="C95" s="68">
        <f>'ELEM. MECA.'!S222</f>
        <v>0</v>
      </c>
      <c r="D95" s="38">
        <f>IF(AND('CG. MPA'!D95="CONFINADO",'CG. MPA'!E95="CONCRETO"),0.8,IF('CG. MPA'!D95="NO CONFINADO",0.3,0.6))</f>
        <v>0.6</v>
      </c>
      <c r="E95" s="68">
        <v>0.6</v>
      </c>
      <c r="F95" s="38">
        <f>IF('CG. MPA'!E95="CONCRETO",G95,'RMCV.PA'!H95+'RMCV.PA'!I95+'RMCV.PA'!J95+K95+L95)</f>
        <v>0</v>
      </c>
      <c r="G95" s="542">
        <f>IF('CG. MPA'!E95="CONCRETO",0.6*$G$24,0)</f>
        <v>0</v>
      </c>
      <c r="H95" s="38">
        <f>IF(AND('CG. MPA'!E95="TABIQUE",'CG. MPA'!F95="MACIZO"),15,0)</f>
        <v>0</v>
      </c>
      <c r="I95" s="38">
        <f>IF(AND('CG. MPA'!E95="TABIQUE",'CG. MPA'!F95="HUECO"),IF(E32="III",30,40),0)</f>
        <v>0</v>
      </c>
      <c r="J95" s="575">
        <f>IF('CG. MPA'!E95="TABICON",IF(E37="I",20,15),0)</f>
        <v>0</v>
      </c>
      <c r="K95" s="575">
        <f>IF('CG. MPA'!E95="ADOBE",10,0)</f>
        <v>0</v>
      </c>
      <c r="L95" s="575">
        <f>IF('CG. MPA'!E95="LIGERO",10,0)</f>
        <v>0</v>
      </c>
      <c r="M95" s="576">
        <f t="shared" si="29"/>
        <v>0</v>
      </c>
      <c r="N95" s="918">
        <f>ABS('ELEM. MECA.'!M222)</f>
        <v>0</v>
      </c>
      <c r="O95" s="919">
        <f>IF(AND('CG. MPA'!E95="TABIQUE",'CG. MPA'!F95="HUECO"),V95,IF(AND('CG. MPA'!D95="CONFINADO",'CG. MPA'!E95="TABIQUE",'CG. MPA'!F95="MACIZO"),'RMCV.PA'!W95,IF(AND('CG. MPA'!D95="CONFINADO",'CG. MPA'!E95="TABICON",'CG. MPA'!F95="MACIZO"),'RMCV.PA'!W95,IF(AND('CG. MPA'!D95="CONFINADO",'CG. MPA'!E95="LIGERO",'CG. MPA'!F95="MACIZO"),'RMCV.PA'!W95,IF(AND('CG. MPA'!D95="NO CONFINADO",'CG. MPA'!E95="TABIQUE",'CG. MPA'!F95="MACIZO"),X95,IF(AND('CG. MPA'!D95="NO CONFINADO",'CG. MPA'!E95="TABICON",'CG. MPA'!F95="MACIZO"),X95,IF(AND('CG. MPA'!D95="NO CONFINADO",'CG. MPA'!E95="LIGERO",'CG. MPA'!F95="MACIZO"),X95,IF('CG. MPA'!E95="ADOBE",'RMCV.PA'!Y95,Z95))))))))</f>
        <v>0</v>
      </c>
      <c r="P95" s="685" t="str">
        <f t="shared" si="30"/>
        <v>PASA</v>
      </c>
      <c r="Q95" s="88" t="e">
        <f>IF(D95*E95*(F95*M95+'CASTILLOS-PA'!W95*FY)&gt;1.25*D95*E95*F95*M95,1.25*D95*E95*F95*M95,D95*E95*(F95*M95+'CASTILLOS-PA'!W95*FY))</f>
        <v>#DIV/0!</v>
      </c>
      <c r="R95" s="88">
        <f>D95*E95*(F95*M95+'CASTILLOS-PA'!G95*FY*2)</f>
        <v>8588.16</v>
      </c>
      <c r="S95" s="88">
        <f t="shared" si="19"/>
        <v>0</v>
      </c>
      <c r="T95" s="88">
        <f t="shared" si="20"/>
        <v>0</v>
      </c>
      <c r="U95" s="536">
        <f>D95*(0.7*$G$24*(B95*C95)+2000*'MUR.CONC-PA'!K95)</f>
        <v>0</v>
      </c>
      <c r="V95" s="544">
        <f>IF(AND('CG. MPA'!E95="TABIQUE",'CG. MPA'!F95="HUECO"),Q95,0)</f>
        <v>0</v>
      </c>
      <c r="W95" s="544">
        <f>IF(AND('CG. MPA'!D95="CONFINADO",'CG. MPA'!E95="TABIQUE",'CG. MPA'!F95="MACIZO"),'RMCV.PA'!R95,IF(AND('CG. MPA'!D95="CONFINADO",'CG. MPA'!E95="TABICON",'CG. MPA'!F95="MACIZO"),'RMCV.PA'!R95,IF(AND('CG. MPA'!D95="CONFINADO",'CG. MPA'!E95="LIGERO",'CG. MPA'!F95="MACIZO"),'RMCV.PA'!R95,0)))</f>
        <v>0</v>
      </c>
      <c r="X95" s="544">
        <f>IF(AND('CG. MPA'!D95="NO CONFINADO",'CG. MPA'!E95="TABIQUE",'CG. MPA'!F95="MACIZO"),S95,IF(AND('CG. MPA'!D95="NO CONFINADO",'CG. MPA'!E95="TABICON",'CG. MPA'!F95="MACIZO"),S95,IF(AND('CG. MPA'!D95="NO CONFINADO",'CG. MPA'!E95="LIGERO",'CG. MPA'!F95="MACIZO"),S95,0)))</f>
        <v>0</v>
      </c>
      <c r="Y95" s="544">
        <f>IF('CG. MPA'!E95="ADOBE",'RMCV.PA'!T95,0)</f>
        <v>0</v>
      </c>
      <c r="Z95" s="544">
        <f>IF('CG. MPA'!E95="CONCRETO",'RMCV.PA'!U95,0)</f>
        <v>0</v>
      </c>
      <c r="AA95" s="93">
        <f t="shared" si="23"/>
        <v>0</v>
      </c>
      <c r="AB95" s="428">
        <v>0.8</v>
      </c>
      <c r="AC95" s="4" t="e">
        <f>(1-2*AA95/C95)*(1-(AB95*'CG. MPA'!C95*10/(30*C95))^2)</f>
        <v>#DIV/0!</v>
      </c>
      <c r="AD95" s="350" t="e">
        <f>(1-(2*AA95/C95))*(1-(AB95*'CG. MPA'!C95*10/(30*C95))^2)*(1-('CG. MPA'!C95*10/B95))+('CG. MPA'!C95*10/B95)</f>
        <v>#DIV/0!</v>
      </c>
      <c r="AE95" s="429" t="e">
        <f t="shared" si="24"/>
        <v>#DIV/0!</v>
      </c>
    </row>
    <row r="96" spans="1:31" ht="18" customHeight="1">
      <c r="A96" s="684">
        <f>'CG. MPA'!A96</f>
        <v>17</v>
      </c>
      <c r="B96" s="975">
        <f>'CG. MPA'!B96*100</f>
        <v>0</v>
      </c>
      <c r="C96" s="68">
        <f>'ELEM. MECA.'!S223</f>
        <v>0</v>
      </c>
      <c r="D96" s="38">
        <f>IF(AND('CG. MPA'!D96="CONFINADO",'CG. MPA'!E96="CONCRETO"),0.8,IF('CG. MPA'!D96="NO CONFINADO",0.3,0.6))</f>
        <v>0.6</v>
      </c>
      <c r="E96" s="68">
        <v>0.6</v>
      </c>
      <c r="F96" s="38">
        <f>IF('CG. MPA'!E96="CONCRETO",G96,'RMCV.PA'!H96+'RMCV.PA'!I96+'RMCV.PA'!J96+K96+L96)</f>
        <v>0</v>
      </c>
      <c r="G96" s="542">
        <f>IF('CG. MPA'!E96="CONCRETO",0.6*$G$24,0)</f>
        <v>0</v>
      </c>
      <c r="H96" s="38">
        <f>IF(AND('CG. MPA'!E96="TABIQUE",'CG. MPA'!F96="MACIZO"),15,0)</f>
        <v>0</v>
      </c>
      <c r="I96" s="38">
        <f>IF(AND('CG. MPA'!E96="TABIQUE",'CG. MPA'!F96="HUECO"),IF(E33="III",30,40),0)</f>
        <v>0</v>
      </c>
      <c r="J96" s="575">
        <f>IF('CG. MPA'!E96="TABICON",IF(E38="I",20,15),0)</f>
        <v>0</v>
      </c>
      <c r="K96" s="575">
        <f>IF('CG. MPA'!E96="ADOBE",10,0)</f>
        <v>0</v>
      </c>
      <c r="L96" s="575">
        <f>IF('CG. MPA'!E96="LIGERO",10,0)</f>
        <v>0</v>
      </c>
      <c r="M96" s="576">
        <f t="shared" si="25"/>
        <v>0</v>
      </c>
      <c r="N96" s="918">
        <f>ABS('ELEM. MECA.'!M223)</f>
        <v>0</v>
      </c>
      <c r="O96" s="919">
        <f>IF(AND('CG. MPA'!E96="TABIQUE",'CG. MPA'!F96="HUECO"),V96,IF(AND('CG. MPA'!D96="CONFINADO",'CG. MPA'!E96="TABIQUE",'CG. MPA'!F96="MACIZO"),'RMCV.PA'!W96,IF(AND('CG. MPA'!D96="CONFINADO",'CG. MPA'!E96="TABICON",'CG. MPA'!F96="MACIZO"),'RMCV.PA'!W96,IF(AND('CG. MPA'!D96="CONFINADO",'CG. MPA'!E96="LIGERO",'CG. MPA'!F96="MACIZO"),'RMCV.PA'!W96,IF(AND('CG. MPA'!D96="NO CONFINADO",'CG. MPA'!E96="TABIQUE",'CG. MPA'!F96="MACIZO"),X96,IF(AND('CG. MPA'!D96="NO CONFINADO",'CG. MPA'!E96="TABICON",'CG. MPA'!F96="MACIZO"),X96,IF(AND('CG. MPA'!D96="NO CONFINADO",'CG. MPA'!E96="LIGERO",'CG. MPA'!F96="MACIZO"),X96,IF('CG. MPA'!E96="ADOBE",'RMCV.PA'!Y96,Z96))))))))</f>
        <v>0</v>
      </c>
      <c r="P96" s="685" t="str">
        <f t="shared" si="26"/>
        <v>PASA</v>
      </c>
      <c r="Q96" s="88" t="e">
        <f>IF(D96*E96*(F96*M96+'CASTILLOS-PA'!W96*FY)&gt;1.25*D96*E96*F96*M96,1.25*D96*E96*F96*M96,D96*E96*(F96*M96+'CASTILLOS-PA'!W96*FY))</f>
        <v>#DIV/0!</v>
      </c>
      <c r="R96" s="88">
        <f>D96*E96*(F96*M96+'CASTILLOS-PA'!G96*FY*2)</f>
        <v>8588.16</v>
      </c>
      <c r="S96" s="88">
        <f t="shared" si="19"/>
        <v>0</v>
      </c>
      <c r="T96" s="88">
        <f t="shared" si="20"/>
        <v>0</v>
      </c>
      <c r="U96" s="536">
        <f>D96*(0.7*$G$24*(B96*C96)+2000*'MUR.CONC-PA'!K96)</f>
        <v>0</v>
      </c>
      <c r="V96" s="544">
        <f>IF(AND('CG. MPA'!E96="TABIQUE",'CG. MPA'!F96="HUECO"),Q96,0)</f>
        <v>0</v>
      </c>
      <c r="W96" s="544">
        <f>IF(AND('CG. MPA'!D96="CONFINADO",'CG. MPA'!E96="TABIQUE",'CG. MPA'!F96="MACIZO"),'RMCV.PA'!R96,IF(AND('CG. MPA'!D96="CONFINADO",'CG. MPA'!E96="TABICON",'CG. MPA'!F96="MACIZO"),'RMCV.PA'!R96,IF(AND('CG. MPA'!D96="CONFINADO",'CG. MPA'!E96="LIGERO",'CG. MPA'!F96="MACIZO"),'RMCV.PA'!R96,0)))</f>
        <v>0</v>
      </c>
      <c r="X96" s="544">
        <f>IF(AND('CG. MPA'!D96="NO CONFINADO",'CG. MPA'!E96="TABIQUE",'CG. MPA'!F96="MACIZO"),S96,IF(AND('CG. MPA'!D96="NO CONFINADO",'CG. MPA'!E96="TABICON",'CG. MPA'!F96="MACIZO"),S96,IF(AND('CG. MPA'!D96="NO CONFINADO",'CG. MPA'!E96="LIGERO",'CG. MPA'!F96="MACIZO"),S96,0)))</f>
        <v>0</v>
      </c>
      <c r="Y96" s="544">
        <f>IF('CG. MPA'!E96="ADOBE",'RMCV.PA'!T96,0)</f>
        <v>0</v>
      </c>
      <c r="Z96" s="544">
        <f>IF('CG. MPA'!E96="CONCRETO",'RMCV.PA'!U96,0)</f>
        <v>0</v>
      </c>
      <c r="AA96" s="93">
        <f t="shared" si="23"/>
        <v>0</v>
      </c>
      <c r="AB96" s="428">
        <v>0.8</v>
      </c>
      <c r="AC96" s="4" t="e">
        <f>(1-2*AA96/C96)*(1-(AB96*'CG. MPA'!C96*10/(30*C96))^2)</f>
        <v>#DIV/0!</v>
      </c>
      <c r="AD96" s="350" t="e">
        <f>(1-(2*AA96/C96))*(1-(AB96*'CG. MPA'!C96*10/(30*C96))^2)*(1-('CG. MPA'!C96*10/B96))+('CG. MPA'!C96*10/B96)</f>
        <v>#DIV/0!</v>
      </c>
      <c r="AE96" s="429" t="e">
        <f t="shared" si="24"/>
        <v>#DIV/0!</v>
      </c>
    </row>
    <row r="97" spans="1:31" ht="15" customHeight="1">
      <c r="A97" s="684">
        <f>'CG. MPA'!A97</f>
        <v>18</v>
      </c>
      <c r="B97" s="975">
        <f>'CG. MPA'!B97*100</f>
        <v>0</v>
      </c>
      <c r="C97" s="68">
        <f>'ELEM. MECA.'!S224</f>
        <v>0</v>
      </c>
      <c r="D97" s="38">
        <f>IF(AND('CG. MPA'!D97="CONFINADO",'CG. MPA'!E97="CONCRETO"),0.8,IF('CG. MPA'!D97="NO CONFINADO",0.3,0.6))</f>
        <v>0.6</v>
      </c>
      <c r="E97" s="68">
        <v>0.6</v>
      </c>
      <c r="F97" s="38">
        <f>IF('CG. MPA'!E97="CONCRETO",G97,'RMCV.PA'!H97+'RMCV.PA'!I97+'RMCV.PA'!J97+K97+L97)</f>
        <v>0</v>
      </c>
      <c r="G97" s="542">
        <f>IF('CG. MPA'!E97="CONCRETO",0.6*$G$24,0)</f>
        <v>0</v>
      </c>
      <c r="H97" s="38">
        <f>IF(AND('CG. MPA'!E97="TABIQUE",'CG. MPA'!F97="MACIZO"),15,0)</f>
        <v>0</v>
      </c>
      <c r="I97" s="38">
        <f>IF(AND('CG. MPA'!E97="TABIQUE",'CG. MPA'!F97="HUECO"),IF(E34="III",30,40),0)</f>
        <v>0</v>
      </c>
      <c r="J97" s="575">
        <f>IF('CG. MPA'!E97="TABICON",IF(E39="I",20,15),0)</f>
        <v>0</v>
      </c>
      <c r="K97" s="575">
        <f>IF('CG. MPA'!E97="ADOBE",10,0)</f>
        <v>0</v>
      </c>
      <c r="L97" s="575">
        <f>IF('CG. MPA'!E97="LIGERO",10,0)</f>
        <v>0</v>
      </c>
      <c r="M97" s="576">
        <f t="shared" si="25"/>
        <v>0</v>
      </c>
      <c r="N97" s="918">
        <f>ABS('ELEM. MECA.'!M224)</f>
        <v>0</v>
      </c>
      <c r="O97" s="919">
        <f>IF(AND('CG. MPA'!E97="TABIQUE",'CG. MPA'!F97="HUECO"),V97,IF(AND('CG. MPA'!D97="CONFINADO",'CG. MPA'!E97="TABIQUE",'CG. MPA'!F97="MACIZO"),'RMCV.PA'!W97,IF(AND('CG. MPA'!D97="CONFINADO",'CG. MPA'!E97="TABICON",'CG. MPA'!F97="MACIZO"),'RMCV.PA'!W97,IF(AND('CG. MPA'!D97="CONFINADO",'CG. MPA'!E97="LIGERO",'CG. MPA'!F97="MACIZO"),'RMCV.PA'!W97,IF(AND('CG. MPA'!D97="NO CONFINADO",'CG. MPA'!E97="TABIQUE",'CG. MPA'!F97="MACIZO"),X97,IF(AND('CG. MPA'!D97="NO CONFINADO",'CG. MPA'!E97="TABICON",'CG. MPA'!F97="MACIZO"),X97,IF(AND('CG. MPA'!D97="NO CONFINADO",'CG. MPA'!E97="LIGERO",'CG. MPA'!F97="MACIZO"),X97,IF('CG. MPA'!E97="ADOBE",'RMCV.PA'!Y97,Z97))))))))</f>
        <v>0</v>
      </c>
      <c r="P97" s="685" t="str">
        <f t="shared" si="26"/>
        <v>PASA</v>
      </c>
      <c r="Q97" s="88" t="e">
        <f>IF(D97*E97*(F97*M97+'CASTILLOS-PA'!W97*FY)&gt;1.25*D97*E97*F97*M97,1.25*D97*E97*F97*M97,D97*E97*(F97*M97+'CASTILLOS-PA'!W97*FY))</f>
        <v>#DIV/0!</v>
      </c>
      <c r="R97" s="88">
        <f>D97*E97*(F97*M97+'CASTILLOS-PA'!G97*FY*2)</f>
        <v>8588.16</v>
      </c>
      <c r="S97" s="88">
        <f t="shared" si="19"/>
        <v>0</v>
      </c>
      <c r="T97" s="88">
        <f t="shared" si="20"/>
        <v>0</v>
      </c>
      <c r="U97" s="536">
        <f>D97*(0.7*$G$24*(B97*C97)+2000*'MUR.CONC-PA'!K97)</f>
        <v>0</v>
      </c>
      <c r="V97" s="544">
        <f>IF(AND('CG. MPA'!E97="TABIQUE",'CG. MPA'!F97="HUECO"),Q97,0)</f>
        <v>0</v>
      </c>
      <c r="W97" s="544">
        <f>IF(AND('CG. MPA'!D97="CONFINADO",'CG. MPA'!E97="TABIQUE",'CG. MPA'!F97="MACIZO"),'RMCV.PA'!R97,IF(AND('CG. MPA'!D97="CONFINADO",'CG. MPA'!E97="TABICON",'CG. MPA'!F97="MACIZO"),'RMCV.PA'!R97,IF(AND('CG. MPA'!D97="CONFINADO",'CG. MPA'!E97="LIGERO",'CG. MPA'!F97="MACIZO"),'RMCV.PA'!R97,0)))</f>
        <v>0</v>
      </c>
      <c r="X97" s="544">
        <f>IF(AND('CG. MPA'!D97="NO CONFINADO",'CG. MPA'!E97="TABIQUE",'CG. MPA'!F97="MACIZO"),S97,IF(AND('CG. MPA'!D97="NO CONFINADO",'CG. MPA'!E97="TABICON",'CG. MPA'!F97="MACIZO"),S97,IF(AND('CG. MPA'!D97="NO CONFINADO",'CG. MPA'!E97="LIGERO",'CG. MPA'!F97="MACIZO"),S97,0)))</f>
        <v>0</v>
      </c>
      <c r="Y97" s="544">
        <f>IF('CG. MPA'!E97="ADOBE",'RMCV.PA'!T97,0)</f>
        <v>0</v>
      </c>
      <c r="Z97" s="544">
        <f>IF('CG. MPA'!E97="CONCRETO",'RMCV.PA'!U97,0)</f>
        <v>0</v>
      </c>
      <c r="AA97" s="93">
        <f t="shared" si="23"/>
        <v>0</v>
      </c>
      <c r="AB97" s="428">
        <v>0.8</v>
      </c>
      <c r="AC97" s="4" t="e">
        <f>(1-2*AA97/C97)*(1-(AB97*'CG. MPA'!C97*10/(30*C97))^2)</f>
        <v>#DIV/0!</v>
      </c>
      <c r="AD97" s="350" t="e">
        <f>(1-(2*AA97/C97))*(1-(AB97*'CG. MPA'!C97*10/(30*C97))^2)*(1-('CG. MPA'!C97*10/B97))+('CG. MPA'!C97*10/B97)</f>
        <v>#DIV/0!</v>
      </c>
      <c r="AE97" s="429" t="e">
        <f t="shared" si="24"/>
        <v>#DIV/0!</v>
      </c>
    </row>
    <row r="98" spans="1:31" ht="15" customHeight="1">
      <c r="A98" s="684">
        <f>'CG. MPA'!A98</f>
        <v>19</v>
      </c>
      <c r="B98" s="975">
        <f>'CG. MPA'!B98*100</f>
        <v>0</v>
      </c>
      <c r="C98" s="68">
        <f>'ELEM. MECA.'!S225</f>
        <v>0</v>
      </c>
      <c r="D98" s="38">
        <f>IF(AND('CG. MPA'!D98="CONFINADO",'CG. MPA'!E98="CONCRETO"),0.8,IF('CG. MPA'!D98="NO CONFINADO",0.3,0.6))</f>
        <v>0.6</v>
      </c>
      <c r="E98" s="68">
        <v>0.6</v>
      </c>
      <c r="F98" s="38">
        <f>IF('CG. MPA'!E98="CONCRETO",G98,'RMCV.PA'!H98+'RMCV.PA'!I98+'RMCV.PA'!J98+K98+L98)</f>
        <v>0</v>
      </c>
      <c r="G98" s="542">
        <f>IF('CG. MPA'!E98="CONCRETO",0.6*$G$24,0)</f>
        <v>0</v>
      </c>
      <c r="H98" s="38">
        <f>IF(AND('CG. MPA'!E98="TABIQUE",'CG. MPA'!F98="MACIZO"),15,0)</f>
        <v>0</v>
      </c>
      <c r="I98" s="38">
        <f>IF(AND('CG. MPA'!E98="TABIQUE",'CG. MPA'!F98="HUECO"),IF(E35="III",30,40),0)</f>
        <v>0</v>
      </c>
      <c r="J98" s="575">
        <f>IF('CG. MPA'!E98="TABICON",IF(E40="I",20,15),0)</f>
        <v>0</v>
      </c>
      <c r="K98" s="575">
        <f>IF('CG. MPA'!E98="ADOBE",10,0)</f>
        <v>0</v>
      </c>
      <c r="L98" s="575">
        <f>IF('CG. MPA'!E98="LIGERO",10,0)</f>
        <v>0</v>
      </c>
      <c r="M98" s="576">
        <f t="shared" si="25"/>
        <v>0</v>
      </c>
      <c r="N98" s="918">
        <f>ABS('ELEM. MECA.'!M225)</f>
        <v>0</v>
      </c>
      <c r="O98" s="919">
        <f>IF(AND('CG. MPA'!E98="TABIQUE",'CG. MPA'!F98="HUECO"),V98,IF(AND('CG. MPA'!D98="CONFINADO",'CG. MPA'!E98="TABIQUE",'CG. MPA'!F98="MACIZO"),'RMCV.PA'!W98,IF(AND('CG. MPA'!D98="CONFINADO",'CG. MPA'!E98="TABICON",'CG. MPA'!F98="MACIZO"),'RMCV.PA'!W98,IF(AND('CG. MPA'!D98="CONFINADO",'CG. MPA'!E98="LIGERO",'CG. MPA'!F98="MACIZO"),'RMCV.PA'!W98,IF(AND('CG. MPA'!D98="NO CONFINADO",'CG. MPA'!E98="TABIQUE",'CG. MPA'!F98="MACIZO"),X98,IF(AND('CG. MPA'!D98="NO CONFINADO",'CG. MPA'!E98="TABICON",'CG. MPA'!F98="MACIZO"),X98,IF(AND('CG. MPA'!D98="NO CONFINADO",'CG. MPA'!E98="LIGERO",'CG. MPA'!F98="MACIZO"),X98,IF('CG. MPA'!E98="ADOBE",'RMCV.PA'!Y98,Z98))))))))</f>
        <v>0</v>
      </c>
      <c r="P98" s="685" t="str">
        <f t="shared" si="26"/>
        <v>PASA</v>
      </c>
      <c r="Q98" s="88" t="e">
        <f>IF(D98*E98*(F98*M98+'CASTILLOS-PA'!W98*FY)&gt;1.25*D98*E98*F98*M98,1.25*D98*E98*F98*M98,D98*E98*(F98*M98+'CASTILLOS-PA'!W98*FY))</f>
        <v>#DIV/0!</v>
      </c>
      <c r="R98" s="88">
        <f>D98*E98*(F98*M98+'CASTILLOS-PA'!G98*FY*2)</f>
        <v>8588.16</v>
      </c>
      <c r="S98" s="88">
        <f t="shared" si="19"/>
        <v>0</v>
      </c>
      <c r="T98" s="88">
        <f t="shared" si="20"/>
        <v>0</v>
      </c>
      <c r="U98" s="536">
        <f>D98*(0.7*$G$24*(B98*C98)+2000*'MUR.CONC-PA'!K98)</f>
        <v>0</v>
      </c>
      <c r="V98" s="544">
        <f>IF(AND('CG. MPA'!E98="TABIQUE",'CG. MPA'!F98="HUECO"),Q98,0)</f>
        <v>0</v>
      </c>
      <c r="W98" s="544">
        <f>IF(AND('CG. MPA'!D98="CONFINADO",'CG. MPA'!E98="TABIQUE",'CG. MPA'!F98="MACIZO"),'RMCV.PA'!R98,IF(AND('CG. MPA'!D98="CONFINADO",'CG. MPA'!E98="TABICON",'CG. MPA'!F98="MACIZO"),'RMCV.PA'!R98,IF(AND('CG. MPA'!D98="CONFINADO",'CG. MPA'!E98="LIGERO",'CG. MPA'!F98="MACIZO"),'RMCV.PA'!R98,0)))</f>
        <v>0</v>
      </c>
      <c r="X98" s="544">
        <f>IF(AND('CG. MPA'!D98="NO CONFINADO",'CG. MPA'!E98="TABIQUE",'CG. MPA'!F98="MACIZO"),S98,IF(AND('CG. MPA'!D98="NO CONFINADO",'CG. MPA'!E98="TABICON",'CG. MPA'!F98="MACIZO"),S98,IF(AND('CG. MPA'!D98="NO CONFINADO",'CG. MPA'!E98="LIGERO",'CG. MPA'!F98="MACIZO"),S98,0)))</f>
        <v>0</v>
      </c>
      <c r="Y98" s="544">
        <f>IF('CG. MPA'!E98="ADOBE",'RMCV.PA'!T98,0)</f>
        <v>0</v>
      </c>
      <c r="Z98" s="544">
        <f>IF('CG. MPA'!E98="CONCRETO",'RMCV.PA'!U98,0)</f>
        <v>0</v>
      </c>
      <c r="AA98" s="93">
        <f t="shared" si="23"/>
        <v>0</v>
      </c>
      <c r="AB98" s="428">
        <v>0.8</v>
      </c>
      <c r="AC98" s="4" t="e">
        <f>(1-2*AA98/C98)*(1-(AB98*'CG. MPA'!C98*10/(30*C98))^2)</f>
        <v>#DIV/0!</v>
      </c>
      <c r="AD98" s="350" t="e">
        <f>(1-(2*AA98/C98))*(1-(AB98*'CG. MPA'!C98*10/(30*C98))^2)*(1-('CG. MPA'!C98*10/B98))+('CG. MPA'!C98*10/B98)</f>
        <v>#DIV/0!</v>
      </c>
      <c r="AE98" s="429" t="e">
        <f t="shared" si="24"/>
        <v>#DIV/0!</v>
      </c>
    </row>
    <row r="99" spans="1:31" ht="15" customHeight="1">
      <c r="A99" s="684">
        <f>'CG. MPA'!A99</f>
        <v>20</v>
      </c>
      <c r="B99" s="975">
        <f>'CG. MPA'!B99*100</f>
        <v>0</v>
      </c>
      <c r="C99" s="68">
        <f>'ELEM. MECA.'!S226</f>
        <v>0</v>
      </c>
      <c r="D99" s="38">
        <f>IF(AND('CG. MPA'!D99="CONFINADO",'CG. MPA'!E99="CONCRETO"),0.8,IF('CG. MPA'!D99="NO CONFINADO",0.3,0.6))</f>
        <v>0.6</v>
      </c>
      <c r="E99" s="68">
        <v>0.6</v>
      </c>
      <c r="F99" s="38">
        <f>IF('CG. MPA'!E99="CONCRETO",G99,'RMCV.PA'!H99+'RMCV.PA'!I99+'RMCV.PA'!J99+K99+L99)</f>
        <v>0</v>
      </c>
      <c r="G99" s="542">
        <f>IF('CG. MPA'!E99="CONCRETO",0.6*$G$24,0)</f>
        <v>0</v>
      </c>
      <c r="H99" s="38">
        <f>IF(AND('CG. MPA'!E99="TABIQUE",'CG. MPA'!F99="MACIZO"),15,0)</f>
        <v>0</v>
      </c>
      <c r="I99" s="38">
        <f>IF(AND('CG. MPA'!E99="TABIQUE",'CG. MPA'!F99="HUECO"),IF(E36="III",30,40),0)</f>
        <v>0</v>
      </c>
      <c r="J99" s="575">
        <f>IF('CG. MPA'!E99="TABICON",IF(E41="I",20,15),0)</f>
        <v>0</v>
      </c>
      <c r="K99" s="575">
        <f>IF('CG. MPA'!E99="ADOBE",10,0)</f>
        <v>0</v>
      </c>
      <c r="L99" s="575">
        <f>IF('CG. MPA'!E99="LIGERO",10,0)</f>
        <v>0</v>
      </c>
      <c r="M99" s="576">
        <f t="shared" si="25"/>
        <v>0</v>
      </c>
      <c r="N99" s="918">
        <f>ABS('ELEM. MECA.'!M226)</f>
        <v>0</v>
      </c>
      <c r="O99" s="919">
        <f>IF(AND('CG. MPA'!E99="TABIQUE",'CG. MPA'!F99="HUECO"),V99,IF(AND('CG. MPA'!D99="CONFINADO",'CG. MPA'!E99="TABIQUE",'CG. MPA'!F99="MACIZO"),'RMCV.PA'!W99,IF(AND('CG. MPA'!D99="CONFINADO",'CG. MPA'!E99="TABICON",'CG. MPA'!F99="MACIZO"),'RMCV.PA'!W99,IF(AND('CG. MPA'!D99="CONFINADO",'CG. MPA'!E99="LIGERO",'CG. MPA'!F99="MACIZO"),'RMCV.PA'!W99,IF(AND('CG. MPA'!D99="NO CONFINADO",'CG. MPA'!E99="TABIQUE",'CG. MPA'!F99="MACIZO"),X99,IF(AND('CG. MPA'!D99="NO CONFINADO",'CG. MPA'!E99="TABICON",'CG. MPA'!F99="MACIZO"),X99,IF(AND('CG. MPA'!D99="NO CONFINADO",'CG. MPA'!E99="LIGERO",'CG. MPA'!F99="MACIZO"),X99,IF('CG. MPA'!E99="ADOBE",'RMCV.PA'!Y99,Z99))))))))</f>
        <v>0</v>
      </c>
      <c r="P99" s="685" t="str">
        <f t="shared" si="26"/>
        <v>PASA</v>
      </c>
      <c r="Q99" s="88" t="e">
        <f>IF(D99*E99*(F99*M99+'CASTILLOS-PA'!W99*FY)&gt;1.25*D99*E99*F99*M99,1.25*D99*E99*F99*M99,D99*E99*(F99*M99+'CASTILLOS-PA'!W99*FY))</f>
        <v>#DIV/0!</v>
      </c>
      <c r="R99" s="88">
        <f>D99*E99*(F99*M99+'CASTILLOS-PA'!G99*FY*2)</f>
        <v>8588.16</v>
      </c>
      <c r="S99" s="88">
        <f t="shared" si="19"/>
        <v>0</v>
      </c>
      <c r="T99" s="88">
        <f t="shared" si="20"/>
        <v>0</v>
      </c>
      <c r="U99" s="536">
        <f>D99*(0.7*$G$24*(B99*C99)+2000*'MUR.CONC-PA'!K99)</f>
        <v>0</v>
      </c>
      <c r="V99" s="544">
        <f>IF(AND('CG. MPA'!E99="TABIQUE",'CG. MPA'!F99="HUECO"),Q99,0)</f>
        <v>0</v>
      </c>
      <c r="W99" s="544">
        <f>IF(AND('CG. MPA'!D99="CONFINADO",'CG. MPA'!E99="TABIQUE",'CG. MPA'!F99="MACIZO"),'RMCV.PA'!R99,IF(AND('CG. MPA'!D99="CONFINADO",'CG. MPA'!E99="TABICON",'CG. MPA'!F99="MACIZO"),'RMCV.PA'!R99,IF(AND('CG. MPA'!D99="CONFINADO",'CG. MPA'!E99="LIGERO",'CG. MPA'!F99="MACIZO"),'RMCV.PA'!R99,0)))</f>
        <v>0</v>
      </c>
      <c r="X99" s="544">
        <f>IF(AND('CG. MPA'!D99="NO CONFINADO",'CG. MPA'!E99="TABIQUE",'CG. MPA'!F99="MACIZO"),S99,IF(AND('CG. MPA'!D99="NO CONFINADO",'CG. MPA'!E99="TABICON",'CG. MPA'!F99="MACIZO"),S99,IF(AND('CG. MPA'!D99="NO CONFINADO",'CG. MPA'!E99="LIGERO",'CG. MPA'!F99="MACIZO"),S99,0)))</f>
        <v>0</v>
      </c>
      <c r="Y99" s="544">
        <f>IF('CG. MPA'!E99="ADOBE",'RMCV.PA'!T99,0)</f>
        <v>0</v>
      </c>
      <c r="Z99" s="544">
        <f>IF('CG. MPA'!E99="CONCRETO",'RMCV.PA'!U99,0)</f>
        <v>0</v>
      </c>
      <c r="AA99" s="93">
        <f t="shared" si="23"/>
        <v>0</v>
      </c>
      <c r="AB99" s="428">
        <v>0.8</v>
      </c>
      <c r="AC99" s="4" t="e">
        <f>(1-2*AA99/C99)*(1-(AB99*'CG. MPA'!C99*10/(30*C99))^2)</f>
        <v>#DIV/0!</v>
      </c>
      <c r="AD99" s="350" t="e">
        <f>(1-(2*AA99/C99))*(1-(AB99*'CG. MPA'!C99*10/(30*C99))^2)*(1-('CG. MPA'!C99*10/B99))+('CG. MPA'!C99*10/B99)</f>
        <v>#DIV/0!</v>
      </c>
      <c r="AE99" s="429" t="e">
        <f t="shared" si="24"/>
        <v>#DIV/0!</v>
      </c>
    </row>
    <row r="100" spans="1:31" ht="15" customHeight="1">
      <c r="A100" s="684">
        <f>'CG. MPA'!A100</f>
        <v>21</v>
      </c>
      <c r="B100" s="975">
        <f>'CG. MPA'!B100*100</f>
        <v>0</v>
      </c>
      <c r="C100" s="68">
        <f>'ELEM. MECA.'!S227</f>
        <v>0</v>
      </c>
      <c r="D100" s="38">
        <f>IF(AND('CG. MPA'!D100="CONFINADO",'CG. MPA'!E100="CONCRETO"),0.8,IF('CG. MPA'!D100="NO CONFINADO",0.3,0.6))</f>
        <v>0.6</v>
      </c>
      <c r="E100" s="68">
        <v>0.6</v>
      </c>
      <c r="F100" s="38">
        <f>IF('CG. MPA'!E100="CONCRETO",G100,'RMCV.PA'!H100+'RMCV.PA'!I100+'RMCV.PA'!J100+K100+L100)</f>
        <v>0</v>
      </c>
      <c r="G100" s="542">
        <f>IF('CG. MPA'!E100="CONCRETO",0.6*$G$24,0)</f>
        <v>0</v>
      </c>
      <c r="H100" s="38">
        <f>IF(AND('CG. MPA'!E100="TABIQUE",'CG. MPA'!F100="MACIZO"),15,0)</f>
        <v>0</v>
      </c>
      <c r="I100" s="38">
        <f>IF(AND('CG. MPA'!E100="TABIQUE",'CG. MPA'!F100="HUECO"),IF(E37="III",30,40),0)</f>
        <v>0</v>
      </c>
      <c r="J100" s="575">
        <f>IF('CG. MPA'!E100="TABICON",IF(E42="I",20,15),0)</f>
        <v>0</v>
      </c>
      <c r="K100" s="575">
        <f>IF('CG. MPA'!E100="ADOBE",10,0)</f>
        <v>0</v>
      </c>
      <c r="L100" s="575">
        <f>IF('CG. MPA'!E100="LIGERO",10,0)</f>
        <v>0</v>
      </c>
      <c r="M100" s="576">
        <f t="shared" si="25"/>
        <v>0</v>
      </c>
      <c r="N100" s="918">
        <f>ABS('ELEM. MECA.'!M227)</f>
        <v>0</v>
      </c>
      <c r="O100" s="919">
        <f>IF(AND('CG. MPA'!E100="TABIQUE",'CG. MPA'!F100="HUECO"),V100,IF(AND('CG. MPA'!D100="CONFINADO",'CG. MPA'!E100="TABIQUE",'CG. MPA'!F100="MACIZO"),'RMCV.PA'!W100,IF(AND('CG. MPA'!D100="CONFINADO",'CG. MPA'!E100="TABICON",'CG. MPA'!F100="MACIZO"),'RMCV.PA'!W100,IF(AND('CG. MPA'!D100="CONFINADO",'CG. MPA'!E100="LIGERO",'CG. MPA'!F100="MACIZO"),'RMCV.PA'!W100,IF(AND('CG. MPA'!D100="NO CONFINADO",'CG. MPA'!E100="TABIQUE",'CG. MPA'!F100="MACIZO"),X100,IF(AND('CG. MPA'!D100="NO CONFINADO",'CG. MPA'!E100="TABICON",'CG. MPA'!F100="MACIZO"),X100,IF(AND('CG. MPA'!D100="NO CONFINADO",'CG. MPA'!E100="LIGERO",'CG. MPA'!F100="MACIZO"),X100,IF('CG. MPA'!E100="ADOBE",'RMCV.PA'!Y100,Z100))))))))</f>
        <v>0</v>
      </c>
      <c r="P100" s="685" t="str">
        <f t="shared" si="26"/>
        <v>PASA</v>
      </c>
      <c r="Q100" s="88" t="e">
        <f>IF(D100*E100*(F100*M100+'CASTILLOS-PA'!W100*FY)&gt;1.25*D100*E100*F100*M100,1.25*D100*E100*F100*M100,D100*E100*(F100*M100+'CASTILLOS-PA'!W100*FY))</f>
        <v>#DIV/0!</v>
      </c>
      <c r="R100" s="88">
        <f>D100*E100*(F100*M100+'CASTILLOS-PA'!G100*FY*2)</f>
        <v>8588.16</v>
      </c>
      <c r="S100" s="88">
        <f t="shared" si="19"/>
        <v>0</v>
      </c>
      <c r="T100" s="88">
        <f t="shared" si="20"/>
        <v>0</v>
      </c>
      <c r="U100" s="536">
        <f>D100*(0.7*$G$24*(B100*C100)+2000*'MUR.CONC-PA'!K100)</f>
        <v>0</v>
      </c>
      <c r="V100" s="544">
        <f>IF(AND('CG. MPA'!E100="TABIQUE",'CG. MPA'!F100="HUECO"),Q100,0)</f>
        <v>0</v>
      </c>
      <c r="W100" s="544">
        <f>IF(AND('CG. MPA'!D100="CONFINADO",'CG. MPA'!E100="TABIQUE",'CG. MPA'!F100="MACIZO"),'RMCV.PA'!R100,IF(AND('CG. MPA'!D100="CONFINADO",'CG. MPA'!E100="TABICON",'CG. MPA'!F100="MACIZO"),'RMCV.PA'!R100,IF(AND('CG. MPA'!D100="CONFINADO",'CG. MPA'!E100="LIGERO",'CG. MPA'!F100="MACIZO"),'RMCV.PA'!R100,0)))</f>
        <v>0</v>
      </c>
      <c r="X100" s="544">
        <f>IF(AND('CG. MPA'!D100="NO CONFINADO",'CG. MPA'!E100="TABIQUE",'CG. MPA'!F100="MACIZO"),S100,IF(AND('CG. MPA'!D100="NO CONFINADO",'CG. MPA'!E100="TABICON",'CG. MPA'!F100="MACIZO"),S100,IF(AND('CG. MPA'!D100="NO CONFINADO",'CG. MPA'!E100="LIGERO",'CG. MPA'!F100="MACIZO"),S100,0)))</f>
        <v>0</v>
      </c>
      <c r="Y100" s="544">
        <f>IF('CG. MPA'!E100="ADOBE",'RMCV.PA'!T100,0)</f>
        <v>0</v>
      </c>
      <c r="Z100" s="544">
        <f>IF('CG. MPA'!E100="CONCRETO",'RMCV.PA'!U100,0)</f>
        <v>0</v>
      </c>
      <c r="AA100" s="93">
        <f t="shared" si="23"/>
        <v>0</v>
      </c>
      <c r="AB100" s="428">
        <v>0.8</v>
      </c>
      <c r="AC100" s="4" t="e">
        <f>(1-2*AA100/C100)*(1-(AB100*'CG. MPA'!C100*10/(30*C100))^2)</f>
        <v>#DIV/0!</v>
      </c>
      <c r="AD100" s="350" t="e">
        <f>(1-(2*AA100/C100))*(1-(AB100*'CG. MPA'!C100*10/(30*C100))^2)*(1-('CG. MPA'!C100*10/B100))+('CG. MPA'!C100*10/B100)</f>
        <v>#DIV/0!</v>
      </c>
      <c r="AE100" s="429" t="e">
        <f t="shared" si="24"/>
        <v>#DIV/0!</v>
      </c>
    </row>
    <row r="101" spans="1:31" ht="15" customHeight="1">
      <c r="A101" s="684">
        <f>'CG. MPA'!A101</f>
        <v>22</v>
      </c>
      <c r="B101" s="975">
        <f>'CG. MPA'!B101*100</f>
        <v>0</v>
      </c>
      <c r="C101" s="68">
        <f>'ELEM. MECA.'!S228</f>
        <v>0</v>
      </c>
      <c r="D101" s="38">
        <f>IF(AND('CG. MPA'!D101="CONFINADO",'CG. MPA'!E101="CONCRETO"),0.8,IF('CG. MPA'!D101="NO CONFINADO",0.3,0.6))</f>
        <v>0.6</v>
      </c>
      <c r="E101" s="68">
        <v>0.6</v>
      </c>
      <c r="F101" s="38">
        <f>IF('CG. MPA'!E101="CONCRETO",G101,'RMCV.PA'!H101+'RMCV.PA'!I101+'RMCV.PA'!J101+K101+L101)</f>
        <v>0</v>
      </c>
      <c r="G101" s="542">
        <f>IF('CG. MPA'!E101="CONCRETO",0.6*$G$24,0)</f>
        <v>0</v>
      </c>
      <c r="H101" s="38">
        <f>IF(AND('CG. MPA'!E101="TABIQUE",'CG. MPA'!F101="MACIZO"),15,0)</f>
        <v>0</v>
      </c>
      <c r="I101" s="38">
        <f>IF(AND('CG. MPA'!E101="TABIQUE",'CG. MPA'!F101="HUECO"),IF(E38="III",30,40),0)</f>
        <v>0</v>
      </c>
      <c r="J101" s="575">
        <f>IF('CG. MPA'!E101="TABICON",IF(E43="I",20,15),0)</f>
        <v>0</v>
      </c>
      <c r="K101" s="575">
        <f>IF('CG. MPA'!E101="ADOBE",10,0)</f>
        <v>0</v>
      </c>
      <c r="L101" s="575">
        <f>IF('CG. MPA'!E101="LIGERO",10,0)</f>
        <v>0</v>
      </c>
      <c r="M101" s="576">
        <f t="shared" si="25"/>
        <v>0</v>
      </c>
      <c r="N101" s="918">
        <f>ABS('ELEM. MECA.'!M228)</f>
        <v>0</v>
      </c>
      <c r="O101" s="919">
        <f>IF(AND('CG. MPA'!E101="TABIQUE",'CG. MPA'!F101="HUECO"),V101,IF(AND('CG. MPA'!D101="CONFINADO",'CG. MPA'!E101="TABIQUE",'CG. MPA'!F101="MACIZO"),'RMCV.PA'!W101,IF(AND('CG. MPA'!D101="CONFINADO",'CG. MPA'!E101="TABICON",'CG. MPA'!F101="MACIZO"),'RMCV.PA'!W101,IF(AND('CG. MPA'!D101="CONFINADO",'CG. MPA'!E101="LIGERO",'CG. MPA'!F101="MACIZO"),'RMCV.PA'!W101,IF(AND('CG. MPA'!D101="NO CONFINADO",'CG. MPA'!E101="TABIQUE",'CG. MPA'!F101="MACIZO"),X101,IF(AND('CG. MPA'!D101="NO CONFINADO",'CG. MPA'!E101="TABICON",'CG. MPA'!F101="MACIZO"),X101,IF(AND('CG. MPA'!D101="NO CONFINADO",'CG. MPA'!E101="LIGERO",'CG. MPA'!F101="MACIZO"),X101,IF('CG. MPA'!E101="ADOBE",'RMCV.PA'!Y101,Z101))))))))</f>
        <v>0</v>
      </c>
      <c r="P101" s="685" t="str">
        <f t="shared" si="26"/>
        <v>PASA</v>
      </c>
      <c r="Q101" s="88" t="e">
        <f>IF(D101*E101*(F101*M101+'CASTILLOS-PA'!W101*FY)&gt;1.25*D101*E101*F101*M101,1.25*D101*E101*F101*M101,D101*E101*(F101*M101+'CASTILLOS-PA'!W101*FY))</f>
        <v>#DIV/0!</v>
      </c>
      <c r="R101" s="88">
        <f>D101*E101*(F101*M101+'CASTILLOS-PA'!G101*FY*2)</f>
        <v>8588.16</v>
      </c>
      <c r="S101" s="88">
        <f t="shared" si="19"/>
        <v>0</v>
      </c>
      <c r="T101" s="88">
        <f t="shared" si="20"/>
        <v>0</v>
      </c>
      <c r="U101" s="536">
        <f>D101*(0.7*$G$24*(B101*C101)+2000*'MUR.CONC-PA'!K101)</f>
        <v>0</v>
      </c>
      <c r="V101" s="544">
        <f>IF(AND('CG. MPA'!E101="TABIQUE",'CG. MPA'!F101="HUECO"),Q101,0)</f>
        <v>0</v>
      </c>
      <c r="W101" s="544">
        <f>IF(AND('CG. MPA'!D101="CONFINADO",'CG. MPA'!E101="TABIQUE",'CG. MPA'!F101="MACIZO"),'RMCV.PA'!R101,IF(AND('CG. MPA'!D101="CONFINADO",'CG. MPA'!E101="TABICON",'CG. MPA'!F101="MACIZO"),'RMCV.PA'!R101,IF(AND('CG. MPA'!D101="CONFINADO",'CG. MPA'!E101="LIGERO",'CG. MPA'!F101="MACIZO"),'RMCV.PA'!R101,0)))</f>
        <v>0</v>
      </c>
      <c r="X101" s="544">
        <f>IF(AND('CG. MPA'!D101="NO CONFINADO",'CG. MPA'!E101="TABIQUE",'CG. MPA'!F101="MACIZO"),S101,IF(AND('CG. MPA'!D101="NO CONFINADO",'CG. MPA'!E101="TABICON",'CG. MPA'!F101="MACIZO"),S101,IF(AND('CG. MPA'!D101="NO CONFINADO",'CG. MPA'!E101="LIGERO",'CG. MPA'!F101="MACIZO"),S101,0)))</f>
        <v>0</v>
      </c>
      <c r="Y101" s="544">
        <f>IF('CG. MPA'!E101="ADOBE",'RMCV.PA'!T101,0)</f>
        <v>0</v>
      </c>
      <c r="Z101" s="544">
        <f>IF('CG. MPA'!E101="CONCRETO",'RMCV.PA'!U101,0)</f>
        <v>0</v>
      </c>
      <c r="AA101" s="93">
        <f t="shared" si="23"/>
        <v>0</v>
      </c>
      <c r="AB101" s="428">
        <v>0.8</v>
      </c>
      <c r="AC101" s="4" t="e">
        <f>(1-2*AA101/C101)*(1-(AB101*'CG. MPA'!C101*10/(30*C101))^2)</f>
        <v>#DIV/0!</v>
      </c>
      <c r="AD101" s="350" t="e">
        <f>(1-(2*AA101/C101))*(1-(AB101*'CG. MPA'!C101*10/(30*C101))^2)*(1-('CG. MPA'!C101*10/B101))+('CG. MPA'!C101*10/B101)</f>
        <v>#DIV/0!</v>
      </c>
      <c r="AE101" s="429" t="e">
        <f t="shared" si="24"/>
        <v>#DIV/0!</v>
      </c>
    </row>
    <row r="102" spans="1:31" ht="15" customHeight="1">
      <c r="A102" s="684">
        <f>'CG. MPA'!A102</f>
        <v>23</v>
      </c>
      <c r="B102" s="975">
        <f>'CG. MPA'!B102*100</f>
        <v>0</v>
      </c>
      <c r="C102" s="68">
        <f>'ELEM. MECA.'!S229</f>
        <v>0</v>
      </c>
      <c r="D102" s="38">
        <f>IF(AND('CG. MPA'!D102="CONFINADO",'CG. MPA'!E102="CONCRETO"),0.8,IF('CG. MPA'!D102="NO CONFINADO",0.3,0.6))</f>
        <v>0.6</v>
      </c>
      <c r="E102" s="68">
        <v>0.6</v>
      </c>
      <c r="F102" s="38">
        <f>IF('CG. MPA'!E102="CONCRETO",G102,'RMCV.PA'!H102+'RMCV.PA'!I102+'RMCV.PA'!J102+K102+L102)</f>
        <v>0</v>
      </c>
      <c r="G102" s="542">
        <f>IF('CG. MPA'!E102="CONCRETO",0.6*$G$24,0)</f>
        <v>0</v>
      </c>
      <c r="H102" s="38">
        <f>IF(AND('CG. MPA'!E102="TABIQUE",'CG. MPA'!F102="MACIZO"),15,0)</f>
        <v>0</v>
      </c>
      <c r="I102" s="38">
        <f>IF(AND('CG. MPA'!E102="TABIQUE",'CG. MPA'!F102="HUECO"),IF(E39="III",30,40),0)</f>
        <v>0</v>
      </c>
      <c r="J102" s="575">
        <f>IF('CG. MPA'!E102="TABICON",IF(E44="I",20,15),0)</f>
        <v>0</v>
      </c>
      <c r="K102" s="575">
        <f>IF('CG. MPA'!E102="ADOBE",10,0)</f>
        <v>0</v>
      </c>
      <c r="L102" s="575">
        <f>IF('CG. MPA'!E102="LIGERO",10,0)</f>
        <v>0</v>
      </c>
      <c r="M102" s="576">
        <f t="shared" si="25"/>
        <v>0</v>
      </c>
      <c r="N102" s="918">
        <f>ABS('ELEM. MECA.'!M229)</f>
        <v>0</v>
      </c>
      <c r="O102" s="919">
        <f>IF(AND('CG. MPA'!E102="TABIQUE",'CG. MPA'!F102="HUECO"),V102,IF(AND('CG. MPA'!D102="CONFINADO",'CG. MPA'!E102="TABIQUE",'CG. MPA'!F102="MACIZO"),'RMCV.PA'!W102,IF(AND('CG. MPA'!D102="CONFINADO",'CG. MPA'!E102="TABICON",'CG. MPA'!F102="MACIZO"),'RMCV.PA'!W102,IF(AND('CG. MPA'!D102="CONFINADO",'CG. MPA'!E102="LIGERO",'CG. MPA'!F102="MACIZO"),'RMCV.PA'!W102,IF(AND('CG. MPA'!D102="NO CONFINADO",'CG. MPA'!E102="TABIQUE",'CG. MPA'!F102="MACIZO"),X102,IF(AND('CG. MPA'!D102="NO CONFINADO",'CG. MPA'!E102="TABICON",'CG. MPA'!F102="MACIZO"),X102,IF(AND('CG. MPA'!D102="NO CONFINADO",'CG. MPA'!E102="LIGERO",'CG. MPA'!F102="MACIZO"),X102,IF('CG. MPA'!E102="ADOBE",'RMCV.PA'!Y102,Z102))))))))</f>
        <v>0</v>
      </c>
      <c r="P102" s="685" t="str">
        <f t="shared" si="26"/>
        <v>PASA</v>
      </c>
      <c r="Q102" s="88" t="e">
        <f>IF(D102*E102*(F102*M102+'CASTILLOS-PA'!W102*FY)&gt;1.25*D102*E102*F102*M102,1.25*D102*E102*F102*M102,D102*E102*(F102*M102+'CASTILLOS-PA'!W102*FY))</f>
        <v>#DIV/0!</v>
      </c>
      <c r="R102" s="88">
        <f>D102*E102*(F102*M102+'CASTILLOS-PA'!G102*FY*2)</f>
        <v>8588.16</v>
      </c>
      <c r="S102" s="88">
        <f t="shared" si="19"/>
        <v>0</v>
      </c>
      <c r="T102" s="88">
        <f t="shared" si="20"/>
        <v>0</v>
      </c>
      <c r="U102" s="536">
        <f>D102*(0.7*$G$24*(B102*C102)+2000*'MUR.CONC-PA'!K102)</f>
        <v>0</v>
      </c>
      <c r="V102" s="544">
        <f>IF(AND('CG. MPA'!E102="TABIQUE",'CG. MPA'!F102="HUECO"),Q102,0)</f>
        <v>0</v>
      </c>
      <c r="W102" s="544">
        <f>IF(AND('CG. MPA'!D102="CONFINADO",'CG. MPA'!E102="TABIQUE",'CG. MPA'!F102="MACIZO"),'RMCV.PA'!R102,IF(AND('CG. MPA'!D102="CONFINADO",'CG. MPA'!E102="TABICON",'CG. MPA'!F102="MACIZO"),'RMCV.PA'!R102,IF(AND('CG. MPA'!D102="CONFINADO",'CG. MPA'!E102="LIGERO",'CG. MPA'!F102="MACIZO"),'RMCV.PA'!R102,0)))</f>
        <v>0</v>
      </c>
      <c r="X102" s="544">
        <f>IF(AND('CG. MPA'!D102="NO CONFINADO",'CG. MPA'!E102="TABIQUE",'CG. MPA'!F102="MACIZO"),S102,IF(AND('CG. MPA'!D102="NO CONFINADO",'CG. MPA'!E102="TABICON",'CG. MPA'!F102="MACIZO"),S102,IF(AND('CG. MPA'!D102="NO CONFINADO",'CG. MPA'!E102="LIGERO",'CG. MPA'!F102="MACIZO"),S102,0)))</f>
        <v>0</v>
      </c>
      <c r="Y102" s="544">
        <f>IF('CG. MPA'!E102="ADOBE",'RMCV.PA'!T102,0)</f>
        <v>0</v>
      </c>
      <c r="Z102" s="544">
        <f>IF('CG. MPA'!E102="CONCRETO",'RMCV.PA'!U102,0)</f>
        <v>0</v>
      </c>
      <c r="AA102" s="93">
        <f t="shared" si="23"/>
        <v>0</v>
      </c>
      <c r="AB102" s="428">
        <v>0.8</v>
      </c>
      <c r="AC102" s="4" t="e">
        <f>(1-2*AA102/C102)*(1-(AB102*'CG. MPA'!C102*10/(30*C102))^2)</f>
        <v>#DIV/0!</v>
      </c>
      <c r="AD102" s="350" t="e">
        <f>(1-(2*AA102/C102))*(1-(AB102*'CG. MPA'!C102*10/(30*C102))^2)*(1-('CG. MPA'!C102*10/B102))+('CG. MPA'!C102*10/B102)</f>
        <v>#DIV/0!</v>
      </c>
      <c r="AE102" s="429" t="e">
        <f t="shared" si="24"/>
        <v>#DIV/0!</v>
      </c>
    </row>
    <row r="103" spans="1:31" ht="15" customHeight="1">
      <c r="A103" s="684">
        <f>'CG. MPA'!A103</f>
        <v>24</v>
      </c>
      <c r="B103" s="975">
        <f>'CG. MPA'!B103*100</f>
        <v>0</v>
      </c>
      <c r="C103" s="68">
        <f>'ELEM. MECA.'!S230</f>
        <v>0</v>
      </c>
      <c r="D103" s="38">
        <f>IF(AND('CG. MPA'!D103="CONFINADO",'CG. MPA'!E103="CONCRETO"),0.8,IF('CG. MPA'!D103="NO CONFINADO",0.3,0.6))</f>
        <v>0.6</v>
      </c>
      <c r="E103" s="68">
        <v>0.6</v>
      </c>
      <c r="F103" s="38">
        <f>IF('CG. MPA'!E103="CONCRETO",G103,'RMCV.PA'!H103+'RMCV.PA'!I103+'RMCV.PA'!J103+K103+L103)</f>
        <v>0</v>
      </c>
      <c r="G103" s="542">
        <f>IF('CG. MPA'!E103="CONCRETO",0.6*$G$24,0)</f>
        <v>0</v>
      </c>
      <c r="H103" s="38">
        <f>IF(AND('CG. MPA'!E103="TABIQUE",'CG. MPA'!F103="MACIZO"),15,0)</f>
        <v>0</v>
      </c>
      <c r="I103" s="38">
        <f>IF(AND('CG. MPA'!E103="TABIQUE",'CG. MPA'!F103="HUECO"),IF(E40="III",30,40),0)</f>
        <v>0</v>
      </c>
      <c r="J103" s="575">
        <f>IF('CG. MPA'!E103="TABICON",IF(E45="I",20,15),0)</f>
        <v>0</v>
      </c>
      <c r="K103" s="575">
        <f>IF('CG. MPA'!E103="ADOBE",10,0)</f>
        <v>0</v>
      </c>
      <c r="L103" s="575">
        <f>IF('CG. MPA'!E103="LIGERO",10,0)</f>
        <v>0</v>
      </c>
      <c r="M103" s="576">
        <f t="shared" si="25"/>
        <v>0</v>
      </c>
      <c r="N103" s="918">
        <f>ABS('ELEM. MECA.'!M230)</f>
        <v>0</v>
      </c>
      <c r="O103" s="919">
        <f>IF(AND('CG. MPA'!E103="TABIQUE",'CG. MPA'!F103="HUECO"),V103,IF(AND('CG. MPA'!D103="CONFINADO",'CG. MPA'!E103="TABIQUE",'CG. MPA'!F103="MACIZO"),'RMCV.PA'!W103,IF(AND('CG. MPA'!D103="CONFINADO",'CG. MPA'!E103="TABICON",'CG. MPA'!F103="MACIZO"),'RMCV.PA'!W103,IF(AND('CG. MPA'!D103="CONFINADO",'CG. MPA'!E103="LIGERO",'CG. MPA'!F103="MACIZO"),'RMCV.PA'!W103,IF(AND('CG. MPA'!D103="NO CONFINADO",'CG. MPA'!E103="TABIQUE",'CG. MPA'!F103="MACIZO"),X103,IF(AND('CG. MPA'!D103="NO CONFINADO",'CG. MPA'!E103="TABICON",'CG. MPA'!F103="MACIZO"),X103,IF(AND('CG. MPA'!D103="NO CONFINADO",'CG. MPA'!E103="LIGERO",'CG. MPA'!F103="MACIZO"),X103,IF('CG. MPA'!E103="ADOBE",'RMCV.PA'!Y103,Z103))))))))</f>
        <v>0</v>
      </c>
      <c r="P103" s="685" t="str">
        <f t="shared" si="26"/>
        <v>PASA</v>
      </c>
      <c r="Q103" s="88" t="e">
        <f>IF(D103*E103*(F103*M103+'CASTILLOS-PA'!W103*FY)&gt;1.25*D103*E103*F103*M103,1.25*D103*E103*F103*M103,D103*E103*(F103*M103+'CASTILLOS-PA'!W103*FY))</f>
        <v>#DIV/0!</v>
      </c>
      <c r="R103" s="88">
        <f>D103*E103*(F103*M103+'CASTILLOS-PA'!G103*FY*2)</f>
        <v>8588.16</v>
      </c>
      <c r="S103" s="88">
        <f t="shared" si="19"/>
        <v>0</v>
      </c>
      <c r="T103" s="88">
        <f t="shared" si="20"/>
        <v>0</v>
      </c>
      <c r="U103" s="536">
        <f>D103*(0.7*$G$24*(B103*C103)+2000*'MUR.CONC-PA'!K103)</f>
        <v>0</v>
      </c>
      <c r="V103" s="544">
        <f>IF(AND('CG. MPA'!E103="TABIQUE",'CG. MPA'!F103="HUECO"),Q103,0)</f>
        <v>0</v>
      </c>
      <c r="W103" s="544">
        <f>IF(AND('CG. MPA'!D103="CONFINADO",'CG. MPA'!E103="TABIQUE",'CG. MPA'!F103="MACIZO"),'RMCV.PA'!R103,IF(AND('CG. MPA'!D103="CONFINADO",'CG. MPA'!E103="TABICON",'CG. MPA'!F103="MACIZO"),'RMCV.PA'!R103,IF(AND('CG. MPA'!D103="CONFINADO",'CG. MPA'!E103="LIGERO",'CG. MPA'!F103="MACIZO"),'RMCV.PA'!R103,0)))</f>
        <v>0</v>
      </c>
      <c r="X103" s="544">
        <f>IF(AND('CG. MPA'!D103="NO CONFINADO",'CG. MPA'!E103="TABIQUE",'CG. MPA'!F103="MACIZO"),S103,IF(AND('CG. MPA'!D103="NO CONFINADO",'CG. MPA'!E103="TABICON",'CG. MPA'!F103="MACIZO"),S103,IF(AND('CG. MPA'!D103="NO CONFINADO",'CG. MPA'!E103="LIGERO",'CG. MPA'!F103="MACIZO"),S103,0)))</f>
        <v>0</v>
      </c>
      <c r="Y103" s="544">
        <f>IF('CG. MPA'!E103="ADOBE",'RMCV.PA'!T103,0)</f>
        <v>0</v>
      </c>
      <c r="Z103" s="544">
        <f>IF('CG. MPA'!E103="CONCRETO",'RMCV.PA'!U103,0)</f>
        <v>0</v>
      </c>
      <c r="AA103" s="93">
        <f t="shared" si="23"/>
        <v>0</v>
      </c>
      <c r="AB103" s="428">
        <v>0.8</v>
      </c>
      <c r="AC103" s="4" t="e">
        <f>(1-2*AA103/C103)*(1-(AB103*'CG. MPA'!C103*10/(30*C103))^2)</f>
        <v>#DIV/0!</v>
      </c>
      <c r="AD103" s="350" t="e">
        <f>(1-(2*AA103/C103))*(1-(AB103*'CG. MPA'!C103*10/(30*C103))^2)*(1-('CG. MPA'!C103*10/B103))+('CG. MPA'!C103*10/B103)</f>
        <v>#DIV/0!</v>
      </c>
      <c r="AE103" s="429" t="e">
        <f t="shared" si="24"/>
        <v>#DIV/0!</v>
      </c>
    </row>
    <row r="104" spans="1:31" ht="15" customHeight="1">
      <c r="A104" s="684">
        <f>'CG. MPA'!A104</f>
        <v>25</v>
      </c>
      <c r="B104" s="975">
        <f>'CG. MPA'!B104*100</f>
        <v>0</v>
      </c>
      <c r="C104" s="68">
        <f>'ELEM. MECA.'!S231</f>
        <v>0</v>
      </c>
      <c r="D104" s="38">
        <f>IF(AND('CG. MPA'!D104="CONFINADO",'CG. MPA'!E104="CONCRETO"),0.8,IF('CG. MPA'!D104="NO CONFINADO",0.3,0.6))</f>
        <v>0.6</v>
      </c>
      <c r="E104" s="68">
        <v>0.6</v>
      </c>
      <c r="F104" s="38">
        <f>IF('CG. MPA'!E104="CONCRETO",G104,'RMCV.PA'!H104+'RMCV.PA'!I104+'RMCV.PA'!J104+K104+L104)</f>
        <v>0</v>
      </c>
      <c r="G104" s="542">
        <f>IF('CG. MPA'!E104="CONCRETO",0.6*$G$24,0)</f>
        <v>0</v>
      </c>
      <c r="H104" s="38">
        <f>IF(AND('CG. MPA'!E104="TABIQUE",'CG. MPA'!F104="MACIZO"),15,0)</f>
        <v>0</v>
      </c>
      <c r="I104" s="38">
        <f>IF(AND('CG. MPA'!E104="TABIQUE",'CG. MPA'!F104="HUECO"),IF(E41="III",30,40),0)</f>
        <v>0</v>
      </c>
      <c r="J104" s="575">
        <f>IF('CG. MPA'!E104="TABICON",IF(E46="I",20,15),0)</f>
        <v>0</v>
      </c>
      <c r="K104" s="575">
        <f>IF('CG. MPA'!E104="ADOBE",10,0)</f>
        <v>0</v>
      </c>
      <c r="L104" s="575">
        <f>IF('CG. MPA'!E104="LIGERO",10,0)</f>
        <v>0</v>
      </c>
      <c r="M104" s="576">
        <f t="shared" si="25"/>
        <v>0</v>
      </c>
      <c r="N104" s="918">
        <f>ABS('ELEM. MECA.'!M231)</f>
        <v>0</v>
      </c>
      <c r="O104" s="919">
        <f>IF(AND('CG. MPA'!E104="TABIQUE",'CG. MPA'!F104="HUECO"),V104,IF(AND('CG. MPA'!D104="CONFINADO",'CG. MPA'!E104="TABIQUE",'CG. MPA'!F104="MACIZO"),'RMCV.PA'!W104,IF(AND('CG. MPA'!D104="CONFINADO",'CG. MPA'!E104="TABICON",'CG. MPA'!F104="MACIZO"),'RMCV.PA'!W104,IF(AND('CG. MPA'!D104="CONFINADO",'CG. MPA'!E104="LIGERO",'CG. MPA'!F104="MACIZO"),'RMCV.PA'!W104,IF(AND('CG. MPA'!D104="NO CONFINADO",'CG. MPA'!E104="TABIQUE",'CG. MPA'!F104="MACIZO"),X104,IF(AND('CG. MPA'!D104="NO CONFINADO",'CG. MPA'!E104="TABICON",'CG. MPA'!F104="MACIZO"),X104,IF(AND('CG. MPA'!D104="NO CONFINADO",'CG. MPA'!E104="LIGERO",'CG. MPA'!F104="MACIZO"),X104,IF('CG. MPA'!E104="ADOBE",'RMCV.PA'!Y104,Z104))))))))</f>
        <v>0</v>
      </c>
      <c r="P104" s="685" t="str">
        <f t="shared" si="26"/>
        <v>PASA</v>
      </c>
      <c r="Q104" s="88" t="e">
        <f>IF(D104*E104*(F104*M104+'CASTILLOS-PA'!W104*FY)&gt;1.25*D104*E104*F104*M104,1.25*D104*E104*F104*M104,D104*E104*(F104*M104+'CASTILLOS-PA'!W104*FY))</f>
        <v>#DIV/0!</v>
      </c>
      <c r="R104" s="88">
        <f>D104*E104*(F104*M104+'CASTILLOS-PA'!G104*FY*2)</f>
        <v>8588.16</v>
      </c>
      <c r="S104" s="88">
        <f t="shared" si="19"/>
        <v>0</v>
      </c>
      <c r="T104" s="88">
        <f t="shared" si="20"/>
        <v>0</v>
      </c>
      <c r="U104" s="536">
        <f>D104*(0.7*$G$24*(B104*C104)+2000*'MUR.CONC-PA'!K104)</f>
        <v>0</v>
      </c>
      <c r="V104" s="544">
        <f>IF(AND('CG. MPA'!E104="TABIQUE",'CG. MPA'!F104="HUECO"),Q104,0)</f>
        <v>0</v>
      </c>
      <c r="W104" s="544">
        <f>IF(AND('CG. MPA'!D104="CONFINADO",'CG. MPA'!E104="TABIQUE",'CG. MPA'!F104="MACIZO"),'RMCV.PA'!R104,IF(AND('CG. MPA'!D104="CONFINADO",'CG. MPA'!E104="TABICON",'CG. MPA'!F104="MACIZO"),'RMCV.PA'!R104,IF(AND('CG. MPA'!D104="CONFINADO",'CG. MPA'!E104="LIGERO",'CG. MPA'!F104="MACIZO"),'RMCV.PA'!R104,0)))</f>
        <v>0</v>
      </c>
      <c r="X104" s="544">
        <f>IF(AND('CG. MPA'!D104="NO CONFINADO",'CG. MPA'!E104="TABIQUE",'CG. MPA'!F104="MACIZO"),S104,IF(AND('CG. MPA'!D104="NO CONFINADO",'CG. MPA'!E104="TABICON",'CG. MPA'!F104="MACIZO"),S104,IF(AND('CG. MPA'!D104="NO CONFINADO",'CG. MPA'!E104="LIGERO",'CG. MPA'!F104="MACIZO"),S104,0)))</f>
        <v>0</v>
      </c>
      <c r="Y104" s="544">
        <f>IF('CG. MPA'!E104="ADOBE",'RMCV.PA'!T104,0)</f>
        <v>0</v>
      </c>
      <c r="Z104" s="544">
        <f>IF('CG. MPA'!E104="CONCRETO",'RMCV.PA'!U104,0)</f>
        <v>0</v>
      </c>
      <c r="AA104" s="93">
        <f t="shared" si="23"/>
        <v>0</v>
      </c>
      <c r="AB104" s="428">
        <v>0.8</v>
      </c>
      <c r="AC104" s="4" t="e">
        <f>(1-2*AA104/C104)*(1-(AB104*'CG. MPA'!C104*10/(30*C104))^2)</f>
        <v>#DIV/0!</v>
      </c>
      <c r="AD104" s="350" t="e">
        <f>(1-(2*AA104/C104))*(1-(AB104*'CG. MPA'!C104*10/(30*C104))^2)*(1-('CG. MPA'!C104*10/B104))+('CG. MPA'!C104*10/B104)</f>
        <v>#DIV/0!</v>
      </c>
      <c r="AE104" s="429" t="e">
        <f t="shared" si="24"/>
        <v>#DIV/0!</v>
      </c>
    </row>
    <row r="105" spans="1:31" ht="15" customHeight="1">
      <c r="A105" s="684">
        <f>'CG. MPA'!A105</f>
        <v>26</v>
      </c>
      <c r="B105" s="975">
        <f>'CG. MPA'!B105*100</f>
        <v>0</v>
      </c>
      <c r="C105" s="68">
        <f>'ELEM. MECA.'!S232</f>
        <v>0</v>
      </c>
      <c r="D105" s="38">
        <f>IF(AND('CG. MPA'!D105="CONFINADO",'CG. MPA'!E105="CONCRETO"),0.8,IF('CG. MPA'!D105="NO CONFINADO",0.3,0.6))</f>
        <v>0.6</v>
      </c>
      <c r="E105" s="68">
        <v>0.6</v>
      </c>
      <c r="F105" s="38">
        <f>IF('CG. MPA'!E105="CONCRETO",G105,'RMCV.PA'!H105+'RMCV.PA'!I105+'RMCV.PA'!J105+K105+L105)</f>
        <v>0</v>
      </c>
      <c r="G105" s="542">
        <f>IF('CG. MPA'!E105="CONCRETO",0.6*$G$24,0)</f>
        <v>0</v>
      </c>
      <c r="H105" s="38">
        <f>IF(AND('CG. MPA'!E105="TABIQUE",'CG. MPA'!F105="MACIZO"),15,0)</f>
        <v>0</v>
      </c>
      <c r="I105" s="38">
        <f>IF(AND('CG. MPA'!E105="TABIQUE",'CG. MPA'!F105="HUECO"),IF(E42="III",30,40),0)</f>
        <v>0</v>
      </c>
      <c r="J105" s="575">
        <f>IF('CG. MPA'!E105="TABICON",IF(E47="I",20,15),0)</f>
        <v>0</v>
      </c>
      <c r="K105" s="575">
        <f>IF('CG. MPA'!E105="ADOBE",10,0)</f>
        <v>0</v>
      </c>
      <c r="L105" s="575">
        <f>IF('CG. MPA'!E105="LIGERO",10,0)</f>
        <v>0</v>
      </c>
      <c r="M105" s="576">
        <f t="shared" si="25"/>
        <v>0</v>
      </c>
      <c r="N105" s="918">
        <f>ABS('ELEM. MECA.'!M232)</f>
        <v>0</v>
      </c>
      <c r="O105" s="919">
        <f>IF(AND('CG. MPA'!E105="TABIQUE",'CG. MPA'!F105="HUECO"),V105,IF(AND('CG. MPA'!D105="CONFINADO",'CG. MPA'!E105="TABIQUE",'CG. MPA'!F105="MACIZO"),'RMCV.PA'!W105,IF(AND('CG. MPA'!D105="CONFINADO",'CG. MPA'!E105="TABICON",'CG. MPA'!F105="MACIZO"),'RMCV.PA'!W105,IF(AND('CG. MPA'!D105="CONFINADO",'CG. MPA'!E105="LIGERO",'CG. MPA'!F105="MACIZO"),'RMCV.PA'!W105,IF(AND('CG. MPA'!D105="NO CONFINADO",'CG. MPA'!E105="TABIQUE",'CG. MPA'!F105="MACIZO"),X105,IF(AND('CG. MPA'!D105="NO CONFINADO",'CG. MPA'!E105="TABICON",'CG. MPA'!F105="MACIZO"),X105,IF(AND('CG. MPA'!D105="NO CONFINADO",'CG. MPA'!E105="LIGERO",'CG. MPA'!F105="MACIZO"),X105,IF('CG. MPA'!E105="ADOBE",'RMCV.PA'!Y105,Z105))))))))</f>
        <v>0</v>
      </c>
      <c r="P105" s="685" t="str">
        <f t="shared" si="26"/>
        <v>PASA</v>
      </c>
      <c r="Q105" s="88" t="e">
        <f>IF(D105*E105*(F105*M105+'CASTILLOS-PA'!W105*FY)&gt;1.25*D105*E105*F105*M105,1.25*D105*E105*F105*M105,D105*E105*(F105*M105+'CASTILLOS-PA'!W105*FY))</f>
        <v>#DIV/0!</v>
      </c>
      <c r="R105" s="88">
        <f>D105*E105*(F105*M105+'CASTILLOS-PA'!G105*FY*2)</f>
        <v>8588.16</v>
      </c>
      <c r="S105" s="88">
        <f t="shared" si="19"/>
        <v>0</v>
      </c>
      <c r="T105" s="88">
        <f t="shared" si="20"/>
        <v>0</v>
      </c>
      <c r="U105" s="536">
        <f>D105*(0.7*$G$24*(B105*C105)+2000*'MUR.CONC-PA'!K105)</f>
        <v>0</v>
      </c>
      <c r="V105" s="544">
        <f>IF(AND('CG. MPA'!E105="TABIQUE",'CG. MPA'!F105="HUECO"),Q105,0)</f>
        <v>0</v>
      </c>
      <c r="W105" s="544">
        <f>IF(AND('CG. MPA'!D105="CONFINADO",'CG. MPA'!E105="TABIQUE",'CG. MPA'!F105="MACIZO"),'RMCV.PA'!R105,IF(AND('CG. MPA'!D105="CONFINADO",'CG. MPA'!E105="TABICON",'CG. MPA'!F105="MACIZO"),'RMCV.PA'!R105,IF(AND('CG. MPA'!D105="CONFINADO",'CG. MPA'!E105="LIGERO",'CG. MPA'!F105="MACIZO"),'RMCV.PA'!R105,0)))</f>
        <v>0</v>
      </c>
      <c r="X105" s="544">
        <f>IF(AND('CG. MPA'!D105="NO CONFINADO",'CG. MPA'!E105="TABIQUE",'CG. MPA'!F105="MACIZO"),S105,IF(AND('CG. MPA'!D105="NO CONFINADO",'CG. MPA'!E105="TABICON",'CG. MPA'!F105="MACIZO"),S105,IF(AND('CG. MPA'!D105="NO CONFINADO",'CG. MPA'!E105="LIGERO",'CG. MPA'!F105="MACIZO"),S105,0)))</f>
        <v>0</v>
      </c>
      <c r="Y105" s="544">
        <f>IF('CG. MPA'!E105="ADOBE",'RMCV.PA'!T105,0)</f>
        <v>0</v>
      </c>
      <c r="Z105" s="544">
        <f>IF('CG. MPA'!E105="CONCRETO",'RMCV.PA'!U105,0)</f>
        <v>0</v>
      </c>
      <c r="AA105" s="93">
        <f t="shared" si="23"/>
        <v>0</v>
      </c>
      <c r="AB105" s="428">
        <v>0.8</v>
      </c>
      <c r="AC105" s="4" t="e">
        <f>(1-2*AA105/C105)*(1-(AB105*'CG. MPA'!C105*10/(30*C105))^2)</f>
        <v>#DIV/0!</v>
      </c>
      <c r="AD105" s="350" t="e">
        <f>(1-(2*AA105/C105))*(1-(AB105*'CG. MPA'!C105*10/(30*C105))^2)*(1-('CG. MPA'!C105*10/B105))+('CG. MPA'!C105*10/B105)</f>
        <v>#DIV/0!</v>
      </c>
      <c r="AE105" s="429" t="e">
        <f t="shared" si="24"/>
        <v>#DIV/0!</v>
      </c>
    </row>
    <row r="106" spans="1:31" ht="15" customHeight="1">
      <c r="A106" s="684">
        <f>'CG. MPA'!A106</f>
        <v>27</v>
      </c>
      <c r="B106" s="975">
        <f>'CG. MPA'!B106*100</f>
        <v>0</v>
      </c>
      <c r="C106" s="68">
        <f>'ELEM. MECA.'!S233</f>
        <v>0</v>
      </c>
      <c r="D106" s="38">
        <f>IF(AND('CG. MPA'!D106="CONFINADO",'CG. MPA'!E106="CONCRETO"),0.8,IF('CG. MPA'!D106="NO CONFINADO",0.3,0.6))</f>
        <v>0.6</v>
      </c>
      <c r="E106" s="68">
        <v>0.6</v>
      </c>
      <c r="F106" s="38">
        <f>IF('CG. MPA'!E106="CONCRETO",G106,'RMCV.PA'!H106+'RMCV.PA'!I106+'RMCV.PA'!J106+K106+L106)</f>
        <v>0</v>
      </c>
      <c r="G106" s="542">
        <f>IF('CG. MPA'!E106="CONCRETO",0.6*$G$24,0)</f>
        <v>0</v>
      </c>
      <c r="H106" s="38">
        <f>IF(AND('CG. MPA'!E106="TABIQUE",'CG. MPA'!F106="MACIZO"),15,0)</f>
        <v>0</v>
      </c>
      <c r="I106" s="38">
        <f>IF(AND('CG. MPA'!E106="TABIQUE",'CG. MPA'!F106="HUECO"),IF(E43="III",30,40),0)</f>
        <v>0</v>
      </c>
      <c r="J106" s="575">
        <f>IF('CG. MPA'!E106="TABICON",IF(E48="I",20,15),0)</f>
        <v>0</v>
      </c>
      <c r="K106" s="575">
        <f>IF('CG. MPA'!E106="ADOBE",10,0)</f>
        <v>0</v>
      </c>
      <c r="L106" s="575">
        <f>IF('CG. MPA'!E106="LIGERO",10,0)</f>
        <v>0</v>
      </c>
      <c r="M106" s="576">
        <f t="shared" si="25"/>
        <v>0</v>
      </c>
      <c r="N106" s="918">
        <f>ABS('ELEM. MECA.'!M233)</f>
        <v>0</v>
      </c>
      <c r="O106" s="919">
        <f>IF(AND('CG. MPA'!E106="TABIQUE",'CG. MPA'!F106="HUECO"),V106,IF(AND('CG. MPA'!D106="CONFINADO",'CG. MPA'!E106="TABIQUE",'CG. MPA'!F106="MACIZO"),'RMCV.PA'!W106,IF(AND('CG. MPA'!D106="CONFINADO",'CG. MPA'!E106="TABICON",'CG. MPA'!F106="MACIZO"),'RMCV.PA'!W106,IF(AND('CG. MPA'!D106="CONFINADO",'CG. MPA'!E106="LIGERO",'CG. MPA'!F106="MACIZO"),'RMCV.PA'!W106,IF(AND('CG. MPA'!D106="NO CONFINADO",'CG. MPA'!E106="TABIQUE",'CG. MPA'!F106="MACIZO"),X106,IF(AND('CG. MPA'!D106="NO CONFINADO",'CG. MPA'!E106="TABICON",'CG. MPA'!F106="MACIZO"),X106,IF(AND('CG. MPA'!D106="NO CONFINADO",'CG. MPA'!E106="LIGERO",'CG. MPA'!F106="MACIZO"),X106,IF('CG. MPA'!E106="ADOBE",'RMCV.PA'!Y106,Z106))))))))</f>
        <v>0</v>
      </c>
      <c r="P106" s="685" t="str">
        <f t="shared" si="26"/>
        <v>PASA</v>
      </c>
      <c r="Q106" s="88" t="e">
        <f>IF(D106*E106*(F106*M106+'CASTILLOS-PA'!W106*FY)&gt;1.25*D106*E106*F106*M106,1.25*D106*E106*F106*M106,D106*E106*(F106*M106+'CASTILLOS-PA'!W106*FY))</f>
        <v>#DIV/0!</v>
      </c>
      <c r="R106" s="88">
        <f>D106*E106*(F106*M106+'CASTILLOS-PA'!G106*FY*2)</f>
        <v>8588.16</v>
      </c>
      <c r="S106" s="88">
        <f t="shared" si="19"/>
        <v>0</v>
      </c>
      <c r="T106" s="88">
        <f t="shared" si="20"/>
        <v>0</v>
      </c>
      <c r="U106" s="536">
        <f>D106*(0.7*$G$24*(B106*C106)+2000*'MUR.CONC-PA'!K106)</f>
        <v>0</v>
      </c>
      <c r="V106" s="544">
        <f>IF(AND('CG. MPA'!E106="TABIQUE",'CG. MPA'!F106="HUECO"),Q106,0)</f>
        <v>0</v>
      </c>
      <c r="W106" s="544">
        <f>IF(AND('CG. MPA'!D106="CONFINADO",'CG. MPA'!E106="TABIQUE",'CG. MPA'!F106="MACIZO"),'RMCV.PA'!R106,IF(AND('CG. MPA'!D106="CONFINADO",'CG. MPA'!E106="TABICON",'CG. MPA'!F106="MACIZO"),'RMCV.PA'!R106,IF(AND('CG. MPA'!D106="CONFINADO",'CG. MPA'!E106="LIGERO",'CG. MPA'!F106="MACIZO"),'RMCV.PA'!R106,0)))</f>
        <v>0</v>
      </c>
      <c r="X106" s="544">
        <f>IF(AND('CG. MPA'!D106="NO CONFINADO",'CG. MPA'!E106="TABIQUE",'CG. MPA'!F106="MACIZO"),S106,IF(AND('CG. MPA'!D106="NO CONFINADO",'CG. MPA'!E106="TABICON",'CG. MPA'!F106="MACIZO"),S106,IF(AND('CG. MPA'!D106="NO CONFINADO",'CG. MPA'!E106="LIGERO",'CG. MPA'!F106="MACIZO"),S106,0)))</f>
        <v>0</v>
      </c>
      <c r="Y106" s="544">
        <f>IF('CG. MPA'!E106="ADOBE",'RMCV.PA'!T106,0)</f>
        <v>0</v>
      </c>
      <c r="Z106" s="544">
        <f>IF('CG. MPA'!E106="CONCRETO",'RMCV.PA'!U106,0)</f>
        <v>0</v>
      </c>
      <c r="AA106" s="93">
        <f t="shared" si="23"/>
        <v>0</v>
      </c>
      <c r="AB106" s="428">
        <v>0.8</v>
      </c>
      <c r="AC106" s="4" t="e">
        <f>(1-2*AA106/C106)*(1-(AB106*'CG. MPA'!C106*10/(30*C106))^2)</f>
        <v>#DIV/0!</v>
      </c>
      <c r="AD106" s="350" t="e">
        <f>(1-(2*AA106/C106))*(1-(AB106*'CG. MPA'!C106*10/(30*C106))^2)*(1-('CG. MPA'!C106*10/B106))+('CG. MPA'!C106*10/B106)</f>
        <v>#DIV/0!</v>
      </c>
      <c r="AE106" s="429" t="e">
        <f t="shared" si="24"/>
        <v>#DIV/0!</v>
      </c>
    </row>
    <row r="107" spans="1:31" ht="15" customHeight="1">
      <c r="A107" s="684">
        <f>'CG. MPA'!A107</f>
        <v>28</v>
      </c>
      <c r="B107" s="975">
        <f>'CG. MPA'!B107*100</f>
        <v>0</v>
      </c>
      <c r="C107" s="68">
        <f>'ELEM. MECA.'!S234</f>
        <v>0</v>
      </c>
      <c r="D107" s="38">
        <f>IF(AND('CG. MPA'!D107="CONFINADO",'CG. MPA'!E107="CONCRETO"),0.8,IF('CG. MPA'!D107="NO CONFINADO",0.3,0.6))</f>
        <v>0.6</v>
      </c>
      <c r="E107" s="68">
        <v>0.6</v>
      </c>
      <c r="F107" s="38">
        <f>IF('CG. MPA'!E107="CONCRETO",G107,'RMCV.PA'!H107+'RMCV.PA'!I107+'RMCV.PA'!J107+K107+L107)</f>
        <v>0</v>
      </c>
      <c r="G107" s="542">
        <f>IF('CG. MPA'!E107="CONCRETO",0.6*$G$24,0)</f>
        <v>0</v>
      </c>
      <c r="H107" s="38">
        <f>IF(AND('CG. MPA'!E107="TABIQUE",'CG. MPA'!F107="MACIZO"),15,0)</f>
        <v>0</v>
      </c>
      <c r="I107" s="38">
        <f>IF(AND('CG. MPA'!E107="TABIQUE",'CG. MPA'!F107="HUECO"),IF(E44="III",30,40),0)</f>
        <v>0</v>
      </c>
      <c r="J107" s="575">
        <f>IF('CG. MPA'!E107="TABICON",IF(E49="I",20,15),0)</f>
        <v>0</v>
      </c>
      <c r="K107" s="575">
        <f>IF('CG. MPA'!E107="ADOBE",10,0)</f>
        <v>0</v>
      </c>
      <c r="L107" s="575">
        <f>IF('CG. MPA'!E107="LIGERO",10,0)</f>
        <v>0</v>
      </c>
      <c r="M107" s="576">
        <f t="shared" si="25"/>
        <v>0</v>
      </c>
      <c r="N107" s="918">
        <f>ABS('ELEM. MECA.'!M234)</f>
        <v>0</v>
      </c>
      <c r="O107" s="919">
        <f>IF(AND('CG. MPA'!E107="TABIQUE",'CG. MPA'!F107="HUECO"),V107,IF(AND('CG. MPA'!D107="CONFINADO",'CG. MPA'!E107="TABIQUE",'CG. MPA'!F107="MACIZO"),'RMCV.PA'!W107,IF(AND('CG. MPA'!D107="CONFINADO",'CG. MPA'!E107="TABICON",'CG. MPA'!F107="MACIZO"),'RMCV.PA'!W107,IF(AND('CG. MPA'!D107="CONFINADO",'CG. MPA'!E107="LIGERO",'CG. MPA'!F107="MACIZO"),'RMCV.PA'!W107,IF(AND('CG. MPA'!D107="NO CONFINADO",'CG. MPA'!E107="TABIQUE",'CG. MPA'!F107="MACIZO"),X107,IF(AND('CG. MPA'!D107="NO CONFINADO",'CG. MPA'!E107="TABICON",'CG. MPA'!F107="MACIZO"),X107,IF(AND('CG. MPA'!D107="NO CONFINADO",'CG. MPA'!E107="LIGERO",'CG. MPA'!F107="MACIZO"),X107,IF('CG. MPA'!E107="ADOBE",'RMCV.PA'!Y107,Z107))))))))</f>
        <v>0</v>
      </c>
      <c r="P107" s="685" t="str">
        <f t="shared" si="26"/>
        <v>PASA</v>
      </c>
      <c r="Q107" s="88" t="e">
        <f>IF(D107*E107*(F107*M107+'CASTILLOS-PA'!W107*FY)&gt;1.25*D107*E107*F107*M107,1.25*D107*E107*F107*M107,D107*E107*(F107*M107+'CASTILLOS-PA'!W107*FY))</f>
        <v>#DIV/0!</v>
      </c>
      <c r="R107" s="88">
        <f>D107*E107*(F107*M107+'CASTILLOS-PA'!G107*FY*2)</f>
        <v>8588.16</v>
      </c>
      <c r="S107" s="88">
        <f t="shared" si="19"/>
        <v>0</v>
      </c>
      <c r="T107" s="88">
        <f t="shared" si="20"/>
        <v>0</v>
      </c>
      <c r="U107" s="536">
        <f>D107*(0.7*$G$24*(B107*C107)+2000*'MUR.CONC-PA'!K107)</f>
        <v>0</v>
      </c>
      <c r="V107" s="544">
        <f>IF(AND('CG. MPA'!E107="TABIQUE",'CG. MPA'!F107="HUECO"),Q107,0)</f>
        <v>0</v>
      </c>
      <c r="W107" s="544">
        <f>IF(AND('CG. MPA'!D107="CONFINADO",'CG. MPA'!E107="TABIQUE",'CG. MPA'!F107="MACIZO"),'RMCV.PA'!R107,IF(AND('CG. MPA'!D107="CONFINADO",'CG. MPA'!E107="TABICON",'CG. MPA'!F107="MACIZO"),'RMCV.PA'!R107,IF(AND('CG. MPA'!D107="CONFINADO",'CG. MPA'!E107="LIGERO",'CG. MPA'!F107="MACIZO"),'RMCV.PA'!R107,0)))</f>
        <v>0</v>
      </c>
      <c r="X107" s="544">
        <f>IF(AND('CG. MPA'!D107="NO CONFINADO",'CG. MPA'!E107="TABIQUE",'CG. MPA'!F107="MACIZO"),S107,IF(AND('CG. MPA'!D107="NO CONFINADO",'CG. MPA'!E107="TABICON",'CG. MPA'!F107="MACIZO"),S107,IF(AND('CG. MPA'!D107="NO CONFINADO",'CG. MPA'!E107="LIGERO",'CG. MPA'!F107="MACIZO"),S107,0)))</f>
        <v>0</v>
      </c>
      <c r="Y107" s="544">
        <f>IF('CG. MPA'!E107="ADOBE",'RMCV.PA'!T107,0)</f>
        <v>0</v>
      </c>
      <c r="Z107" s="544">
        <f>IF('CG. MPA'!E107="CONCRETO",'RMCV.PA'!U107,0)</f>
        <v>0</v>
      </c>
      <c r="AA107" s="93">
        <f t="shared" si="23"/>
        <v>0</v>
      </c>
      <c r="AB107" s="428">
        <v>0.8</v>
      </c>
      <c r="AC107" s="4" t="e">
        <f>(1-2*AA107/C107)*(1-(AB107*'CG. MPA'!C107*10/(30*C107))^2)</f>
        <v>#DIV/0!</v>
      </c>
      <c r="AD107" s="350" t="e">
        <f>(1-(2*AA107/C107))*(1-(AB107*'CG. MPA'!C107*10/(30*C107))^2)*(1-('CG. MPA'!C107*10/B107))+('CG. MPA'!C107*10/B107)</f>
        <v>#DIV/0!</v>
      </c>
      <c r="AE107" s="429" t="e">
        <f t="shared" si="24"/>
        <v>#DIV/0!</v>
      </c>
    </row>
    <row r="108" spans="1:31" ht="15" customHeight="1">
      <c r="A108" s="684">
        <f>'CG. MPA'!A108</f>
        <v>29</v>
      </c>
      <c r="B108" s="975">
        <f>'CG. MPA'!B108*100</f>
        <v>0</v>
      </c>
      <c r="C108" s="68">
        <f>'ELEM. MECA.'!S235</f>
        <v>0</v>
      </c>
      <c r="D108" s="38">
        <f>IF(AND('CG. MPA'!D108="CONFINADO",'CG. MPA'!E108="CONCRETO"),0.8,IF('CG. MPA'!D108="NO CONFINADO",0.3,0.6))</f>
        <v>0.6</v>
      </c>
      <c r="E108" s="68">
        <v>0.6</v>
      </c>
      <c r="F108" s="38">
        <f>IF('CG. MPA'!E108="CONCRETO",G108,'RMCV.PA'!H108+'RMCV.PA'!I108+'RMCV.PA'!J108+K108+L108)</f>
        <v>0</v>
      </c>
      <c r="G108" s="542">
        <f>IF('CG. MPA'!E108="CONCRETO",0.6*$G$24,0)</f>
        <v>0</v>
      </c>
      <c r="H108" s="38">
        <f>IF(AND('CG. MPA'!E108="TABIQUE",'CG. MPA'!F108="MACIZO"),15,0)</f>
        <v>0</v>
      </c>
      <c r="I108" s="38">
        <f>IF(AND('CG. MPA'!E108="TABIQUE",'CG. MPA'!F108="HUECO"),IF(E45="III",30,40),0)</f>
        <v>0</v>
      </c>
      <c r="J108" s="575">
        <f>IF('CG. MPA'!E108="TABICON",IF(E61="I",20,15),0)</f>
        <v>0</v>
      </c>
      <c r="K108" s="575">
        <f>IF('CG. MPA'!E108="ADOBE",10,0)</f>
        <v>0</v>
      </c>
      <c r="L108" s="575">
        <f>IF('CG. MPA'!E108="LIGERO",10,0)</f>
        <v>0</v>
      </c>
      <c r="M108" s="576">
        <f t="shared" si="25"/>
        <v>0</v>
      </c>
      <c r="N108" s="918">
        <f>ABS('ELEM. MECA.'!M235)</f>
        <v>0</v>
      </c>
      <c r="O108" s="919">
        <f>IF(AND('CG. MPA'!E108="TABIQUE",'CG. MPA'!F108="HUECO"),V108,IF(AND('CG. MPA'!D108="CONFINADO",'CG. MPA'!E108="TABIQUE",'CG. MPA'!F108="MACIZO"),'RMCV.PA'!W108,IF(AND('CG. MPA'!D108="CONFINADO",'CG. MPA'!E108="TABICON",'CG. MPA'!F108="MACIZO"),'RMCV.PA'!W108,IF(AND('CG. MPA'!D108="CONFINADO",'CG. MPA'!E108="LIGERO",'CG. MPA'!F108="MACIZO"),'RMCV.PA'!W108,IF(AND('CG. MPA'!D108="NO CONFINADO",'CG. MPA'!E108="TABIQUE",'CG. MPA'!F108="MACIZO"),X108,IF(AND('CG. MPA'!D108="NO CONFINADO",'CG. MPA'!E108="TABICON",'CG. MPA'!F108="MACIZO"),X108,IF(AND('CG. MPA'!D108="NO CONFINADO",'CG. MPA'!E108="LIGERO",'CG. MPA'!F108="MACIZO"),X108,IF('CG. MPA'!E108="ADOBE",'RMCV.PA'!Y108,Z108))))))))</f>
        <v>0</v>
      </c>
      <c r="P108" s="685" t="str">
        <f t="shared" si="26"/>
        <v>PASA</v>
      </c>
      <c r="Q108" s="88" t="e">
        <f>IF(D108*E108*(F108*M108+'CASTILLOS-PA'!W108*FY)&gt;1.25*D108*E108*F108*M108,1.25*D108*E108*F108*M108,D108*E108*(F108*M108+'CASTILLOS-PA'!W108*FY))</f>
        <v>#DIV/0!</v>
      </c>
      <c r="R108" s="88">
        <f>D108*E108*(F108*M108+'CASTILLOS-PA'!G108*FY*2)</f>
        <v>8588.16</v>
      </c>
      <c r="S108" s="88">
        <f t="shared" si="19"/>
        <v>0</v>
      </c>
      <c r="T108" s="88">
        <f t="shared" si="20"/>
        <v>0</v>
      </c>
      <c r="U108" s="536">
        <f>D108*(0.7*$G$24*(B108*C108)+2000*'MUR.CONC-PA'!K108)</f>
        <v>0</v>
      </c>
      <c r="V108" s="544">
        <f>IF(AND('CG. MPA'!E108="TABIQUE",'CG. MPA'!F108="HUECO"),Q108,0)</f>
        <v>0</v>
      </c>
      <c r="W108" s="544">
        <f>IF(AND('CG. MPA'!D108="CONFINADO",'CG. MPA'!E108="TABIQUE",'CG. MPA'!F108="MACIZO"),'RMCV.PA'!R108,IF(AND('CG. MPA'!D108="CONFINADO",'CG. MPA'!E108="TABICON",'CG. MPA'!F108="MACIZO"),'RMCV.PA'!R108,IF(AND('CG. MPA'!D108="CONFINADO",'CG. MPA'!E108="LIGERO",'CG. MPA'!F108="MACIZO"),'RMCV.PA'!R108,0)))</f>
        <v>0</v>
      </c>
      <c r="X108" s="544">
        <f>IF(AND('CG. MPA'!D108="NO CONFINADO",'CG. MPA'!E108="TABIQUE",'CG. MPA'!F108="MACIZO"),S108,IF(AND('CG. MPA'!D108="NO CONFINADO",'CG. MPA'!E108="TABICON",'CG. MPA'!F108="MACIZO"),S108,IF(AND('CG. MPA'!D108="NO CONFINADO",'CG. MPA'!E108="LIGERO",'CG. MPA'!F108="MACIZO"),S108,0)))</f>
        <v>0</v>
      </c>
      <c r="Y108" s="544">
        <f>IF('CG. MPA'!E108="ADOBE",'RMCV.PA'!T108,0)</f>
        <v>0</v>
      </c>
      <c r="Z108" s="544">
        <f>IF('CG. MPA'!E108="CONCRETO",'RMCV.PA'!U108,0)</f>
        <v>0</v>
      </c>
      <c r="AA108" s="93">
        <f t="shared" si="23"/>
        <v>0</v>
      </c>
      <c r="AB108" s="428">
        <v>0.8</v>
      </c>
      <c r="AC108" s="4" t="e">
        <f>(1-2*AA108/C108)*(1-(AB108*'CG. MPA'!C108*10/(30*C108))^2)</f>
        <v>#DIV/0!</v>
      </c>
      <c r="AD108" s="350" t="e">
        <f>(1-(2*AA108/C108))*(1-(AB108*'CG. MPA'!C108*10/(30*C108))^2)*(1-('CG. MPA'!C108*10/B108))+('CG. MPA'!C108*10/B108)</f>
        <v>#DIV/0!</v>
      </c>
      <c r="AE108" s="429" t="e">
        <f t="shared" si="24"/>
        <v>#DIV/0!</v>
      </c>
    </row>
    <row r="109" spans="1:31" ht="15" customHeight="1">
      <c r="A109" s="684">
        <f>'CG. MPA'!A109</f>
        <v>30</v>
      </c>
      <c r="B109" s="975">
        <f>'CG. MPA'!B109*100</f>
        <v>0</v>
      </c>
      <c r="C109" s="68">
        <f>'ELEM. MECA.'!S236</f>
        <v>0</v>
      </c>
      <c r="D109" s="38">
        <f>IF(AND('CG. MPA'!D109="CONFINADO",'CG. MPA'!E109="CONCRETO"),0.8,IF('CG. MPA'!D109="NO CONFINADO",0.3,0.6))</f>
        <v>0.6</v>
      </c>
      <c r="E109" s="68">
        <v>0.6</v>
      </c>
      <c r="F109" s="38">
        <f>IF('CG. MPA'!E109="CONCRETO",G109,'RMCV.PA'!H109+'RMCV.PA'!I109+'RMCV.PA'!J109+K109+L109)</f>
        <v>0</v>
      </c>
      <c r="G109" s="542">
        <f>IF('CG. MPA'!E109="CONCRETO",0.6*$G$24,0)</f>
        <v>0</v>
      </c>
      <c r="H109" s="38">
        <f>IF(AND('CG. MPA'!E109="TABIQUE",'CG. MPA'!F109="MACIZO"),15,0)</f>
        <v>0</v>
      </c>
      <c r="I109" s="38">
        <f>IF(AND('CG. MPA'!E109="TABIQUE",'CG. MPA'!F109="HUECO"),IF(E46="III",30,40),0)</f>
        <v>0</v>
      </c>
      <c r="J109" s="575">
        <f>IF('CG. MPA'!E109="TABICON",IF(E62="I",20,15),0)</f>
        <v>0</v>
      </c>
      <c r="K109" s="575">
        <f>IF('CG. MPA'!E109="ADOBE",10,0)</f>
        <v>0</v>
      </c>
      <c r="L109" s="575">
        <f>IF('CG. MPA'!E109="LIGERO",10,0)</f>
        <v>0</v>
      </c>
      <c r="M109" s="576">
        <f t="shared" si="25"/>
        <v>0</v>
      </c>
      <c r="N109" s="918">
        <f>ABS('ELEM. MECA.'!M236)</f>
        <v>0</v>
      </c>
      <c r="O109" s="919">
        <f>IF(AND('CG. MPA'!E109="TABIQUE",'CG. MPA'!F109="HUECO"),V109,IF(AND('CG. MPA'!D109="CONFINADO",'CG. MPA'!E109="TABIQUE",'CG. MPA'!F109="MACIZO"),'RMCV.PA'!W109,IF(AND('CG. MPA'!D109="CONFINADO",'CG. MPA'!E109="TABICON",'CG. MPA'!F109="MACIZO"),'RMCV.PA'!W109,IF(AND('CG. MPA'!D109="CONFINADO",'CG. MPA'!E109="LIGERO",'CG. MPA'!F109="MACIZO"),'RMCV.PA'!W109,IF(AND('CG. MPA'!D109="NO CONFINADO",'CG. MPA'!E109="TABIQUE",'CG. MPA'!F109="MACIZO"),X109,IF(AND('CG. MPA'!D109="NO CONFINADO",'CG. MPA'!E109="TABICON",'CG. MPA'!F109="MACIZO"),X109,IF(AND('CG. MPA'!D109="NO CONFINADO",'CG. MPA'!E109="LIGERO",'CG. MPA'!F109="MACIZO"),X109,IF('CG. MPA'!E109="ADOBE",'RMCV.PA'!Y109,Z109))))))))</f>
        <v>0</v>
      </c>
      <c r="P109" s="685" t="str">
        <f t="shared" si="26"/>
        <v>PASA</v>
      </c>
      <c r="Q109" s="88" t="e">
        <f>IF(D109*E109*(F109*M109+'CASTILLOS-PA'!W109*FY)&gt;1.25*D109*E109*F109*M109,1.25*D109*E109*F109*M109,D109*E109*(F109*M109+'CASTILLOS-PA'!W109*FY))</f>
        <v>#DIV/0!</v>
      </c>
      <c r="R109" s="88">
        <f>D109*E109*(F109*M109+'CASTILLOS-PA'!G109*FY*2)</f>
        <v>8588.16</v>
      </c>
      <c r="S109" s="88">
        <f t="shared" si="19"/>
        <v>0</v>
      </c>
      <c r="T109" s="88">
        <f t="shared" si="20"/>
        <v>0</v>
      </c>
      <c r="U109" s="536">
        <f>D109*(0.7*$G$24*(B109*C109)+2000*'MUR.CONC-PA'!K109)</f>
        <v>0</v>
      </c>
      <c r="V109" s="544">
        <f>IF(AND('CG. MPA'!E109="TABIQUE",'CG. MPA'!F109="HUECO"),Q109,0)</f>
        <v>0</v>
      </c>
      <c r="W109" s="544">
        <f>IF(AND('CG. MPA'!D109="CONFINADO",'CG. MPA'!E109="TABIQUE",'CG. MPA'!F109="MACIZO"),'RMCV.PA'!R109,IF(AND('CG. MPA'!D109="CONFINADO",'CG. MPA'!E109="TABICON",'CG. MPA'!F109="MACIZO"),'RMCV.PA'!R109,IF(AND('CG. MPA'!D109="CONFINADO",'CG. MPA'!E109="LIGERO",'CG. MPA'!F109="MACIZO"),'RMCV.PA'!R109,0)))</f>
        <v>0</v>
      </c>
      <c r="X109" s="544">
        <f>IF(AND('CG. MPA'!D109="NO CONFINADO",'CG. MPA'!E109="TABIQUE",'CG. MPA'!F109="MACIZO"),S109,IF(AND('CG. MPA'!D109="NO CONFINADO",'CG. MPA'!E109="TABICON",'CG. MPA'!F109="MACIZO"),S109,IF(AND('CG. MPA'!D109="NO CONFINADO",'CG. MPA'!E109="LIGERO",'CG. MPA'!F109="MACIZO"),S109,0)))</f>
        <v>0</v>
      </c>
      <c r="Y109" s="544">
        <f>IF('CG. MPA'!E109="ADOBE",'RMCV.PA'!T109,0)</f>
        <v>0</v>
      </c>
      <c r="Z109" s="544">
        <f>IF('CG. MPA'!E109="CONCRETO",'RMCV.PA'!U109,0)</f>
        <v>0</v>
      </c>
      <c r="AA109" s="93">
        <f t="shared" si="23"/>
        <v>0</v>
      </c>
      <c r="AB109" s="428">
        <v>0.8</v>
      </c>
      <c r="AC109" s="4" t="e">
        <f>(1-2*AA109/C109)*(1-(AB109*'CG. MPA'!C109*10/(30*C109))^2)</f>
        <v>#DIV/0!</v>
      </c>
      <c r="AD109" s="350" t="e">
        <f>(1-(2*AA109/C109))*(1-(AB109*'CG. MPA'!C109*10/(30*C109))^2)*(1-('CG. MPA'!C109*10/B109))+('CG. MPA'!C109*10/B109)</f>
        <v>#DIV/0!</v>
      </c>
      <c r="AE109" s="429" t="e">
        <f t="shared" si="24"/>
        <v>#DIV/0!</v>
      </c>
    </row>
    <row r="110" spans="1:31" ht="15" customHeight="1">
      <c r="A110" s="684">
        <f>'CG. MPA'!A110</f>
        <v>31</v>
      </c>
      <c r="B110" s="975">
        <f>'CG. MPA'!B110*100</f>
        <v>0</v>
      </c>
      <c r="C110" s="68">
        <f>'ELEM. MECA.'!S237</f>
        <v>0</v>
      </c>
      <c r="D110" s="38">
        <f>IF(AND('CG. MPA'!D110="CONFINADO",'CG. MPA'!E110="CONCRETO"),0.8,IF('CG. MPA'!D110="NO CONFINADO",0.3,0.6))</f>
        <v>0.6</v>
      </c>
      <c r="E110" s="68">
        <v>0.6</v>
      </c>
      <c r="F110" s="38">
        <f>IF('CG. MPA'!E110="CONCRETO",G110,'RMCV.PA'!H110+'RMCV.PA'!I110+'RMCV.PA'!J110+K110+L110)</f>
        <v>0</v>
      </c>
      <c r="G110" s="542">
        <f>IF('CG. MPA'!E110="CONCRETO",0.6*$G$24,0)</f>
        <v>0</v>
      </c>
      <c r="H110" s="38">
        <f>IF(AND('CG. MPA'!E110="TABIQUE",'CG. MPA'!F110="MACIZO"),15,0)</f>
        <v>0</v>
      </c>
      <c r="I110" s="38">
        <f>IF(AND('CG. MPA'!E110="TABIQUE",'CG. MPA'!F110="HUECO"),IF(E47="III",30,40),0)</f>
        <v>0</v>
      </c>
      <c r="J110" s="575">
        <f>IF('CG. MPA'!E110="TABICON",IF(E63="I",20,15),0)</f>
        <v>0</v>
      </c>
      <c r="K110" s="575">
        <f>IF('CG. MPA'!E110="ADOBE",10,0)</f>
        <v>0</v>
      </c>
      <c r="L110" s="575">
        <f>IF('CG. MPA'!E110="LIGERO",10,0)</f>
        <v>0</v>
      </c>
      <c r="M110" s="576">
        <f t="shared" si="25"/>
        <v>0</v>
      </c>
      <c r="N110" s="918">
        <f>ABS('ELEM. MECA.'!M237)</f>
        <v>0</v>
      </c>
      <c r="O110" s="919">
        <f>IF(AND('CG. MPA'!E110="TABIQUE",'CG. MPA'!F110="HUECO"),V110,IF(AND('CG. MPA'!D110="CONFINADO",'CG. MPA'!E110="TABIQUE",'CG. MPA'!F110="MACIZO"),'RMCV.PA'!W110,IF(AND('CG. MPA'!D110="CONFINADO",'CG. MPA'!E110="TABICON",'CG. MPA'!F110="MACIZO"),'RMCV.PA'!W110,IF(AND('CG. MPA'!D110="CONFINADO",'CG. MPA'!E110="LIGERO",'CG. MPA'!F110="MACIZO"),'RMCV.PA'!W110,IF(AND('CG. MPA'!D110="NO CONFINADO",'CG. MPA'!E110="TABIQUE",'CG. MPA'!F110="MACIZO"),X110,IF(AND('CG. MPA'!D110="NO CONFINADO",'CG. MPA'!E110="TABICON",'CG. MPA'!F110="MACIZO"),X110,IF(AND('CG. MPA'!D110="NO CONFINADO",'CG. MPA'!E110="LIGERO",'CG. MPA'!F110="MACIZO"),X110,IF('CG. MPA'!E110="ADOBE",'RMCV.PA'!Y110,Z110))))))))</f>
        <v>0</v>
      </c>
      <c r="P110" s="685" t="str">
        <f t="shared" si="26"/>
        <v>PASA</v>
      </c>
      <c r="Q110" s="88" t="e">
        <f>IF(D110*E110*(F110*M110+'CASTILLOS-PA'!W110*FY)&gt;1.25*D110*E110*F110*M110,1.25*D110*E110*F110*M110,D110*E110*(F110*M110+'CASTILLOS-PA'!W110*FY))</f>
        <v>#DIV/0!</v>
      </c>
      <c r="R110" s="88">
        <f>D110*E110*(F110*M110+'CASTILLOS-PA'!G110*FY*2)</f>
        <v>8588.16</v>
      </c>
      <c r="S110" s="88">
        <f t="shared" si="19"/>
        <v>0</v>
      </c>
      <c r="T110" s="88">
        <f t="shared" si="20"/>
        <v>0</v>
      </c>
      <c r="U110" s="536">
        <f>D110*(0.7*$G$24*(B110*C110)+2000*'MUR.CONC-PA'!K110)</f>
        <v>0</v>
      </c>
      <c r="V110" s="544">
        <f>IF(AND('CG. MPA'!E110="TABIQUE",'CG. MPA'!F110="HUECO"),Q110,0)</f>
        <v>0</v>
      </c>
      <c r="W110" s="544">
        <f>IF(AND('CG. MPA'!D110="CONFINADO",'CG. MPA'!E110="TABIQUE",'CG. MPA'!F110="MACIZO"),'RMCV.PA'!R110,IF(AND('CG. MPA'!D110="CONFINADO",'CG. MPA'!E110="TABICON",'CG. MPA'!F110="MACIZO"),'RMCV.PA'!R110,IF(AND('CG. MPA'!D110="CONFINADO",'CG. MPA'!E110="LIGERO",'CG. MPA'!F110="MACIZO"),'RMCV.PA'!R110,0)))</f>
        <v>0</v>
      </c>
      <c r="X110" s="544">
        <f>IF(AND('CG. MPA'!D110="NO CONFINADO",'CG. MPA'!E110="TABIQUE",'CG. MPA'!F110="MACIZO"),S110,IF(AND('CG. MPA'!D110="NO CONFINADO",'CG. MPA'!E110="TABICON",'CG. MPA'!F110="MACIZO"),S110,IF(AND('CG. MPA'!D110="NO CONFINADO",'CG. MPA'!E110="LIGERO",'CG. MPA'!F110="MACIZO"),S110,0)))</f>
        <v>0</v>
      </c>
      <c r="Y110" s="544">
        <f>IF('CG. MPA'!E110="ADOBE",'RMCV.PA'!T110,0)</f>
        <v>0</v>
      </c>
      <c r="Z110" s="544">
        <f>IF('CG. MPA'!E110="CONCRETO",'RMCV.PA'!U110,0)</f>
        <v>0</v>
      </c>
      <c r="AA110" s="93">
        <f t="shared" si="23"/>
        <v>0</v>
      </c>
      <c r="AB110" s="428">
        <v>0.8</v>
      </c>
      <c r="AC110" s="4" t="e">
        <f>(1-2*AA110/C110)*(1-(AB110*'CG. MPA'!C110*10/(30*C110))^2)</f>
        <v>#DIV/0!</v>
      </c>
      <c r="AD110" s="350" t="e">
        <f>(1-(2*AA110/C110))*(1-(AB110*'CG. MPA'!C110*10/(30*C110))^2)*(1-('CG. MPA'!C110*10/B110))+('CG. MPA'!C110*10/B110)</f>
        <v>#DIV/0!</v>
      </c>
      <c r="AE110" s="429" t="e">
        <f t="shared" si="24"/>
        <v>#DIV/0!</v>
      </c>
    </row>
    <row r="111" spans="1:31">
      <c r="A111" s="684">
        <f>'CG. MPA'!A111</f>
        <v>32</v>
      </c>
      <c r="B111" s="975">
        <f>'CG. MPA'!B111*100</f>
        <v>0</v>
      </c>
      <c r="C111" s="68">
        <f>'ELEM. MECA.'!S238</f>
        <v>0</v>
      </c>
      <c r="D111" s="38">
        <f>IF(AND('CG. MPA'!D111="CONFINADO",'CG. MPA'!E111="CONCRETO"),0.8,IF('CG. MPA'!D111="NO CONFINADO",0.3,0.6))</f>
        <v>0.6</v>
      </c>
      <c r="E111" s="68">
        <v>0.6</v>
      </c>
      <c r="F111" s="38">
        <f>IF('CG. MPA'!E111="CONCRETO",G111,'RMCV.PA'!H111+'RMCV.PA'!I111+'RMCV.PA'!J111+K111+L111)</f>
        <v>0</v>
      </c>
      <c r="G111" s="542">
        <f>IF('CG. MPA'!E111="CONCRETO",0.6*$G$24,0)</f>
        <v>0</v>
      </c>
      <c r="H111" s="38">
        <f>IF(AND('CG. MPA'!E111="TABIQUE",'CG. MPA'!F111="MACIZO"),15,0)</f>
        <v>0</v>
      </c>
      <c r="I111" s="38">
        <f>IF(AND('CG. MPA'!E111="TABIQUE",'CG. MPA'!F111="HUECO"),IF(E48="III",30,40),0)</f>
        <v>0</v>
      </c>
      <c r="J111" s="575">
        <f>IF('CG. MPA'!E111="TABICON",IF(E64="I",20,15),0)</f>
        <v>0</v>
      </c>
      <c r="K111" s="575">
        <f>IF('CG. MPA'!E111="ADOBE",10,0)</f>
        <v>0</v>
      </c>
      <c r="L111" s="575">
        <f>IF('CG. MPA'!E111="LIGERO",10,0)</f>
        <v>0</v>
      </c>
      <c r="M111" s="576">
        <f t="shared" si="25"/>
        <v>0</v>
      </c>
      <c r="N111" s="918">
        <f>ABS('ELEM. MECA.'!M238)</f>
        <v>0</v>
      </c>
      <c r="O111" s="919">
        <f>IF(AND('CG. MPA'!E111="TABIQUE",'CG. MPA'!F111="HUECO"),V111,IF(AND('CG. MPA'!D111="CONFINADO",'CG. MPA'!E111="TABIQUE",'CG. MPA'!F111="MACIZO"),'RMCV.PA'!W111,IF(AND('CG. MPA'!D111="CONFINADO",'CG. MPA'!E111="TABICON",'CG. MPA'!F111="MACIZO"),'RMCV.PA'!W111,IF(AND('CG. MPA'!D111="CONFINADO",'CG. MPA'!E111="LIGERO",'CG. MPA'!F111="MACIZO"),'RMCV.PA'!W111,IF(AND('CG. MPA'!D111="NO CONFINADO",'CG. MPA'!E111="TABIQUE",'CG. MPA'!F111="MACIZO"),X111,IF(AND('CG. MPA'!D111="NO CONFINADO",'CG. MPA'!E111="TABICON",'CG. MPA'!F111="MACIZO"),X111,IF(AND('CG. MPA'!D111="NO CONFINADO",'CG. MPA'!E111="LIGERO",'CG. MPA'!F111="MACIZO"),X111,IF('CG. MPA'!E111="ADOBE",'RMCV.PA'!Y111,Z111))))))))</f>
        <v>0</v>
      </c>
      <c r="P111" s="685" t="str">
        <f t="shared" si="26"/>
        <v>PASA</v>
      </c>
      <c r="Q111" s="88" t="e">
        <f>IF(D111*E111*(F111*M111+'CASTILLOS-PA'!W111*FY)&gt;1.25*D111*E111*F111*M111,1.25*D111*E111*F111*M111,D111*E111*(F111*M111+'CASTILLOS-PA'!W111*FY))</f>
        <v>#DIV/0!</v>
      </c>
      <c r="R111" s="88">
        <f>D111*E111*(F111*M111+'CASTILLOS-PA'!G111*FY*2)</f>
        <v>8588.16</v>
      </c>
      <c r="S111" s="88">
        <f t="shared" si="19"/>
        <v>0</v>
      </c>
      <c r="T111" s="88">
        <f t="shared" si="20"/>
        <v>0</v>
      </c>
      <c r="U111" s="536">
        <f>D111*(0.7*$G$24*(B111*C111)+2000*'MUR.CONC-PA'!K111)</f>
        <v>0</v>
      </c>
      <c r="V111" s="544">
        <f>IF(AND('CG. MPA'!E111="TABIQUE",'CG. MPA'!F111="HUECO"),Q111,0)</f>
        <v>0</v>
      </c>
      <c r="W111" s="544">
        <f>IF(AND('CG. MPA'!D111="CONFINADO",'CG. MPA'!E111="TABIQUE",'CG. MPA'!F111="MACIZO"),'RMCV.PA'!R111,IF(AND('CG. MPA'!D111="CONFINADO",'CG. MPA'!E111="TABICON",'CG. MPA'!F111="MACIZO"),'RMCV.PA'!R111,IF(AND('CG. MPA'!D111="CONFINADO",'CG. MPA'!E111="LIGERO",'CG. MPA'!F111="MACIZO"),'RMCV.PA'!R111,0)))</f>
        <v>0</v>
      </c>
      <c r="X111" s="544">
        <f>IF(AND('CG. MPA'!D111="NO CONFINADO",'CG. MPA'!E111="TABIQUE",'CG. MPA'!F111="MACIZO"),S111,IF(AND('CG. MPA'!D111="NO CONFINADO",'CG. MPA'!E111="TABICON",'CG. MPA'!F111="MACIZO"),S111,IF(AND('CG. MPA'!D111="NO CONFINADO",'CG. MPA'!E111="LIGERO",'CG. MPA'!F111="MACIZO"),S111,0)))</f>
        <v>0</v>
      </c>
      <c r="Y111" s="544">
        <f>IF('CG. MPA'!E111="ADOBE",'RMCV.PA'!T111,0)</f>
        <v>0</v>
      </c>
      <c r="Z111" s="544">
        <f>IF('CG. MPA'!E111="CONCRETO",'RMCV.PA'!U111,0)</f>
        <v>0</v>
      </c>
      <c r="AA111" s="93">
        <f t="shared" si="23"/>
        <v>0</v>
      </c>
      <c r="AB111" s="428">
        <v>0.8</v>
      </c>
      <c r="AC111" s="4" t="e">
        <f>(1-2*AA111/C111)*(1-(AB111*'CG. MPA'!C111*10/(30*C111))^2)</f>
        <v>#DIV/0!</v>
      </c>
      <c r="AD111" s="350" t="e">
        <f>(1-(2*AA111/C111))*(1-(AB111*'CG. MPA'!C111*10/(30*C111))^2)*(1-('CG. MPA'!C111*10/B111))+('CG. MPA'!C111*10/B111)</f>
        <v>#DIV/0!</v>
      </c>
      <c r="AE111" s="429" t="e">
        <f t="shared" si="24"/>
        <v>#DIV/0!</v>
      </c>
    </row>
    <row r="112" spans="1:31">
      <c r="A112" s="684">
        <f>'CG. MPA'!A112</f>
        <v>33</v>
      </c>
      <c r="B112" s="975">
        <f>'CG. MPA'!B112*100</f>
        <v>0</v>
      </c>
      <c r="C112" s="68">
        <f>'ELEM. MECA.'!S239</f>
        <v>0</v>
      </c>
      <c r="D112" s="38">
        <f>IF(AND('CG. MPA'!D112="CONFINADO",'CG. MPA'!E112="CONCRETO"),0.8,IF('CG. MPA'!D112="NO CONFINADO",0.3,0.6))</f>
        <v>0.6</v>
      </c>
      <c r="E112" s="68">
        <v>0.6</v>
      </c>
      <c r="F112" s="38">
        <f>IF('CG. MPA'!E112="CONCRETO",G112,'RMCV.PA'!H112+'RMCV.PA'!I112+'RMCV.PA'!J112+K112+L112)</f>
        <v>0</v>
      </c>
      <c r="G112" s="542">
        <f>IF('CG. MPA'!E112="CONCRETO",0.6*$G$24,0)</f>
        <v>0</v>
      </c>
      <c r="H112" s="38">
        <f>IF(AND('CG. MPA'!E112="TABIQUE",'CG. MPA'!F112="MACIZO"),15,0)</f>
        <v>0</v>
      </c>
      <c r="I112" s="38">
        <f>IF(AND('CG. MPA'!E112="TABIQUE",'CG. MPA'!F112="HUECO"),IF(E49="III",30,40),0)</f>
        <v>0</v>
      </c>
      <c r="J112" s="575">
        <f>IF('CG. MPA'!E112="TABICON",IF(E65="I",20,15),0)</f>
        <v>0</v>
      </c>
      <c r="K112" s="575">
        <f>IF('CG. MPA'!E112="ADOBE",10,0)</f>
        <v>0</v>
      </c>
      <c r="L112" s="575">
        <f>IF('CG. MPA'!E112="LIGERO",10,0)</f>
        <v>0</v>
      </c>
      <c r="M112" s="576">
        <f t="shared" si="25"/>
        <v>0</v>
      </c>
      <c r="N112" s="918">
        <f>ABS('ELEM. MECA.'!M239)</f>
        <v>0</v>
      </c>
      <c r="O112" s="919">
        <f>IF(AND('CG. MPA'!E112="TABIQUE",'CG. MPA'!F112="HUECO"),V112,IF(AND('CG. MPA'!D112="CONFINADO",'CG. MPA'!E112="TABIQUE",'CG. MPA'!F112="MACIZO"),'RMCV.PA'!W112,IF(AND('CG. MPA'!D112="CONFINADO",'CG. MPA'!E112="TABICON",'CG. MPA'!F112="MACIZO"),'RMCV.PA'!W112,IF(AND('CG. MPA'!D112="CONFINADO",'CG. MPA'!E112="LIGERO",'CG. MPA'!F112="MACIZO"),'RMCV.PA'!W112,IF(AND('CG. MPA'!D112="NO CONFINADO",'CG. MPA'!E112="TABIQUE",'CG. MPA'!F112="MACIZO"),X112,IF(AND('CG. MPA'!D112="NO CONFINADO",'CG. MPA'!E112="TABICON",'CG. MPA'!F112="MACIZO"),X112,IF(AND('CG. MPA'!D112="NO CONFINADO",'CG. MPA'!E112="LIGERO",'CG. MPA'!F112="MACIZO"),X112,IF('CG. MPA'!E112="ADOBE",'RMCV.PA'!Y112,Z112))))))))</f>
        <v>0</v>
      </c>
      <c r="P112" s="685" t="str">
        <f t="shared" si="26"/>
        <v>PASA</v>
      </c>
      <c r="Q112" s="88" t="e">
        <f>IF(D112*E112*(F112*M112+'CASTILLOS-PA'!W112*FY)&gt;1.25*D112*E112*F112*M112,1.25*D112*E112*F112*M112,D112*E112*(F112*M112+'CASTILLOS-PA'!W112*FY))</f>
        <v>#DIV/0!</v>
      </c>
      <c r="R112" s="88">
        <f>D112*E112*(F112*M112+'CASTILLOS-PA'!G112*FY*2)</f>
        <v>8588.16</v>
      </c>
      <c r="S112" s="88">
        <f t="shared" si="19"/>
        <v>0</v>
      </c>
      <c r="T112" s="88">
        <f t="shared" si="20"/>
        <v>0</v>
      </c>
      <c r="U112" s="536">
        <f>D112*(0.7*$G$24*(B112*C112)+2000*'MUR.CONC-PA'!K112)</f>
        <v>0</v>
      </c>
      <c r="V112" s="544">
        <f>IF(AND('CG. MPA'!E112="TABIQUE",'CG. MPA'!F112="HUECO"),Q112,0)</f>
        <v>0</v>
      </c>
      <c r="W112" s="544">
        <f>IF(AND('CG. MPA'!D112="CONFINADO",'CG. MPA'!E112="TABIQUE",'CG. MPA'!F112="MACIZO"),'RMCV.PA'!R112,IF(AND('CG. MPA'!D112="CONFINADO",'CG. MPA'!E112="TABICON",'CG. MPA'!F112="MACIZO"),'RMCV.PA'!R112,IF(AND('CG. MPA'!D112="CONFINADO",'CG. MPA'!E112="LIGERO",'CG. MPA'!F112="MACIZO"),'RMCV.PA'!R112,0)))</f>
        <v>0</v>
      </c>
      <c r="X112" s="544">
        <f>IF(AND('CG. MPA'!D112="NO CONFINADO",'CG. MPA'!E112="TABIQUE",'CG. MPA'!F112="MACIZO"),S112,IF(AND('CG. MPA'!D112="NO CONFINADO",'CG. MPA'!E112="TABICON",'CG. MPA'!F112="MACIZO"),S112,IF(AND('CG. MPA'!D112="NO CONFINADO",'CG. MPA'!E112="LIGERO",'CG. MPA'!F112="MACIZO"),S112,0)))</f>
        <v>0</v>
      </c>
      <c r="Y112" s="544">
        <f>IF('CG. MPA'!E112="ADOBE",'RMCV.PA'!T112,0)</f>
        <v>0</v>
      </c>
      <c r="Z112" s="544">
        <f>IF('CG. MPA'!E112="CONCRETO",'RMCV.PA'!U112,0)</f>
        <v>0</v>
      </c>
      <c r="AA112" s="93">
        <f t="shared" si="23"/>
        <v>0</v>
      </c>
      <c r="AB112" s="428">
        <v>0.8</v>
      </c>
      <c r="AC112" s="4" t="e">
        <f>(1-2*AA112/C112)*(1-(AB112*'CG. MPA'!C112*10/(30*C112))^2)</f>
        <v>#DIV/0!</v>
      </c>
      <c r="AD112" s="350" t="e">
        <f>(1-(2*AA112/C112))*(1-(AB112*'CG. MPA'!C112*10/(30*C112))^2)*(1-('CG. MPA'!C112*10/B112))+('CG. MPA'!C112*10/B112)</f>
        <v>#DIV/0!</v>
      </c>
      <c r="AE112" s="429" t="e">
        <f t="shared" si="24"/>
        <v>#DIV/0!</v>
      </c>
    </row>
    <row r="113" spans="1:31">
      <c r="A113" s="684">
        <f>'CG. MPA'!A113</f>
        <v>34</v>
      </c>
      <c r="B113" s="975">
        <f>'CG. MPA'!B113*100</f>
        <v>0</v>
      </c>
      <c r="C113" s="68">
        <f>'ELEM. MECA.'!S240</f>
        <v>0</v>
      </c>
      <c r="D113" s="38">
        <f>IF(AND('CG. MPA'!D113="CONFINADO",'CG. MPA'!E113="CONCRETO"),0.8,IF('CG. MPA'!D113="NO CONFINADO",0.3,0.6))</f>
        <v>0.6</v>
      </c>
      <c r="E113" s="68">
        <v>0.6</v>
      </c>
      <c r="F113" s="38">
        <f>IF('CG. MPA'!E113="CONCRETO",G113,'RMCV.PA'!H113+'RMCV.PA'!I113+'RMCV.PA'!J113+K113+L113)</f>
        <v>0</v>
      </c>
      <c r="G113" s="542">
        <f>IF('CG. MPA'!E113="CONCRETO",0.6*$G$24,0)</f>
        <v>0</v>
      </c>
      <c r="H113" s="38">
        <f>IF(AND('CG. MPA'!E113="TABIQUE",'CG. MPA'!F113="MACIZO"),15,0)</f>
        <v>0</v>
      </c>
      <c r="I113" s="38">
        <f>IF(AND('CG. MPA'!E113="TABIQUE",'CG. MPA'!F113="HUECO"),IF(E61="III",30,40),0)</f>
        <v>0</v>
      </c>
      <c r="J113" s="575">
        <f>IF('CG. MPA'!E113="TABICON",IF(E66="I",20,15),0)</f>
        <v>0</v>
      </c>
      <c r="K113" s="575">
        <f>IF('CG. MPA'!E113="ADOBE",10,0)</f>
        <v>0</v>
      </c>
      <c r="L113" s="575">
        <f>IF('CG. MPA'!E113="LIGERO",10,0)</f>
        <v>0</v>
      </c>
      <c r="M113" s="576">
        <f t="shared" si="25"/>
        <v>0</v>
      </c>
      <c r="N113" s="918">
        <f>ABS('ELEM. MECA.'!M240)</f>
        <v>0</v>
      </c>
      <c r="O113" s="919">
        <f>IF(AND('CG. MPA'!E113="TABIQUE",'CG. MPA'!F113="HUECO"),V113,IF(AND('CG. MPA'!D113="CONFINADO",'CG. MPA'!E113="TABIQUE",'CG. MPA'!F113="MACIZO"),'RMCV.PA'!W113,IF(AND('CG. MPA'!D113="CONFINADO",'CG. MPA'!E113="TABICON",'CG. MPA'!F113="MACIZO"),'RMCV.PA'!W113,IF(AND('CG. MPA'!D113="CONFINADO",'CG. MPA'!E113="LIGERO",'CG. MPA'!F113="MACIZO"),'RMCV.PA'!W113,IF(AND('CG. MPA'!D113="NO CONFINADO",'CG. MPA'!E113="TABIQUE",'CG. MPA'!F113="MACIZO"),X113,IF(AND('CG. MPA'!D113="NO CONFINADO",'CG. MPA'!E113="TABICON",'CG. MPA'!F113="MACIZO"),X113,IF(AND('CG. MPA'!D113="NO CONFINADO",'CG. MPA'!E113="LIGERO",'CG. MPA'!F113="MACIZO"),X113,IF('CG. MPA'!E113="ADOBE",'RMCV.PA'!Y113,Z113))))))))</f>
        <v>0</v>
      </c>
      <c r="P113" s="685" t="str">
        <f t="shared" si="26"/>
        <v>PASA</v>
      </c>
      <c r="Q113" s="88" t="e">
        <f>IF(D113*E113*(F113*M113+'CASTILLOS-PA'!W113*FY)&gt;1.25*D113*E113*F113*M113,1.25*D113*E113*F113*M113,D113*E113*(F113*M113+'CASTILLOS-PA'!W113*FY))</f>
        <v>#DIV/0!</v>
      </c>
      <c r="R113" s="88">
        <f>D113*E113*(F113*M113+'CASTILLOS-PA'!G113*FY*2)</f>
        <v>8588.16</v>
      </c>
      <c r="S113" s="88">
        <f t="shared" si="19"/>
        <v>0</v>
      </c>
      <c r="T113" s="88">
        <f t="shared" si="20"/>
        <v>0</v>
      </c>
      <c r="U113" s="536">
        <f>D113*(0.7*$G$24*(B113*C113)+2000*'MUR.CONC-PA'!K113)</f>
        <v>0</v>
      </c>
      <c r="V113" s="544">
        <f>IF(AND('CG. MPA'!E113="TABIQUE",'CG. MPA'!F113="HUECO"),Q113,0)</f>
        <v>0</v>
      </c>
      <c r="W113" s="544">
        <f>IF(AND('CG. MPA'!D113="CONFINADO",'CG. MPA'!E113="TABIQUE",'CG. MPA'!F113="MACIZO"),'RMCV.PA'!R113,IF(AND('CG. MPA'!D113="CONFINADO",'CG. MPA'!E113="TABICON",'CG. MPA'!F113="MACIZO"),'RMCV.PA'!R113,IF(AND('CG. MPA'!D113="CONFINADO",'CG. MPA'!E113="LIGERO",'CG. MPA'!F113="MACIZO"),'RMCV.PA'!R113,0)))</f>
        <v>0</v>
      </c>
      <c r="X113" s="544">
        <f>IF(AND('CG. MPA'!D113="NO CONFINADO",'CG. MPA'!E113="TABIQUE",'CG. MPA'!F113="MACIZO"),S113,IF(AND('CG. MPA'!D113="NO CONFINADO",'CG. MPA'!E113="TABICON",'CG. MPA'!F113="MACIZO"),S113,IF(AND('CG. MPA'!D113="NO CONFINADO",'CG. MPA'!E113="LIGERO",'CG. MPA'!F113="MACIZO"),S113,0)))</f>
        <v>0</v>
      </c>
      <c r="Y113" s="544">
        <f>IF('CG. MPA'!E113="ADOBE",'RMCV.PA'!T113,0)</f>
        <v>0</v>
      </c>
      <c r="Z113" s="544">
        <f>IF('CG. MPA'!E113="CONCRETO",'RMCV.PA'!U113,0)</f>
        <v>0</v>
      </c>
      <c r="AA113" s="93">
        <f t="shared" si="23"/>
        <v>0</v>
      </c>
      <c r="AB113" s="428">
        <v>0.8</v>
      </c>
      <c r="AC113" s="4" t="e">
        <f>(1-2*AA113/C113)*(1-(AB113*'CG. MPA'!C113*10/(30*C113))^2)</f>
        <v>#DIV/0!</v>
      </c>
      <c r="AD113" s="350" t="e">
        <f>(1-(2*AA113/C113))*(1-(AB113*'CG. MPA'!C113*10/(30*C113))^2)*(1-('CG. MPA'!C113*10/B113))+('CG. MPA'!C113*10/B113)</f>
        <v>#DIV/0!</v>
      </c>
      <c r="AE113" s="429" t="e">
        <f t="shared" si="24"/>
        <v>#DIV/0!</v>
      </c>
    </row>
    <row r="114" spans="1:31">
      <c r="A114" s="684">
        <f>'CG. MPA'!A114</f>
        <v>35</v>
      </c>
      <c r="B114" s="975">
        <f>'CG. MPA'!B114*100</f>
        <v>0</v>
      </c>
      <c r="C114" s="68">
        <f>'ELEM. MECA.'!S241</f>
        <v>0</v>
      </c>
      <c r="D114" s="38">
        <f>IF(AND('CG. MPA'!D114="CONFINADO",'CG. MPA'!E114="CONCRETO"),0.8,IF('CG. MPA'!D114="NO CONFINADO",0.3,0.6))</f>
        <v>0.6</v>
      </c>
      <c r="E114" s="68">
        <v>0.6</v>
      </c>
      <c r="F114" s="38">
        <f>IF('CG. MPA'!E114="CONCRETO",G114,'RMCV.PA'!H114+'RMCV.PA'!I114+'RMCV.PA'!J114+K114+L114)</f>
        <v>0</v>
      </c>
      <c r="G114" s="542">
        <f>IF('CG. MPA'!E114="CONCRETO",0.6*$G$24,0)</f>
        <v>0</v>
      </c>
      <c r="H114" s="38">
        <f>IF(AND('CG. MPA'!E114="TABIQUE",'CG. MPA'!F114="MACIZO"),15,0)</f>
        <v>0</v>
      </c>
      <c r="I114" s="38">
        <f>IF(AND('CG. MPA'!E114="TABIQUE",'CG. MPA'!F114="HUECO"),IF(E62="III",30,40),0)</f>
        <v>0</v>
      </c>
      <c r="J114" s="575">
        <f>IF('CG. MPA'!E114="TABICON",IF(E67="I",20,15),0)</f>
        <v>0</v>
      </c>
      <c r="K114" s="575">
        <f>IF('CG. MPA'!E114="ADOBE",10,0)</f>
        <v>0</v>
      </c>
      <c r="L114" s="575">
        <f>IF('CG. MPA'!E114="LIGERO",10,0)</f>
        <v>0</v>
      </c>
      <c r="M114" s="576">
        <f t="shared" si="25"/>
        <v>0</v>
      </c>
      <c r="N114" s="918">
        <f>ABS('ELEM. MECA.'!M241)</f>
        <v>0</v>
      </c>
      <c r="O114" s="919">
        <f>IF(AND('CG. MPA'!E114="TABIQUE",'CG. MPA'!F114="HUECO"),V114,IF(AND('CG. MPA'!D114="CONFINADO",'CG. MPA'!E114="TABIQUE",'CG. MPA'!F114="MACIZO"),'RMCV.PA'!W114,IF(AND('CG. MPA'!D114="CONFINADO",'CG. MPA'!E114="TABICON",'CG. MPA'!F114="MACIZO"),'RMCV.PA'!W114,IF(AND('CG. MPA'!D114="CONFINADO",'CG. MPA'!E114="LIGERO",'CG. MPA'!F114="MACIZO"),'RMCV.PA'!W114,IF(AND('CG. MPA'!D114="NO CONFINADO",'CG. MPA'!E114="TABIQUE",'CG. MPA'!F114="MACIZO"),X114,IF(AND('CG. MPA'!D114="NO CONFINADO",'CG. MPA'!E114="TABICON",'CG. MPA'!F114="MACIZO"),X114,IF(AND('CG. MPA'!D114="NO CONFINADO",'CG. MPA'!E114="LIGERO",'CG. MPA'!F114="MACIZO"),X114,IF('CG. MPA'!E114="ADOBE",'RMCV.PA'!Y114,Z114))))))))</f>
        <v>0</v>
      </c>
      <c r="P114" s="685" t="str">
        <f t="shared" si="26"/>
        <v>PASA</v>
      </c>
      <c r="Q114" s="88" t="e">
        <f>IF(D114*E114*(F114*M114+'CASTILLOS-PA'!W114*FY)&gt;1.25*D114*E114*F114*M114,1.25*D114*E114*F114*M114,D114*E114*(F114*M114+'CASTILLOS-PA'!W114*FY))</f>
        <v>#DIV/0!</v>
      </c>
      <c r="R114" s="88">
        <f>D114*E114*(F114*M114+'CASTILLOS-PA'!G114*FY*2)</f>
        <v>8588.16</v>
      </c>
      <c r="S114" s="88">
        <f t="shared" si="19"/>
        <v>0</v>
      </c>
      <c r="T114" s="88">
        <f t="shared" si="20"/>
        <v>0</v>
      </c>
      <c r="U114" s="536">
        <f>D114*(0.7*$G$24*(B114*C114)+2000*'MUR.CONC-PA'!K114)</f>
        <v>0</v>
      </c>
      <c r="V114" s="544">
        <f>IF(AND('CG. MPA'!E114="TABIQUE",'CG. MPA'!F114="HUECO"),Q114,0)</f>
        <v>0</v>
      </c>
      <c r="W114" s="544">
        <f>IF(AND('CG. MPA'!D114="CONFINADO",'CG. MPA'!E114="TABIQUE",'CG. MPA'!F114="MACIZO"),'RMCV.PA'!R114,IF(AND('CG. MPA'!D114="CONFINADO",'CG. MPA'!E114="TABICON",'CG. MPA'!F114="MACIZO"),'RMCV.PA'!R114,IF(AND('CG. MPA'!D114="CONFINADO",'CG. MPA'!E114="LIGERO",'CG. MPA'!F114="MACIZO"),'RMCV.PA'!R114,0)))</f>
        <v>0</v>
      </c>
      <c r="X114" s="544">
        <f>IF(AND('CG. MPA'!D114="NO CONFINADO",'CG. MPA'!E114="TABIQUE",'CG. MPA'!F114="MACIZO"),S114,IF(AND('CG. MPA'!D114="NO CONFINADO",'CG. MPA'!E114="TABICON",'CG. MPA'!F114="MACIZO"),S114,IF(AND('CG. MPA'!D114="NO CONFINADO",'CG. MPA'!E114="LIGERO",'CG. MPA'!F114="MACIZO"),S114,0)))</f>
        <v>0</v>
      </c>
      <c r="Y114" s="544">
        <f>IF('CG. MPA'!E114="ADOBE",'RMCV.PA'!T114,0)</f>
        <v>0</v>
      </c>
      <c r="Z114" s="544">
        <f>IF('CG. MPA'!E114="CONCRETO",'RMCV.PA'!U114,0)</f>
        <v>0</v>
      </c>
      <c r="AA114" s="93">
        <f t="shared" si="23"/>
        <v>0</v>
      </c>
      <c r="AB114" s="428">
        <v>0.8</v>
      </c>
      <c r="AC114" s="4" t="e">
        <f>(1-2*AA114/C114)*(1-(AB114*'CG. MPA'!C114*10/(30*C114))^2)</f>
        <v>#DIV/0!</v>
      </c>
      <c r="AD114" s="350" t="e">
        <f>(1-(2*AA114/C114))*(1-(AB114*'CG. MPA'!C114*10/(30*C114))^2)*(1-('CG. MPA'!C114*10/B114))+('CG. MPA'!C114*10/B114)</f>
        <v>#DIV/0!</v>
      </c>
      <c r="AE114" s="429" t="e">
        <f t="shared" si="24"/>
        <v>#DIV/0!</v>
      </c>
    </row>
    <row r="115" spans="1:31">
      <c r="A115" s="684">
        <f>'CG. MPA'!A115</f>
        <v>36</v>
      </c>
      <c r="B115" s="975">
        <f>'CG. MPA'!B115*100</f>
        <v>0</v>
      </c>
      <c r="C115" s="68">
        <f>'ELEM. MECA.'!S242</f>
        <v>0</v>
      </c>
      <c r="D115" s="38">
        <f>IF(AND('CG. MPA'!D115="CONFINADO",'CG. MPA'!E115="CONCRETO"),0.8,IF('CG. MPA'!D115="NO CONFINADO",0.3,0.6))</f>
        <v>0.6</v>
      </c>
      <c r="E115" s="68">
        <v>0.6</v>
      </c>
      <c r="F115" s="38">
        <f>IF('CG. MPA'!E115="CONCRETO",G115,'RMCV.PA'!H115+'RMCV.PA'!I115+'RMCV.PA'!J115+K115+L115)</f>
        <v>0</v>
      </c>
      <c r="G115" s="542">
        <f>IF('CG. MPA'!E115="CONCRETO",0.6*$G$24,0)</f>
        <v>0</v>
      </c>
      <c r="H115" s="38">
        <f>IF(AND('CG. MPA'!E115="TABIQUE",'CG. MPA'!F115="MACIZO"),15,0)</f>
        <v>0</v>
      </c>
      <c r="I115" s="38">
        <f>IF(AND('CG. MPA'!E115="TABIQUE",'CG. MPA'!F115="HUECO"),IF(E63="III",30,40),0)</f>
        <v>0</v>
      </c>
      <c r="J115" s="575">
        <f>IF('CG. MPA'!E115="TABICON",IF(E68="I",20,15),0)</f>
        <v>0</v>
      </c>
      <c r="K115" s="575">
        <f>IF('CG. MPA'!E115="ADOBE",10,0)</f>
        <v>0</v>
      </c>
      <c r="L115" s="575">
        <f>IF('CG. MPA'!E115="LIGERO",10,0)</f>
        <v>0</v>
      </c>
      <c r="M115" s="576">
        <f t="shared" si="25"/>
        <v>0</v>
      </c>
      <c r="N115" s="918">
        <f>ABS('ELEM. MECA.'!M242)</f>
        <v>0</v>
      </c>
      <c r="O115" s="919">
        <f>IF(AND('CG. MPA'!E115="TABIQUE",'CG. MPA'!F115="HUECO"),V115,IF(AND('CG. MPA'!D115="CONFINADO",'CG. MPA'!E115="TABIQUE",'CG. MPA'!F115="MACIZO"),'RMCV.PA'!W115,IF(AND('CG. MPA'!D115="CONFINADO",'CG. MPA'!E115="TABICON",'CG. MPA'!F115="MACIZO"),'RMCV.PA'!W115,IF(AND('CG. MPA'!D115="CONFINADO",'CG. MPA'!E115="LIGERO",'CG. MPA'!F115="MACIZO"),'RMCV.PA'!W115,IF(AND('CG. MPA'!D115="NO CONFINADO",'CG. MPA'!E115="TABIQUE",'CG. MPA'!F115="MACIZO"),X115,IF(AND('CG. MPA'!D115="NO CONFINADO",'CG. MPA'!E115="TABICON",'CG. MPA'!F115="MACIZO"),X115,IF(AND('CG. MPA'!D115="NO CONFINADO",'CG. MPA'!E115="LIGERO",'CG. MPA'!F115="MACIZO"),X115,IF('CG. MPA'!E115="ADOBE",'RMCV.PA'!Y115,Z115))))))))</f>
        <v>0</v>
      </c>
      <c r="P115" s="685" t="str">
        <f t="shared" si="26"/>
        <v>PASA</v>
      </c>
      <c r="Q115" s="88" t="e">
        <f>IF(D115*E115*(F115*M115+'CASTILLOS-PA'!W115*FY)&gt;1.25*D115*E115*F115*M115,1.25*D115*E115*F115*M115,D115*E115*(F115*M115+'CASTILLOS-PA'!W115*FY))</f>
        <v>#DIV/0!</v>
      </c>
      <c r="R115" s="88">
        <f>D115*E115*(F115*M115+'CASTILLOS-PA'!G115*FY*2)</f>
        <v>8588.16</v>
      </c>
      <c r="S115" s="88">
        <f t="shared" si="19"/>
        <v>0</v>
      </c>
      <c r="T115" s="88">
        <f t="shared" si="20"/>
        <v>0</v>
      </c>
      <c r="U115" s="536">
        <f>D115*(0.7*$G$24*(B115*C115)+2000*'MUR.CONC-PA'!K115)</f>
        <v>0</v>
      </c>
      <c r="V115" s="544">
        <f>IF(AND('CG. MPA'!E115="TABIQUE",'CG. MPA'!F115="HUECO"),Q115,0)</f>
        <v>0</v>
      </c>
      <c r="W115" s="544">
        <f>IF(AND('CG. MPA'!D115="CONFINADO",'CG. MPA'!E115="TABIQUE",'CG. MPA'!F115="MACIZO"),'RMCV.PA'!R115,IF(AND('CG. MPA'!D115="CONFINADO",'CG. MPA'!E115="TABICON",'CG. MPA'!F115="MACIZO"),'RMCV.PA'!R115,IF(AND('CG. MPA'!D115="CONFINADO",'CG. MPA'!E115="LIGERO",'CG. MPA'!F115="MACIZO"),'RMCV.PA'!R115,0)))</f>
        <v>0</v>
      </c>
      <c r="X115" s="544">
        <f>IF(AND('CG. MPA'!D115="NO CONFINADO",'CG. MPA'!E115="TABIQUE",'CG. MPA'!F115="MACIZO"),S115,IF(AND('CG. MPA'!D115="NO CONFINADO",'CG. MPA'!E115="TABICON",'CG. MPA'!F115="MACIZO"),S115,IF(AND('CG. MPA'!D115="NO CONFINADO",'CG. MPA'!E115="LIGERO",'CG. MPA'!F115="MACIZO"),S115,0)))</f>
        <v>0</v>
      </c>
      <c r="Y115" s="544">
        <f>IF('CG. MPA'!E115="ADOBE",'RMCV.PA'!T115,0)</f>
        <v>0</v>
      </c>
      <c r="Z115" s="544">
        <f>IF('CG. MPA'!E115="CONCRETO",'RMCV.PA'!U115,0)</f>
        <v>0</v>
      </c>
      <c r="AA115" s="93">
        <f t="shared" si="23"/>
        <v>0</v>
      </c>
      <c r="AB115" s="428">
        <v>0.8</v>
      </c>
      <c r="AC115" s="4" t="e">
        <f>(1-2*AA115/C115)*(1-(AB115*'CG. MPA'!C115*10/(30*C115))^2)</f>
        <v>#DIV/0!</v>
      </c>
      <c r="AD115" s="350" t="e">
        <f>(1-(2*AA115/C115))*(1-(AB115*'CG. MPA'!C115*10/(30*C115))^2)*(1-('CG. MPA'!C115*10/B115))+('CG. MPA'!C115*10/B115)</f>
        <v>#DIV/0!</v>
      </c>
      <c r="AE115" s="429" t="e">
        <f t="shared" si="24"/>
        <v>#DIV/0!</v>
      </c>
    </row>
    <row r="116" spans="1:31">
      <c r="A116" s="684">
        <f>'CG. MPA'!A116</f>
        <v>37</v>
      </c>
      <c r="B116" s="975">
        <f>'CG. MPA'!B116*100</f>
        <v>0</v>
      </c>
      <c r="C116" s="68">
        <f>'ELEM. MECA.'!S243</f>
        <v>0</v>
      </c>
      <c r="D116" s="38">
        <f>IF(AND('CG. MPA'!D116="CONFINADO",'CG. MPA'!E116="CONCRETO"),0.8,IF('CG. MPA'!D116="NO CONFINADO",0.3,0.6))</f>
        <v>0.6</v>
      </c>
      <c r="E116" s="68">
        <v>0.6</v>
      </c>
      <c r="F116" s="38">
        <f>IF('CG. MPA'!E116="CONCRETO",G116,'RMCV.PA'!H116+'RMCV.PA'!I116+'RMCV.PA'!J116+K116+L116)</f>
        <v>0</v>
      </c>
      <c r="G116" s="542">
        <f>IF('CG. MPA'!E116="CONCRETO",0.6*$G$24,0)</f>
        <v>0</v>
      </c>
      <c r="H116" s="38">
        <f>IF(AND('CG. MPA'!E116="TABIQUE",'CG. MPA'!F116="MACIZO"),15,0)</f>
        <v>0</v>
      </c>
      <c r="I116" s="38">
        <f>IF(AND('CG. MPA'!E116="TABIQUE",'CG. MPA'!F116="HUECO"),IF(E64="III",30,40),0)</f>
        <v>0</v>
      </c>
      <c r="J116" s="575">
        <f>IF('CG. MPA'!E116="TABICON",IF(E69="I",20,15),0)</f>
        <v>0</v>
      </c>
      <c r="K116" s="575">
        <f>IF('CG. MPA'!E116="ADOBE",10,0)</f>
        <v>0</v>
      </c>
      <c r="L116" s="575">
        <f>IF('CG. MPA'!E116="LIGERO",10,0)</f>
        <v>0</v>
      </c>
      <c r="M116" s="576">
        <f t="shared" si="25"/>
        <v>0</v>
      </c>
      <c r="N116" s="918">
        <f>ABS('ELEM. MECA.'!M243)</f>
        <v>0</v>
      </c>
      <c r="O116" s="919">
        <f>IF(AND('CG. MPA'!E116="TABIQUE",'CG. MPA'!F116="HUECO"),V116,IF(AND('CG. MPA'!D116="CONFINADO",'CG. MPA'!E116="TABIQUE",'CG. MPA'!F116="MACIZO"),'RMCV.PA'!W116,IF(AND('CG. MPA'!D116="CONFINADO",'CG. MPA'!E116="TABICON",'CG. MPA'!F116="MACIZO"),'RMCV.PA'!W116,IF(AND('CG. MPA'!D116="CONFINADO",'CG. MPA'!E116="LIGERO",'CG. MPA'!F116="MACIZO"),'RMCV.PA'!W116,IF(AND('CG. MPA'!D116="NO CONFINADO",'CG. MPA'!E116="TABIQUE",'CG. MPA'!F116="MACIZO"),X116,IF(AND('CG. MPA'!D116="NO CONFINADO",'CG. MPA'!E116="TABICON",'CG. MPA'!F116="MACIZO"),X116,IF(AND('CG. MPA'!D116="NO CONFINADO",'CG. MPA'!E116="LIGERO",'CG. MPA'!F116="MACIZO"),X116,IF('CG. MPA'!E116="ADOBE",'RMCV.PA'!Y116,Z116))))))))</f>
        <v>0</v>
      </c>
      <c r="P116" s="685" t="str">
        <f t="shared" si="26"/>
        <v>PASA</v>
      </c>
      <c r="Q116" s="88" t="e">
        <f>IF(D116*E116*(F116*M116+'CASTILLOS-PA'!W116*FY)&gt;1.25*D116*E116*F116*M116,1.25*D116*E116*F116*M116,D116*E116*(F116*M116+'CASTILLOS-PA'!W116*FY))</f>
        <v>#DIV/0!</v>
      </c>
      <c r="R116" s="88">
        <f>D116*E116*(F116*M116+'CASTILLOS-PA'!G116*FY*2)</f>
        <v>8588.16</v>
      </c>
      <c r="S116" s="88">
        <f t="shared" si="19"/>
        <v>0</v>
      </c>
      <c r="T116" s="88">
        <f t="shared" si="20"/>
        <v>0</v>
      </c>
      <c r="U116" s="536">
        <f>D116*(0.7*$G$24*(B116*C116)+2000*'MUR.CONC-PA'!K116)</f>
        <v>0</v>
      </c>
      <c r="V116" s="544">
        <f>IF(AND('CG. MPA'!E116="TABIQUE",'CG. MPA'!F116="HUECO"),Q116,0)</f>
        <v>0</v>
      </c>
      <c r="W116" s="544">
        <f>IF(AND('CG. MPA'!D116="CONFINADO",'CG. MPA'!E116="TABIQUE",'CG. MPA'!F116="MACIZO"),'RMCV.PA'!R116,IF(AND('CG. MPA'!D116="CONFINADO",'CG. MPA'!E116="TABICON",'CG. MPA'!F116="MACIZO"),'RMCV.PA'!R116,IF(AND('CG. MPA'!D116="CONFINADO",'CG. MPA'!E116="LIGERO",'CG. MPA'!F116="MACIZO"),'RMCV.PA'!R116,0)))</f>
        <v>0</v>
      </c>
      <c r="X116" s="544">
        <f>IF(AND('CG. MPA'!D116="NO CONFINADO",'CG. MPA'!E116="TABIQUE",'CG. MPA'!F116="MACIZO"),S116,IF(AND('CG. MPA'!D116="NO CONFINADO",'CG. MPA'!E116="TABICON",'CG. MPA'!F116="MACIZO"),S116,IF(AND('CG. MPA'!D116="NO CONFINADO",'CG. MPA'!E116="LIGERO",'CG. MPA'!F116="MACIZO"),S116,0)))</f>
        <v>0</v>
      </c>
      <c r="Y116" s="544">
        <f>IF('CG. MPA'!E116="ADOBE",'RMCV.PA'!T116,0)</f>
        <v>0</v>
      </c>
      <c r="Z116" s="544">
        <f>IF('CG. MPA'!E116="CONCRETO",'RMCV.PA'!U116,0)</f>
        <v>0</v>
      </c>
      <c r="AA116" s="93">
        <f t="shared" si="23"/>
        <v>0</v>
      </c>
      <c r="AB116" s="428">
        <v>0.8</v>
      </c>
      <c r="AC116" s="4" t="e">
        <f>(1-2*AA116/C116)*(1-(AB116*'CG. MPA'!C116*10/(30*C116))^2)</f>
        <v>#DIV/0!</v>
      </c>
      <c r="AD116" s="350" t="e">
        <f>(1-(2*AA116/C116))*(1-(AB116*'CG. MPA'!C116*10/(30*C116))^2)*(1-('CG. MPA'!C116*10/B116))+('CG. MPA'!C116*10/B116)</f>
        <v>#DIV/0!</v>
      </c>
      <c r="AE116" s="429" t="e">
        <f t="shared" si="24"/>
        <v>#DIV/0!</v>
      </c>
    </row>
    <row r="117" spans="1:31">
      <c r="A117" s="684">
        <f>'CG. MPA'!A117</f>
        <v>38</v>
      </c>
      <c r="B117" s="975">
        <f>'CG. MPA'!B117*100</f>
        <v>0</v>
      </c>
      <c r="C117" s="68">
        <f>'ELEM. MECA.'!S244</f>
        <v>0</v>
      </c>
      <c r="D117" s="38">
        <f>IF(AND('CG. MPA'!D117="CONFINADO",'CG. MPA'!E117="CONCRETO"),0.8,IF('CG. MPA'!D117="NO CONFINADO",0.3,0.6))</f>
        <v>0.6</v>
      </c>
      <c r="E117" s="68">
        <v>0.6</v>
      </c>
      <c r="F117" s="38">
        <f>IF('CG. MPA'!E117="CONCRETO",G117,'RMCV.PA'!H117+'RMCV.PA'!I117+'RMCV.PA'!J117+K117+L117)</f>
        <v>0</v>
      </c>
      <c r="G117" s="542">
        <f>IF('CG. MPA'!E117="CONCRETO",0.6*$G$24,0)</f>
        <v>0</v>
      </c>
      <c r="H117" s="38">
        <f>IF(AND('CG. MPA'!E117="TABIQUE",'CG. MPA'!F117="MACIZO"),15,0)</f>
        <v>0</v>
      </c>
      <c r="I117" s="38">
        <f>IF(AND('CG. MPA'!E117="TABIQUE",'CG. MPA'!F117="HUECO"),IF(E65="III",30,40),0)</f>
        <v>0</v>
      </c>
      <c r="J117" s="575">
        <f>IF('CG. MPA'!E117="TABICON",IF(E70="I",20,15),0)</f>
        <v>0</v>
      </c>
      <c r="K117" s="575">
        <f>IF('CG. MPA'!E117="ADOBE",10,0)</f>
        <v>0</v>
      </c>
      <c r="L117" s="575">
        <f>IF('CG. MPA'!E117="LIGERO",10,0)</f>
        <v>0</v>
      </c>
      <c r="M117" s="576">
        <f t="shared" si="25"/>
        <v>0</v>
      </c>
      <c r="N117" s="918">
        <f>ABS('ELEM. MECA.'!M244)</f>
        <v>0</v>
      </c>
      <c r="O117" s="919">
        <f>IF(AND('CG. MPA'!E117="TABIQUE",'CG. MPA'!F117="HUECO"),V117,IF(AND('CG. MPA'!D117="CONFINADO",'CG. MPA'!E117="TABIQUE",'CG. MPA'!F117="MACIZO"),'RMCV.PA'!W117,IF(AND('CG. MPA'!D117="CONFINADO",'CG. MPA'!E117="TABICON",'CG. MPA'!F117="MACIZO"),'RMCV.PA'!W117,IF(AND('CG. MPA'!D117="CONFINADO",'CG. MPA'!E117="LIGERO",'CG. MPA'!F117="MACIZO"),'RMCV.PA'!W117,IF(AND('CG. MPA'!D117="NO CONFINADO",'CG. MPA'!E117="TABIQUE",'CG. MPA'!F117="MACIZO"),X117,IF(AND('CG. MPA'!D117="NO CONFINADO",'CG. MPA'!E117="TABICON",'CG. MPA'!F117="MACIZO"),X117,IF(AND('CG. MPA'!D117="NO CONFINADO",'CG. MPA'!E117="LIGERO",'CG. MPA'!F117="MACIZO"),X117,IF('CG. MPA'!E117="ADOBE",'RMCV.PA'!Y117,Z117))))))))</f>
        <v>0</v>
      </c>
      <c r="P117" s="685" t="str">
        <f t="shared" si="26"/>
        <v>PASA</v>
      </c>
      <c r="Q117" s="88" t="e">
        <f>IF(D117*E117*(F117*M117+'CASTILLOS-PA'!W117*FY)&gt;1.25*D117*E117*F117*M117,1.25*D117*E117*F117*M117,D117*E117*(F117*M117+'CASTILLOS-PA'!W117*FY))</f>
        <v>#DIV/0!</v>
      </c>
      <c r="R117" s="88">
        <f>D117*E117*(F117*M117+'CASTILLOS-PA'!G117*FY*2)</f>
        <v>8588.16</v>
      </c>
      <c r="S117" s="88">
        <f t="shared" si="19"/>
        <v>0</v>
      </c>
      <c r="T117" s="88">
        <f t="shared" si="20"/>
        <v>0</v>
      </c>
      <c r="U117" s="536">
        <f>D117*(0.7*$G$24*(B117*C117)+2000*'MUR.CONC-PA'!K117)</f>
        <v>0</v>
      </c>
      <c r="V117" s="544">
        <f>IF(AND('CG. MPA'!E117="TABIQUE",'CG. MPA'!F117="HUECO"),Q117,0)</f>
        <v>0</v>
      </c>
      <c r="W117" s="544">
        <f>IF(AND('CG. MPA'!D117="CONFINADO",'CG. MPA'!E117="TABIQUE",'CG. MPA'!F117="MACIZO"),'RMCV.PA'!R117,IF(AND('CG. MPA'!D117="CONFINADO",'CG. MPA'!E117="TABICON",'CG. MPA'!F117="MACIZO"),'RMCV.PA'!R117,IF(AND('CG. MPA'!D117="CONFINADO",'CG. MPA'!E117="LIGERO",'CG. MPA'!F117="MACIZO"),'RMCV.PA'!R117,0)))</f>
        <v>0</v>
      </c>
      <c r="X117" s="544">
        <f>IF(AND('CG. MPA'!D117="NO CONFINADO",'CG. MPA'!E117="TABIQUE",'CG. MPA'!F117="MACIZO"),S117,IF(AND('CG. MPA'!D117="NO CONFINADO",'CG. MPA'!E117="TABICON",'CG. MPA'!F117="MACIZO"),S117,IF(AND('CG. MPA'!D117="NO CONFINADO",'CG. MPA'!E117="LIGERO",'CG. MPA'!F117="MACIZO"),S117,0)))</f>
        <v>0</v>
      </c>
      <c r="Y117" s="544">
        <f>IF('CG. MPA'!E117="ADOBE",'RMCV.PA'!T117,0)</f>
        <v>0</v>
      </c>
      <c r="Z117" s="544">
        <f>IF('CG. MPA'!E117="CONCRETO",'RMCV.PA'!U117,0)</f>
        <v>0</v>
      </c>
      <c r="AA117" s="93">
        <f t="shared" si="23"/>
        <v>0</v>
      </c>
      <c r="AB117" s="428">
        <v>0.8</v>
      </c>
      <c r="AC117" s="4" t="e">
        <f>(1-2*AA117/C117)*(1-(AB117*'CG. MPA'!C117*10/(30*C117))^2)</f>
        <v>#DIV/0!</v>
      </c>
      <c r="AD117" s="350" t="e">
        <f>(1-(2*AA117/C117))*(1-(AB117*'CG. MPA'!C117*10/(30*C117))^2)*(1-('CG. MPA'!C117*10/B117))+('CG. MPA'!C117*10/B117)</f>
        <v>#DIV/0!</v>
      </c>
      <c r="AE117" s="429" t="e">
        <f t="shared" si="24"/>
        <v>#DIV/0!</v>
      </c>
    </row>
    <row r="118" spans="1:31">
      <c r="A118" s="684">
        <f>'CG. MPA'!A118</f>
        <v>39</v>
      </c>
      <c r="B118" s="975">
        <f>'CG. MPA'!B118*100</f>
        <v>0</v>
      </c>
      <c r="C118" s="68">
        <f>'ELEM. MECA.'!S245</f>
        <v>0</v>
      </c>
      <c r="D118" s="38">
        <f>IF(AND('CG. MPA'!D118="CONFINADO",'CG. MPA'!E118="CONCRETO"),0.8,IF('CG. MPA'!D118="NO CONFINADO",0.3,0.6))</f>
        <v>0.6</v>
      </c>
      <c r="E118" s="68">
        <v>0.6</v>
      </c>
      <c r="F118" s="38">
        <f>IF('CG. MPA'!E118="CONCRETO",G118,'RMCV.PA'!H118+'RMCV.PA'!I118+'RMCV.PA'!J118+K118+L118)</f>
        <v>0</v>
      </c>
      <c r="G118" s="542">
        <f>IF('CG. MPA'!E118="CONCRETO",0.6*$G$24,0)</f>
        <v>0</v>
      </c>
      <c r="H118" s="38">
        <f>IF(AND('CG. MPA'!E118="TABIQUE",'CG. MPA'!F118="MACIZO"),15,0)</f>
        <v>0</v>
      </c>
      <c r="I118" s="38">
        <f>IF(AND('CG. MPA'!E118="TABIQUE",'CG. MPA'!F118="HUECO"),IF(E66="III",30,40),0)</f>
        <v>0</v>
      </c>
      <c r="J118" s="575">
        <f>IF('CG. MPA'!E118="TABICON",IF(E71="I",20,15),0)</f>
        <v>0</v>
      </c>
      <c r="K118" s="575">
        <f>IF('CG. MPA'!E118="ADOBE",10,0)</f>
        <v>0</v>
      </c>
      <c r="L118" s="575">
        <f>IF('CG. MPA'!E118="LIGERO",10,0)</f>
        <v>0</v>
      </c>
      <c r="M118" s="576">
        <f t="shared" si="25"/>
        <v>0</v>
      </c>
      <c r="N118" s="918">
        <f>ABS('ELEM. MECA.'!M245)</f>
        <v>0</v>
      </c>
      <c r="O118" s="919">
        <f>IF(AND('CG. MPA'!E118="TABIQUE",'CG. MPA'!F118="HUECO"),V118,IF(AND('CG. MPA'!D118="CONFINADO",'CG. MPA'!E118="TABIQUE",'CG. MPA'!F118="MACIZO"),'RMCV.PA'!W118,IF(AND('CG. MPA'!D118="CONFINADO",'CG. MPA'!E118="TABICON",'CG. MPA'!F118="MACIZO"),'RMCV.PA'!W118,IF(AND('CG. MPA'!D118="CONFINADO",'CG. MPA'!E118="LIGERO",'CG. MPA'!F118="MACIZO"),'RMCV.PA'!W118,IF(AND('CG. MPA'!D118="NO CONFINADO",'CG. MPA'!E118="TABIQUE",'CG. MPA'!F118="MACIZO"),X118,IF(AND('CG. MPA'!D118="NO CONFINADO",'CG. MPA'!E118="TABICON",'CG. MPA'!F118="MACIZO"),X118,IF(AND('CG. MPA'!D118="NO CONFINADO",'CG. MPA'!E118="LIGERO",'CG. MPA'!F118="MACIZO"),X118,IF('CG. MPA'!E118="ADOBE",'RMCV.PA'!Y118,Z118))))))))</f>
        <v>0</v>
      </c>
      <c r="P118" s="685" t="str">
        <f t="shared" si="26"/>
        <v>PASA</v>
      </c>
      <c r="Q118" s="88" t="e">
        <f>IF(D118*E118*(F118*M118+'CASTILLOS-PA'!W118*FY)&gt;1.25*D118*E118*F118*M118,1.25*D118*E118*F118*M118,D118*E118*(F118*M118+'CASTILLOS-PA'!W118*FY))</f>
        <v>#DIV/0!</v>
      </c>
      <c r="R118" s="88">
        <f>D118*E118*(F118*M118+'CASTILLOS-PA'!G118*FY*2)</f>
        <v>8588.16</v>
      </c>
      <c r="S118" s="88">
        <f t="shared" si="19"/>
        <v>0</v>
      </c>
      <c r="T118" s="88">
        <f t="shared" si="20"/>
        <v>0</v>
      </c>
      <c r="U118" s="536">
        <f>D118*(0.7*$G$24*(B118*C118)+2000*'MUR.CONC-PA'!K118)</f>
        <v>0</v>
      </c>
      <c r="V118" s="544">
        <f>IF(AND('CG. MPA'!E118="TABIQUE",'CG. MPA'!F118="HUECO"),Q118,0)</f>
        <v>0</v>
      </c>
      <c r="W118" s="544">
        <f>IF(AND('CG. MPA'!D118="CONFINADO",'CG. MPA'!E118="TABIQUE",'CG. MPA'!F118="MACIZO"),'RMCV.PA'!R118,IF(AND('CG. MPA'!D118="CONFINADO",'CG. MPA'!E118="TABICON",'CG. MPA'!F118="MACIZO"),'RMCV.PA'!R118,IF(AND('CG. MPA'!D118="CONFINADO",'CG. MPA'!E118="LIGERO",'CG. MPA'!F118="MACIZO"),'RMCV.PA'!R118,0)))</f>
        <v>0</v>
      </c>
      <c r="X118" s="544">
        <f>IF(AND('CG. MPA'!D118="NO CONFINADO",'CG. MPA'!E118="TABIQUE",'CG. MPA'!F118="MACIZO"),S118,IF(AND('CG. MPA'!D118="NO CONFINADO",'CG. MPA'!E118="TABICON",'CG. MPA'!F118="MACIZO"),S118,IF(AND('CG. MPA'!D118="NO CONFINADO",'CG. MPA'!E118="LIGERO",'CG. MPA'!F118="MACIZO"),S118,0)))</f>
        <v>0</v>
      </c>
      <c r="Y118" s="544">
        <f>IF('CG. MPA'!E118="ADOBE",'RMCV.PA'!T118,0)</f>
        <v>0</v>
      </c>
      <c r="Z118" s="544">
        <f>IF('CG. MPA'!E118="CONCRETO",'RMCV.PA'!U118,0)</f>
        <v>0</v>
      </c>
      <c r="AA118" s="93">
        <f t="shared" si="23"/>
        <v>0</v>
      </c>
      <c r="AB118" s="428">
        <v>0.8</v>
      </c>
      <c r="AC118" s="4" t="e">
        <f>(1-2*AA118/C118)*(1-(AB118*'CG. MPA'!C118*10/(30*C118))^2)</f>
        <v>#DIV/0!</v>
      </c>
      <c r="AD118" s="350" t="e">
        <f>(1-(2*AA118/C118))*(1-(AB118*'CG. MPA'!C118*10/(30*C118))^2)*(1-('CG. MPA'!C118*10/B118))+('CG. MPA'!C118*10/B118)</f>
        <v>#DIV/0!</v>
      </c>
      <c r="AE118" s="429" t="e">
        <f t="shared" si="24"/>
        <v>#DIV/0!</v>
      </c>
    </row>
    <row r="119" spans="1:31">
      <c r="A119" s="684">
        <f>'CG. MPA'!A119</f>
        <v>40</v>
      </c>
      <c r="B119" s="975">
        <f>'CG. MPA'!B119*100</f>
        <v>0</v>
      </c>
      <c r="C119" s="68">
        <f>'ELEM. MECA.'!S246</f>
        <v>0</v>
      </c>
      <c r="D119" s="38">
        <f>IF(AND('CG. MPA'!D119="CONFINADO",'CG. MPA'!E119="CONCRETO"),0.8,IF('CG. MPA'!D119="NO CONFINADO",0.3,0.6))</f>
        <v>0.6</v>
      </c>
      <c r="E119" s="68">
        <v>0.6</v>
      </c>
      <c r="F119" s="38">
        <f>IF('CG. MPA'!E119="CONCRETO",G119,'RMCV.PA'!H119+'RMCV.PA'!I119+'RMCV.PA'!J119+K119+L119)</f>
        <v>0</v>
      </c>
      <c r="G119" s="542">
        <f>IF('CG. MPA'!E119="CONCRETO",0.6*$G$24,0)</f>
        <v>0</v>
      </c>
      <c r="H119" s="38">
        <f>IF(AND('CG. MPA'!E119="TABIQUE",'CG. MPA'!F119="MACIZO"),15,0)</f>
        <v>0</v>
      </c>
      <c r="I119" s="38">
        <f>IF(AND('CG. MPA'!E119="TABIQUE",'CG. MPA'!F119="HUECO"),IF(E67="III",30,40),0)</f>
        <v>0</v>
      </c>
      <c r="J119" s="575">
        <f>IF('CG. MPA'!E119="TABICON",IF(E72="I",20,15),0)</f>
        <v>0</v>
      </c>
      <c r="K119" s="575">
        <f>IF('CG. MPA'!E119="ADOBE",10,0)</f>
        <v>0</v>
      </c>
      <c r="L119" s="575">
        <f>IF('CG. MPA'!E119="LIGERO",10,0)</f>
        <v>0</v>
      </c>
      <c r="M119" s="576">
        <f t="shared" si="25"/>
        <v>0</v>
      </c>
      <c r="N119" s="918">
        <f>ABS('ELEM. MECA.'!M246)</f>
        <v>0</v>
      </c>
      <c r="O119" s="919">
        <f>IF(AND('CG. MPA'!E119="TABIQUE",'CG. MPA'!F119="HUECO"),V119,IF(AND('CG. MPA'!D119="CONFINADO",'CG. MPA'!E119="TABIQUE",'CG. MPA'!F119="MACIZO"),'RMCV.PA'!W119,IF(AND('CG. MPA'!D119="CONFINADO",'CG. MPA'!E119="TABICON",'CG. MPA'!F119="MACIZO"),'RMCV.PA'!W119,IF(AND('CG. MPA'!D119="CONFINADO",'CG. MPA'!E119="LIGERO",'CG. MPA'!F119="MACIZO"),'RMCV.PA'!W119,IF(AND('CG. MPA'!D119="NO CONFINADO",'CG. MPA'!E119="TABIQUE",'CG. MPA'!F119="MACIZO"),X119,IF(AND('CG. MPA'!D119="NO CONFINADO",'CG. MPA'!E119="TABICON",'CG. MPA'!F119="MACIZO"),X119,IF(AND('CG. MPA'!D119="NO CONFINADO",'CG. MPA'!E119="LIGERO",'CG. MPA'!F119="MACIZO"),X119,IF('CG. MPA'!E119="ADOBE",'RMCV.PA'!Y119,Z119))))))))</f>
        <v>0</v>
      </c>
      <c r="P119" s="685" t="str">
        <f t="shared" si="26"/>
        <v>PASA</v>
      </c>
      <c r="Q119" s="88" t="e">
        <f>IF(D119*E119*(F119*M119+'CASTILLOS-PA'!W119*FY)&gt;1.25*D119*E119*F119*M119,1.25*D119*E119*F119*M119,D119*E119*(F119*M119+'CASTILLOS-PA'!W119*FY))</f>
        <v>#DIV/0!</v>
      </c>
      <c r="R119" s="88">
        <f>D119*E119*(F119*M119+'CASTILLOS-PA'!G119*FY*2)</f>
        <v>8588.16</v>
      </c>
      <c r="S119" s="88">
        <f t="shared" si="19"/>
        <v>0</v>
      </c>
      <c r="T119" s="88">
        <f t="shared" si="20"/>
        <v>0</v>
      </c>
      <c r="U119" s="536">
        <f>D119*(0.7*$G$24*(B119*C119)+2000*'MUR.CONC-PA'!K119)</f>
        <v>0</v>
      </c>
      <c r="V119" s="544">
        <f>IF(AND('CG. MPA'!E119="TABIQUE",'CG. MPA'!F119="HUECO"),Q119,0)</f>
        <v>0</v>
      </c>
      <c r="W119" s="544">
        <f>IF(AND('CG. MPA'!D119="CONFINADO",'CG. MPA'!E119="TABIQUE",'CG. MPA'!F119="MACIZO"),'RMCV.PA'!R119,IF(AND('CG. MPA'!D119="CONFINADO",'CG. MPA'!E119="TABICON",'CG. MPA'!F119="MACIZO"),'RMCV.PA'!R119,IF(AND('CG. MPA'!D119="CONFINADO",'CG. MPA'!E119="LIGERO",'CG. MPA'!F119="MACIZO"),'RMCV.PA'!R119,0)))</f>
        <v>0</v>
      </c>
      <c r="X119" s="544">
        <f>IF(AND('CG. MPA'!D119="NO CONFINADO",'CG. MPA'!E119="TABIQUE",'CG. MPA'!F119="MACIZO"),S119,IF(AND('CG. MPA'!D119="NO CONFINADO",'CG. MPA'!E119="TABICON",'CG. MPA'!F119="MACIZO"),S119,IF(AND('CG. MPA'!D119="NO CONFINADO",'CG. MPA'!E119="LIGERO",'CG. MPA'!F119="MACIZO"),S119,0)))</f>
        <v>0</v>
      </c>
      <c r="Y119" s="544">
        <f>IF('CG. MPA'!E119="ADOBE",'RMCV.PA'!T119,0)</f>
        <v>0</v>
      </c>
      <c r="Z119" s="544">
        <f>IF('CG. MPA'!E119="CONCRETO",'RMCV.PA'!U119,0)</f>
        <v>0</v>
      </c>
      <c r="AA119" s="93">
        <f t="shared" si="23"/>
        <v>0</v>
      </c>
      <c r="AB119" s="428">
        <v>0.8</v>
      </c>
      <c r="AC119" s="4" t="e">
        <f>(1-2*AA119/C119)*(1-(AB119*'CG. MPA'!C119*10/(30*C119))^2)</f>
        <v>#DIV/0!</v>
      </c>
      <c r="AD119" s="350" t="e">
        <f>(1-(2*AA119/C119))*(1-(AB119*'CG. MPA'!C119*10/(30*C119))^2)*(1-('CG. MPA'!C119*10/B119))+('CG. MPA'!C119*10/B119)</f>
        <v>#DIV/0!</v>
      </c>
      <c r="AE119" s="429" t="e">
        <f t="shared" si="24"/>
        <v>#DIV/0!</v>
      </c>
    </row>
    <row r="120" spans="1:31">
      <c r="A120" s="684">
        <f>'CG. MPA'!A120</f>
        <v>41</v>
      </c>
      <c r="B120" s="975">
        <f>'CG. MPA'!B120*100</f>
        <v>0</v>
      </c>
      <c r="C120" s="68">
        <f>'ELEM. MECA.'!S247</f>
        <v>0</v>
      </c>
      <c r="D120" s="38">
        <f>IF(AND('CG. MPA'!D120="CONFINADO",'CG. MPA'!E120="CONCRETO"),0.8,IF('CG. MPA'!D120="NO CONFINADO",0.3,0.6))</f>
        <v>0.6</v>
      </c>
      <c r="E120" s="68">
        <v>0.6</v>
      </c>
      <c r="F120" s="38">
        <f>IF('CG. MPA'!E120="CONCRETO",G120,'RMCV.PA'!H120+'RMCV.PA'!I120+'RMCV.PA'!J120+K120+L120)</f>
        <v>0</v>
      </c>
      <c r="G120" s="542">
        <f>IF('CG. MPA'!E120="CONCRETO",0.6*$G$24,0)</f>
        <v>0</v>
      </c>
      <c r="H120" s="38">
        <f>IF(AND('CG. MPA'!E120="TABIQUE",'CG. MPA'!F120="MACIZO"),15,0)</f>
        <v>0</v>
      </c>
      <c r="I120" s="38">
        <f>IF(AND('CG. MPA'!E120="TABIQUE",'CG. MPA'!F120="HUECO"),IF(E68="III",30,40),0)</f>
        <v>0</v>
      </c>
      <c r="J120" s="575">
        <f>IF('CG. MPA'!E120="TABICON",IF(E73="I",20,15),0)</f>
        <v>0</v>
      </c>
      <c r="K120" s="575">
        <f>IF('CG. MPA'!E120="ADOBE",10,0)</f>
        <v>0</v>
      </c>
      <c r="L120" s="575">
        <f>IF('CG. MPA'!E120="LIGERO",10,0)</f>
        <v>0</v>
      </c>
      <c r="M120" s="576">
        <f t="shared" si="25"/>
        <v>0</v>
      </c>
      <c r="N120" s="918">
        <f>ABS('ELEM. MECA.'!M247)</f>
        <v>0</v>
      </c>
      <c r="O120" s="919">
        <f>IF(AND('CG. MPA'!E120="TABIQUE",'CG. MPA'!F120="HUECO"),V120,IF(AND('CG. MPA'!D120="CONFINADO",'CG. MPA'!E120="TABIQUE",'CG. MPA'!F120="MACIZO"),'RMCV.PA'!W120,IF(AND('CG. MPA'!D120="CONFINADO",'CG. MPA'!E120="TABICON",'CG. MPA'!F120="MACIZO"),'RMCV.PA'!W120,IF(AND('CG. MPA'!D120="CONFINADO",'CG. MPA'!E120="LIGERO",'CG. MPA'!F120="MACIZO"),'RMCV.PA'!W120,IF(AND('CG. MPA'!D120="NO CONFINADO",'CG. MPA'!E120="TABIQUE",'CG. MPA'!F120="MACIZO"),X120,IF(AND('CG. MPA'!D120="NO CONFINADO",'CG. MPA'!E120="TABICON",'CG. MPA'!F120="MACIZO"),X120,IF(AND('CG. MPA'!D120="NO CONFINADO",'CG. MPA'!E120="LIGERO",'CG. MPA'!F120="MACIZO"),X120,IF('CG. MPA'!E120="ADOBE",'RMCV.PA'!Y120,Z120))))))))</f>
        <v>0</v>
      </c>
      <c r="P120" s="685" t="str">
        <f t="shared" si="26"/>
        <v>PASA</v>
      </c>
      <c r="Q120" s="88" t="e">
        <f>IF(D120*E120*(F120*M120+'CASTILLOS-PA'!W120*FY)&gt;1.25*D120*E120*F120*M120,1.25*D120*E120*F120*M120,D120*E120*(F120*M120+'CASTILLOS-PA'!W120*FY))</f>
        <v>#DIV/0!</v>
      </c>
      <c r="R120" s="88">
        <f>D120*E120*(F120*M120+'CASTILLOS-PA'!G120*FY*2)</f>
        <v>8588.16</v>
      </c>
      <c r="S120" s="88">
        <f t="shared" si="19"/>
        <v>0</v>
      </c>
      <c r="T120" s="88">
        <f t="shared" si="20"/>
        <v>0</v>
      </c>
      <c r="U120" s="536">
        <f>D120*(0.7*$G$24*(B120*C120)+2000*'MUR.CONC-PA'!K120)</f>
        <v>0</v>
      </c>
      <c r="V120" s="544">
        <f>IF(AND('CG. MPA'!E120="TABIQUE",'CG. MPA'!F120="HUECO"),Q120,0)</f>
        <v>0</v>
      </c>
      <c r="W120" s="544">
        <f>IF(AND('CG. MPA'!D120="CONFINADO",'CG. MPA'!E120="TABIQUE",'CG. MPA'!F120="MACIZO"),'RMCV.PA'!R120,IF(AND('CG. MPA'!D120="CONFINADO",'CG. MPA'!E120="TABICON",'CG. MPA'!F120="MACIZO"),'RMCV.PA'!R120,IF(AND('CG. MPA'!D120="CONFINADO",'CG. MPA'!E120="LIGERO",'CG. MPA'!F120="MACIZO"),'RMCV.PA'!R120,0)))</f>
        <v>0</v>
      </c>
      <c r="X120" s="544">
        <f>IF(AND('CG. MPA'!D120="NO CONFINADO",'CG. MPA'!E120="TABIQUE",'CG. MPA'!F120="MACIZO"),S120,IF(AND('CG. MPA'!D120="NO CONFINADO",'CG. MPA'!E120="TABICON",'CG. MPA'!F120="MACIZO"),S120,IF(AND('CG. MPA'!D120="NO CONFINADO",'CG. MPA'!E120="LIGERO",'CG. MPA'!F120="MACIZO"),S120,0)))</f>
        <v>0</v>
      </c>
      <c r="Y120" s="544">
        <f>IF('CG. MPA'!E120="ADOBE",'RMCV.PA'!T120,0)</f>
        <v>0</v>
      </c>
      <c r="Z120" s="544">
        <f>IF('CG. MPA'!E120="CONCRETO",'RMCV.PA'!U120,0)</f>
        <v>0</v>
      </c>
      <c r="AA120" s="93">
        <f t="shared" si="23"/>
        <v>0</v>
      </c>
      <c r="AB120" s="428">
        <v>0.8</v>
      </c>
      <c r="AC120" s="4" t="e">
        <f>(1-2*AA120/C120)*(1-(AB120*'CG. MPA'!C120*10/(30*C120))^2)</f>
        <v>#DIV/0!</v>
      </c>
      <c r="AD120" s="350" t="e">
        <f>(1-(2*AA120/C120))*(1-(AB120*'CG. MPA'!C120*10/(30*C120))^2)*(1-('CG. MPA'!C120*10/B120))+('CG. MPA'!C120*10/B120)</f>
        <v>#DIV/0!</v>
      </c>
      <c r="AE120" s="429" t="e">
        <f t="shared" si="24"/>
        <v>#DIV/0!</v>
      </c>
    </row>
    <row r="121" spans="1:31">
      <c r="A121" s="684">
        <f>'CG. MPA'!A121</f>
        <v>42</v>
      </c>
      <c r="B121" s="975">
        <f>'CG. MPA'!B121*100</f>
        <v>0</v>
      </c>
      <c r="C121" s="68">
        <f>'ELEM. MECA.'!S248</f>
        <v>0</v>
      </c>
      <c r="D121" s="38">
        <f>IF(AND('CG. MPA'!D121="CONFINADO",'CG. MPA'!E121="CONCRETO"),0.8,IF('CG. MPA'!D121="NO CONFINADO",0.3,0.6))</f>
        <v>0.6</v>
      </c>
      <c r="E121" s="68">
        <v>0.6</v>
      </c>
      <c r="F121" s="38">
        <f>IF('CG. MPA'!E121="CONCRETO",G121,'RMCV.PA'!H121+'RMCV.PA'!I121+'RMCV.PA'!J121+K121+L121)</f>
        <v>0</v>
      </c>
      <c r="G121" s="542">
        <f>IF('CG. MPA'!E121="CONCRETO",0.6*$G$24,0)</f>
        <v>0</v>
      </c>
      <c r="H121" s="38">
        <f>IF(AND('CG. MPA'!E121="TABIQUE",'CG. MPA'!F121="MACIZO"),15,0)</f>
        <v>0</v>
      </c>
      <c r="I121" s="38">
        <f>IF(AND('CG. MPA'!E121="TABIQUE",'CG. MPA'!F121="HUECO"),IF(E69="III",30,40),0)</f>
        <v>0</v>
      </c>
      <c r="J121" s="575">
        <f>IF('CG. MPA'!E121="TABICON",IF(E74="I",20,15),0)</f>
        <v>0</v>
      </c>
      <c r="K121" s="575">
        <f>IF('CG. MPA'!E121="ADOBE",10,0)</f>
        <v>0</v>
      </c>
      <c r="L121" s="575">
        <f>IF('CG. MPA'!E121="LIGERO",10,0)</f>
        <v>0</v>
      </c>
      <c r="M121" s="576">
        <f t="shared" si="25"/>
        <v>0</v>
      </c>
      <c r="N121" s="918">
        <f>ABS('ELEM. MECA.'!M248)</f>
        <v>0</v>
      </c>
      <c r="O121" s="919">
        <f>IF(AND('CG. MPA'!E121="TABIQUE",'CG. MPA'!F121="HUECO"),V121,IF(AND('CG. MPA'!D121="CONFINADO",'CG. MPA'!E121="TABIQUE",'CG. MPA'!F121="MACIZO"),'RMCV.PA'!W121,IF(AND('CG. MPA'!D121="CONFINADO",'CG. MPA'!E121="TABICON",'CG. MPA'!F121="MACIZO"),'RMCV.PA'!W121,IF(AND('CG. MPA'!D121="CONFINADO",'CG. MPA'!E121="LIGERO",'CG. MPA'!F121="MACIZO"),'RMCV.PA'!W121,IF(AND('CG. MPA'!D121="NO CONFINADO",'CG. MPA'!E121="TABIQUE",'CG. MPA'!F121="MACIZO"),X121,IF(AND('CG. MPA'!D121="NO CONFINADO",'CG. MPA'!E121="TABICON",'CG. MPA'!F121="MACIZO"),X121,IF(AND('CG. MPA'!D121="NO CONFINADO",'CG. MPA'!E121="LIGERO",'CG. MPA'!F121="MACIZO"),X121,IF('CG. MPA'!E121="ADOBE",'RMCV.PA'!Y121,Z121))))))))</f>
        <v>0</v>
      </c>
      <c r="P121" s="685" t="str">
        <f t="shared" si="26"/>
        <v>PASA</v>
      </c>
      <c r="Q121" s="88" t="e">
        <f>IF(D121*E121*(F121*M121+'CASTILLOS-PA'!W121*FY)&gt;1.25*D121*E121*F121*M121,1.25*D121*E121*F121*M121,D121*E121*(F121*M121+'CASTILLOS-PA'!W121*FY))</f>
        <v>#DIV/0!</v>
      </c>
      <c r="R121" s="88">
        <f>D121*E121*(F121*M121+'CASTILLOS-PA'!G121*FY*2)</f>
        <v>8588.16</v>
      </c>
      <c r="S121" s="88">
        <f t="shared" si="19"/>
        <v>0</v>
      </c>
      <c r="T121" s="88">
        <f t="shared" si="20"/>
        <v>0</v>
      </c>
      <c r="U121" s="536">
        <f>D121*(0.7*$G$24*(B121*C121)+2000*'MUR.CONC-PA'!K121)</f>
        <v>0</v>
      </c>
      <c r="V121" s="544">
        <f>IF(AND('CG. MPA'!E121="TABIQUE",'CG. MPA'!F121="HUECO"),Q121,0)</f>
        <v>0</v>
      </c>
      <c r="W121" s="544">
        <f>IF(AND('CG. MPA'!D121="CONFINADO",'CG. MPA'!E121="TABIQUE",'CG. MPA'!F121="MACIZO"),'RMCV.PA'!R121,IF(AND('CG. MPA'!D121="CONFINADO",'CG. MPA'!E121="TABICON",'CG. MPA'!F121="MACIZO"),'RMCV.PA'!R121,IF(AND('CG. MPA'!D121="CONFINADO",'CG. MPA'!E121="LIGERO",'CG. MPA'!F121="MACIZO"),'RMCV.PA'!R121,0)))</f>
        <v>0</v>
      </c>
      <c r="X121" s="544">
        <f>IF(AND('CG. MPA'!D121="NO CONFINADO",'CG. MPA'!E121="TABIQUE",'CG. MPA'!F121="MACIZO"),S121,IF(AND('CG. MPA'!D121="NO CONFINADO",'CG. MPA'!E121="TABICON",'CG. MPA'!F121="MACIZO"),S121,IF(AND('CG. MPA'!D121="NO CONFINADO",'CG. MPA'!E121="LIGERO",'CG. MPA'!F121="MACIZO"),S121,0)))</f>
        <v>0</v>
      </c>
      <c r="Y121" s="544">
        <f>IF('CG. MPA'!E121="ADOBE",'RMCV.PA'!T121,0)</f>
        <v>0</v>
      </c>
      <c r="Z121" s="544">
        <f>IF('CG. MPA'!E121="CONCRETO",'RMCV.PA'!U121,0)</f>
        <v>0</v>
      </c>
      <c r="AA121" s="93">
        <f t="shared" si="23"/>
        <v>0</v>
      </c>
      <c r="AB121" s="428">
        <v>0.8</v>
      </c>
      <c r="AC121" s="4" t="e">
        <f>(1-2*AA121/C121)*(1-(AB121*'CG. MPA'!C121*10/(30*C121))^2)</f>
        <v>#DIV/0!</v>
      </c>
      <c r="AD121" s="350" t="e">
        <f>(1-(2*AA121/C121))*(1-(AB121*'CG. MPA'!C121*10/(30*C121))^2)*(1-('CG. MPA'!C121*10/B121))+('CG. MPA'!C121*10/B121)</f>
        <v>#DIV/0!</v>
      </c>
      <c r="AE121" s="429" t="e">
        <f t="shared" si="24"/>
        <v>#DIV/0!</v>
      </c>
    </row>
    <row r="122" spans="1:31">
      <c r="A122" s="684">
        <f>'CG. MPA'!A122</f>
        <v>43</v>
      </c>
      <c r="B122" s="975">
        <f>'CG. MPA'!B122*100</f>
        <v>0</v>
      </c>
      <c r="C122" s="68">
        <f>'ELEM. MECA.'!S249</f>
        <v>0</v>
      </c>
      <c r="D122" s="38">
        <f>IF(AND('CG. MPA'!D122="CONFINADO",'CG. MPA'!E122="CONCRETO"),0.8,IF('CG. MPA'!D122="NO CONFINADO",0.3,0.6))</f>
        <v>0.6</v>
      </c>
      <c r="E122" s="68">
        <v>0.6</v>
      </c>
      <c r="F122" s="38">
        <f>IF('CG. MPA'!E122="CONCRETO",G122,'RMCV.PA'!H122+'RMCV.PA'!I122+'RMCV.PA'!J122+K122+L122)</f>
        <v>0</v>
      </c>
      <c r="G122" s="542">
        <f>IF('CG. MPA'!E122="CONCRETO",0.6*$G$24,0)</f>
        <v>0</v>
      </c>
      <c r="H122" s="38">
        <f>IF(AND('CG. MPA'!E122="TABIQUE",'CG. MPA'!F122="MACIZO"),15,0)</f>
        <v>0</v>
      </c>
      <c r="I122" s="38">
        <f>IF(AND('CG. MPA'!E122="TABIQUE",'CG. MPA'!F122="HUECO"),IF(E70="III",30,40),0)</f>
        <v>0</v>
      </c>
      <c r="J122" s="575">
        <f>IF('CG. MPA'!E122="TABICON",IF(E75="I",20,15),0)</f>
        <v>0</v>
      </c>
      <c r="K122" s="575">
        <f>IF('CG. MPA'!E122="ADOBE",10,0)</f>
        <v>0</v>
      </c>
      <c r="L122" s="575">
        <f>IF('CG. MPA'!E122="LIGERO",10,0)</f>
        <v>0</v>
      </c>
      <c r="M122" s="576">
        <f t="shared" si="25"/>
        <v>0</v>
      </c>
      <c r="N122" s="918">
        <f>ABS('ELEM. MECA.'!M249)</f>
        <v>0</v>
      </c>
      <c r="O122" s="919">
        <f>IF(AND('CG. MPA'!E122="TABIQUE",'CG. MPA'!F122="HUECO"),V122,IF(AND('CG. MPA'!D122="CONFINADO",'CG. MPA'!E122="TABIQUE",'CG. MPA'!F122="MACIZO"),'RMCV.PA'!W122,IF(AND('CG. MPA'!D122="CONFINADO",'CG. MPA'!E122="TABICON",'CG. MPA'!F122="MACIZO"),'RMCV.PA'!W122,IF(AND('CG. MPA'!D122="CONFINADO",'CG. MPA'!E122="LIGERO",'CG. MPA'!F122="MACIZO"),'RMCV.PA'!W122,IF(AND('CG. MPA'!D122="NO CONFINADO",'CG. MPA'!E122="TABIQUE",'CG. MPA'!F122="MACIZO"),X122,IF(AND('CG. MPA'!D122="NO CONFINADO",'CG. MPA'!E122="TABICON",'CG. MPA'!F122="MACIZO"),X122,IF(AND('CG. MPA'!D122="NO CONFINADO",'CG. MPA'!E122="LIGERO",'CG. MPA'!F122="MACIZO"),X122,IF('CG. MPA'!E122="ADOBE",'RMCV.PA'!Y122,Z122))))))))</f>
        <v>0</v>
      </c>
      <c r="P122" s="685" t="str">
        <f t="shared" si="26"/>
        <v>PASA</v>
      </c>
      <c r="Q122" s="88" t="e">
        <f>IF(D122*E122*(F122*M122+'CASTILLOS-PA'!W122*FY)&gt;1.25*D122*E122*F122*M122,1.25*D122*E122*F122*M122,D122*E122*(F122*M122+'CASTILLOS-PA'!W122*FY))</f>
        <v>#DIV/0!</v>
      </c>
      <c r="R122" s="88">
        <f>D122*E122*(F122*M122+'CASTILLOS-PA'!G122*FY*2)</f>
        <v>8588.16</v>
      </c>
      <c r="S122" s="88">
        <f t="shared" si="19"/>
        <v>0</v>
      </c>
      <c r="T122" s="88">
        <f t="shared" si="20"/>
        <v>0</v>
      </c>
      <c r="U122" s="536">
        <f>D122*(0.7*$G$24*(B122*C122)+2000*'MUR.CONC-PA'!K122)</f>
        <v>0</v>
      </c>
      <c r="V122" s="544">
        <f>IF(AND('CG. MPA'!E122="TABIQUE",'CG. MPA'!F122="HUECO"),Q122,0)</f>
        <v>0</v>
      </c>
      <c r="W122" s="544">
        <f>IF(AND('CG. MPA'!D122="CONFINADO",'CG. MPA'!E122="TABIQUE",'CG. MPA'!F122="MACIZO"),'RMCV.PA'!R122,IF(AND('CG. MPA'!D122="CONFINADO",'CG. MPA'!E122="TABICON",'CG. MPA'!F122="MACIZO"),'RMCV.PA'!R122,IF(AND('CG. MPA'!D122="CONFINADO",'CG. MPA'!E122="LIGERO",'CG. MPA'!F122="MACIZO"),'RMCV.PA'!R122,0)))</f>
        <v>0</v>
      </c>
      <c r="X122" s="544">
        <f>IF(AND('CG. MPA'!D122="NO CONFINADO",'CG. MPA'!E122="TABIQUE",'CG. MPA'!F122="MACIZO"),S122,IF(AND('CG. MPA'!D122="NO CONFINADO",'CG. MPA'!E122="TABICON",'CG. MPA'!F122="MACIZO"),S122,IF(AND('CG. MPA'!D122="NO CONFINADO",'CG. MPA'!E122="LIGERO",'CG. MPA'!F122="MACIZO"),S122,0)))</f>
        <v>0</v>
      </c>
      <c r="Y122" s="544">
        <f>IF('CG. MPA'!E122="ADOBE",'RMCV.PA'!T122,0)</f>
        <v>0</v>
      </c>
      <c r="Z122" s="544">
        <f>IF('CG. MPA'!E122="CONCRETO",'RMCV.PA'!U122,0)</f>
        <v>0</v>
      </c>
      <c r="AA122" s="93">
        <f t="shared" si="23"/>
        <v>0</v>
      </c>
      <c r="AB122" s="428">
        <v>0.8</v>
      </c>
      <c r="AC122" s="4" t="e">
        <f>(1-2*AA122/C122)*(1-(AB122*'CG. MPA'!C122*10/(30*C122))^2)</f>
        <v>#DIV/0!</v>
      </c>
      <c r="AD122" s="350" t="e">
        <f>(1-(2*AA122/C122))*(1-(AB122*'CG. MPA'!C122*10/(30*C122))^2)*(1-('CG. MPA'!C122*10/B122))+('CG. MPA'!C122*10/B122)</f>
        <v>#DIV/0!</v>
      </c>
      <c r="AE122" s="429" t="e">
        <f t="shared" si="24"/>
        <v>#DIV/0!</v>
      </c>
    </row>
    <row r="123" spans="1:31">
      <c r="A123" s="684">
        <f>'CG. MPA'!A123</f>
        <v>44</v>
      </c>
      <c r="B123" s="975">
        <f>'CG. MPA'!B123*100</f>
        <v>0</v>
      </c>
      <c r="C123" s="68">
        <f>'ELEM. MECA.'!S250</f>
        <v>0</v>
      </c>
      <c r="D123" s="38">
        <f>IF(AND('CG. MPA'!D123="CONFINADO",'CG. MPA'!E123="CONCRETO"),0.8,IF('CG. MPA'!D123="NO CONFINADO",0.3,0.6))</f>
        <v>0.6</v>
      </c>
      <c r="E123" s="68">
        <v>0.6</v>
      </c>
      <c r="F123" s="38">
        <f>IF('CG. MPA'!E123="CONCRETO",G123,'RMCV.PA'!H123+'RMCV.PA'!I123+'RMCV.PA'!J123+K123+L123)</f>
        <v>0</v>
      </c>
      <c r="G123" s="542">
        <f>IF('CG. MPA'!E123="CONCRETO",0.6*$G$24,0)</f>
        <v>0</v>
      </c>
      <c r="H123" s="38">
        <f>IF(AND('CG. MPA'!E123="TABIQUE",'CG. MPA'!F123="MACIZO"),15,0)</f>
        <v>0</v>
      </c>
      <c r="I123" s="38">
        <f>IF(AND('CG. MPA'!E123="TABIQUE",'CG. MPA'!F123="HUECO"),IF(E71="III",30,40),0)</f>
        <v>0</v>
      </c>
      <c r="J123" s="575">
        <f>IF('CG. MPA'!E123="TABICON",IF(E76="I",20,15),0)</f>
        <v>0</v>
      </c>
      <c r="K123" s="575">
        <f>IF('CG. MPA'!E123="ADOBE",10,0)</f>
        <v>0</v>
      </c>
      <c r="L123" s="575">
        <f>IF('CG. MPA'!E123="LIGERO",10,0)</f>
        <v>0</v>
      </c>
      <c r="M123" s="576">
        <f t="shared" si="25"/>
        <v>0</v>
      </c>
      <c r="N123" s="918">
        <f>ABS('ELEM. MECA.'!M250)</f>
        <v>0</v>
      </c>
      <c r="O123" s="919">
        <f>IF(AND('CG. MPA'!E123="TABIQUE",'CG. MPA'!F123="HUECO"),V123,IF(AND('CG. MPA'!D123="CONFINADO",'CG. MPA'!E123="TABIQUE",'CG. MPA'!F123="MACIZO"),'RMCV.PA'!W123,IF(AND('CG. MPA'!D123="CONFINADO",'CG. MPA'!E123="TABICON",'CG. MPA'!F123="MACIZO"),'RMCV.PA'!W123,IF(AND('CG. MPA'!D123="CONFINADO",'CG. MPA'!E123="LIGERO",'CG. MPA'!F123="MACIZO"),'RMCV.PA'!W123,IF(AND('CG. MPA'!D123="NO CONFINADO",'CG. MPA'!E123="TABIQUE",'CG. MPA'!F123="MACIZO"),X123,IF(AND('CG. MPA'!D123="NO CONFINADO",'CG. MPA'!E123="TABICON",'CG. MPA'!F123="MACIZO"),X123,IF(AND('CG. MPA'!D123="NO CONFINADO",'CG. MPA'!E123="LIGERO",'CG. MPA'!F123="MACIZO"),X123,IF('CG. MPA'!E123="ADOBE",'RMCV.PA'!Y123,Z123))))))))</f>
        <v>0</v>
      </c>
      <c r="P123" s="685" t="str">
        <f t="shared" si="26"/>
        <v>PASA</v>
      </c>
      <c r="Q123" s="88" t="e">
        <f>IF(D123*E123*(F123*M123+'CASTILLOS-PA'!W123*FY)&gt;1.25*D123*E123*F123*M123,1.25*D123*E123*F123*M123,D123*E123*(F123*M123+'CASTILLOS-PA'!W123*FY))</f>
        <v>#DIV/0!</v>
      </c>
      <c r="R123" s="88">
        <f>D123*E123*(F123*M123+'CASTILLOS-PA'!G123*FY*2)</f>
        <v>8588.16</v>
      </c>
      <c r="S123" s="88">
        <f t="shared" si="19"/>
        <v>0</v>
      </c>
      <c r="T123" s="88">
        <f t="shared" si="20"/>
        <v>0</v>
      </c>
      <c r="U123" s="536">
        <f>D123*(0.7*$G$24*(B123*C123)+2000*'MUR.CONC-PA'!K123)</f>
        <v>0</v>
      </c>
      <c r="V123" s="544">
        <f>IF(AND('CG. MPA'!E123="TABIQUE",'CG. MPA'!F123="HUECO"),Q123,0)</f>
        <v>0</v>
      </c>
      <c r="W123" s="544">
        <f>IF(AND('CG. MPA'!D123="CONFINADO",'CG. MPA'!E123="TABIQUE",'CG. MPA'!F123="MACIZO"),'RMCV.PA'!R123,IF(AND('CG. MPA'!D123="CONFINADO",'CG. MPA'!E123="TABICON",'CG. MPA'!F123="MACIZO"),'RMCV.PA'!R123,IF(AND('CG. MPA'!D123="CONFINADO",'CG. MPA'!E123="LIGERO",'CG. MPA'!F123="MACIZO"),'RMCV.PA'!R123,0)))</f>
        <v>0</v>
      </c>
      <c r="X123" s="544">
        <f>IF(AND('CG. MPA'!D123="NO CONFINADO",'CG. MPA'!E123="TABIQUE",'CG. MPA'!F123="MACIZO"),S123,IF(AND('CG. MPA'!D123="NO CONFINADO",'CG. MPA'!E123="TABICON",'CG. MPA'!F123="MACIZO"),S123,IF(AND('CG. MPA'!D123="NO CONFINADO",'CG. MPA'!E123="LIGERO",'CG. MPA'!F123="MACIZO"),S123,0)))</f>
        <v>0</v>
      </c>
      <c r="Y123" s="544">
        <f>IF('CG. MPA'!E123="ADOBE",'RMCV.PA'!T123,0)</f>
        <v>0</v>
      </c>
      <c r="Z123" s="544">
        <f>IF('CG. MPA'!E123="CONCRETO",'RMCV.PA'!U123,0)</f>
        <v>0</v>
      </c>
      <c r="AA123" s="93">
        <f t="shared" si="23"/>
        <v>0</v>
      </c>
      <c r="AB123" s="428">
        <v>0.8</v>
      </c>
      <c r="AC123" s="4" t="e">
        <f>(1-2*AA123/C123)*(1-(AB123*'CG. MPA'!C123*10/(30*C123))^2)</f>
        <v>#DIV/0!</v>
      </c>
      <c r="AD123" s="350" t="e">
        <f>(1-(2*AA123/C123))*(1-(AB123*'CG. MPA'!C123*10/(30*C123))^2)*(1-('CG. MPA'!C123*10/B123))+('CG. MPA'!C123*10/B123)</f>
        <v>#DIV/0!</v>
      </c>
      <c r="AE123" s="429" t="e">
        <f t="shared" si="24"/>
        <v>#DIV/0!</v>
      </c>
    </row>
    <row r="124" spans="1:31">
      <c r="A124" s="684">
        <f>'CG. MPA'!A124</f>
        <v>45</v>
      </c>
      <c r="B124" s="975">
        <f>'CG. MPA'!B124*100</f>
        <v>0</v>
      </c>
      <c r="C124" s="68">
        <f>'ELEM. MECA.'!S251</f>
        <v>0</v>
      </c>
      <c r="D124" s="38">
        <f>IF(AND('CG. MPA'!D124="CONFINADO",'CG. MPA'!E124="CONCRETO"),0.8,IF('CG. MPA'!D124="NO CONFINADO",0.3,0.6))</f>
        <v>0.6</v>
      </c>
      <c r="E124" s="68">
        <v>0.6</v>
      </c>
      <c r="F124" s="38">
        <f>IF('CG. MPA'!E124="CONCRETO",G124,'RMCV.PA'!H124+'RMCV.PA'!I124+'RMCV.PA'!J124+K124+L124)</f>
        <v>0</v>
      </c>
      <c r="G124" s="542">
        <f>IF('CG. MPA'!E124="CONCRETO",0.6*$G$24,0)</f>
        <v>0</v>
      </c>
      <c r="H124" s="38">
        <f>IF(AND('CG. MPA'!E124="TABIQUE",'CG. MPA'!F124="MACIZO"),15,0)</f>
        <v>0</v>
      </c>
      <c r="I124" s="38">
        <f>IF(AND('CG. MPA'!E124="TABIQUE",'CG. MPA'!F124="HUECO"),IF(E72="III",30,40),0)</f>
        <v>0</v>
      </c>
      <c r="J124" s="575">
        <f>IF('CG. MPA'!E124="TABICON",IF(E77="I",20,15),0)</f>
        <v>0</v>
      </c>
      <c r="K124" s="575">
        <f>IF('CG. MPA'!E124="ADOBE",10,0)</f>
        <v>0</v>
      </c>
      <c r="L124" s="575">
        <f>IF('CG. MPA'!E124="LIGERO",10,0)</f>
        <v>0</v>
      </c>
      <c r="M124" s="576">
        <f t="shared" si="25"/>
        <v>0</v>
      </c>
      <c r="N124" s="918">
        <f>ABS('ELEM. MECA.'!M251)</f>
        <v>0</v>
      </c>
      <c r="O124" s="919">
        <f>IF(AND('CG. MPA'!E124="TABIQUE",'CG. MPA'!F124="HUECO"),V124,IF(AND('CG. MPA'!D124="CONFINADO",'CG. MPA'!E124="TABIQUE",'CG. MPA'!F124="MACIZO"),'RMCV.PA'!W124,IF(AND('CG. MPA'!D124="CONFINADO",'CG. MPA'!E124="TABICON",'CG. MPA'!F124="MACIZO"),'RMCV.PA'!W124,IF(AND('CG. MPA'!D124="CONFINADO",'CG. MPA'!E124="LIGERO",'CG. MPA'!F124="MACIZO"),'RMCV.PA'!W124,IF(AND('CG. MPA'!D124="NO CONFINADO",'CG. MPA'!E124="TABIQUE",'CG. MPA'!F124="MACIZO"),X124,IF(AND('CG. MPA'!D124="NO CONFINADO",'CG. MPA'!E124="TABICON",'CG. MPA'!F124="MACIZO"),X124,IF(AND('CG. MPA'!D124="NO CONFINADO",'CG. MPA'!E124="LIGERO",'CG. MPA'!F124="MACIZO"),X124,IF('CG. MPA'!E124="ADOBE",'RMCV.PA'!Y124,Z124))))))))</f>
        <v>0</v>
      </c>
      <c r="P124" s="685" t="str">
        <f t="shared" si="26"/>
        <v>PASA</v>
      </c>
      <c r="Q124" s="88" t="e">
        <f>IF(D124*E124*(F124*M124+'CASTILLOS-PA'!W124*FY)&gt;1.25*D124*E124*F124*M124,1.25*D124*E124*F124*M124,D124*E124*(F124*M124+'CASTILLOS-PA'!W124*FY))</f>
        <v>#DIV/0!</v>
      </c>
      <c r="R124" s="88">
        <f>D124*E124*(F124*M124+'CASTILLOS-PA'!G124*FY*2)</f>
        <v>8588.16</v>
      </c>
      <c r="S124" s="88">
        <f t="shared" si="19"/>
        <v>0</v>
      </c>
      <c r="T124" s="88">
        <f t="shared" si="20"/>
        <v>0</v>
      </c>
      <c r="U124" s="536">
        <f>D124*(0.7*$G$24*(B124*C124)+2000*'MUR.CONC-PA'!K124)</f>
        <v>0</v>
      </c>
      <c r="V124" s="544">
        <f>IF(AND('CG. MPA'!E124="TABIQUE",'CG. MPA'!F124="HUECO"),Q124,0)</f>
        <v>0</v>
      </c>
      <c r="W124" s="544">
        <f>IF(AND('CG. MPA'!D124="CONFINADO",'CG. MPA'!E124="TABIQUE",'CG. MPA'!F124="MACIZO"),'RMCV.PA'!R124,IF(AND('CG. MPA'!D124="CONFINADO",'CG. MPA'!E124="TABICON",'CG. MPA'!F124="MACIZO"),'RMCV.PA'!R124,IF(AND('CG. MPA'!D124="CONFINADO",'CG. MPA'!E124="LIGERO",'CG. MPA'!F124="MACIZO"),'RMCV.PA'!R124,0)))</f>
        <v>0</v>
      </c>
      <c r="X124" s="544">
        <f>IF(AND('CG. MPA'!D124="NO CONFINADO",'CG. MPA'!E124="TABIQUE",'CG. MPA'!F124="MACIZO"),S124,IF(AND('CG. MPA'!D124="NO CONFINADO",'CG. MPA'!E124="TABICON",'CG. MPA'!F124="MACIZO"),S124,IF(AND('CG. MPA'!D124="NO CONFINADO",'CG. MPA'!E124="LIGERO",'CG. MPA'!F124="MACIZO"),S124,0)))</f>
        <v>0</v>
      </c>
      <c r="Y124" s="544">
        <f>IF('CG. MPA'!E124="ADOBE",'RMCV.PA'!T124,0)</f>
        <v>0</v>
      </c>
      <c r="Z124" s="544">
        <f>IF('CG. MPA'!E124="CONCRETO",'RMCV.PA'!U124,0)</f>
        <v>0</v>
      </c>
      <c r="AA124" s="93">
        <f t="shared" si="23"/>
        <v>0</v>
      </c>
      <c r="AB124" s="428">
        <v>0.8</v>
      </c>
      <c r="AC124" s="4" t="e">
        <f>(1-2*AA124/C124)*(1-(AB124*'CG. MPA'!C124*10/(30*C124))^2)</f>
        <v>#DIV/0!</v>
      </c>
      <c r="AD124" s="350" t="e">
        <f>(1-(2*AA124/C124))*(1-(AB124*'CG. MPA'!C124*10/(30*C124))^2)*(1-('CG. MPA'!C124*10/B124))+('CG. MPA'!C124*10/B124)</f>
        <v>#DIV/0!</v>
      </c>
      <c r="AE124" s="429" t="e">
        <f t="shared" si="24"/>
        <v>#DIV/0!</v>
      </c>
    </row>
    <row r="125" spans="1:31">
      <c r="A125" s="684">
        <f>'CG. MPA'!A125</f>
        <v>46</v>
      </c>
      <c r="B125" s="975">
        <f>'CG. MPA'!B125*100</f>
        <v>0</v>
      </c>
      <c r="C125" s="68">
        <f>'ELEM. MECA.'!S252</f>
        <v>0</v>
      </c>
      <c r="D125" s="38">
        <f>IF(AND('CG. MPA'!D125="CONFINADO",'CG. MPA'!E125="CONCRETO"),0.8,IF('CG. MPA'!D125="NO CONFINADO",0.3,0.6))</f>
        <v>0.6</v>
      </c>
      <c r="E125" s="68">
        <v>0.6</v>
      </c>
      <c r="F125" s="38">
        <f>IF('CG. MPA'!E125="CONCRETO",G125,'RMCV.PA'!H125+'RMCV.PA'!I125+'RMCV.PA'!J125+K125+L125)</f>
        <v>0</v>
      </c>
      <c r="G125" s="542">
        <f>IF('CG. MPA'!E125="CONCRETO",0.6*$G$24,0)</f>
        <v>0</v>
      </c>
      <c r="H125" s="38">
        <f>IF(AND('CG. MPA'!E125="TABIQUE",'CG. MPA'!F125="MACIZO"),15,0)</f>
        <v>0</v>
      </c>
      <c r="I125" s="38">
        <f>IF(AND('CG. MPA'!E125="TABIQUE",'CG. MPA'!F125="HUECO"),IF(E73="III",30,40),0)</f>
        <v>0</v>
      </c>
      <c r="J125" s="575">
        <f>IF('CG. MPA'!E125="TABICON",IF(E78="I",20,15),0)</f>
        <v>0</v>
      </c>
      <c r="K125" s="575">
        <f>IF('CG. MPA'!E125="ADOBE",10,0)</f>
        <v>0</v>
      </c>
      <c r="L125" s="575">
        <f>IF('CG. MPA'!E125="LIGERO",10,0)</f>
        <v>0</v>
      </c>
      <c r="M125" s="576">
        <f t="shared" si="25"/>
        <v>0</v>
      </c>
      <c r="N125" s="918">
        <f>ABS('ELEM. MECA.'!M252)</f>
        <v>0</v>
      </c>
      <c r="O125" s="919">
        <f>IF(AND('CG. MPA'!E125="TABIQUE",'CG. MPA'!F125="HUECO"),V125,IF(AND('CG. MPA'!D125="CONFINADO",'CG. MPA'!E125="TABIQUE",'CG. MPA'!F125="MACIZO"),'RMCV.PA'!W125,IF(AND('CG. MPA'!D125="CONFINADO",'CG. MPA'!E125="TABICON",'CG. MPA'!F125="MACIZO"),'RMCV.PA'!W125,IF(AND('CG. MPA'!D125="CONFINADO",'CG. MPA'!E125="LIGERO",'CG. MPA'!F125="MACIZO"),'RMCV.PA'!W125,IF(AND('CG. MPA'!D125="NO CONFINADO",'CG. MPA'!E125="TABIQUE",'CG. MPA'!F125="MACIZO"),X125,IF(AND('CG. MPA'!D125="NO CONFINADO",'CG. MPA'!E125="TABICON",'CG. MPA'!F125="MACIZO"),X125,IF(AND('CG. MPA'!D125="NO CONFINADO",'CG. MPA'!E125="LIGERO",'CG. MPA'!F125="MACIZO"),X125,IF('CG. MPA'!E125="ADOBE",'RMCV.PA'!Y125,Z125))))))))</f>
        <v>0</v>
      </c>
      <c r="P125" s="685" t="str">
        <f t="shared" si="26"/>
        <v>PASA</v>
      </c>
      <c r="Q125" s="88" t="e">
        <f>IF(D125*E125*(F125*M125+'CASTILLOS-PA'!W125*FY)&gt;1.25*D125*E125*F125*M125,1.25*D125*E125*F125*M125,D125*E125*(F125*M125+'CASTILLOS-PA'!W125*FY))</f>
        <v>#DIV/0!</v>
      </c>
      <c r="R125" s="88">
        <f>D125*E125*(F125*M125+'CASTILLOS-PA'!G125*FY*2)</f>
        <v>8588.16</v>
      </c>
      <c r="S125" s="88">
        <f t="shared" si="19"/>
        <v>0</v>
      </c>
      <c r="T125" s="88">
        <f t="shared" si="20"/>
        <v>0</v>
      </c>
      <c r="U125" s="536">
        <f>D125*(0.7*$G$24*(B125*C125)+2000*'MUR.CONC-PA'!K125)</f>
        <v>0</v>
      </c>
      <c r="V125" s="544">
        <f>IF(AND('CG. MPA'!E125="TABIQUE",'CG. MPA'!F125="HUECO"),Q125,0)</f>
        <v>0</v>
      </c>
      <c r="W125" s="544">
        <f>IF(AND('CG. MPA'!D125="CONFINADO",'CG. MPA'!E125="TABIQUE",'CG. MPA'!F125="MACIZO"),'RMCV.PA'!R125,IF(AND('CG. MPA'!D125="CONFINADO",'CG. MPA'!E125="TABICON",'CG. MPA'!F125="MACIZO"),'RMCV.PA'!R125,IF(AND('CG. MPA'!D125="CONFINADO",'CG. MPA'!E125="LIGERO",'CG. MPA'!F125="MACIZO"),'RMCV.PA'!R125,0)))</f>
        <v>0</v>
      </c>
      <c r="X125" s="544">
        <f>IF(AND('CG. MPA'!D125="NO CONFINADO",'CG. MPA'!E125="TABIQUE",'CG. MPA'!F125="MACIZO"),S125,IF(AND('CG. MPA'!D125="NO CONFINADO",'CG. MPA'!E125="TABICON",'CG. MPA'!F125="MACIZO"),S125,IF(AND('CG. MPA'!D125="NO CONFINADO",'CG. MPA'!E125="LIGERO",'CG. MPA'!F125="MACIZO"),S125,0)))</f>
        <v>0</v>
      </c>
      <c r="Y125" s="544">
        <f>IF('CG. MPA'!E125="ADOBE",'RMCV.PA'!T125,0)</f>
        <v>0</v>
      </c>
      <c r="Z125" s="544">
        <f>IF('CG. MPA'!E125="CONCRETO",'RMCV.PA'!U125,0)</f>
        <v>0</v>
      </c>
      <c r="AA125" s="93">
        <f t="shared" si="23"/>
        <v>0</v>
      </c>
      <c r="AB125" s="428">
        <v>0.8</v>
      </c>
      <c r="AC125" s="4" t="e">
        <f>(1-2*AA125/C125)*(1-(AB125*'CG. MPA'!C125*10/(30*C125))^2)</f>
        <v>#DIV/0!</v>
      </c>
      <c r="AD125" s="350" t="e">
        <f>(1-(2*AA125/C125))*(1-(AB125*'CG. MPA'!C125*10/(30*C125))^2)*(1-('CG. MPA'!C125*10/B125))+('CG. MPA'!C125*10/B125)</f>
        <v>#DIV/0!</v>
      </c>
      <c r="AE125" s="429" t="e">
        <f t="shared" si="24"/>
        <v>#DIV/0!</v>
      </c>
    </row>
    <row r="126" spans="1:31">
      <c r="A126" s="684">
        <f>'CG. MPA'!A126</f>
        <v>47</v>
      </c>
      <c r="B126" s="975">
        <f>'CG. MPA'!B126*100</f>
        <v>0</v>
      </c>
      <c r="C126" s="68">
        <f>'ELEM. MECA.'!S253</f>
        <v>0</v>
      </c>
      <c r="D126" s="38">
        <f>IF(AND('CG. MPA'!D126="CONFINADO",'CG. MPA'!E126="CONCRETO"),0.8,IF('CG. MPA'!D126="NO CONFINADO",0.3,0.6))</f>
        <v>0.6</v>
      </c>
      <c r="E126" s="68">
        <v>0.6</v>
      </c>
      <c r="F126" s="38">
        <f>IF('CG. MPA'!E126="CONCRETO",G126,'RMCV.PA'!H126+'RMCV.PA'!I126+'RMCV.PA'!J126+K126+L126)</f>
        <v>0</v>
      </c>
      <c r="G126" s="542">
        <f>IF('CG. MPA'!E126="CONCRETO",0.6*$G$24,0)</f>
        <v>0</v>
      </c>
      <c r="H126" s="38">
        <f>IF(AND('CG. MPA'!E126="TABIQUE",'CG. MPA'!F126="MACIZO"),15,0)</f>
        <v>0</v>
      </c>
      <c r="I126" s="38">
        <f>IF(AND('CG. MPA'!E126="TABIQUE",'CG. MPA'!F126="HUECO"),IF(E74="III",30,40),0)</f>
        <v>0</v>
      </c>
      <c r="J126" s="575">
        <f>IF('CG. MPA'!E126="TABICON",IF(E79="I",20,15),0)</f>
        <v>0</v>
      </c>
      <c r="K126" s="575">
        <f>IF('CG. MPA'!E126="ADOBE",10,0)</f>
        <v>0</v>
      </c>
      <c r="L126" s="575">
        <f>IF('CG. MPA'!E126="LIGERO",10,0)</f>
        <v>0</v>
      </c>
      <c r="M126" s="576">
        <f t="shared" si="25"/>
        <v>0</v>
      </c>
      <c r="N126" s="918">
        <f>ABS('ELEM. MECA.'!M253)</f>
        <v>0</v>
      </c>
      <c r="O126" s="919">
        <f>IF(AND('CG. MPA'!E126="TABIQUE",'CG. MPA'!F126="HUECO"),V126,IF(AND('CG. MPA'!D126="CONFINADO",'CG. MPA'!E126="TABIQUE",'CG. MPA'!F126="MACIZO"),'RMCV.PA'!W126,IF(AND('CG. MPA'!D126="CONFINADO",'CG. MPA'!E126="TABICON",'CG. MPA'!F126="MACIZO"),'RMCV.PA'!W126,IF(AND('CG. MPA'!D126="CONFINADO",'CG. MPA'!E126="LIGERO",'CG. MPA'!F126="MACIZO"),'RMCV.PA'!W126,IF(AND('CG. MPA'!D126="NO CONFINADO",'CG. MPA'!E126="TABIQUE",'CG. MPA'!F126="MACIZO"),X126,IF(AND('CG. MPA'!D126="NO CONFINADO",'CG. MPA'!E126="TABICON",'CG. MPA'!F126="MACIZO"),X126,IF(AND('CG. MPA'!D126="NO CONFINADO",'CG. MPA'!E126="LIGERO",'CG. MPA'!F126="MACIZO"),X126,IF('CG. MPA'!E126="ADOBE",'RMCV.PA'!Y126,Z126))))))))</f>
        <v>0</v>
      </c>
      <c r="P126" s="685" t="str">
        <f t="shared" si="26"/>
        <v>PASA</v>
      </c>
      <c r="Q126" s="88" t="e">
        <f>IF(D126*E126*(F126*M126+'CASTILLOS-PA'!W126*FY)&gt;1.25*D126*E126*F126*M126,1.25*D126*E126*F126*M126,D126*E126*(F126*M126+'CASTILLOS-PA'!W126*FY))</f>
        <v>#DIV/0!</v>
      </c>
      <c r="R126" s="88">
        <f>D126*E126*(F126*M126+'CASTILLOS-PA'!G126*FY*2)</f>
        <v>8588.16</v>
      </c>
      <c r="S126" s="88">
        <f t="shared" si="19"/>
        <v>0</v>
      </c>
      <c r="T126" s="88">
        <f t="shared" si="20"/>
        <v>0</v>
      </c>
      <c r="U126" s="536">
        <f>D126*(0.7*$G$24*(B126*C126)+2000*'MUR.CONC-PA'!K126)</f>
        <v>0</v>
      </c>
      <c r="V126" s="544">
        <f>IF(AND('CG. MPA'!E126="TABIQUE",'CG. MPA'!F126="HUECO"),Q126,0)</f>
        <v>0</v>
      </c>
      <c r="W126" s="544">
        <f>IF(AND('CG. MPA'!D126="CONFINADO",'CG. MPA'!E126="TABIQUE",'CG. MPA'!F126="MACIZO"),'RMCV.PA'!R126,IF(AND('CG. MPA'!D126="CONFINADO",'CG. MPA'!E126="TABICON",'CG. MPA'!F126="MACIZO"),'RMCV.PA'!R126,IF(AND('CG. MPA'!D126="CONFINADO",'CG. MPA'!E126="LIGERO",'CG. MPA'!F126="MACIZO"),'RMCV.PA'!R126,0)))</f>
        <v>0</v>
      </c>
      <c r="X126" s="544">
        <f>IF(AND('CG. MPA'!D126="NO CONFINADO",'CG. MPA'!E126="TABIQUE",'CG. MPA'!F126="MACIZO"),S126,IF(AND('CG. MPA'!D126="NO CONFINADO",'CG. MPA'!E126="TABICON",'CG. MPA'!F126="MACIZO"),S126,IF(AND('CG. MPA'!D126="NO CONFINADO",'CG. MPA'!E126="LIGERO",'CG. MPA'!F126="MACIZO"),S126,0)))</f>
        <v>0</v>
      </c>
      <c r="Y126" s="544">
        <f>IF('CG. MPA'!E126="ADOBE",'RMCV.PA'!T126,0)</f>
        <v>0</v>
      </c>
      <c r="Z126" s="544">
        <f>IF('CG. MPA'!E126="CONCRETO",'RMCV.PA'!U126,0)</f>
        <v>0</v>
      </c>
      <c r="AA126" s="93">
        <f t="shared" si="23"/>
        <v>0</v>
      </c>
      <c r="AB126" s="428">
        <v>0.8</v>
      </c>
      <c r="AC126" s="4" t="e">
        <f>(1-2*AA126/C126)*(1-(AB126*'CG. MPA'!C126*10/(30*C126))^2)</f>
        <v>#DIV/0!</v>
      </c>
      <c r="AD126" s="350" t="e">
        <f>(1-(2*AA126/C126))*(1-(AB126*'CG. MPA'!C126*10/(30*C126))^2)*(1-('CG. MPA'!C126*10/B126))+('CG. MPA'!C126*10/B126)</f>
        <v>#DIV/0!</v>
      </c>
      <c r="AE126" s="429" t="e">
        <f t="shared" si="24"/>
        <v>#DIV/0!</v>
      </c>
    </row>
    <row r="127" spans="1:31">
      <c r="A127" s="684">
        <f>'CG. MPA'!A127</f>
        <v>48</v>
      </c>
      <c r="B127" s="975">
        <f>'CG. MPA'!B127*100</f>
        <v>0</v>
      </c>
      <c r="C127" s="68">
        <f>'ELEM. MECA.'!S254</f>
        <v>0</v>
      </c>
      <c r="D127" s="38">
        <f>IF(AND('CG. MPA'!D127="CONFINADO",'CG. MPA'!E127="CONCRETO"),0.8,IF('CG. MPA'!D127="NO CONFINADO",0.3,0.6))</f>
        <v>0.6</v>
      </c>
      <c r="E127" s="68">
        <v>0.6</v>
      </c>
      <c r="F127" s="38">
        <f>IF('CG. MPA'!E127="CONCRETO",G127,'RMCV.PA'!H127+'RMCV.PA'!I127+'RMCV.PA'!J127+K127+L127)</f>
        <v>0</v>
      </c>
      <c r="G127" s="542">
        <f>IF('CG. MPA'!E127="CONCRETO",0.6*$G$24,0)</f>
        <v>0</v>
      </c>
      <c r="H127" s="38">
        <f>IF(AND('CG. MPA'!E127="TABIQUE",'CG. MPA'!F127="MACIZO"),15,0)</f>
        <v>0</v>
      </c>
      <c r="I127" s="38">
        <f>IF(AND('CG. MPA'!E127="TABIQUE",'CG. MPA'!F127="HUECO"),IF(E75="III",30,40),0)</f>
        <v>0</v>
      </c>
      <c r="J127" s="575">
        <f>IF('CG. MPA'!E127="TABICON",IF(E80="I",20,15),0)</f>
        <v>0</v>
      </c>
      <c r="K127" s="575">
        <f>IF('CG. MPA'!E127="ADOBE",10,0)</f>
        <v>0</v>
      </c>
      <c r="L127" s="575">
        <f>IF('CG. MPA'!E127="LIGERO",10,0)</f>
        <v>0</v>
      </c>
      <c r="M127" s="576">
        <f t="shared" si="25"/>
        <v>0</v>
      </c>
      <c r="N127" s="918">
        <f>ABS('ELEM. MECA.'!M254)</f>
        <v>0</v>
      </c>
      <c r="O127" s="919">
        <f>IF(AND('CG. MPA'!E127="TABIQUE",'CG. MPA'!F127="HUECO"),V127,IF(AND('CG. MPA'!D127="CONFINADO",'CG. MPA'!E127="TABIQUE",'CG. MPA'!F127="MACIZO"),'RMCV.PA'!W127,IF(AND('CG. MPA'!D127="CONFINADO",'CG. MPA'!E127="TABICON",'CG. MPA'!F127="MACIZO"),'RMCV.PA'!W127,IF(AND('CG. MPA'!D127="CONFINADO",'CG. MPA'!E127="LIGERO",'CG. MPA'!F127="MACIZO"),'RMCV.PA'!W127,IF(AND('CG. MPA'!D127="NO CONFINADO",'CG. MPA'!E127="TABIQUE",'CG. MPA'!F127="MACIZO"),X127,IF(AND('CG. MPA'!D127="NO CONFINADO",'CG. MPA'!E127="TABICON",'CG. MPA'!F127="MACIZO"),X127,IF(AND('CG. MPA'!D127="NO CONFINADO",'CG. MPA'!E127="LIGERO",'CG. MPA'!F127="MACIZO"),X127,IF('CG. MPA'!E127="ADOBE",'RMCV.PA'!Y127,Z127))))))))</f>
        <v>0</v>
      </c>
      <c r="P127" s="685" t="str">
        <f t="shared" si="26"/>
        <v>PASA</v>
      </c>
      <c r="Q127" s="88" t="e">
        <f>IF(D127*E127*(F127*M127+'CASTILLOS-PA'!W127*FY)&gt;1.25*D127*E127*F127*M127,1.25*D127*E127*F127*M127,D127*E127*(F127*M127+'CASTILLOS-PA'!W127*FY))</f>
        <v>#DIV/0!</v>
      </c>
      <c r="R127" s="88">
        <f>D127*E127*(F127*M127+'CASTILLOS-PA'!G127*FY*2)</f>
        <v>8588.16</v>
      </c>
      <c r="S127" s="88">
        <f t="shared" si="19"/>
        <v>0</v>
      </c>
      <c r="T127" s="88">
        <f t="shared" si="20"/>
        <v>0</v>
      </c>
      <c r="U127" s="536">
        <f>D127*(0.7*$G$24*(B127*C127)+2000*'MUR.CONC-PA'!K127)</f>
        <v>0</v>
      </c>
      <c r="V127" s="544">
        <f>IF(AND('CG. MPA'!E127="TABIQUE",'CG. MPA'!F127="HUECO"),Q127,0)</f>
        <v>0</v>
      </c>
      <c r="W127" s="544">
        <f>IF(AND('CG. MPA'!D127="CONFINADO",'CG. MPA'!E127="TABIQUE",'CG. MPA'!F127="MACIZO"),'RMCV.PA'!R127,IF(AND('CG. MPA'!D127="CONFINADO",'CG. MPA'!E127="TABICON",'CG. MPA'!F127="MACIZO"),'RMCV.PA'!R127,IF(AND('CG. MPA'!D127="CONFINADO",'CG. MPA'!E127="LIGERO",'CG. MPA'!F127="MACIZO"),'RMCV.PA'!R127,0)))</f>
        <v>0</v>
      </c>
      <c r="X127" s="544">
        <f>IF(AND('CG. MPA'!D127="NO CONFINADO",'CG. MPA'!E127="TABIQUE",'CG. MPA'!F127="MACIZO"),S127,IF(AND('CG. MPA'!D127="NO CONFINADO",'CG. MPA'!E127="TABICON",'CG. MPA'!F127="MACIZO"),S127,IF(AND('CG. MPA'!D127="NO CONFINADO",'CG. MPA'!E127="LIGERO",'CG. MPA'!F127="MACIZO"),S127,0)))</f>
        <v>0</v>
      </c>
      <c r="Y127" s="544">
        <f>IF('CG. MPA'!E127="ADOBE",'RMCV.PA'!T127,0)</f>
        <v>0</v>
      </c>
      <c r="Z127" s="544">
        <f>IF('CG. MPA'!E127="CONCRETO",'RMCV.PA'!U127,0)</f>
        <v>0</v>
      </c>
      <c r="AA127" s="93">
        <f t="shared" si="23"/>
        <v>0</v>
      </c>
      <c r="AB127" s="428">
        <v>0.8</v>
      </c>
      <c r="AC127" s="4" t="e">
        <f>(1-2*AA127/C127)*(1-(AB127*'CG. MPA'!C127*10/(30*C127))^2)</f>
        <v>#DIV/0!</v>
      </c>
      <c r="AD127" s="350" t="e">
        <f>(1-(2*AA127/C127))*(1-(AB127*'CG. MPA'!C127*10/(30*C127))^2)*(1-('CG. MPA'!C127*10/B127))+('CG. MPA'!C127*10/B127)</f>
        <v>#DIV/0!</v>
      </c>
      <c r="AE127" s="429" t="e">
        <f t="shared" si="24"/>
        <v>#DIV/0!</v>
      </c>
    </row>
    <row r="128" spans="1:31">
      <c r="A128" s="684">
        <f>'CG. MPA'!A128</f>
        <v>49</v>
      </c>
      <c r="B128" s="975">
        <f>'CG. MPA'!B128*100</f>
        <v>0</v>
      </c>
      <c r="C128" s="68">
        <f>'ELEM. MECA.'!S255</f>
        <v>0</v>
      </c>
      <c r="D128" s="38">
        <f>IF(AND('CG. MPA'!D128="CONFINADO",'CG. MPA'!E128="CONCRETO"),0.8,IF('CG. MPA'!D128="NO CONFINADO",0.3,0.6))</f>
        <v>0.6</v>
      </c>
      <c r="E128" s="68">
        <v>0.6</v>
      </c>
      <c r="F128" s="38">
        <f>IF('CG. MPA'!E128="CONCRETO",G128,'RMCV.PA'!H128+'RMCV.PA'!I128+'RMCV.PA'!J128+K128+L128)</f>
        <v>0</v>
      </c>
      <c r="G128" s="542">
        <f>IF('CG. MPA'!E128="CONCRETO",0.6*$G$24,0)</f>
        <v>0</v>
      </c>
      <c r="H128" s="38">
        <f>IF(AND('CG. MPA'!E128="TABIQUE",'CG. MPA'!F128="MACIZO"),15,0)</f>
        <v>0</v>
      </c>
      <c r="I128" s="38">
        <f>IF(AND('CG. MPA'!E128="TABIQUE",'CG. MPA'!F128="HUECO"),IF(E76="III",30,40),0)</f>
        <v>0</v>
      </c>
      <c r="J128" s="575">
        <f>IF('CG. MPA'!E128="TABICON",IF(E81="I",20,15),0)</f>
        <v>0</v>
      </c>
      <c r="K128" s="575">
        <f>IF('CG. MPA'!E128="ADOBE",10,0)</f>
        <v>0</v>
      </c>
      <c r="L128" s="575">
        <f>IF('CG. MPA'!E128="LIGERO",10,0)</f>
        <v>0</v>
      </c>
      <c r="M128" s="576">
        <f>B128*C128</f>
        <v>0</v>
      </c>
      <c r="N128" s="918">
        <f>ABS('ELEM. MECA.'!M255)</f>
        <v>0</v>
      </c>
      <c r="O128" s="919">
        <f>IF(AND('CG. MPA'!E128="TABIQUE",'CG. MPA'!F128="HUECO"),V128,IF(AND('CG. MPA'!D128="CONFINADO",'CG. MPA'!E128="TABIQUE",'CG. MPA'!F128="MACIZO"),'RMCV.PA'!W128,IF(AND('CG. MPA'!D128="CONFINADO",'CG. MPA'!E128="TABICON",'CG. MPA'!F128="MACIZO"),'RMCV.PA'!W128,IF(AND('CG. MPA'!D128="CONFINADO",'CG. MPA'!E128="LIGERO",'CG. MPA'!F128="MACIZO"),'RMCV.PA'!W128,IF(AND('CG. MPA'!D128="NO CONFINADO",'CG. MPA'!E128="TABIQUE",'CG. MPA'!F128="MACIZO"),X128,IF(AND('CG. MPA'!D128="NO CONFINADO",'CG. MPA'!E128="TABICON",'CG. MPA'!F128="MACIZO"),X128,IF(AND('CG. MPA'!D128="NO CONFINADO",'CG. MPA'!E128="LIGERO",'CG. MPA'!F128="MACIZO"),X128,IF('CG. MPA'!E128="ADOBE",'RMCV.PA'!Y128,Z128))))))))</f>
        <v>0</v>
      </c>
      <c r="P128" s="685" t="str">
        <f>IF(N128&gt;O128,"NO PASA","PASA")</f>
        <v>PASA</v>
      </c>
      <c r="Q128" s="88">
        <f>IF(D128*E128*(F128*M128+'CASTILLOS-PA'!W128*FY)&gt;1.25*D128*E128*F128*M128,1.25*D128*E128*F128*M128,D128*E128*(F128*M128+'CASTILLOS-PA'!W128*FY))</f>
        <v>0</v>
      </c>
      <c r="R128" s="88">
        <f>D128*E128*(F128*M128+'CASTILLOS-PA'!G128*FY*2)</f>
        <v>8588.16</v>
      </c>
      <c r="S128" s="88">
        <f t="shared" si="19"/>
        <v>0</v>
      </c>
      <c r="T128" s="88">
        <f t="shared" si="20"/>
        <v>0</v>
      </c>
      <c r="U128" s="536">
        <f>D128*(0.7*$G$24*(B128*C128)+2000*'MUR.CONC-PA'!K128)</f>
        <v>0</v>
      </c>
      <c r="V128" s="544">
        <f>IF(AND('CG. MPA'!E128="TABIQUE",'CG. MPA'!F128="HUECO"),Q128,0)</f>
        <v>0</v>
      </c>
      <c r="W128" s="544">
        <f>IF(AND('CG. MPA'!D128="CONFINADO",'CG. MPA'!E128="TABIQUE",'CG. MPA'!F128="MACIZO"),'RMCV.PA'!R128,IF(AND('CG. MPA'!D128="CONFINADO",'CG. MPA'!E128="TABICON",'CG. MPA'!F128="MACIZO"),'RMCV.PA'!R128,IF(AND('CG. MPA'!D128="CONFINADO",'CG. MPA'!E128="LIGERO",'CG. MPA'!F128="MACIZO"),'RMCV.PA'!R128,0)))</f>
        <v>0</v>
      </c>
      <c r="X128" s="544">
        <f>IF(AND('CG. MPA'!D128="NO CONFINADO",'CG. MPA'!E128="TABIQUE",'CG. MPA'!F128="MACIZO"),S128,IF(AND('CG. MPA'!D128="NO CONFINADO",'CG. MPA'!E128="TABICON",'CG. MPA'!F128="MACIZO"),S128,IF(AND('CG. MPA'!D128="NO CONFINADO",'CG. MPA'!E128="LIGERO",'CG. MPA'!F128="MACIZO"),S128,0)))</f>
        <v>0</v>
      </c>
      <c r="Y128" s="544">
        <f>IF('CG. MPA'!E128="ADOBE",'RMCV.PA'!T128,0)</f>
        <v>0</v>
      </c>
      <c r="Z128" s="544">
        <f>IF('CG. MPA'!E128="CONCRETO",'RMCV.PA'!U128,0)</f>
        <v>0</v>
      </c>
      <c r="AA128" s="93">
        <f t="shared" si="23"/>
        <v>0</v>
      </c>
      <c r="AB128" s="428">
        <v>0.8</v>
      </c>
      <c r="AC128" s="4" t="e">
        <f>(1-2*AA128/C128)*(1-(AB128*'CG. MPA'!C128*10/(30*C128))^2)</f>
        <v>#DIV/0!</v>
      </c>
      <c r="AD128" s="350" t="e">
        <f>(1-(2*AA128/C128))*(1-(AB128*'CG. MPA'!C128*10/(30*C128))^2)*(1-('CG. MPA'!C128*10/B128))+('CG. MPA'!C128*10/B128)</f>
        <v>#DIV/0!</v>
      </c>
      <c r="AE128" s="429" t="e">
        <f t="shared" si="24"/>
        <v>#DIV/0!</v>
      </c>
    </row>
    <row r="129" spans="1:31" ht="15.75" thickBot="1">
      <c r="A129" s="686">
        <f>'CG. MPA'!A129</f>
        <v>50</v>
      </c>
      <c r="B129" s="976">
        <f>'CG. MPA'!B129*100</f>
        <v>0</v>
      </c>
      <c r="C129" s="68">
        <f>'ELEM. MECA.'!S256</f>
        <v>0</v>
      </c>
      <c r="D129" s="878">
        <f>IF(AND('CG. MPA'!D129="CONFINADO",'CG. MPA'!E129="CONCRETO"),0.8,IF('CG. MPA'!D129="NO CONFINADO",0.3,0.6))</f>
        <v>0.6</v>
      </c>
      <c r="E129" s="663">
        <v>0.6</v>
      </c>
      <c r="F129" s="878">
        <f>IF('CG. MPA'!E129="CONCRETO",G129,'RMCV.PA'!H129+'RMCV.PA'!I129+'RMCV.PA'!J129+K129+L129)</f>
        <v>0</v>
      </c>
      <c r="G129" s="885">
        <f>IF('CG. MPA'!E129="CONCRETO",0.6*$G$24,0)</f>
        <v>0</v>
      </c>
      <c r="H129" s="878">
        <f>IF(AND('CG. MPA'!E129="TABIQUE",'CG. MPA'!F129="MACIZO"),15,0)</f>
        <v>0</v>
      </c>
      <c r="I129" s="878">
        <f>IF(AND('CG. MPA'!E129="TABIQUE",'CG. MPA'!F129="HUECO"),IF(E77="III",30,40),0)</f>
        <v>0</v>
      </c>
      <c r="J129" s="886">
        <f>IF('CG. MPA'!E129="TABICON",IF(E82="I",20,15),0)</f>
        <v>0</v>
      </c>
      <c r="K129" s="886">
        <f>IF('CG. MPA'!E129="ADOBE",10,0)</f>
        <v>0</v>
      </c>
      <c r="L129" s="886">
        <f>IF('CG. MPA'!E129="LIGERO",10,0)</f>
        <v>0</v>
      </c>
      <c r="M129" s="687">
        <f t="shared" ref="M129" si="31">B129*C129</f>
        <v>0</v>
      </c>
      <c r="N129" s="918">
        <f>ABS('ELEM. MECA.'!M256)</f>
        <v>0</v>
      </c>
      <c r="O129" s="922">
        <f>IF(AND('CG. MPA'!E129="TABIQUE",'CG. MPA'!F129="HUECO"),V129,IF(AND('CG. MPA'!D129="CONFINADO",'CG. MPA'!E129="TABIQUE",'CG. MPA'!F129="MACIZO"),'RMCV.PA'!W129,IF(AND('CG. MPA'!D129="CONFINADO",'CG. MPA'!E129="TABICON",'CG. MPA'!F129="MACIZO"),'RMCV.PA'!W129,IF(AND('CG. MPA'!D129="CONFINADO",'CG. MPA'!E129="LIGERO",'CG. MPA'!F129="MACIZO"),'RMCV.PA'!W129,IF(AND('CG. MPA'!D129="NO CONFINADO",'CG. MPA'!E129="TABIQUE",'CG. MPA'!F129="MACIZO"),X129,IF(AND('CG. MPA'!D129="NO CONFINADO",'CG. MPA'!E129="TABICON",'CG. MPA'!F129="MACIZO"),X129,IF(AND('CG. MPA'!D129="NO CONFINADO",'CG. MPA'!E129="LIGERO",'CG. MPA'!F129="MACIZO"),X129,IF('CG. MPA'!E129="ADOBE",'RMCV.PA'!Y129,Z129))))))))</f>
        <v>0</v>
      </c>
      <c r="P129" s="875" t="str">
        <f t="shared" ref="P129" si="32">IF(N129&gt;O129,"NO PASA","PASA")</f>
        <v>PASA</v>
      </c>
      <c r="Q129" s="88">
        <f>IF(D129*E129*(F129*M129+'CASTILLOS-PA'!W129*FY)&gt;1.25*D129*E129*F129*M129,1.25*D129*E129*F129*M129,D129*E129*(F129*M129+'CASTILLOS-PA'!W129*FY))</f>
        <v>0</v>
      </c>
      <c r="R129" s="88">
        <f>D129*E129*(F129*M129+'CASTILLOS-PA'!G129*FY*2)</f>
        <v>8588.16</v>
      </c>
      <c r="S129" s="88">
        <f t="shared" si="19"/>
        <v>0</v>
      </c>
      <c r="T129" s="88">
        <f t="shared" si="20"/>
        <v>0</v>
      </c>
      <c r="U129" s="536">
        <f>D129*(0.7*$G$24*(B129*C129)+2000*'MUR.CONC-PA'!K129)</f>
        <v>0</v>
      </c>
      <c r="V129" s="544">
        <f>IF(AND('CG. MPA'!E129="TABIQUE",'CG. MPA'!F129="HUECO"),Q129,0)</f>
        <v>0</v>
      </c>
      <c r="W129" s="544">
        <f>IF(AND('CG. MPA'!D129="CONFINADO",'CG. MPA'!E129="TABIQUE",'CG. MPA'!F129="MACIZO"),'RMCV.PA'!R129,IF(AND('CG. MPA'!D129="CONFINADO",'CG. MPA'!E129="TABICON",'CG. MPA'!F129="MACIZO"),'RMCV.PA'!R129,IF(AND('CG. MPA'!D129="CONFINADO",'CG. MPA'!E129="LIGERO",'CG. MPA'!F129="MACIZO"),'RMCV.PA'!R129,0)))</f>
        <v>0</v>
      </c>
      <c r="X129" s="544">
        <f>IF(AND('CG. MPA'!D129="NO CONFINADO",'CG. MPA'!E129="TABIQUE",'CG. MPA'!F129="MACIZO"),S129,IF(AND('CG. MPA'!D129="NO CONFINADO",'CG. MPA'!E129="TABICON",'CG. MPA'!F129="MACIZO"),S129,IF(AND('CG. MPA'!D129="NO CONFINADO",'CG. MPA'!E129="LIGERO",'CG. MPA'!F129="MACIZO"),S129,0)))</f>
        <v>0</v>
      </c>
      <c r="Y129" s="544">
        <f>IF('CG. MPA'!E129="ADOBE",'RMCV.PA'!T129,0)</f>
        <v>0</v>
      </c>
      <c r="Z129" s="544">
        <f>IF('CG. MPA'!E129="CONCRETO",'RMCV.PA'!U129,0)</f>
        <v>0</v>
      </c>
      <c r="AA129" s="93">
        <f t="shared" si="23"/>
        <v>0</v>
      </c>
      <c r="AB129" s="428">
        <v>0.8</v>
      </c>
      <c r="AC129" s="4" t="e">
        <f>(1-2*AA129/C129)*(1-(AB129*'CG. MPA'!C129*10/(30*C129))^2)</f>
        <v>#DIV/0!</v>
      </c>
      <c r="AD129" s="350" t="e">
        <f>(1-(2*AA129/C129))*(1-(AB129*'CG. MPA'!C129*10/(30*C129))^2)*(1-('CG. MPA'!C129*10/B129))+('CG. MPA'!C129*10/B129)</f>
        <v>#DIV/0!</v>
      </c>
      <c r="AE129" s="429" t="e">
        <f t="shared" si="24"/>
        <v>#DIV/0!</v>
      </c>
    </row>
  </sheetData>
  <mergeCells count="1">
    <mergeCell ref="N20:O20"/>
  </mergeCells>
  <phoneticPr fontId="0" type="noConversion"/>
  <conditionalFormatting sqref="P1:P1048576">
    <cfRule type="containsText" dxfId="21" priority="1" operator="containsText" text="NO PASA">
      <formula>NOT(ISERROR(SEARCH("NO PASA",P1)))</formula>
    </cfRule>
    <cfRule type="containsText" dxfId="20" priority="2" operator="containsText" text="PASA">
      <formula>NOT(ISERROR(SEARCH("PASA",P1)))</formula>
    </cfRule>
  </conditionalFormatting>
  <pageMargins left="0.59055118110236227" right="0.39370078740157483" top="0.39370078740157483" bottom="0.39370078740157483" header="0" footer="0"/>
  <pageSetup scale="55" orientation="portrait" horizontalDpi="300" verticalDpi="300" r:id="rId1"/>
  <headerFooter alignWithMargins="0">
    <oddFooter>&amp;L&amp;"Arial,Normal"TEL (FAX) 01 951 51 4 28 30&amp;C_________________________________________________________________________________________________________________________________________________________________
.&amp;R&amp;"Arial,Normal"CED. PROF. 1718634</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905C1-D889-40DF-9C90-6BC7D4835C82}">
  <sheetPr codeName="Hoja3">
    <tabColor rgb="FFC00000"/>
  </sheetPr>
  <dimension ref="A1:AY129"/>
  <sheetViews>
    <sheetView showGridLines="0" zoomScale="115" zoomScaleNormal="115" workbookViewId="0">
      <selection activeCell="A13" sqref="A13:AC81"/>
    </sheetView>
  </sheetViews>
  <sheetFormatPr baseColWidth="10" defaultColWidth="11" defaultRowHeight="15"/>
  <cols>
    <col min="1" max="1" width="7.125" style="4" customWidth="1"/>
    <col min="2" max="2" width="9.5" style="4" customWidth="1"/>
    <col min="3" max="3" width="8.375" style="4" customWidth="1"/>
    <col min="4" max="4" width="5.875" style="4" customWidth="1"/>
    <col min="5" max="5" width="12.875" style="4" customWidth="1"/>
    <col min="6" max="6" width="9.125" style="4" hidden="1" customWidth="1"/>
    <col min="7" max="8" width="7.75" style="4" hidden="1" customWidth="1"/>
    <col min="9" max="9" width="9.125" style="4" hidden="1" customWidth="1"/>
    <col min="10" max="10" width="7.75" style="4" hidden="1" customWidth="1"/>
    <col min="11" max="11" width="7.375" style="4" hidden="1" customWidth="1"/>
    <col min="12" max="12" width="11.875" style="909" bestFit="1" customWidth="1"/>
    <col min="13" max="13" width="12.375" style="909" bestFit="1" customWidth="1"/>
    <col min="14" max="14" width="12.125" style="4" customWidth="1"/>
    <col min="15" max="15" width="14.5" style="4" customWidth="1"/>
    <col min="16" max="16" width="8.25" style="4" hidden="1" customWidth="1"/>
    <col min="17" max="27" width="11" style="4" hidden="1" customWidth="1"/>
    <col min="28" max="28" width="12.375" style="909" bestFit="1" customWidth="1"/>
    <col min="29" max="29" width="11.5" style="4" bestFit="1" customWidth="1"/>
    <col min="30" max="39" width="11" style="4" hidden="1" customWidth="1"/>
    <col min="40" max="40" width="11" style="4"/>
    <col min="41" max="41" width="13.875" style="4" bestFit="1" customWidth="1"/>
    <col min="42" max="43" width="11" style="4"/>
    <col min="44" max="44" width="11.125" style="4" bestFit="1" customWidth="1"/>
    <col min="45" max="16384" width="11" style="4"/>
  </cols>
  <sheetData>
    <row r="1" spans="1:51" customFormat="1" ht="12.75">
      <c r="A1" s="518"/>
      <c r="L1" s="907"/>
      <c r="M1" s="907"/>
      <c r="AB1" s="907"/>
    </row>
    <row r="2" spans="1:51" customFormat="1" ht="12.75">
      <c r="A2" s="518"/>
      <c r="L2" s="907"/>
      <c r="M2" s="907"/>
      <c r="AB2" s="907"/>
    </row>
    <row r="3" spans="1:51" customFormat="1" ht="12.75">
      <c r="A3" s="518"/>
      <c r="L3" s="907"/>
      <c r="M3" s="907"/>
      <c r="AB3" s="907"/>
    </row>
    <row r="4" spans="1:51" customFormat="1" ht="12.75">
      <c r="A4" s="518"/>
      <c r="L4" s="907"/>
      <c r="M4" s="907"/>
      <c r="AB4" s="907"/>
    </row>
    <row r="5" spans="1:51" customFormat="1" ht="12.75">
      <c r="A5" s="518"/>
      <c r="L5" s="907"/>
      <c r="M5" s="907"/>
      <c r="AB5" s="907"/>
    </row>
    <row r="6" spans="1:51" customFormat="1" ht="12.75">
      <c r="A6" s="518"/>
      <c r="L6" s="907"/>
      <c r="M6" s="907"/>
      <c r="AB6" s="907"/>
    </row>
    <row r="7" spans="1:51">
      <c r="A7" s="4" t="str">
        <f>'CG. MPB'!A7</f>
        <v>PROPIETARIO   : ING. ROLANDO ORTIZ RAMOS</v>
      </c>
    </row>
    <row r="8" spans="1:51">
      <c r="A8" s="4" t="str">
        <f>'CG. MPB'!A8</f>
        <v xml:space="preserve">OBRA                   : </v>
      </c>
    </row>
    <row r="9" spans="1:51">
      <c r="A9" s="4" t="str">
        <f>'CG. MPB'!A9</f>
        <v>LOCALIZACION : 1ª PRIVADA 13 DE SEPTIEMBRE, COL. VICENTE SUAREZ</v>
      </c>
    </row>
    <row r="10" spans="1:51" hidden="1">
      <c r="A10" s="4">
        <f>'CG. MPB'!A10</f>
        <v>0</v>
      </c>
    </row>
    <row r="11" spans="1:51" hidden="1">
      <c r="A11" s="4" t="str">
        <f>'CG. MPB'!A11</f>
        <v>TABLA No. 1</v>
      </c>
    </row>
    <row r="12" spans="1:51" ht="15.75" thickBot="1">
      <c r="AN12" s="949"/>
      <c r="AO12" s="949"/>
      <c r="AP12" s="949"/>
      <c r="AQ12" s="949"/>
      <c r="AR12" s="949"/>
      <c r="AS12" s="949"/>
      <c r="AT12" s="949"/>
      <c r="AU12" s="949"/>
      <c r="AV12" s="949"/>
      <c r="AW12" s="949"/>
      <c r="AX12" s="949"/>
      <c r="AY12" s="949"/>
    </row>
    <row r="13" spans="1:51" ht="15.75">
      <c r="A13" s="670" t="s">
        <v>51</v>
      </c>
      <c r="B13" s="671"/>
      <c r="C13" s="671"/>
      <c r="D13" s="671"/>
      <c r="E13" s="671"/>
      <c r="F13" s="671"/>
      <c r="G13" s="752"/>
      <c r="H13" s="752"/>
      <c r="I13" s="671"/>
      <c r="J13" s="671"/>
      <c r="K13" s="671"/>
      <c r="L13" s="910"/>
      <c r="M13" s="910"/>
      <c r="N13" s="672"/>
      <c r="O13" s="671"/>
      <c r="P13" s="14"/>
      <c r="Q13" s="14"/>
      <c r="R13" s="14"/>
      <c r="S13" s="14"/>
      <c r="T13" s="14"/>
      <c r="U13" s="14"/>
      <c r="V13" s="14"/>
      <c r="W13" s="14"/>
      <c r="X13" s="14"/>
      <c r="Y13" s="14"/>
      <c r="Z13" s="14"/>
      <c r="AA13" s="14"/>
      <c r="AB13" s="939"/>
      <c r="AC13" s="65"/>
      <c r="AN13" s="949"/>
      <c r="AO13" s="949"/>
      <c r="AP13" s="949"/>
      <c r="AQ13" s="949"/>
      <c r="AR13" s="949"/>
      <c r="AS13" s="949"/>
      <c r="AT13" s="949"/>
      <c r="AU13" s="949"/>
      <c r="AV13" s="949"/>
      <c r="AW13" s="949"/>
      <c r="AX13" s="949"/>
      <c r="AY13" s="949"/>
    </row>
    <row r="14" spans="1:51" ht="20.25">
      <c r="A14" s="1131" t="s">
        <v>132</v>
      </c>
      <c r="B14" s="1132"/>
      <c r="C14" s="1132"/>
      <c r="D14" s="1132"/>
      <c r="E14" s="1132"/>
      <c r="F14" s="1132"/>
      <c r="G14" s="1132"/>
      <c r="H14" s="1132"/>
      <c r="I14" s="1132"/>
      <c r="J14" s="1132"/>
      <c r="K14" s="1132"/>
      <c r="L14" s="1132"/>
      <c r="M14" s="1132"/>
      <c r="N14" s="1133"/>
      <c r="O14" s="9"/>
      <c r="AC14" s="210"/>
      <c r="AN14" s="949"/>
      <c r="AO14" s="949"/>
      <c r="AP14" s="949"/>
      <c r="AQ14" s="949"/>
      <c r="AR14" s="949"/>
      <c r="AS14" s="949"/>
      <c r="AT14" s="949"/>
      <c r="AU14" s="949"/>
      <c r="AV14" s="949"/>
      <c r="AW14" s="949"/>
      <c r="AX14" s="949"/>
      <c r="AY14" s="949"/>
    </row>
    <row r="15" spans="1:51" ht="15.75">
      <c r="A15" s="646"/>
      <c r="B15" s="9"/>
      <c r="C15" s="9"/>
      <c r="D15" s="9"/>
      <c r="E15" s="9"/>
      <c r="F15" s="9"/>
      <c r="G15" s="9"/>
      <c r="H15" s="9"/>
      <c r="I15" s="9"/>
      <c r="J15" s="9"/>
      <c r="K15" s="9"/>
      <c r="L15" s="911"/>
      <c r="M15" s="911"/>
      <c r="N15" s="674"/>
      <c r="O15" s="9"/>
      <c r="AC15" s="210"/>
      <c r="AN15" s="949"/>
      <c r="AO15" s="949"/>
      <c r="AP15" s="904"/>
      <c r="AQ15" s="904"/>
      <c r="AR15" s="904"/>
      <c r="AS15" s="904"/>
      <c r="AT15" s="904"/>
      <c r="AU15" s="949"/>
      <c r="AV15" s="949"/>
      <c r="AW15" s="949"/>
      <c r="AX15" s="949"/>
      <c r="AY15" s="949"/>
    </row>
    <row r="16" spans="1:51" ht="15.75">
      <c r="A16" s="1118" t="str">
        <f>'CG. MPB'!A15:F15</f>
        <v xml:space="preserve"> PLANTA BAJA</v>
      </c>
      <c r="B16" s="1119"/>
      <c r="C16" s="1119"/>
      <c r="D16" s="1119"/>
      <c r="E16" s="1119"/>
      <c r="F16" s="1119"/>
      <c r="G16" s="1119"/>
      <c r="H16" s="1119"/>
      <c r="I16" s="1119"/>
      <c r="J16" s="1119"/>
      <c r="K16" s="1119"/>
      <c r="L16" s="1119"/>
      <c r="M16" s="1119"/>
      <c r="N16" s="1120"/>
      <c r="O16" s="9"/>
      <c r="AC16" s="210"/>
      <c r="AN16" s="949"/>
      <c r="AO16" s="949"/>
      <c r="AP16" s="904"/>
      <c r="AQ16" s="904"/>
      <c r="AR16" s="904"/>
      <c r="AS16" s="904"/>
      <c r="AT16" s="904"/>
      <c r="AU16" s="949"/>
      <c r="AV16" s="949"/>
      <c r="AW16" s="949"/>
      <c r="AX16" s="949"/>
      <c r="AY16" s="949"/>
    </row>
    <row r="17" spans="1:51" ht="16.5" thickBot="1">
      <c r="A17" s="675"/>
      <c r="B17" s="12"/>
      <c r="C17" s="12"/>
      <c r="D17" s="12"/>
      <c r="E17" s="12"/>
      <c r="F17" s="12"/>
      <c r="G17" s="12"/>
      <c r="H17" s="12"/>
      <c r="I17" s="12"/>
      <c r="J17" s="12"/>
      <c r="K17" s="12"/>
      <c r="L17" s="912"/>
      <c r="M17" s="912"/>
      <c r="N17" s="676"/>
      <c r="O17" s="9"/>
      <c r="AC17" s="210"/>
      <c r="AN17" s="949"/>
      <c r="AO17" s="949"/>
      <c r="AP17" s="904"/>
      <c r="AQ17" s="904"/>
      <c r="AR17" s="904"/>
      <c r="AS17" s="904"/>
      <c r="AT17" s="904"/>
      <c r="AU17" s="949"/>
      <c r="AV17" s="949"/>
      <c r="AW17" s="949"/>
      <c r="AX17" s="949"/>
      <c r="AY17" s="949"/>
    </row>
    <row r="18" spans="1:51" ht="16.5" hidden="1" thickTop="1">
      <c r="A18" s="646"/>
      <c r="B18" s="9"/>
      <c r="C18" s="9"/>
      <c r="D18" s="9"/>
      <c r="E18" s="9"/>
      <c r="F18" s="9"/>
      <c r="G18" s="9"/>
      <c r="H18" s="9"/>
      <c r="I18" s="9"/>
      <c r="J18" s="9"/>
      <c r="K18" s="9"/>
      <c r="L18" s="911"/>
      <c r="M18" s="911"/>
      <c r="N18" s="674"/>
      <c r="O18" s="9"/>
      <c r="AC18" s="210"/>
      <c r="AN18" s="949"/>
      <c r="AO18" s="949"/>
      <c r="AP18" s="904"/>
      <c r="AQ18" s="904"/>
      <c r="AR18" s="904"/>
      <c r="AS18" s="904"/>
      <c r="AT18" s="904"/>
      <c r="AU18" s="949"/>
      <c r="AV18" s="949"/>
      <c r="AW18" s="949"/>
      <c r="AX18" s="949"/>
      <c r="AY18" s="949"/>
    </row>
    <row r="19" spans="1:51" ht="16.5" hidden="1" thickTop="1">
      <c r="A19" s="588" t="s">
        <v>91</v>
      </c>
      <c r="B19" s="26" t="s">
        <v>99</v>
      </c>
      <c r="C19" s="26" t="s">
        <v>100</v>
      </c>
      <c r="D19" s="26" t="s">
        <v>101</v>
      </c>
      <c r="E19" s="26" t="s">
        <v>102</v>
      </c>
      <c r="F19" s="26"/>
      <c r="G19" s="26"/>
      <c r="H19" s="26"/>
      <c r="I19" s="26"/>
      <c r="J19" s="26"/>
      <c r="K19" s="26" t="s">
        <v>103</v>
      </c>
      <c r="L19" s="913" t="s">
        <v>105</v>
      </c>
      <c r="M19" s="913" t="s">
        <v>106</v>
      </c>
      <c r="N19" s="589" t="s">
        <v>107</v>
      </c>
      <c r="O19" s="9"/>
      <c r="AC19" s="210"/>
      <c r="AN19" s="949"/>
      <c r="AO19" s="949"/>
      <c r="AP19" s="904"/>
      <c r="AQ19" s="904"/>
      <c r="AR19" s="904"/>
      <c r="AS19" s="904"/>
      <c r="AT19" s="904"/>
      <c r="AU19" s="949"/>
      <c r="AV19" s="949"/>
      <c r="AW19" s="949"/>
      <c r="AX19" s="949"/>
      <c r="AY19" s="949"/>
    </row>
    <row r="20" spans="1:51" ht="15.75" hidden="1" thickTop="1">
      <c r="A20" s="677"/>
      <c r="N20" s="210"/>
      <c r="AC20" s="210"/>
      <c r="AN20" s="949"/>
      <c r="AO20" s="949"/>
      <c r="AP20" s="904"/>
      <c r="AQ20" s="904"/>
      <c r="AR20" s="904"/>
      <c r="AS20" s="904"/>
      <c r="AT20" s="904"/>
      <c r="AU20" s="949"/>
      <c r="AV20" s="949"/>
      <c r="AW20" s="949"/>
      <c r="AX20" s="949"/>
      <c r="AY20" s="949"/>
    </row>
    <row r="21" spans="1:51" ht="16.5" thickTop="1">
      <c r="A21" s="678"/>
      <c r="B21" s="23"/>
      <c r="C21" s="64"/>
      <c r="D21" s="23"/>
      <c r="E21" s="64"/>
      <c r="F21" s="22"/>
      <c r="G21" s="46"/>
      <c r="H21" s="23"/>
      <c r="I21" s="22"/>
      <c r="J21" s="46"/>
      <c r="K21" s="64"/>
      <c r="L21" s="927"/>
      <c r="M21" s="927"/>
      <c r="N21" s="679"/>
      <c r="O21" s="1126" t="s">
        <v>384</v>
      </c>
      <c r="P21" s="1126"/>
      <c r="Q21" s="1126"/>
      <c r="R21" s="1126"/>
      <c r="S21" s="1126"/>
      <c r="T21" s="1126"/>
      <c r="U21" s="1126"/>
      <c r="V21" s="1126"/>
      <c r="W21" s="1126"/>
      <c r="X21" s="1126"/>
      <c r="Y21" s="1126"/>
      <c r="Z21" s="1126"/>
      <c r="AA21" s="1126"/>
      <c r="AB21" s="1126"/>
      <c r="AC21" s="1127"/>
      <c r="AD21" s="480" t="s">
        <v>305</v>
      </c>
      <c r="AE21" s="1128" t="s">
        <v>385</v>
      </c>
      <c r="AF21" s="1129"/>
      <c r="AG21" s="1129"/>
      <c r="AH21" s="1129"/>
      <c r="AI21" s="1129"/>
      <c r="AJ21" s="1129"/>
      <c r="AK21" s="1129"/>
      <c r="AL21" s="1129"/>
      <c r="AM21" s="1130"/>
      <c r="AN21" s="949"/>
      <c r="AO21" s="949"/>
      <c r="AP21" s="904"/>
      <c r="AQ21" s="904" t="s">
        <v>466</v>
      </c>
      <c r="AR21" s="904" t="s">
        <v>336</v>
      </c>
      <c r="AS21" s="904"/>
      <c r="AT21" s="904"/>
      <c r="AU21" s="949"/>
      <c r="AV21" s="949"/>
      <c r="AW21" s="949"/>
      <c r="AX21" s="949"/>
      <c r="AY21" s="949"/>
    </row>
    <row r="22" spans="1:51" ht="15.75">
      <c r="A22" s="588"/>
      <c r="B22" s="26" t="s">
        <v>111</v>
      </c>
      <c r="C22" s="52"/>
      <c r="D22" s="26"/>
      <c r="E22" s="52" t="s">
        <v>120</v>
      </c>
      <c r="F22" s="1134" t="s">
        <v>184</v>
      </c>
      <c r="G22" s="1135"/>
      <c r="H22" s="29" t="s">
        <v>405</v>
      </c>
      <c r="I22" s="1134" t="s">
        <v>186</v>
      </c>
      <c r="J22" s="1135"/>
      <c r="K22" s="52"/>
      <c r="L22" s="932" t="s">
        <v>7</v>
      </c>
      <c r="M22" s="932" t="s">
        <v>123</v>
      </c>
      <c r="N22" s="589"/>
      <c r="O22" s="466" t="s">
        <v>336</v>
      </c>
      <c r="P22" s="462"/>
      <c r="Q22" s="463"/>
      <c r="R22" s="463"/>
      <c r="S22" s="463"/>
      <c r="T22" s="463"/>
      <c r="U22" s="463"/>
      <c r="V22" s="463"/>
      <c r="W22" s="463"/>
      <c r="X22" s="463"/>
      <c r="Y22" s="463"/>
      <c r="Z22" s="463"/>
      <c r="AA22" s="463"/>
      <c r="AB22" s="940" t="s">
        <v>341</v>
      </c>
      <c r="AC22" s="761"/>
      <c r="AD22" s="477">
        <v>7</v>
      </c>
      <c r="AE22" s="474"/>
      <c r="AF22" s="474" t="s">
        <v>379</v>
      </c>
      <c r="AG22" s="474"/>
      <c r="AH22" s="474" t="s">
        <v>380</v>
      </c>
      <c r="AI22" s="474"/>
      <c r="AJ22" s="474"/>
      <c r="AK22" s="474"/>
      <c r="AL22" s="474"/>
      <c r="AM22" s="475"/>
      <c r="AN22" s="949"/>
      <c r="AO22" s="949"/>
      <c r="AP22" s="904"/>
      <c r="AQ22" s="904">
        <v>2.29</v>
      </c>
      <c r="AR22" s="904" t="s">
        <v>460</v>
      </c>
      <c r="AS22" s="904"/>
      <c r="AT22" s="904"/>
      <c r="AU22" s="949"/>
      <c r="AV22" s="949"/>
      <c r="AW22" s="949"/>
      <c r="AX22" s="949"/>
      <c r="AY22" s="949"/>
    </row>
    <row r="23" spans="1:51" ht="18.75">
      <c r="A23" s="588" t="s">
        <v>79</v>
      </c>
      <c r="B23" s="26" t="s">
        <v>112</v>
      </c>
      <c r="C23" s="52" t="s">
        <v>118</v>
      </c>
      <c r="D23" s="26" t="s">
        <v>119</v>
      </c>
      <c r="E23" s="25" t="s">
        <v>194</v>
      </c>
      <c r="F23" s="64"/>
      <c r="G23" s="64"/>
      <c r="H23" s="26"/>
      <c r="I23" s="64"/>
      <c r="J23" s="92"/>
      <c r="K23" s="52" t="s">
        <v>114</v>
      </c>
      <c r="L23" s="932" t="s">
        <v>115</v>
      </c>
      <c r="M23" s="932" t="s">
        <v>116</v>
      </c>
      <c r="N23" s="589" t="s">
        <v>121</v>
      </c>
      <c r="O23" s="466" t="str">
        <f>VLOOKUP(O24,AQ21:AR28,2,FALSE)</f>
        <v>6X6 - 8/8</v>
      </c>
      <c r="P23" s="462"/>
      <c r="Q23" s="463"/>
      <c r="R23" s="463"/>
      <c r="S23" s="463"/>
      <c r="T23" s="463"/>
      <c r="U23" s="463"/>
      <c r="V23" s="463"/>
      <c r="W23" s="463"/>
      <c r="X23" s="463"/>
      <c r="Y23" s="463"/>
      <c r="Z23" s="463"/>
      <c r="AA23" s="463"/>
      <c r="AB23" s="940" t="s">
        <v>112</v>
      </c>
      <c r="AC23" s="761"/>
      <c r="AD23" s="477">
        <v>0.32</v>
      </c>
      <c r="AE23" s="474" t="s">
        <v>377</v>
      </c>
      <c r="AF23" s="474" t="s">
        <v>378</v>
      </c>
      <c r="AG23" s="474"/>
      <c r="AH23" s="474" t="s">
        <v>378</v>
      </c>
      <c r="AI23" s="474"/>
      <c r="AJ23" s="474"/>
      <c r="AK23" s="474" t="s">
        <v>341</v>
      </c>
      <c r="AL23" s="474" t="s">
        <v>341</v>
      </c>
      <c r="AM23" s="475"/>
      <c r="AN23" s="949"/>
      <c r="AO23" s="949"/>
      <c r="AP23" s="904"/>
      <c r="AQ23" s="904">
        <v>1.97</v>
      </c>
      <c r="AR23" s="904" t="s">
        <v>461</v>
      </c>
      <c r="AS23" s="904"/>
      <c r="AT23" s="904"/>
      <c r="AU23" s="949"/>
      <c r="AV23" s="949"/>
      <c r="AW23" s="949"/>
      <c r="AX23" s="949"/>
      <c r="AY23" s="949"/>
    </row>
    <row r="24" spans="1:51" ht="18.75">
      <c r="A24" s="588"/>
      <c r="B24" s="26" t="s">
        <v>85</v>
      </c>
      <c r="C24" s="52" t="s">
        <v>85</v>
      </c>
      <c r="D24" s="26"/>
      <c r="E24" s="1124"/>
      <c r="F24" s="52" t="s">
        <v>191</v>
      </c>
      <c r="G24" s="52" t="s">
        <v>188</v>
      </c>
      <c r="H24" s="26"/>
      <c r="I24" s="52" t="s">
        <v>191</v>
      </c>
      <c r="J24" s="52" t="s">
        <v>188</v>
      </c>
      <c r="K24" s="52" t="s">
        <v>193</v>
      </c>
      <c r="L24" s="932" t="s">
        <v>85</v>
      </c>
      <c r="M24" s="932" t="s">
        <v>85</v>
      </c>
      <c r="N24" s="589"/>
      <c r="O24" s="695">
        <v>0.87</v>
      </c>
      <c r="P24" s="465"/>
      <c r="Q24" s="463" t="s">
        <v>338</v>
      </c>
      <c r="R24" s="463"/>
      <c r="S24" s="463"/>
      <c r="T24" s="463"/>
      <c r="U24" s="463"/>
      <c r="V24" s="463"/>
      <c r="W24" s="466" t="s">
        <v>338</v>
      </c>
      <c r="X24" s="466" t="s">
        <v>337</v>
      </c>
      <c r="Y24" s="467" t="s">
        <v>340</v>
      </c>
      <c r="Z24" s="467" t="s">
        <v>340</v>
      </c>
      <c r="AA24" s="466" t="s">
        <v>339</v>
      </c>
      <c r="AB24" s="940">
        <f>O24*2</f>
        <v>1.74</v>
      </c>
      <c r="AC24" s="761"/>
      <c r="AD24" s="759" t="s">
        <v>381</v>
      </c>
      <c r="AE24" s="474"/>
      <c r="AF24" s="474"/>
      <c r="AG24" s="474"/>
      <c r="AH24" s="474"/>
      <c r="AI24" s="474"/>
      <c r="AJ24" s="476" t="s">
        <v>383</v>
      </c>
      <c r="AK24" s="474" t="s">
        <v>382</v>
      </c>
      <c r="AL24" s="474" t="s">
        <v>112</v>
      </c>
      <c r="AM24" s="475"/>
      <c r="AN24" s="949"/>
      <c r="AO24" s="949"/>
      <c r="AP24" s="904"/>
      <c r="AQ24" s="904">
        <v>1.68</v>
      </c>
      <c r="AR24" s="904" t="s">
        <v>462</v>
      </c>
      <c r="AS24" s="904"/>
      <c r="AT24" s="904"/>
      <c r="AU24" s="949"/>
      <c r="AV24" s="949"/>
      <c r="AW24" s="949"/>
      <c r="AX24" s="949"/>
      <c r="AY24" s="949"/>
    </row>
    <row r="25" spans="1:51" ht="15.75">
      <c r="A25" s="680"/>
      <c r="B25" s="29"/>
      <c r="C25" s="56"/>
      <c r="D25" s="29"/>
      <c r="E25" s="1125"/>
      <c r="F25" s="56"/>
      <c r="G25" s="56"/>
      <c r="H25" s="29"/>
      <c r="I25" s="56"/>
      <c r="J25" s="56"/>
      <c r="K25" s="56"/>
      <c r="L25" s="915"/>
      <c r="M25" s="915"/>
      <c r="N25" s="681"/>
      <c r="O25" s="696">
        <v>5000</v>
      </c>
      <c r="P25" s="468"/>
      <c r="Q25" s="469"/>
      <c r="R25" s="469"/>
      <c r="S25" s="469"/>
      <c r="T25" s="469"/>
      <c r="U25" s="469"/>
      <c r="V25" s="469"/>
      <c r="W25" s="469"/>
      <c r="X25" s="469"/>
      <c r="Y25" s="469"/>
      <c r="Z25" s="469"/>
      <c r="AA25" s="469"/>
      <c r="AB25" s="941"/>
      <c r="AC25" s="762"/>
      <c r="AD25" s="476">
        <f>IF(AD22*6&gt;60,60,6*AD22)</f>
        <v>42</v>
      </c>
      <c r="AE25" s="477">
        <v>6000</v>
      </c>
      <c r="AF25" s="474"/>
      <c r="AG25" s="474"/>
      <c r="AH25" s="474"/>
      <c r="AI25" s="474"/>
      <c r="AJ25" s="474"/>
      <c r="AK25" s="474"/>
      <c r="AL25" s="474"/>
      <c r="AM25" s="475"/>
      <c r="AN25" s="949"/>
      <c r="AO25" s="949"/>
      <c r="AP25" s="904"/>
      <c r="AQ25" s="904">
        <v>1.22</v>
      </c>
      <c r="AR25" s="904" t="s">
        <v>463</v>
      </c>
      <c r="AS25" s="904"/>
      <c r="AT25" s="904"/>
      <c r="AU25" s="949"/>
      <c r="AV25" s="949"/>
      <c r="AW25" s="949"/>
      <c r="AX25" s="949"/>
      <c r="AY25" s="949"/>
    </row>
    <row r="26" spans="1:51" ht="15.75" hidden="1">
      <c r="A26" s="588"/>
      <c r="B26" s="26"/>
      <c r="C26" s="39"/>
      <c r="D26" s="26"/>
      <c r="E26" s="39"/>
      <c r="F26" s="26"/>
      <c r="G26" s="39"/>
      <c r="H26" s="26"/>
      <c r="I26" s="26"/>
      <c r="J26" s="39"/>
      <c r="K26" s="26"/>
      <c r="L26" s="913"/>
      <c r="M26" s="934"/>
      <c r="N26" s="589"/>
      <c r="O26" s="695"/>
      <c r="P26" s="577"/>
      <c r="Q26" s="463"/>
      <c r="R26" s="463"/>
      <c r="S26" s="463"/>
      <c r="T26" s="463"/>
      <c r="U26" s="463"/>
      <c r="V26" s="463"/>
      <c r="W26" s="463"/>
      <c r="X26" s="463"/>
      <c r="Y26" s="463"/>
      <c r="Z26" s="463"/>
      <c r="AA26" s="463"/>
      <c r="AB26" s="940"/>
      <c r="AC26" s="761"/>
      <c r="AD26" s="476"/>
      <c r="AE26" s="477"/>
      <c r="AF26" s="474"/>
      <c r="AG26" s="474"/>
      <c r="AH26" s="474"/>
      <c r="AI26" s="474"/>
      <c r="AJ26" s="474"/>
      <c r="AK26" s="474"/>
      <c r="AL26" s="474"/>
      <c r="AM26" s="475"/>
      <c r="AN26" s="949"/>
      <c r="AO26" s="949"/>
      <c r="AP26" s="904"/>
      <c r="AQ26" s="904">
        <v>0.87</v>
      </c>
      <c r="AR26" s="904" t="s">
        <v>464</v>
      </c>
      <c r="AS26" s="904"/>
      <c r="AT26" s="904"/>
      <c r="AU26" s="949"/>
      <c r="AV26" s="949"/>
      <c r="AW26" s="949"/>
      <c r="AX26" s="949"/>
      <c r="AY26" s="949"/>
    </row>
    <row r="27" spans="1:51" ht="15.75">
      <c r="A27" s="753"/>
      <c r="B27" s="58"/>
      <c r="C27" s="58"/>
      <c r="D27" s="24"/>
      <c r="E27" s="24"/>
      <c r="F27" s="24"/>
      <c r="G27" s="24"/>
      <c r="H27" s="24"/>
      <c r="I27" s="24"/>
      <c r="J27" s="24"/>
      <c r="K27" s="24"/>
      <c r="L27" s="916"/>
      <c r="M27" s="916"/>
      <c r="N27" s="754"/>
      <c r="O27" s="750"/>
      <c r="P27" s="464"/>
      <c r="Q27" s="463"/>
      <c r="R27" s="463"/>
      <c r="S27" s="463"/>
      <c r="T27" s="463"/>
      <c r="U27" s="463"/>
      <c r="V27" s="463"/>
      <c r="W27" s="463"/>
      <c r="X27" s="463"/>
      <c r="Y27" s="463"/>
      <c r="Z27" s="463"/>
      <c r="AA27" s="463"/>
      <c r="AB27" s="942"/>
      <c r="AC27" s="763"/>
      <c r="AD27" s="760">
        <v>21</v>
      </c>
      <c r="AE27" s="478"/>
      <c r="AF27" s="478"/>
      <c r="AG27" s="478"/>
      <c r="AH27" s="478"/>
      <c r="AI27" s="478"/>
      <c r="AJ27" s="478"/>
      <c r="AK27" s="478"/>
      <c r="AL27" s="478"/>
      <c r="AM27" s="479"/>
      <c r="AN27" s="949"/>
      <c r="AO27" s="949"/>
      <c r="AP27" s="904"/>
      <c r="AQ27" s="904">
        <v>0.87</v>
      </c>
      <c r="AR27" s="904" t="s">
        <v>464</v>
      </c>
      <c r="AS27" s="904"/>
      <c r="AT27" s="904"/>
      <c r="AU27" s="949"/>
      <c r="AV27" s="949"/>
      <c r="AW27" s="949"/>
      <c r="AX27" s="949"/>
      <c r="AY27" s="949"/>
    </row>
    <row r="28" spans="1:51" ht="15.75">
      <c r="A28" s="657" t="s">
        <v>87</v>
      </c>
      <c r="B28" s="59"/>
      <c r="C28" s="59"/>
      <c r="D28" s="59"/>
      <c r="E28" s="59"/>
      <c r="F28" s="59"/>
      <c r="G28" s="59"/>
      <c r="H28" s="59"/>
      <c r="I28" s="59"/>
      <c r="J28" s="59"/>
      <c r="K28" s="59"/>
      <c r="L28" s="935"/>
      <c r="M28" s="935"/>
      <c r="N28" s="755"/>
      <c r="O28" s="751"/>
      <c r="P28" s="462"/>
      <c r="Q28" s="466"/>
      <c r="R28" s="466"/>
      <c r="S28" s="466"/>
      <c r="T28" s="466"/>
      <c r="U28" s="466"/>
      <c r="V28" s="466"/>
      <c r="W28" s="466"/>
      <c r="X28" s="466"/>
      <c r="Y28" s="466"/>
      <c r="Z28" s="466"/>
      <c r="AA28" s="766">
        <f t="shared" ref="AA28:AA58" si="0">D28*Z28*O28*$O$25*K28</f>
        <v>0</v>
      </c>
      <c r="AB28" s="943"/>
      <c r="AC28" s="764"/>
      <c r="AD28" s="480"/>
      <c r="AE28" s="480"/>
      <c r="AF28" s="480"/>
      <c r="AG28" s="480"/>
      <c r="AH28" s="480"/>
      <c r="AI28" s="480"/>
      <c r="AJ28" s="480"/>
      <c r="AK28" s="480"/>
      <c r="AL28" s="480"/>
      <c r="AM28" s="481"/>
      <c r="AN28" s="949"/>
      <c r="AO28" s="949"/>
      <c r="AP28" s="904"/>
      <c r="AQ28" s="904">
        <v>0.6</v>
      </c>
      <c r="AR28" s="904" t="s">
        <v>465</v>
      </c>
      <c r="AS28" s="904"/>
      <c r="AT28" s="904"/>
      <c r="AU28" s="949"/>
      <c r="AV28" s="949"/>
      <c r="AW28" s="949"/>
      <c r="AX28" s="949"/>
      <c r="AY28" s="949"/>
    </row>
    <row r="29" spans="1:51">
      <c r="A29" s="684">
        <f>'CG. MPB'!A30</f>
        <v>1</v>
      </c>
      <c r="B29" s="576">
        <f>'RMCV.PB'!O29/1.3</f>
        <v>8277.9292738216991</v>
      </c>
      <c r="C29" s="576">
        <f t="shared" ref="C29:C58" si="1">0.3*B29</f>
        <v>2483.3787821465098</v>
      </c>
      <c r="D29" s="578">
        <f>IF('CG. MPB'!D30="NO CONFINADO",0.4,0.7)</f>
        <v>0.7</v>
      </c>
      <c r="E29" s="578">
        <f>IF('CG. MPB'!E30="CONCRETO",0.5*(0.8*250)^0.5,F29+G29+I29+J29+H29)</f>
        <v>3</v>
      </c>
      <c r="F29" s="578">
        <f>IF(AND('CG. MPB'!E30="TABIQUE",'CG. MPB'!F30="MACIZO"),IF('RMCV.PB'!$E$17="I",3.5,3),0)</f>
        <v>0</v>
      </c>
      <c r="G29" s="578">
        <f>IF(AND('CG. MPB'!E30="TABIQUE",'CG. MPB'!F30="HUECO"),IF('RMCV.PB'!$E$17="I",3,5.5),0)</f>
        <v>0</v>
      </c>
      <c r="H29" s="578">
        <f>IF('CG. MPB'!E30="ADOBE",0.3,0)</f>
        <v>0</v>
      </c>
      <c r="I29" s="578">
        <f>IF(AND('CG. MPB'!E30="TABICON",'CG. MPB'!F30="MACIZO"),IF('RMCV.PB'!$E$17="I",3,2),0)</f>
        <v>3</v>
      </c>
      <c r="J29" s="578">
        <f>IF(AND('CG. MPB'!E30="TABICON",'CG. MPB'!F30="HUECO"),IF('RMCV.PB'!$E$17="I",3.5,2.5),0)</f>
        <v>0</v>
      </c>
      <c r="K29" s="576">
        <f>'RMCV.PB'!N29</f>
        <v>4200.0000167410708</v>
      </c>
      <c r="L29" s="918">
        <f>ABS('ELEM. MECA.'!F6)</f>
        <v>2947.6165987666109</v>
      </c>
      <c r="M29" s="936">
        <f>IF(((D29*E29*K29*0.5)+(D29*C29))&lt;(D29*E29*K29*1.5),((D29*E29*K29*0.5)+(D29*C29)),(D29*E29*K29*1.5))</f>
        <v>6148.3651650806805</v>
      </c>
      <c r="N29" s="756" t="str">
        <f>IF('CG. MPB'!E30="CONCRETO","F/DISEÑO",IF(L29&gt;M29,IF(M29*1.05&gt;L29,"SE ACEPTA","NO PASA"),"PASA"))</f>
        <v>PASA</v>
      </c>
      <c r="O29" s="466" t="str">
        <f>IF(N29="pasa"," ",$O$24/('RMCV.PB'!C29*100))</f>
        <v xml:space="preserve"> </v>
      </c>
      <c r="P29" s="472" t="str">
        <f>IF(N29="pasa"," ",IF('CG. MPB'!E30="CONCRETO","F/DISEÑO",IF(AND(W29&gt;O29,O29&gt;X29),"BIEN","MAL")))</f>
        <v xml:space="preserve"> </v>
      </c>
      <c r="Q29" s="466">
        <f>IF('CG. MPB'!F30="MACIZO",12/'RMCS.PB'!$O$25,9/'RMCS.PB'!$O$25)</f>
        <v>2.3999999999999998E-3</v>
      </c>
      <c r="R29" s="466">
        <f t="shared" ref="R29:R58" si="2">IF(F29&gt;0,15,0)</f>
        <v>0</v>
      </c>
      <c r="S29" s="466">
        <f>IF(G29=0,0,IF(AND(G29=2,'RMCV.PB'!E17="III"),30,40))</f>
        <v>0</v>
      </c>
      <c r="T29" s="466">
        <f>IF(I29=0,0,IF(AND(I29=3,'RMCV.PB'!$E$17="I"),20,15))</f>
        <v>20</v>
      </c>
      <c r="U29" s="466">
        <f>IF(J29=0,0,IF(AND(J29=3.5,'RMCV.PB'!$E$17="I"),20,15))</f>
        <v>0</v>
      </c>
      <c r="V29" s="466">
        <f>(R29+S29+T29+U29)*0.3/$O$25</f>
        <v>1.1999999999999999E-3</v>
      </c>
      <c r="W29" s="466">
        <f>IF(Q29&gt;V29,V29,Q29)</f>
        <v>1.1999999999999999E-3</v>
      </c>
      <c r="X29" s="466">
        <f>IF('CG. MPB'!E30="CONCRETO",0,IF(M29/(D29*$O$25*K29)&gt;3/$O$25,M29/(D29*$O$25*K29),3/$O$25))</f>
        <v>5.9999999999999995E-4</v>
      </c>
      <c r="Y29" s="765" t="e">
        <f>O29*$O$25</f>
        <v>#VALUE!</v>
      </c>
      <c r="Z29" s="466" t="e">
        <f>IF(6&gt;Y29,0.6,IF(Y29&gt;9,0.2,(0.4*(9-Y29)/3)+0.2))</f>
        <v>#VALUE!</v>
      </c>
      <c r="AA29" s="766" t="e">
        <f t="shared" si="0"/>
        <v>#VALUE!</v>
      </c>
      <c r="AB29" s="943" t="str">
        <f>IF(N29="pasa"," ",AA29+M29)</f>
        <v xml:space="preserve"> </v>
      </c>
      <c r="AC29" s="767" t="str">
        <f>IF(N29="pasa"," ",IF('CG. MPB'!E30="CONCRETO","F/DISEÑO",IF(AB29&gt;L29,"PASA","NO PASA")))</f>
        <v xml:space="preserve"> </v>
      </c>
      <c r="AD29" s="474">
        <f>$AD$23/($AD$27*'RMCV.PB'!C29)</f>
        <v>1.0158730158730158E-3</v>
      </c>
      <c r="AE29" s="482">
        <f>IF(3/$AE$25&gt;M29/(D29*K29*$AE$25),3/$AE$25,M29/(D29*K29*$AE$25))</f>
        <v>5.0000000000000001E-4</v>
      </c>
      <c r="AF29" s="482">
        <f>IF(12/$AE$25&gt;'RMCV.PB'!F29*0.3/$AE$25,'RMCV.PB'!F29*0.3/$AE$25,12/$AE$25)</f>
        <v>1E-3</v>
      </c>
      <c r="AG29" s="483" t="str">
        <f>IF(AND(AD29&gt;AE29,AF29&gt;AD29),"BIEN","MAL")</f>
        <v>MAL</v>
      </c>
      <c r="AH29" s="482">
        <f>IF(9/$AE$25&gt;'RMCV.PB'!F29*0.3/$AE$25,'RMCV.PB'!F29*0.3/$AE$25,9/$AE$25)</f>
        <v>1E-3</v>
      </c>
      <c r="AI29" s="484" t="str">
        <f>IF(AND(AD29&gt;AE29,AH29&gt;AD29),"BIEN","MAL")</f>
        <v>MAL</v>
      </c>
      <c r="AJ29" s="485">
        <f>IF(6&gt;AD29*$AE$25,0.6,IF(AD29*$AE$25&gt;9,0.2,0.6-(0.4*(AD29*$AE$25-6))/3))</f>
        <v>0.58730158730158732</v>
      </c>
      <c r="AK29" s="486">
        <f>IF(N29="PASA",0,D29*AJ29*AD29*$AE$25*K29)</f>
        <v>0</v>
      </c>
      <c r="AL29" s="486">
        <f t="shared" ref="AL29:AL57" si="3">AK29+M29</f>
        <v>6148.3651650806805</v>
      </c>
      <c r="AM29" s="487" t="str">
        <f>IF(N29="PASA"," ",IF('CG. MPB'!E30="CONCRETO","F/DISEÑO",IF(AL29&gt;L29,"PASA","NO PASA")))</f>
        <v xml:space="preserve"> </v>
      </c>
      <c r="AN29" s="949"/>
      <c r="AO29" s="1043" t="e">
        <f>L29/AB29</f>
        <v>#VALUE!</v>
      </c>
      <c r="AP29" s="904"/>
      <c r="AQ29" s="904"/>
      <c r="AR29" s="904"/>
      <c r="AS29" s="904"/>
      <c r="AT29" s="904"/>
      <c r="AU29" s="949"/>
      <c r="AV29" s="949"/>
      <c r="AW29" s="949"/>
      <c r="AX29" s="949"/>
      <c r="AY29" s="949"/>
    </row>
    <row r="30" spans="1:51">
      <c r="A30" s="684">
        <f>'CG. MPB'!A31</f>
        <v>2</v>
      </c>
      <c r="B30" s="576">
        <f>'RMCV.PB'!O30/1.3</f>
        <v>22841.995006903828</v>
      </c>
      <c r="C30" s="576">
        <f t="shared" si="1"/>
        <v>6852.5985020711478</v>
      </c>
      <c r="D30" s="578">
        <f>IF('CG. MPB'!D31="NO CONFINADO",0.4,0.7)</f>
        <v>0.7</v>
      </c>
      <c r="E30" s="578">
        <f>IF('CG. MPB'!E31="CONCRETO",0.5*(0.8*250)^0.5,F30+G30+I30+J30+H30)</f>
        <v>7.0710678118654755</v>
      </c>
      <c r="F30" s="578">
        <f>IF(AND('CG. MPB'!E31="TABIQUE",'CG. MPB'!F31="MACIZO"),IF('RMCV.PB'!$E$17="I",3.5,3),0)</f>
        <v>0</v>
      </c>
      <c r="G30" s="578">
        <f>IF(AND('CG. MPB'!E31="TABIQUE",'CG. MPB'!F31="HUECO"),IF('RMCV.PB'!$E$17="I",3,5.5),0)</f>
        <v>0</v>
      </c>
      <c r="H30" s="578">
        <f>IF('CG. MPB'!E31="ADOBE",0.3,0)</f>
        <v>0</v>
      </c>
      <c r="I30" s="578">
        <f>IF(AND('CG. MPB'!E31="TABICON",'CG. MPB'!F31="MACIZO"),IF('RMCV.PB'!$E$17="I",3,2),0)</f>
        <v>0</v>
      </c>
      <c r="J30" s="578">
        <f>IF(AND('CG. MPB'!E31="TABICON",'CG. MPB'!F31="HUECO"),IF('RMCV.PB'!$E$17="I",3.5,2.5),0)</f>
        <v>0</v>
      </c>
      <c r="K30" s="576">
        <f>'RMCV.PB'!N30</f>
        <v>4200.0000167410717</v>
      </c>
      <c r="L30" s="918">
        <f>ABS('ELEM. MECA.'!F7)</f>
        <v>9197.2868609491579</v>
      </c>
      <c r="M30" s="936">
        <f t="shared" ref="M30:M58" si="4">IF(((D30*E30*K30*0.5)+(D30*C30))&lt;(D30*E30*K30*1.5),((D30*E30*K30*0.5)+(D30*C30)),(D30*E30*K30*1.5))</f>
        <v>15191.288676324089</v>
      </c>
      <c r="N30" s="756" t="str">
        <f>IF('CG. MPB'!E31="CONCRETO","F/DISEÑO",IF(L30&gt;M30,IF(M30*1.05&gt;L30,"SE ACEPTA","NO PASA"),"PASA"))</f>
        <v>F/DISEÑO</v>
      </c>
      <c r="O30" s="466">
        <f>IF(N30="pasa"," ",$O$24/('RMCV.PB'!C30*100))</f>
        <v>5.8E-4</v>
      </c>
      <c r="P30" s="472" t="str">
        <f>IF(N30="pasa"," ",IF('CG. MPB'!E31="CONCRETO","F/DISEÑO",IF(AND(W30&gt;O30,O30&gt;X30),"BIEN","MAL")))</f>
        <v>F/DISEÑO</v>
      </c>
      <c r="Q30" s="466">
        <f>IF('CG. MPB'!F31="MACIZO",12/'RMCS.PB'!$O$25,9/'RMCS.PB'!$O$25)</f>
        <v>2.3999999999999998E-3</v>
      </c>
      <c r="R30" s="466">
        <f t="shared" si="2"/>
        <v>0</v>
      </c>
      <c r="S30" s="466">
        <f>IF(G30=0,0,IF(AND(G30=2,'RMCV.PB'!E18="III"),30,40))</f>
        <v>0</v>
      </c>
      <c r="T30" s="466">
        <f>IF(I30=0,0,IF(AND(I30=3,'RMCV.PB'!$E$17="I"),20,15))</f>
        <v>0</v>
      </c>
      <c r="U30" s="466">
        <f>IF(J30=0,0,IF(AND(J30=3.5,'RMCV.PB'!$E$17="I"),20,15))</f>
        <v>0</v>
      </c>
      <c r="V30" s="466">
        <f t="shared" ref="V30:V58" si="5">(R30+S30+T30+U30)*0.3/$O$25</f>
        <v>0</v>
      </c>
      <c r="W30" s="466">
        <f t="shared" ref="W30:W58" si="6">IF(Q30&gt;V30,V30,Q30)</f>
        <v>0</v>
      </c>
      <c r="X30" s="466">
        <f>IF('CG. MPB'!E31="CONCRETO",0,IF(M30/(D30*$O$25*K30)&gt;3/$O$25,M30/(D30*$O$25*K30),3/$O$25))</f>
        <v>0</v>
      </c>
      <c r="Y30" s="765">
        <f t="shared" ref="Y30" si="7">O30*$O$25</f>
        <v>2.9</v>
      </c>
      <c r="Z30" s="466">
        <f t="shared" ref="Z30:Z58" si="8">IF(6&gt;Y30,0.6,IF(Y30&gt;9,0.2,(0.4*(9-Y30)/3)+0.2))</f>
        <v>0.6</v>
      </c>
      <c r="AA30" s="766">
        <f t="shared" si="0"/>
        <v>5115.6000203906251</v>
      </c>
      <c r="AB30" s="943">
        <f t="shared" ref="AB30:AB58" si="9">IF(N30="pasa"," ",AA30+M30)</f>
        <v>20306.888696714715</v>
      </c>
      <c r="AC30" s="767" t="str">
        <f>IF(N30="pasa"," ",IF('CG. MPB'!E31="CONCRETO","F/DISEÑO",IF(AB30&gt;L30,"PASA","NO PASA")))</f>
        <v>F/DISEÑO</v>
      </c>
      <c r="AD30" s="576">
        <f>'RMCV.PB'!AQ30/1.3</f>
        <v>0</v>
      </c>
      <c r="AE30" s="576">
        <f t="shared" ref="AE30" si="10">0.3*AD30</f>
        <v>0</v>
      </c>
      <c r="AF30" s="578">
        <f>IF('CG. MPB'!AF31="NO CONFINADO",0.4,0.7)</f>
        <v>0.7</v>
      </c>
      <c r="AG30" s="578">
        <f>IF('CG. MPB'!AG31="CONCRETO",0.5*(0.8*250)^0.5,AH30+AI30+AK30+AL30+AJ30)</f>
        <v>0</v>
      </c>
      <c r="AH30" s="578">
        <f>IF(AND('CG. MPB'!AG31="TABIQUE",'CG. MPB'!AH31="MACIZO"),IF('RMCV.PB'!$E$17="I",3.5,3),0)</f>
        <v>0</v>
      </c>
      <c r="AI30" s="578">
        <f>IF(AND('CG. MPB'!AG31="TABIQUE",'CG. MPB'!AH31="HUECO"),IF('RMCV.PB'!$E$17="I",3,5.5),0)</f>
        <v>0</v>
      </c>
      <c r="AJ30" s="578">
        <f>IF('CG. MPB'!AG31="ADOBE",0.3,0)</f>
        <v>0</v>
      </c>
      <c r="AK30" s="578">
        <f>IF(AND('CG. MPB'!AG31="TABICON",'CG. MPB'!AH31="MACIZO"),IF('RMCV.PB'!$E$17="I",3,2),0)</f>
        <v>0</v>
      </c>
      <c r="AL30" s="578">
        <f>IF(AND('CG. MPB'!AG31="TABICON",'CG. MPB'!AH31="HUECO"),IF('RMCV.PB'!$E$17="I",3.5,2.5),0)</f>
        <v>0</v>
      </c>
      <c r="AM30" s="576">
        <f>'RMCV.PB'!AP30</f>
        <v>0</v>
      </c>
      <c r="AN30" s="949"/>
      <c r="AO30" s="1043">
        <f>L30/AB30</f>
        <v>0.45291462411162531</v>
      </c>
      <c r="AP30" s="904"/>
      <c r="AQ30" s="904"/>
      <c r="AR30" s="904"/>
      <c r="AS30" s="904"/>
      <c r="AT30" s="904"/>
      <c r="AU30" s="949"/>
      <c r="AV30" s="949"/>
      <c r="AW30" s="949"/>
      <c r="AX30" s="949"/>
      <c r="AY30" s="949"/>
    </row>
    <row r="31" spans="1:51">
      <c r="A31" s="684">
        <f>'CG. MPB'!A32</f>
        <v>3</v>
      </c>
      <c r="B31" s="576">
        <f>'RMCV.PB'!O31/1.3</f>
        <v>15928.97390280131</v>
      </c>
      <c r="C31" s="576">
        <f t="shared" ref="C31:C39" si="11">0.3*B31</f>
        <v>4778.6921708403925</v>
      </c>
      <c r="D31" s="578">
        <f>IF('CG. MPB'!D32="NO CONFINADO",0.4,0.7)</f>
        <v>0.7</v>
      </c>
      <c r="E31" s="578">
        <f>IF('CG. MPB'!E32="CONCRETO",0.5*(0.8*250)^0.5,F31+G31+I31+J31+H31)</f>
        <v>7.0710678118654755</v>
      </c>
      <c r="F31" s="578">
        <f>IF(AND('CG. MPB'!E32="TABIQUE",'CG. MPB'!F32="MACIZO"),IF('RMCV.PB'!$E$17="I",3.5,3),0)</f>
        <v>0</v>
      </c>
      <c r="G31" s="578">
        <f>IF(AND('CG. MPB'!E32="TABIQUE",'CG. MPB'!F32="HUECO"),IF('RMCV.PB'!$E$17="I",3,5.5),0)</f>
        <v>0</v>
      </c>
      <c r="H31" s="578">
        <f>IF('CG. MPB'!E32="ADOBE",0.3,0)</f>
        <v>0</v>
      </c>
      <c r="I31" s="578">
        <f>IF(AND('CG. MPB'!E32="TABICON",'CG. MPB'!F32="MACIZO"),IF('RMCV.PB'!$E$17="I",3,2),0)</f>
        <v>0</v>
      </c>
      <c r="J31" s="578">
        <f>IF(AND('CG. MPB'!E32="TABICON",'CG. MPB'!F32="HUECO"),IF('RMCV.PB'!$E$17="I",3.5,2.5),0)</f>
        <v>0</v>
      </c>
      <c r="K31" s="576">
        <f>'RMCV.PB'!N31</f>
        <v>3637.5000000000009</v>
      </c>
      <c r="L31" s="918">
        <f>ABS('ELEM. MECA.'!F8)</f>
        <v>17442.995828740626</v>
      </c>
      <c r="M31" s="936">
        <f t="shared" ref="M31:M39" si="12">IF(((D31*E31*K31*0.5)+(D31*C31))&lt;(D31*E31*K31*1.5),((D31*E31*K31*0.5)+(D31*C31)),(D31*E31*K31*1.5))</f>
        <v>12347.43772756951</v>
      </c>
      <c r="N31" s="756" t="str">
        <f>IF('CG. MPB'!E32="CONCRETO","F/DISEÑO",IF(L31&gt;M31,IF(M31*1.05&gt;L31,"SE ACEPTA","NO PASA"),"PASA"))</f>
        <v>F/DISEÑO</v>
      </c>
      <c r="O31" s="466">
        <f>IF(N31="pasa"," ",$O$24/('RMCV.PB'!C31*100))</f>
        <v>5.8E-4</v>
      </c>
      <c r="P31" s="472" t="str">
        <f>IF(N31="pasa"," ",IF('CG. MPB'!E32="CONCRETO","F/DISEÑO",IF(AND(W31&gt;O31,O31&gt;X31),"BIEN","MAL")))</f>
        <v>F/DISEÑO</v>
      </c>
      <c r="Q31" s="466">
        <f>IF('CG. MPB'!F32="MACIZO",12/'RMCS.PB'!$O$25,9/'RMCS.PB'!$O$25)</f>
        <v>2.3999999999999998E-3</v>
      </c>
      <c r="R31" s="466">
        <f t="shared" ref="R31:R39" si="13">IF(F31&gt;0,15,0)</f>
        <v>0</v>
      </c>
      <c r="S31" s="466">
        <f>IF(G31=0,0,IF(AND(G31=2,'RMCV.PB'!E19="III"),30,40))</f>
        <v>0</v>
      </c>
      <c r="T31" s="466">
        <f>IF(I31=0,0,IF(AND(I31=3,'RMCV.PB'!$E$17="I"),20,15))</f>
        <v>0</v>
      </c>
      <c r="U31" s="466">
        <f>IF(J31=0,0,IF(AND(J31=3.5,'RMCV.PB'!$E$17="I"),20,15))</f>
        <v>0</v>
      </c>
      <c r="V31" s="466">
        <f t="shared" ref="V31:V39" si="14">(R31+S31+T31+U31)*0.3/$O$25</f>
        <v>0</v>
      </c>
      <c r="W31" s="466">
        <f t="shared" ref="W31:W39" si="15">IF(Q31&gt;V31,V31,Q31)</f>
        <v>0</v>
      </c>
      <c r="X31" s="466">
        <f>IF('CG. MPB'!E32="CONCRETO",0,IF(M31/(D31*$O$25*K31)&gt;3/$O$25,M31/(D31*$O$25*K31),3/$O$25))</f>
        <v>0</v>
      </c>
      <c r="Y31" s="765">
        <f t="shared" ref="Y31:Y39" si="16">O31*$O$25</f>
        <v>2.9</v>
      </c>
      <c r="Z31" s="466">
        <f t="shared" ref="Z31:Z39" si="17">IF(6&gt;Y31,0.6,IF(Y31&gt;9,0.2,(0.4*(9-Y31)/3)+0.2))</f>
        <v>0.6</v>
      </c>
      <c r="AA31" s="766">
        <f t="shared" ref="AA31:AA39" si="18">D31*Z31*O31*$O$25*K31</f>
        <v>4430.4750000000013</v>
      </c>
      <c r="AB31" s="943">
        <f t="shared" ref="AB31:AB39" si="19">IF(N31="pasa"," ",AA31+M31)</f>
        <v>16777.91272756951</v>
      </c>
      <c r="AC31" s="767" t="str">
        <f>IF(N31="pasa"," ",IF('CG. MPB'!E32="CONCRETO","F/DISEÑO",IF(AB31&gt;L31,"PASA","NO PASA")))</f>
        <v>F/DISEÑO</v>
      </c>
      <c r="AD31" s="474">
        <f>$AD$23/($AD$27*'RMCV.PB'!C31)</f>
        <v>1.0158730158730158E-3</v>
      </c>
      <c r="AE31" s="482">
        <f t="shared" ref="AE31:AE58" si="20">IF(3/$AE$25&gt;M31/(D31*K31*$AE$25),3/$AE$25,M31/(D31*K31*$AE$25))</f>
        <v>8.0821061872489008E-4</v>
      </c>
      <c r="AF31" s="482">
        <f>IF(12/$AE$25&gt;'RMCV.PB'!F31*0.3/$AE$25,'RMCV.PB'!F31*0.3/$AE$25,12/$AE$25)</f>
        <v>2E-3</v>
      </c>
      <c r="AG31" s="483" t="str">
        <f t="shared" ref="AG31:AG58" si="21">IF(AND(AD31&gt;AE31,AF31&gt;AD31),"BIEN","MAL")</f>
        <v>BIEN</v>
      </c>
      <c r="AH31" s="482">
        <f>IF(9/$AE$25&gt;'RMCV.PB'!F31*0.3/$AE$25,'RMCV.PB'!F31*0.3/$AE$25,9/$AE$25)</f>
        <v>1.5E-3</v>
      </c>
      <c r="AI31" s="484" t="str">
        <f t="shared" ref="AI31:AI58" si="22">IF(AND(AD31&gt;AE31,AH31&gt;AD31),"BIEN","MAL")</f>
        <v>BIEN</v>
      </c>
      <c r="AJ31" s="485">
        <f t="shared" ref="AJ31:AJ58" si="23">IF(6&gt;AD31*$AE$25,0.6,IF(AD31*$AE$25&gt;9,0.2,0.6-(0.4*(AD31*$AE$25-6))/3))</f>
        <v>0.58730158730158732</v>
      </c>
      <c r="AK31" s="486">
        <f t="shared" ref="AK31:AK58" si="24">IF(N31="PASA",0,D31*AJ31*AD31*$AE$25*K31)</f>
        <v>9114.9206349206361</v>
      </c>
      <c r="AL31" s="486">
        <f t="shared" si="3"/>
        <v>21462.358362490144</v>
      </c>
      <c r="AM31" s="487" t="str">
        <f>IF(N31="PASA"," ",IF('CG. MPB'!E32="CONCRETO","F/DISEÑO",IF(AL31&gt;L31,"PASA","NO PASA")))</f>
        <v>F/DISEÑO</v>
      </c>
      <c r="AN31" s="949"/>
      <c r="AO31" s="1043">
        <f t="shared" ref="AO31:AO39" si="25">L31/AB31</f>
        <v>1.0396403957971632</v>
      </c>
      <c r="AP31" s="904"/>
      <c r="AQ31" s="904"/>
      <c r="AR31" s="904"/>
      <c r="AS31" s="904"/>
      <c r="AT31" s="904"/>
      <c r="AU31" s="949"/>
      <c r="AV31" s="949"/>
      <c r="AW31" s="949"/>
      <c r="AX31" s="949"/>
      <c r="AY31" s="949"/>
    </row>
    <row r="32" spans="1:51">
      <c r="A32" s="684">
        <f>'CG. MPB'!A33</f>
        <v>4</v>
      </c>
      <c r="B32" s="576">
        <f>'RMCV.PB'!O32/1.3</f>
        <v>31578.182110034199</v>
      </c>
      <c r="C32" s="576">
        <f t="shared" si="11"/>
        <v>9473.4546330102585</v>
      </c>
      <c r="D32" s="578">
        <f>IF('CG. MPB'!D33="NO CONFINADO",0.4,0.7)</f>
        <v>0.7</v>
      </c>
      <c r="E32" s="578">
        <f>IF('CG. MPB'!E33="CONCRETO",0.5*(0.8*250)^0.5,F32+G32+I32+J32+H32)</f>
        <v>7.0710678118654755</v>
      </c>
      <c r="F32" s="578">
        <f>IF(AND('CG. MPB'!E33="TABIQUE",'CG. MPB'!F33="MACIZO"),IF('RMCV.PB'!$E$17="I",3.5,3),0)</f>
        <v>0</v>
      </c>
      <c r="G32" s="578">
        <f>IF(AND('CG. MPB'!E33="TABIQUE",'CG. MPB'!F33="HUECO"),IF('RMCV.PB'!$E$17="I",3,5.5),0)</f>
        <v>0</v>
      </c>
      <c r="H32" s="578">
        <f>IF('CG. MPB'!E33="ADOBE",0.3,0)</f>
        <v>0</v>
      </c>
      <c r="I32" s="578">
        <f>IF(AND('CG. MPB'!E33="TABICON",'CG. MPB'!F33="MACIZO"),IF('RMCV.PB'!$E$17="I",3,2),0)</f>
        <v>0</v>
      </c>
      <c r="J32" s="578">
        <f>IF(AND('CG. MPB'!E33="TABICON",'CG. MPB'!F33="HUECO"),IF('RMCV.PB'!$E$17="I",3.5,2.5),0)</f>
        <v>0</v>
      </c>
      <c r="K32" s="576">
        <f>'RMCV.PB'!N32</f>
        <v>4125</v>
      </c>
      <c r="L32" s="918">
        <f>ABS('ELEM. MECA.'!F9)</f>
        <v>11690.300115692302</v>
      </c>
      <c r="M32" s="936">
        <f t="shared" si="12"/>
        <v>16840.272396487962</v>
      </c>
      <c r="N32" s="756" t="str">
        <f>IF('CG. MPB'!E33="CONCRETO","F/DISEÑO",IF(L32&gt;M32,IF(M32*1.05&gt;L32,"SE ACEPTA","NO PASA"),"PASA"))</f>
        <v>F/DISEÑO</v>
      </c>
      <c r="O32" s="466">
        <f>IF(N32="pasa"," ",$O$24/('RMCV.PB'!C32*100))</f>
        <v>5.8E-4</v>
      </c>
      <c r="P32" s="472" t="str">
        <f>IF(N32="pasa"," ",IF('CG. MPB'!E33="CONCRETO","F/DISEÑO",IF(AND(W32&gt;O32,O32&gt;X32),"BIEN","MAL")))</f>
        <v>F/DISEÑO</v>
      </c>
      <c r="Q32" s="466">
        <f>IF('CG. MPB'!F33="MACIZO",12/'RMCS.PB'!$O$25,9/'RMCS.PB'!$O$25)</f>
        <v>2.3999999999999998E-3</v>
      </c>
      <c r="R32" s="466">
        <f t="shared" si="13"/>
        <v>0</v>
      </c>
      <c r="S32" s="466">
        <f>IF(G32=0,0,IF(AND(G32=2,'RMCV.PB'!E20="III"),30,40))</f>
        <v>0</v>
      </c>
      <c r="T32" s="466">
        <f>IF(I32=0,0,IF(AND(I32=3,'RMCV.PB'!$E$17="I"),20,15))</f>
        <v>0</v>
      </c>
      <c r="U32" s="466">
        <f>IF(J32=0,0,IF(AND(J32=3.5,'RMCV.PB'!$E$17="I"),20,15))</f>
        <v>0</v>
      </c>
      <c r="V32" s="466">
        <f t="shared" si="14"/>
        <v>0</v>
      </c>
      <c r="W32" s="466">
        <f t="shared" si="15"/>
        <v>0</v>
      </c>
      <c r="X32" s="466">
        <f>IF('CG. MPB'!E33="CONCRETO",0,IF(M32/(D32*$O$25*K32)&gt;3/$O$25,M32/(D32*$O$25*K32),3/$O$25))</f>
        <v>0</v>
      </c>
      <c r="Y32" s="765">
        <f t="shared" si="16"/>
        <v>2.9</v>
      </c>
      <c r="Z32" s="466">
        <f t="shared" si="17"/>
        <v>0.6</v>
      </c>
      <c r="AA32" s="766">
        <f t="shared" si="18"/>
        <v>5024.25</v>
      </c>
      <c r="AB32" s="943">
        <f t="shared" si="19"/>
        <v>21864.522396487962</v>
      </c>
      <c r="AC32" s="767" t="str">
        <f>IF(N32="pasa"," ",IF('CG. MPB'!E33="CONCRETO","F/DISEÑO",IF(AB32&gt;L32,"PASA","NO PASA")))</f>
        <v>F/DISEÑO</v>
      </c>
      <c r="AD32" s="474">
        <f>$AD$23/($AD$27*'RMCV.PB'!C32)</f>
        <v>1.0158730158730158E-3</v>
      </c>
      <c r="AE32" s="482">
        <f t="shared" si="20"/>
        <v>9.7202149474677989E-4</v>
      </c>
      <c r="AF32" s="482">
        <f>IF(12/$AE$25&gt;'RMCV.PB'!F32*0.3/$AE$25,'RMCV.PB'!F32*0.3/$AE$25,12/$AE$25)</f>
        <v>2E-3</v>
      </c>
      <c r="AG32" s="483" t="str">
        <f t="shared" si="21"/>
        <v>BIEN</v>
      </c>
      <c r="AH32" s="482">
        <f>IF(9/$AE$25&gt;'RMCV.PB'!F32*0.3/$AE$25,'RMCV.PB'!F32*0.3/$AE$25,9/$AE$25)</f>
        <v>1.5E-3</v>
      </c>
      <c r="AI32" s="484" t="str">
        <f t="shared" si="22"/>
        <v>BIEN</v>
      </c>
      <c r="AJ32" s="485">
        <f t="shared" si="23"/>
        <v>0.58730158730158732</v>
      </c>
      <c r="AK32" s="486">
        <f t="shared" si="24"/>
        <v>10336.507936507935</v>
      </c>
      <c r="AL32" s="486">
        <f t="shared" si="3"/>
        <v>27176.780332995899</v>
      </c>
      <c r="AM32" s="487" t="str">
        <f>IF(N32="PASA"," ",IF('CG. MPB'!E33="CONCRETO","F/DISEÑO",IF(AL32&gt;L32,"PASA","NO PASA")))</f>
        <v>F/DISEÑO</v>
      </c>
      <c r="AN32" s="949"/>
      <c r="AO32" s="1043">
        <f t="shared" si="25"/>
        <v>0.53466981366901856</v>
      </c>
      <c r="AP32" s="904"/>
      <c r="AQ32" s="904"/>
      <c r="AR32" s="904"/>
      <c r="AS32" s="904"/>
      <c r="AT32" s="904"/>
      <c r="AU32" s="949"/>
      <c r="AV32" s="949"/>
      <c r="AW32" s="949"/>
      <c r="AX32" s="949"/>
      <c r="AY32" s="949"/>
    </row>
    <row r="33" spans="1:51">
      <c r="A33" s="684">
        <f>'CG. MPB'!A34</f>
        <v>5</v>
      </c>
      <c r="B33" s="576">
        <f>'RMCV.PB'!O33/1.3</f>
        <v>14175.318555070209</v>
      </c>
      <c r="C33" s="576">
        <f t="shared" si="11"/>
        <v>4252.5955665210622</v>
      </c>
      <c r="D33" s="578">
        <f>IF('CG. MPB'!D34="NO CONFINADO",0.4,0.7)</f>
        <v>0.7</v>
      </c>
      <c r="E33" s="578">
        <f>IF('CG. MPB'!E34="CONCRETO",0.5*(0.8*250)^0.5,F33+G33+I33+J33+H33)</f>
        <v>3</v>
      </c>
      <c r="F33" s="578">
        <f>IF(AND('CG. MPB'!E34="TABIQUE",'CG. MPB'!F34="MACIZO"),IF('RMCV.PB'!$E$17="I",3.5,3),0)</f>
        <v>0</v>
      </c>
      <c r="G33" s="578">
        <f>IF(AND('CG. MPB'!E34="TABIQUE",'CG. MPB'!F34="HUECO"),IF('RMCV.PB'!$E$17="I",3,5.5),0)</f>
        <v>0</v>
      </c>
      <c r="H33" s="578">
        <f>IF('CG. MPB'!E34="ADOBE",0.3,0)</f>
        <v>0</v>
      </c>
      <c r="I33" s="578">
        <f>IF(AND('CG. MPB'!E34="TABICON",'CG. MPB'!F34="MACIZO"),IF('RMCV.PB'!$E$17="I",3,2),0)</f>
        <v>3</v>
      </c>
      <c r="J33" s="578">
        <f>IF(AND('CG. MPB'!E34="TABICON",'CG. MPB'!F34="HUECO"),IF('RMCV.PB'!$E$17="I",3.5,2.5),0)</f>
        <v>0</v>
      </c>
      <c r="K33" s="576">
        <f>'RMCV.PB'!N33</f>
        <v>4200.000066964285</v>
      </c>
      <c r="L33" s="918">
        <f>ABS('ELEM. MECA.'!F10)</f>
        <v>2915.4293756557927</v>
      </c>
      <c r="M33" s="937">
        <f t="shared" si="12"/>
        <v>7386.8169668772425</v>
      </c>
      <c r="N33" s="756" t="str">
        <f>IF('CG. MPB'!E34="CONCRETO","F/DISEÑO",IF(L33&gt;M33,IF(M33*1.05&gt;L33,"SE ACEPTA","NO PASA"),"PASA"))</f>
        <v>PASA</v>
      </c>
      <c r="O33" s="466" t="str">
        <f>IF(N33="pasa"," ",$O$24/('RMCV.PB'!C33*100))</f>
        <v xml:space="preserve"> </v>
      </c>
      <c r="P33" s="472" t="str">
        <f>IF(N33="pasa"," ",IF('CG. MPB'!E34="CONCRETO","F/DISEÑO",IF(AND(W33&gt;O33,O33&gt;X33),"BIEN","MAL")))</f>
        <v xml:space="preserve"> </v>
      </c>
      <c r="Q33" s="466">
        <f>IF('CG. MPB'!F34="MACIZO",12/'RMCS.PB'!$O$25,9/'RMCS.PB'!$O$25)</f>
        <v>2.3999999999999998E-3</v>
      </c>
      <c r="R33" s="466">
        <f t="shared" si="13"/>
        <v>0</v>
      </c>
      <c r="S33" s="466">
        <f>IF(G33=0,0,IF(AND(G33=2,'RMCV.PB'!E21="III"),30,40))</f>
        <v>0</v>
      </c>
      <c r="T33" s="466">
        <f>IF(I33=0,0,IF(AND(I33=3,'RMCV.PB'!$E$17="I"),20,15))</f>
        <v>20</v>
      </c>
      <c r="U33" s="466">
        <f>IF(J33=0,0,IF(AND(J33=3.5,'RMCV.PB'!$E$17="I"),20,15))</f>
        <v>0</v>
      </c>
      <c r="V33" s="466">
        <f t="shared" si="14"/>
        <v>1.1999999999999999E-3</v>
      </c>
      <c r="W33" s="466">
        <f t="shared" si="15"/>
        <v>1.1999999999999999E-3</v>
      </c>
      <c r="X33" s="466">
        <f>IF('CG. MPB'!E34="CONCRETO",0,IF(M33/(D33*$O$25*K33)&gt;3/$O$25,M33/(D33*$O$25*K33),3/$O$25))</f>
        <v>5.9999999999999995E-4</v>
      </c>
      <c r="Y33" s="765" t="e">
        <f t="shared" si="16"/>
        <v>#VALUE!</v>
      </c>
      <c r="Z33" s="466" t="e">
        <f t="shared" si="17"/>
        <v>#VALUE!</v>
      </c>
      <c r="AA33" s="766" t="e">
        <f t="shared" si="18"/>
        <v>#VALUE!</v>
      </c>
      <c r="AB33" s="943" t="str">
        <f t="shared" si="19"/>
        <v xml:space="preserve"> </v>
      </c>
      <c r="AC33" s="767" t="str">
        <f>IF(N33="pasa"," ",IF('CG. MPB'!E34="CONCRETO","F/DISEÑO",IF(AB33&gt;L33,"PASA","NO PASA")))</f>
        <v xml:space="preserve"> </v>
      </c>
      <c r="AD33" s="474">
        <f>$AD$23/($AD$27*'RMCV.PB'!C33)</f>
        <v>1.0158730158730158E-3</v>
      </c>
      <c r="AE33" s="482">
        <f t="shared" si="20"/>
        <v>5.0000000000000001E-4</v>
      </c>
      <c r="AF33" s="482">
        <f>IF(12/$AE$25&gt;'RMCV.PB'!F33*0.3/$AE$25,'RMCV.PB'!F33*0.3/$AE$25,12/$AE$25)</f>
        <v>7.5000000000000002E-4</v>
      </c>
      <c r="AG33" s="483" t="str">
        <f t="shared" si="21"/>
        <v>MAL</v>
      </c>
      <c r="AH33" s="482">
        <f>IF(9/$AE$25&gt;'RMCV.PB'!F33*0.3/$AE$25,'RMCV.PB'!F33*0.3/$AE$25,9/$AE$25)</f>
        <v>7.5000000000000002E-4</v>
      </c>
      <c r="AI33" s="484" t="str">
        <f t="shared" si="22"/>
        <v>MAL</v>
      </c>
      <c r="AJ33" s="485">
        <f t="shared" si="23"/>
        <v>0.58730158730158732</v>
      </c>
      <c r="AK33" s="486">
        <f t="shared" si="24"/>
        <v>0</v>
      </c>
      <c r="AL33" s="486">
        <f t="shared" si="3"/>
        <v>7386.8169668772425</v>
      </c>
      <c r="AM33" s="487" t="str">
        <f>IF(N33="PASA"," ",IF('CG. MPB'!E34="CONCRETO","F/DISEÑO",IF(AL33&gt;L33,"PASA","NO PASA")))</f>
        <v xml:space="preserve"> </v>
      </c>
      <c r="AN33" s="949"/>
      <c r="AO33" s="1043" t="e">
        <f t="shared" si="25"/>
        <v>#VALUE!</v>
      </c>
      <c r="AP33" s="904"/>
      <c r="AQ33" s="904"/>
      <c r="AR33" s="904"/>
      <c r="AS33" s="904"/>
      <c r="AT33" s="904"/>
      <c r="AU33" s="949"/>
      <c r="AV33" s="949"/>
      <c r="AW33" s="949"/>
      <c r="AX33" s="949"/>
      <c r="AY33" s="949"/>
    </row>
    <row r="34" spans="1:51">
      <c r="A34" s="684">
        <f>'CG. MPB'!A35</f>
        <v>6</v>
      </c>
      <c r="B34" s="576">
        <f>'RMCV.PB'!O34/1.3</f>
        <v>40927.9949277985</v>
      </c>
      <c r="C34" s="576">
        <f t="shared" si="11"/>
        <v>12278.39847833955</v>
      </c>
      <c r="D34" s="578">
        <f>IF('CG. MPB'!D35="NO CONFINADO",0.4,0.7)</f>
        <v>0.7</v>
      </c>
      <c r="E34" s="578">
        <f>IF('CG. MPB'!E35="CONCRETO",0.5*(0.8*250)^0.5,F34+G34+I34+J34+H34)</f>
        <v>7.0710678118654755</v>
      </c>
      <c r="F34" s="578">
        <f>IF(AND('CG. MPB'!E35="TABIQUE",'CG. MPB'!F35="MACIZO"),IF('RMCV.PB'!$E$17="I",3.5,3),0)</f>
        <v>0</v>
      </c>
      <c r="G34" s="578">
        <f>IF(AND('CG. MPB'!E35="TABIQUE",'CG. MPB'!F35="HUECO"),IF('RMCV.PB'!$E$17="I",3,5.5),0)</f>
        <v>0</v>
      </c>
      <c r="H34" s="578">
        <f>IF('CG. MPB'!E35="ADOBE",0.3,0)</f>
        <v>0</v>
      </c>
      <c r="I34" s="578">
        <f>IF(AND('CG. MPB'!E35="TABICON",'CG. MPB'!F35="MACIZO"),IF('RMCV.PB'!$E$17="I",3,2),0)</f>
        <v>0</v>
      </c>
      <c r="J34" s="578">
        <f>IF(AND('CG. MPB'!E35="TABICON",'CG. MPB'!F35="HUECO"),IF('RMCV.PB'!$E$17="I",3.5,2.5),0)</f>
        <v>0</v>
      </c>
      <c r="K34" s="576">
        <f>'RMCV.PB'!N34</f>
        <v>3862.5002912621244</v>
      </c>
      <c r="L34" s="918">
        <f>ABS('ELEM. MECA.'!F11)</f>
        <v>26475.338730142757</v>
      </c>
      <c r="M34" s="937">
        <f t="shared" si="12"/>
        <v>18154.079453840306</v>
      </c>
      <c r="N34" s="756" t="str">
        <f>IF('CG. MPB'!E35="CONCRETO","F/DISEÑO",IF(L34&gt;M34,IF(M34*1.05&gt;L34,"SE ACEPTA","NO PASA"),"PASA"))</f>
        <v>F/DISEÑO</v>
      </c>
      <c r="O34" s="466">
        <f>IF(N34="pasa"," ",$O$24/('RMCV.PB'!C34*100))</f>
        <v>5.8E-4</v>
      </c>
      <c r="P34" s="472" t="str">
        <f>IF(N34="pasa"," ",IF('CG. MPB'!E35="CONCRETO","F/DISEÑO",IF(AND(W34&gt;O34,O34&gt;X34),"BIEN","MAL")))</f>
        <v>F/DISEÑO</v>
      </c>
      <c r="Q34" s="466">
        <f>IF('CG. MPB'!F35="MACIZO",12/'RMCS.PB'!$O$25,9/'RMCS.PB'!$O$25)</f>
        <v>2.3999999999999998E-3</v>
      </c>
      <c r="R34" s="466">
        <f t="shared" si="13"/>
        <v>0</v>
      </c>
      <c r="S34" s="466">
        <f>IF(G34=0,0,IF(AND(G34=2,'RMCV.PB'!E22="III"),30,40))</f>
        <v>0</v>
      </c>
      <c r="T34" s="466">
        <f>IF(I34=0,0,IF(AND(I34=3,'RMCV.PB'!$E$17="I"),20,15))</f>
        <v>0</v>
      </c>
      <c r="U34" s="466">
        <f>IF(J34=0,0,IF(AND(J34=3.5,'RMCV.PB'!$E$17="I"),20,15))</f>
        <v>0</v>
      </c>
      <c r="V34" s="466">
        <f t="shared" si="14"/>
        <v>0</v>
      </c>
      <c r="W34" s="466">
        <f t="shared" si="15"/>
        <v>0</v>
      </c>
      <c r="X34" s="466">
        <f>IF('CG. MPB'!E35="CONCRETO",0,IF(M34/(D34*$O$25*K34)&gt;3/$O$25,M34/(D34*$O$25*K34),3/$O$25))</f>
        <v>0</v>
      </c>
      <c r="Y34" s="765">
        <f t="shared" si="16"/>
        <v>2.9</v>
      </c>
      <c r="Z34" s="466">
        <f t="shared" si="17"/>
        <v>0.6</v>
      </c>
      <c r="AA34" s="766">
        <f t="shared" si="18"/>
        <v>4704.5253547572675</v>
      </c>
      <c r="AB34" s="943">
        <f t="shared" si="19"/>
        <v>22858.604808597574</v>
      </c>
      <c r="AC34" s="767" t="str">
        <f>IF(N34="pasa"," ",IF('CG. MPB'!E35="CONCRETO","F/DISEÑO",IF(AB34&gt;L34,"PASA","NO PASA")))</f>
        <v>F/DISEÑO</v>
      </c>
      <c r="AD34" s="474">
        <f>$AD$23/($AD$27*'RMCV.PB'!C34)</f>
        <v>1.0158730158730158E-3</v>
      </c>
      <c r="AE34" s="482">
        <f t="shared" si="20"/>
        <v>1.1190678431119484E-3</v>
      </c>
      <c r="AF34" s="482">
        <f>IF(12/$AE$25&gt;'RMCV.PB'!F34*0.3/$AE$25,'RMCV.PB'!F34*0.3/$AE$25,12/$AE$25)</f>
        <v>2E-3</v>
      </c>
      <c r="AG34" s="483" t="str">
        <f t="shared" si="21"/>
        <v>MAL</v>
      </c>
      <c r="AH34" s="482">
        <f>IF(9/$AE$25&gt;'RMCV.PB'!F34*0.3/$AE$25,'RMCV.PB'!F34*0.3/$AE$25,9/$AE$25)</f>
        <v>1.5E-3</v>
      </c>
      <c r="AI34" s="484" t="str">
        <f t="shared" si="22"/>
        <v>MAL</v>
      </c>
      <c r="AJ34" s="485">
        <f t="shared" si="23"/>
        <v>0.58730158730158732</v>
      </c>
      <c r="AK34" s="486">
        <f t="shared" si="24"/>
        <v>9678.7308885806451</v>
      </c>
      <c r="AL34" s="486">
        <f t="shared" si="3"/>
        <v>27832.810342420951</v>
      </c>
      <c r="AM34" s="487" t="str">
        <f>IF(N34="PASA"," ",IF('CG. MPB'!E35="CONCRETO","F/DISEÑO",IF(AL34&gt;L34,"PASA","NO PASA")))</f>
        <v>F/DISEÑO</v>
      </c>
      <c r="AN34" s="949"/>
      <c r="AO34" s="1043">
        <f t="shared" si="25"/>
        <v>1.1582219891296628</v>
      </c>
      <c r="AP34" s="949"/>
      <c r="AQ34" s="949"/>
      <c r="AR34" s="949"/>
      <c r="AS34" s="949"/>
      <c r="AT34" s="949"/>
      <c r="AU34" s="949"/>
      <c r="AV34" s="949"/>
      <c r="AW34" s="949"/>
      <c r="AX34" s="949"/>
      <c r="AY34" s="949"/>
    </row>
    <row r="35" spans="1:51" ht="15.75" thickBot="1">
      <c r="A35" s="684">
        <f>'CG. MPB'!A36</f>
        <v>7</v>
      </c>
      <c r="B35" s="576">
        <f>'RMCV.PB'!O35/1.3</f>
        <v>6348.918398373532</v>
      </c>
      <c r="C35" s="576">
        <f t="shared" si="11"/>
        <v>1904.6755195120595</v>
      </c>
      <c r="D35" s="578">
        <f>IF('CG. MPB'!D36="NO CONFINADO",0.4,0.7)</f>
        <v>0.7</v>
      </c>
      <c r="E35" s="578">
        <f>IF('CG. MPB'!E36="CONCRETO",0.5*(0.8*250)^0.5,F35+G35+I35+J35+H35)</f>
        <v>3</v>
      </c>
      <c r="F35" s="578">
        <f>IF(AND('CG. MPB'!E36="TABIQUE",'CG. MPB'!F36="MACIZO"),IF('RMCV.PB'!$E$17="I",3.5,3),0)</f>
        <v>0</v>
      </c>
      <c r="G35" s="578">
        <f>IF(AND('CG. MPB'!E36="TABIQUE",'CG. MPB'!F36="HUECO"),IF('RMCV.PB'!$E$17="I",3,5.5),0)</f>
        <v>0</v>
      </c>
      <c r="H35" s="578">
        <f>IF('CG. MPB'!E36="ADOBE",0.3,0)</f>
        <v>0</v>
      </c>
      <c r="I35" s="578">
        <f>IF(AND('CG. MPB'!E36="TABICON",'CG. MPB'!F36="MACIZO"),IF('RMCV.PB'!$E$17="I",3,2),0)</f>
        <v>3</v>
      </c>
      <c r="J35" s="578">
        <f>IF(AND('CG. MPB'!E36="TABICON",'CG. MPB'!F36="HUECO"),IF('RMCV.PB'!$E$17="I",3.5,2.5),0)</f>
        <v>0</v>
      </c>
      <c r="K35" s="576">
        <f>'RMCV.PB'!N35</f>
        <v>4200.0000669642868</v>
      </c>
      <c r="L35" s="918">
        <f>ABS('ELEM. MECA.'!F12)</f>
        <v>1997.5163075287385</v>
      </c>
      <c r="M35" s="937">
        <f t="shared" si="12"/>
        <v>5743.2729339709422</v>
      </c>
      <c r="N35" s="756" t="str">
        <f>IF('CG. MPB'!E36="CONCRETO","F/DISEÑO",IF(L35&gt;M35,IF(M35*1.05&gt;L35,"SE ACEPTA","NO PASA"),"PASA"))</f>
        <v>PASA</v>
      </c>
      <c r="O35" s="466" t="str">
        <f>IF(N35="pasa"," ",$O$24/('RMCV.PB'!C35*100))</f>
        <v xml:space="preserve"> </v>
      </c>
      <c r="P35" s="472" t="str">
        <f>IF(N35="pasa"," ",IF('CG. MPB'!E36="CONCRETO","F/DISEÑO",IF(AND(W35&gt;O35,O35&gt;X35),"BIEN","MAL")))</f>
        <v xml:space="preserve"> </v>
      </c>
      <c r="Q35" s="466">
        <f>IF('CG. MPB'!F36="MACIZO",12/'RMCS.PB'!$O$25,9/'RMCS.PB'!$O$25)</f>
        <v>2.3999999999999998E-3</v>
      </c>
      <c r="R35" s="466">
        <f t="shared" si="13"/>
        <v>0</v>
      </c>
      <c r="S35" s="466">
        <f>IF(G35=0,0,IF(AND(G35=2,'RMCV.PB'!E23="III"),30,40))</f>
        <v>0</v>
      </c>
      <c r="T35" s="466">
        <f>IF(I35=0,0,IF(AND(I35=3,'RMCV.PB'!$E$17="I"),20,15))</f>
        <v>20</v>
      </c>
      <c r="U35" s="466">
        <f>IF(J35=0,0,IF(AND(J35=3.5,'RMCV.PB'!$E$17="I"),20,15))</f>
        <v>0</v>
      </c>
      <c r="V35" s="466">
        <f t="shared" si="14"/>
        <v>1.1999999999999999E-3</v>
      </c>
      <c r="W35" s="466">
        <f t="shared" si="15"/>
        <v>1.1999999999999999E-3</v>
      </c>
      <c r="X35" s="466">
        <f>IF('CG. MPB'!E36="CONCRETO",0,IF(M35/(D35*$O$25*K35)&gt;3/$O$25,M35/(D35*$O$25*K35),3/$O$25))</f>
        <v>5.9999999999999995E-4</v>
      </c>
      <c r="Y35" s="765" t="e">
        <f t="shared" si="16"/>
        <v>#VALUE!</v>
      </c>
      <c r="Z35" s="466" t="e">
        <f t="shared" si="17"/>
        <v>#VALUE!</v>
      </c>
      <c r="AA35" s="766" t="e">
        <f t="shared" si="18"/>
        <v>#VALUE!</v>
      </c>
      <c r="AB35" s="943" t="str">
        <f t="shared" si="19"/>
        <v xml:space="preserve"> </v>
      </c>
      <c r="AC35" s="767" t="str">
        <f>IF(N35="pasa"," ",IF('CG. MPB'!E36="CONCRETO","F/DISEÑO",IF(AB35&gt;L35,"PASA","NO PASA")))</f>
        <v xml:space="preserve"> </v>
      </c>
      <c r="AD35" s="474">
        <f>$AD$23/($AD$27*'RMCV.PB'!C35)</f>
        <v>1.0158730158730158E-3</v>
      </c>
      <c r="AE35" s="482">
        <f t="shared" si="20"/>
        <v>5.0000000000000001E-4</v>
      </c>
      <c r="AF35" s="482">
        <f>IF(12/$AE$25&gt;'RMCV.PB'!F35*0.3/$AE$25,'RMCV.PB'!F35*0.3/$AE$25,12/$AE$25)</f>
        <v>7.5000000000000002E-4</v>
      </c>
      <c r="AG35" s="483" t="str">
        <f t="shared" si="21"/>
        <v>MAL</v>
      </c>
      <c r="AH35" s="482">
        <f>IF(9/$AE$25&gt;'RMCV.PB'!F35*0.3/$AE$25,'RMCV.PB'!F35*0.3/$AE$25,9/$AE$25)</f>
        <v>7.5000000000000002E-4</v>
      </c>
      <c r="AI35" s="484" t="str">
        <f t="shared" si="22"/>
        <v>MAL</v>
      </c>
      <c r="AJ35" s="485">
        <f t="shared" si="23"/>
        <v>0.58730158730158732</v>
      </c>
      <c r="AK35" s="486">
        <f t="shared" si="24"/>
        <v>0</v>
      </c>
      <c r="AL35" s="486">
        <f t="shared" si="3"/>
        <v>5743.2729339709422</v>
      </c>
      <c r="AM35" s="487" t="str">
        <f>IF(N35="PASA"," ",IF('CG. MPB'!E36="CONCRETO","F/DISEÑO",IF(AL35&gt;L35,"PASA","NO PASA")))</f>
        <v xml:space="preserve"> </v>
      </c>
      <c r="AN35" s="949"/>
      <c r="AO35" s="1043" t="e">
        <f t="shared" si="25"/>
        <v>#VALUE!</v>
      </c>
      <c r="AP35" s="949"/>
      <c r="AQ35" s="949"/>
      <c r="AR35" s="949"/>
      <c r="AS35" s="949"/>
      <c r="AT35" s="949"/>
      <c r="AU35" s="949"/>
      <c r="AV35" s="949"/>
      <c r="AW35" s="949"/>
      <c r="AX35" s="949"/>
      <c r="AY35" s="949"/>
    </row>
    <row r="36" spans="1:51" hidden="1">
      <c r="A36" s="684">
        <f>'CG. MPB'!A37</f>
        <v>8</v>
      </c>
      <c r="B36" s="576" t="e">
        <f>'RMCV.PB'!O36/1.3</f>
        <v>#VALUE!</v>
      </c>
      <c r="C36" s="576" t="e">
        <f t="shared" si="11"/>
        <v>#VALUE!</v>
      </c>
      <c r="D36" s="578">
        <f>IF('CG. MPB'!D37="NO CONFINADO",0.4,0.7)</f>
        <v>0.7</v>
      </c>
      <c r="E36" s="578">
        <f>IF('CG. MPB'!E37="CONCRETO",0.5*(0.8*250)^0.5,F36+G36+I36+J36+H36)</f>
        <v>0</v>
      </c>
      <c r="F36" s="578">
        <f>IF(AND('CG. MPB'!E37="TABIQUE",'CG. MPB'!F37="MACIZO"),IF('RMCV.PB'!$E$17="I",3.5,3),0)</f>
        <v>0</v>
      </c>
      <c r="G36" s="578">
        <f>IF(AND('CG. MPB'!E37="TABIQUE",'CG. MPB'!F37="HUECO"),IF('RMCV.PB'!$E$17="I",3,5.5),0)</f>
        <v>0</v>
      </c>
      <c r="H36" s="578">
        <f>IF('CG. MPB'!E37="ADOBE",0.3,0)</f>
        <v>0</v>
      </c>
      <c r="I36" s="578">
        <f>IF(AND('CG. MPB'!E37="TABICON",'CG. MPB'!F37="MACIZO"),IF('RMCV.PB'!$E$17="I",3,2),0)</f>
        <v>0</v>
      </c>
      <c r="J36" s="578">
        <f>IF(AND('CG. MPB'!E37="TABICON",'CG. MPB'!F37="HUECO"),IF('RMCV.PB'!$E$17="I",3.5,2.5),0)</f>
        <v>0</v>
      </c>
      <c r="K36" s="576" t="e">
        <f>'RMCV.PB'!N36</f>
        <v>#VALUE!</v>
      </c>
      <c r="L36" s="918" t="e">
        <f>ABS('ELEM. MECA.'!F13)</f>
        <v>#VALUE!</v>
      </c>
      <c r="M36" s="937" t="e">
        <f t="shared" si="12"/>
        <v>#VALUE!</v>
      </c>
      <c r="N36" s="756" t="e">
        <f>IF('CG. MPB'!E37="CONCRETO","F/DISEÑO",IF(L36&gt;M36,IF(M36*1.05&gt;L36,"SE ACEPTA","NO PASA"),"PASA"))</f>
        <v>#VALUE!</v>
      </c>
      <c r="O36" s="466" t="e">
        <f>IF(N36="pasa"," ",$O$24/('RMCV.PB'!C36*100))</f>
        <v>#VALUE!</v>
      </c>
      <c r="P36" s="472" t="e">
        <f>IF(N36="pasa"," ",IF('CG. MPB'!E37="CONCRETO","F/DISEÑO",IF(AND(W36&gt;O36,O36&gt;X36),"BIEN","MAL")))</f>
        <v>#VALUE!</v>
      </c>
      <c r="Q36" s="466">
        <f>IF('CG. MPB'!F37="MACIZO",12/'RMCS.PB'!$O$25,9/'RMCS.PB'!$O$25)</f>
        <v>2.3999999999999998E-3</v>
      </c>
      <c r="R36" s="466">
        <f t="shared" si="13"/>
        <v>0</v>
      </c>
      <c r="S36" s="466">
        <f>IF(G36=0,0,IF(AND(G36=2,'RMCV.PB'!E24="III"),30,40))</f>
        <v>0</v>
      </c>
      <c r="T36" s="466">
        <f>IF(I36=0,0,IF(AND(I36=3,'RMCV.PB'!$E$17="I"),20,15))</f>
        <v>0</v>
      </c>
      <c r="U36" s="466">
        <f>IF(J36=0,0,IF(AND(J36=3.5,'RMCV.PB'!$E$17="I"),20,15))</f>
        <v>0</v>
      </c>
      <c r="V36" s="466">
        <f t="shared" si="14"/>
        <v>0</v>
      </c>
      <c r="W36" s="466">
        <f t="shared" si="15"/>
        <v>0</v>
      </c>
      <c r="X36" s="466" t="e">
        <f>IF('CG. MPB'!E37="CONCRETO",0,IF(M36/(D36*$O$25*K36)&gt;3/$O$25,M36/(D36*$O$25*K36),3/$O$25))</f>
        <v>#VALUE!</v>
      </c>
      <c r="Y36" s="765" t="e">
        <f t="shared" si="16"/>
        <v>#VALUE!</v>
      </c>
      <c r="Z36" s="466" t="e">
        <f t="shared" si="17"/>
        <v>#VALUE!</v>
      </c>
      <c r="AA36" s="766" t="e">
        <f t="shared" si="18"/>
        <v>#VALUE!</v>
      </c>
      <c r="AB36" s="943" t="e">
        <f t="shared" si="19"/>
        <v>#VALUE!</v>
      </c>
      <c r="AC36" s="767" t="e">
        <f>IF(N36="pasa"," ",IF('CG. MPB'!E37="CONCRETO","F/DISEÑO",IF(AB36&gt;L36,"PASA","NO PASA")))</f>
        <v>#VALUE!</v>
      </c>
      <c r="AD36" s="474" t="e">
        <f>$AD$23/($AD$27*'RMCV.PB'!C36)</f>
        <v>#VALUE!</v>
      </c>
      <c r="AE36" s="482" t="e">
        <f t="shared" si="20"/>
        <v>#VALUE!</v>
      </c>
      <c r="AF36" s="482">
        <f>IF(12/$AE$25&gt;'RMCV.PB'!F36*0.3/$AE$25,'RMCV.PB'!F36*0.3/$AE$25,12/$AE$25)</f>
        <v>0</v>
      </c>
      <c r="AG36" s="483" t="e">
        <f t="shared" si="21"/>
        <v>#VALUE!</v>
      </c>
      <c r="AH36" s="482">
        <f>IF(9/$AE$25&gt;'RMCV.PB'!F36*0.3/$AE$25,'RMCV.PB'!F36*0.3/$AE$25,9/$AE$25)</f>
        <v>0</v>
      </c>
      <c r="AI36" s="484" t="e">
        <f t="shared" si="22"/>
        <v>#VALUE!</v>
      </c>
      <c r="AJ36" s="485" t="e">
        <f t="shared" si="23"/>
        <v>#VALUE!</v>
      </c>
      <c r="AK36" s="486" t="e">
        <f t="shared" si="24"/>
        <v>#VALUE!</v>
      </c>
      <c r="AL36" s="486" t="e">
        <f t="shared" si="3"/>
        <v>#VALUE!</v>
      </c>
      <c r="AM36" s="487" t="e">
        <f>IF(N36="PASA"," ",IF('CG. MPB'!E37="CONCRETO","F/DISEÑO",IF(AL36&gt;L36,"PASA","NO PASA")))</f>
        <v>#VALUE!</v>
      </c>
      <c r="AN36" s="949"/>
      <c r="AO36" s="1043" t="e">
        <f t="shared" si="25"/>
        <v>#VALUE!</v>
      </c>
      <c r="AP36" s="949"/>
      <c r="AQ36" s="949"/>
      <c r="AR36" s="949"/>
      <c r="AS36" s="949"/>
      <c r="AT36" s="949"/>
      <c r="AU36" s="949"/>
      <c r="AV36" s="949"/>
      <c r="AW36" s="949"/>
      <c r="AX36" s="949"/>
      <c r="AY36" s="949"/>
    </row>
    <row r="37" spans="1:51" hidden="1">
      <c r="A37" s="684">
        <f>'CG. MPB'!A38</f>
        <v>9</v>
      </c>
      <c r="B37" s="576" t="e">
        <f>'RMCV.PB'!O37/1.3</f>
        <v>#VALUE!</v>
      </c>
      <c r="C37" s="576" t="e">
        <f t="shared" si="11"/>
        <v>#VALUE!</v>
      </c>
      <c r="D37" s="578">
        <f>IF('CG. MPB'!D38="NO CONFINADO",0.4,0.7)</f>
        <v>0.7</v>
      </c>
      <c r="E37" s="578">
        <f>IF('CG. MPB'!E38="CONCRETO",0.5*(0.8*250)^0.5,F37+G37+I37+J37+H37)</f>
        <v>0</v>
      </c>
      <c r="F37" s="578">
        <f>IF(AND('CG. MPB'!E38="TABIQUE",'CG. MPB'!F38="MACIZO"),IF('RMCV.PB'!$E$17="I",3.5,3),0)</f>
        <v>0</v>
      </c>
      <c r="G37" s="578">
        <f>IF(AND('CG. MPB'!E38="TABIQUE",'CG. MPB'!F38="HUECO"),IF('RMCV.PB'!$E$17="I",3,5.5),0)</f>
        <v>0</v>
      </c>
      <c r="H37" s="578">
        <f>IF('CG. MPB'!E38="ADOBE",0.3,0)</f>
        <v>0</v>
      </c>
      <c r="I37" s="578">
        <f>IF(AND('CG. MPB'!E38="TABICON",'CG. MPB'!F38="MACIZO"),IF('RMCV.PB'!$E$17="I",3,2),0)</f>
        <v>0</v>
      </c>
      <c r="J37" s="578">
        <f>IF(AND('CG. MPB'!E38="TABICON",'CG. MPB'!F38="HUECO"),IF('RMCV.PB'!$E$17="I",3.5,2.5),0)</f>
        <v>0</v>
      </c>
      <c r="K37" s="576" t="e">
        <f>'RMCV.PB'!N37</f>
        <v>#VALUE!</v>
      </c>
      <c r="L37" s="918" t="e">
        <f>ABS('ELEM. MECA.'!F14)</f>
        <v>#VALUE!</v>
      </c>
      <c r="M37" s="936" t="e">
        <f t="shared" si="12"/>
        <v>#VALUE!</v>
      </c>
      <c r="N37" s="756" t="e">
        <f>IF('CG. MPB'!E38="CONCRETO","F/DISEÑO",IF(L37&gt;M37,IF(M37*1.05&gt;L37,"SE ACEPTA","NO PASA"),"PASA"))</f>
        <v>#VALUE!</v>
      </c>
      <c r="O37" s="466" t="e">
        <f>IF(N37="pasa"," ",$O$24/('RMCV.PB'!C37*100))</f>
        <v>#VALUE!</v>
      </c>
      <c r="P37" s="472" t="e">
        <f>IF(N37="pasa"," ",IF('CG. MPB'!E38="CONCRETO","F/DISEÑO",IF(AND(W37&gt;O37,O37&gt;X37),"BIEN","MAL")))</f>
        <v>#VALUE!</v>
      </c>
      <c r="Q37" s="466">
        <f>IF('CG. MPB'!F38="MACIZO",12/'RMCS.PB'!$O$25,9/'RMCS.PB'!$O$25)</f>
        <v>2.3999999999999998E-3</v>
      </c>
      <c r="R37" s="466">
        <f t="shared" si="13"/>
        <v>0</v>
      </c>
      <c r="S37" s="466">
        <f>IF(G37=0,0,IF(AND(G37=2,'RMCV.PB'!E25="III"),30,40))</f>
        <v>0</v>
      </c>
      <c r="T37" s="466">
        <f>IF(I37=0,0,IF(AND(I37=3,'RMCV.PB'!$E$17="I"),20,15))</f>
        <v>0</v>
      </c>
      <c r="U37" s="466">
        <f>IF(J37=0,0,IF(AND(J37=3.5,'RMCV.PB'!$E$17="I"),20,15))</f>
        <v>0</v>
      </c>
      <c r="V37" s="466">
        <f t="shared" si="14"/>
        <v>0</v>
      </c>
      <c r="W37" s="466">
        <f t="shared" si="15"/>
        <v>0</v>
      </c>
      <c r="X37" s="466" t="e">
        <f>IF('CG. MPB'!E38="CONCRETO",0,IF(M37/(D37*$O$25*K37)&gt;3/$O$25,M37/(D37*$O$25*K37),3/$O$25))</f>
        <v>#VALUE!</v>
      </c>
      <c r="Y37" s="765" t="e">
        <f t="shared" si="16"/>
        <v>#VALUE!</v>
      </c>
      <c r="Z37" s="466" t="e">
        <f t="shared" si="17"/>
        <v>#VALUE!</v>
      </c>
      <c r="AA37" s="766" t="e">
        <f t="shared" si="18"/>
        <v>#VALUE!</v>
      </c>
      <c r="AB37" s="943" t="e">
        <f t="shared" si="19"/>
        <v>#VALUE!</v>
      </c>
      <c r="AC37" s="767" t="e">
        <f>IF(N37="pasa"," ",IF('CG. MPB'!E38="CONCRETO","F/DISEÑO",IF(AB37&gt;L37,"PASA","NO PASA")))</f>
        <v>#VALUE!</v>
      </c>
      <c r="AD37" s="474" t="e">
        <f>$AD$23/($AD$27*'RMCV.PB'!C37)</f>
        <v>#VALUE!</v>
      </c>
      <c r="AE37" s="482" t="e">
        <f t="shared" si="20"/>
        <v>#VALUE!</v>
      </c>
      <c r="AF37" s="482">
        <f>IF(12/$AE$25&gt;'RMCV.PB'!F37*0.3/$AE$25,'RMCV.PB'!F37*0.3/$AE$25,12/$AE$25)</f>
        <v>0</v>
      </c>
      <c r="AG37" s="483" t="e">
        <f t="shared" si="21"/>
        <v>#VALUE!</v>
      </c>
      <c r="AH37" s="482">
        <f>IF(9/$AE$25&gt;'RMCV.PB'!F37*0.3/$AE$25,'RMCV.PB'!F37*0.3/$AE$25,9/$AE$25)</f>
        <v>0</v>
      </c>
      <c r="AI37" s="484" t="e">
        <f t="shared" si="22"/>
        <v>#VALUE!</v>
      </c>
      <c r="AJ37" s="485" t="e">
        <f t="shared" si="23"/>
        <v>#VALUE!</v>
      </c>
      <c r="AK37" s="486" t="e">
        <f t="shared" si="24"/>
        <v>#VALUE!</v>
      </c>
      <c r="AL37" s="486" t="e">
        <f t="shared" si="3"/>
        <v>#VALUE!</v>
      </c>
      <c r="AM37" s="487" t="e">
        <f>IF(N37="PASA"," ",IF('CG. MPB'!E38="CONCRETO","F/DISEÑO",IF(AL37&gt;L37,"PASA","NO PASA")))</f>
        <v>#VALUE!</v>
      </c>
      <c r="AN37" s="949"/>
      <c r="AO37" s="1043" t="e">
        <f t="shared" si="25"/>
        <v>#VALUE!</v>
      </c>
      <c r="AP37" s="949"/>
      <c r="AQ37" s="949"/>
      <c r="AR37" s="949"/>
      <c r="AS37" s="949"/>
      <c r="AT37" s="949"/>
      <c r="AU37" s="949"/>
      <c r="AV37" s="949"/>
      <c r="AW37" s="949"/>
      <c r="AX37" s="949"/>
      <c r="AY37" s="949"/>
    </row>
    <row r="38" spans="1:51" hidden="1">
      <c r="A38" s="684">
        <f>'CG. MPB'!A39</f>
        <v>10</v>
      </c>
      <c r="B38" s="870" t="e">
        <f>'RMCV.PB'!O38/1.3</f>
        <v>#VALUE!</v>
      </c>
      <c r="C38" s="870" t="e">
        <f t="shared" si="11"/>
        <v>#VALUE!</v>
      </c>
      <c r="D38" s="578">
        <f>IF('CG. MPB'!D39="NO CONFINADO",0.4,0.7)</f>
        <v>0.7</v>
      </c>
      <c r="E38" s="578">
        <f>IF('CG. MPB'!E39="CONCRETO",0.5*(0.8*250)^0.5,F38+G38+I38+J38+H38)</f>
        <v>0</v>
      </c>
      <c r="F38" s="578">
        <f>IF(AND('CG. MPB'!E39="TABIQUE",'CG. MPB'!F39="MACIZO"),IF('RMCV.PB'!$E$17="I",3.5,3),0)</f>
        <v>0</v>
      </c>
      <c r="G38" s="578">
        <f>IF(AND('CG. MPB'!E39="TABIQUE",'CG. MPB'!F39="HUECO"),IF('RMCV.PB'!$E$17="I",3,5.5),0)</f>
        <v>0</v>
      </c>
      <c r="H38" s="578">
        <f>IF('CG. MPB'!E39="ADOBE",0.3,0)</f>
        <v>0</v>
      </c>
      <c r="I38" s="578">
        <f>IF(AND('CG. MPB'!E39="TABICON",'CG. MPB'!F39="MACIZO"),IF('RMCV.PB'!$E$17="I",3,2),0)</f>
        <v>0</v>
      </c>
      <c r="J38" s="578">
        <f>IF(AND('CG. MPB'!E39="TABICON",'CG. MPB'!F39="HUECO"),IF('RMCV.PB'!$E$17="I",3.5,2.5),0)</f>
        <v>0</v>
      </c>
      <c r="K38" s="870" t="e">
        <f>'RMCV.PB'!N38</f>
        <v>#VALUE!</v>
      </c>
      <c r="L38" s="918" t="e">
        <f>ABS('ELEM. MECA.'!F15)</f>
        <v>#VALUE!</v>
      </c>
      <c r="M38" s="936" t="e">
        <f t="shared" si="12"/>
        <v>#VALUE!</v>
      </c>
      <c r="N38" s="871" t="e">
        <f>IF('CG. MPB'!E39="CONCRETO","F/DISEÑO",IF(L38&gt;M38,IF(M38*1.05&gt;L38,"SE ACEPTA","NO PASA"),"PASA"))</f>
        <v>#VALUE!</v>
      </c>
      <c r="O38" s="466" t="e">
        <f>IF(N38="pasa"," ",$O$24/('RMCV.PB'!C38*100))</f>
        <v>#VALUE!</v>
      </c>
      <c r="P38" s="472" t="e">
        <f>IF(N38="pasa"," ",IF('CG. MPB'!E39="CONCRETO","F/DISEÑO",IF(AND(W38&gt;O38,O38&gt;X38),"BIEN","MAL")))</f>
        <v>#VALUE!</v>
      </c>
      <c r="Q38" s="466">
        <f>IF('CG. MPB'!F39="MACIZO",12/'RMCS.PB'!$O$25,9/'RMCS.PB'!$O$25)</f>
        <v>2.3999999999999998E-3</v>
      </c>
      <c r="R38" s="466">
        <f t="shared" si="13"/>
        <v>0</v>
      </c>
      <c r="S38" s="466">
        <f>IF(G38=0,0,IF(AND(G38=2,'RMCV.PB'!E26="III"),30,40))</f>
        <v>0</v>
      </c>
      <c r="T38" s="466">
        <f>IF(I38=0,0,IF(AND(I38=3,'RMCV.PB'!$E$17="I"),20,15))</f>
        <v>0</v>
      </c>
      <c r="U38" s="466">
        <f>IF(J38=0,0,IF(AND(J38=3.5,'RMCV.PB'!$E$17="I"),20,15))</f>
        <v>0</v>
      </c>
      <c r="V38" s="466">
        <f t="shared" si="14"/>
        <v>0</v>
      </c>
      <c r="W38" s="466">
        <f t="shared" si="15"/>
        <v>0</v>
      </c>
      <c r="X38" s="466" t="e">
        <f>IF('CG. MPB'!E39="CONCRETO",0,IF(M38/(D38*$O$25*K38)&gt;3/$O$25,M38/(D38*$O$25*K38),3/$O$25))</f>
        <v>#VALUE!</v>
      </c>
      <c r="Y38" s="765" t="e">
        <f t="shared" si="16"/>
        <v>#VALUE!</v>
      </c>
      <c r="Z38" s="466" t="e">
        <f t="shared" si="17"/>
        <v>#VALUE!</v>
      </c>
      <c r="AA38" s="766" t="e">
        <f t="shared" si="18"/>
        <v>#VALUE!</v>
      </c>
      <c r="AB38" s="943" t="e">
        <f t="shared" si="19"/>
        <v>#VALUE!</v>
      </c>
      <c r="AC38" s="767" t="e">
        <f>IF(N38="pasa"," ",IF('CG. MPB'!E39="CONCRETO","F/DISEÑO",IF(AB38&gt;L38,"PASA","NO PASA")))</f>
        <v>#VALUE!</v>
      </c>
      <c r="AD38" s="4" t="e">
        <f>$AD$23/($AD$27*'RMCV.PB'!C38)</f>
        <v>#VALUE!</v>
      </c>
      <c r="AE38" s="846" t="e">
        <f t="shared" si="20"/>
        <v>#VALUE!</v>
      </c>
      <c r="AF38" s="846">
        <f>IF(12/$AE$25&gt;'RMCV.PB'!F38*0.3/$AE$25,'RMCV.PB'!F38*0.3/$AE$25,12/$AE$25)</f>
        <v>0</v>
      </c>
      <c r="AG38" s="847" t="e">
        <f t="shared" si="21"/>
        <v>#VALUE!</v>
      </c>
      <c r="AH38" s="846">
        <f>IF(9/$AE$25&gt;'RMCV.PB'!F38*0.3/$AE$25,'RMCV.PB'!F38*0.3/$AE$25,9/$AE$25)</f>
        <v>0</v>
      </c>
      <c r="AI38" s="848" t="e">
        <f t="shared" si="22"/>
        <v>#VALUE!</v>
      </c>
      <c r="AJ38" s="849" t="e">
        <f t="shared" si="23"/>
        <v>#VALUE!</v>
      </c>
      <c r="AK38" s="45" t="e">
        <f t="shared" si="24"/>
        <v>#VALUE!</v>
      </c>
      <c r="AL38" s="45" t="e">
        <f t="shared" si="3"/>
        <v>#VALUE!</v>
      </c>
      <c r="AM38" s="86" t="e">
        <f>IF(N38="PASA"," ",IF('CG. MPB'!E39="CONCRETO","F/DISEÑO",IF(AL38&gt;L38,"PASA","NO PASA")))</f>
        <v>#VALUE!</v>
      </c>
      <c r="AO38" s="1043" t="e">
        <f t="shared" si="25"/>
        <v>#VALUE!</v>
      </c>
    </row>
    <row r="39" spans="1:51" ht="11.45" hidden="1" customHeight="1">
      <c r="A39" s="684">
        <f>'CG. MPB'!A40</f>
        <v>11</v>
      </c>
      <c r="B39" s="870" t="e">
        <f>'RMCV.PB'!O39/1.3</f>
        <v>#VALUE!</v>
      </c>
      <c r="C39" s="870" t="e">
        <f t="shared" si="11"/>
        <v>#VALUE!</v>
      </c>
      <c r="D39" s="578">
        <f>IF('CG. MPB'!D40="NO CONFINADO",0.4,0.7)</f>
        <v>0.7</v>
      </c>
      <c r="E39" s="578">
        <f>IF('CG. MPB'!E40="CONCRETO",0.5*(0.8*250)^0.5,F39+G39+I39+J39+H39)</f>
        <v>0</v>
      </c>
      <c r="F39" s="578">
        <f>IF(AND('CG. MPB'!E40="TABIQUE",'CG. MPB'!F40="MACIZO"),IF('RMCV.PB'!$E$17="I",3.5,3),0)</f>
        <v>0</v>
      </c>
      <c r="G39" s="578">
        <f>IF(AND('CG. MPB'!E40="TABIQUE",'CG. MPB'!F40="HUECO"),IF('RMCV.PB'!$E$17="I",3,5.5),0)</f>
        <v>0</v>
      </c>
      <c r="H39" s="578">
        <f>IF('CG. MPB'!E40="ADOBE",0.3,0)</f>
        <v>0</v>
      </c>
      <c r="I39" s="578">
        <f>IF(AND('CG. MPB'!E40="TABICON",'CG. MPB'!F40="MACIZO"),IF('RMCV.PB'!$E$17="I",3,2),0)</f>
        <v>0</v>
      </c>
      <c r="J39" s="578">
        <f>IF(AND('CG. MPB'!E40="TABICON",'CG. MPB'!F40="HUECO"),IF('RMCV.PB'!$E$17="I",3.5,2.5),0)</f>
        <v>0</v>
      </c>
      <c r="K39" s="870" t="e">
        <f>'RMCV.PB'!N39</f>
        <v>#VALUE!</v>
      </c>
      <c r="L39" s="918" t="e">
        <f>ABS('ELEM. MECA.'!F16)</f>
        <v>#VALUE!</v>
      </c>
      <c r="M39" s="936" t="e">
        <f t="shared" si="12"/>
        <v>#VALUE!</v>
      </c>
      <c r="N39" s="871" t="e">
        <f>IF('CG. MPB'!E40="CONCRETO","F/DISEÑO",IF(L39&gt;M39,IF(M39*1.05&gt;L39,"SE ACEPTA","NO PASA"),"PASA"))</f>
        <v>#VALUE!</v>
      </c>
      <c r="O39" s="466" t="e">
        <f>IF(N39="pasa"," ",$O$24/('RMCV.PB'!C39*100))</f>
        <v>#VALUE!</v>
      </c>
      <c r="P39" s="472" t="e">
        <f>IF(N39="pasa"," ",IF('CG. MPB'!E40="CONCRETO","F/DISEÑO",IF(AND(W39&gt;O39,O39&gt;X39),"BIEN","MAL")))</f>
        <v>#VALUE!</v>
      </c>
      <c r="Q39" s="466">
        <f>IF('CG. MPB'!F40="MACIZO",12/'RMCS.PB'!$O$25,9/'RMCS.PB'!$O$25)</f>
        <v>2.3999999999999998E-3</v>
      </c>
      <c r="R39" s="466">
        <f t="shared" si="13"/>
        <v>0</v>
      </c>
      <c r="S39" s="466">
        <f>IF(G39=0,0,IF(AND(G39=2,'RMCV.PB'!E27="III"),30,40))</f>
        <v>0</v>
      </c>
      <c r="T39" s="466">
        <f>IF(I39=0,0,IF(AND(I39=3,'RMCV.PB'!$E$17="I"),20,15))</f>
        <v>0</v>
      </c>
      <c r="U39" s="466">
        <f>IF(J39=0,0,IF(AND(J39=3.5,'RMCV.PB'!$E$17="I"),20,15))</f>
        <v>0</v>
      </c>
      <c r="V39" s="466">
        <f t="shared" si="14"/>
        <v>0</v>
      </c>
      <c r="W39" s="466">
        <f t="shared" si="15"/>
        <v>0</v>
      </c>
      <c r="X39" s="466" t="e">
        <f>IF('CG. MPB'!E40="CONCRETO",0,IF(M39/(D39*$O$25*K39)&gt;3/$O$25,M39/(D39*$O$25*K39),3/$O$25))</f>
        <v>#VALUE!</v>
      </c>
      <c r="Y39" s="765" t="e">
        <f t="shared" si="16"/>
        <v>#VALUE!</v>
      </c>
      <c r="Z39" s="466" t="e">
        <f t="shared" si="17"/>
        <v>#VALUE!</v>
      </c>
      <c r="AA39" s="766" t="e">
        <f t="shared" si="18"/>
        <v>#VALUE!</v>
      </c>
      <c r="AB39" s="943" t="e">
        <f t="shared" si="19"/>
        <v>#VALUE!</v>
      </c>
      <c r="AC39" s="767" t="e">
        <f>IF(N39="pasa"," ",IF('CG. MPB'!E40="CONCRETO","F/DISEÑO",IF(AB39&gt;L39,"PASA","NO PASA")))</f>
        <v>#VALUE!</v>
      </c>
      <c r="AD39" s="4" t="e">
        <f>$AD$23/($AD$27*'RMCV.PB'!C39)</f>
        <v>#VALUE!</v>
      </c>
      <c r="AE39" s="846" t="e">
        <f t="shared" si="20"/>
        <v>#VALUE!</v>
      </c>
      <c r="AF39" s="846">
        <f>IF(12/$AE$25&gt;'RMCV.PB'!F39*0.3/$AE$25,'RMCV.PB'!F39*0.3/$AE$25,12/$AE$25)</f>
        <v>0</v>
      </c>
      <c r="AG39" s="847" t="e">
        <f t="shared" si="21"/>
        <v>#VALUE!</v>
      </c>
      <c r="AH39" s="846">
        <f>IF(9/$AE$25&gt;'RMCV.PB'!F39*0.3/$AE$25,'RMCV.PB'!F39*0.3/$AE$25,9/$AE$25)</f>
        <v>0</v>
      </c>
      <c r="AI39" s="848" t="e">
        <f t="shared" si="22"/>
        <v>#VALUE!</v>
      </c>
      <c r="AJ39" s="849" t="e">
        <f t="shared" si="23"/>
        <v>#VALUE!</v>
      </c>
      <c r="AK39" s="45" t="e">
        <f t="shared" si="24"/>
        <v>#VALUE!</v>
      </c>
      <c r="AL39" s="45" t="e">
        <f t="shared" si="3"/>
        <v>#VALUE!</v>
      </c>
      <c r="AM39" s="86" t="e">
        <f>IF(N39="PASA"," ",IF('CG. MPB'!E40="CONCRETO","F/DISEÑO",IF(AL39&gt;L39,"PASA","NO PASA")))</f>
        <v>#VALUE!</v>
      </c>
      <c r="AO39" s="1043" t="e">
        <f t="shared" si="25"/>
        <v>#VALUE!</v>
      </c>
    </row>
    <row r="40" spans="1:51" hidden="1">
      <c r="A40" s="684">
        <f>'CG. MPB'!A41</f>
        <v>12</v>
      </c>
      <c r="B40" s="870" t="e">
        <f>'RMCV.PB'!O40/1.3</f>
        <v>#VALUE!</v>
      </c>
      <c r="C40" s="870" t="e">
        <f t="shared" si="1"/>
        <v>#VALUE!</v>
      </c>
      <c r="D40" s="578">
        <f>IF('CG. MPB'!D41="NO CONFINADO",0.4,0.7)</f>
        <v>0.7</v>
      </c>
      <c r="E40" s="578">
        <f>IF('CG. MPB'!E41="CONCRETO",0.5*(0.8*250)^0.5,F40+G40+I40+J40+H40)</f>
        <v>0</v>
      </c>
      <c r="F40" s="578">
        <f>IF(AND('CG. MPB'!E41="TABIQUE",'CG. MPB'!F41="MACIZO"),IF('RMCV.PB'!$E$17="I",3.5,3),0)</f>
        <v>0</v>
      </c>
      <c r="G40" s="578">
        <f>IF(AND('CG. MPB'!E41="TABIQUE",'CG. MPB'!F41="HUECO"),IF('RMCV.PB'!$E$17="I",3,5.5),0)</f>
        <v>0</v>
      </c>
      <c r="H40" s="578">
        <f>IF('CG. MPB'!E41="ADOBE",0.3,0)</f>
        <v>0</v>
      </c>
      <c r="I40" s="578">
        <f>IF(AND('CG. MPB'!E41="TABICON",'CG. MPB'!F41="MACIZO"),IF('RMCV.PB'!$E$17="I",3,2),0)</f>
        <v>0</v>
      </c>
      <c r="J40" s="578">
        <f>IF(AND('CG. MPB'!E41="TABICON",'CG. MPB'!F41="HUECO"),IF('RMCV.PB'!$E$17="I",3.5,2.5),0)</f>
        <v>0</v>
      </c>
      <c r="K40" s="870" t="e">
        <f>'RMCV.PB'!N40</f>
        <v>#VALUE!</v>
      </c>
      <c r="L40" s="918" t="e">
        <f>ABS('ELEM. MECA.'!F17)</f>
        <v>#VALUE!</v>
      </c>
      <c r="M40" s="936" t="e">
        <f>IF(((D40*E40*K40*0.5)+(D40*C40))&lt;(D40*E40*K40*1.5),((D40*E40*K40*0.5)+(D40*C40)),(D40*E40*K40*1.5))</f>
        <v>#VALUE!</v>
      </c>
      <c r="N40" s="871" t="e">
        <f>IF('CG. MPB'!E41="CONCRETO","F/DISEÑO",IF(L40&gt;M40,IF(M40*1.05&gt;L40,"SE ACEPTA","NO PASA"),"PASA"))</f>
        <v>#VALUE!</v>
      </c>
      <c r="O40" s="466" t="e">
        <f>IF(N40="pasa"," ",$O$24/('RMCV.PB'!C40*100))</f>
        <v>#VALUE!</v>
      </c>
      <c r="P40" s="472" t="e">
        <f>IF(N40="pasa"," ",IF('CG. MPB'!E41="CONCRETO","F/DISEÑO",IF(AND(W40&gt;O40,O40&gt;X40),"BIEN","MAL")))</f>
        <v>#VALUE!</v>
      </c>
      <c r="Q40" s="466">
        <f>IF('CG. MPB'!F41="MACIZO",12/'RMCS.PB'!$O$25,9/'RMCS.PB'!$O$25)</f>
        <v>2.3999999999999998E-3</v>
      </c>
      <c r="R40" s="466">
        <f t="shared" ref="R40:R45" si="26">IF(F40&gt;0,15,0)</f>
        <v>0</v>
      </c>
      <c r="S40" s="466">
        <f>IF(G40=0,0,IF(AND(G40=2,'RMCV.PB'!E28="III"),30,40))</f>
        <v>0</v>
      </c>
      <c r="T40" s="466">
        <f>IF(I40=0,0,IF(AND(I40=3,'RMCV.PB'!$E$17="I"),20,15))</f>
        <v>0</v>
      </c>
      <c r="U40" s="466">
        <f>IF(J40=0,0,IF(AND(J40=3.5,'RMCV.PB'!$E$17="I"),20,15))</f>
        <v>0</v>
      </c>
      <c r="V40" s="466">
        <f t="shared" ref="V40:V45" si="27">(R40+S40+T40+U40)*0.3/$O$25</f>
        <v>0</v>
      </c>
      <c r="W40" s="466">
        <f t="shared" ref="W40:W45" si="28">IF(Q40&gt;V40,V40,Q40)</f>
        <v>0</v>
      </c>
      <c r="X40" s="466" t="e">
        <f>IF('CG. MPB'!E41="CONCRETO",0,IF(M40/(D40*$O$25*K40)&gt;3/$O$25,M40/(D40*$O$25*K40),3/$O$25))</f>
        <v>#VALUE!</v>
      </c>
      <c r="Y40" s="765" t="e">
        <f t="shared" ref="Y40:Y45" si="29">O40*$O$25</f>
        <v>#VALUE!</v>
      </c>
      <c r="Z40" s="466" t="e">
        <f t="shared" ref="Z40:Z45" si="30">IF(6&gt;Y40,0.6,IF(Y40&gt;9,0.2,(0.4*(9-Y40)/3)+0.2))</f>
        <v>#VALUE!</v>
      </c>
      <c r="AA40" s="766" t="e">
        <f t="shared" ref="AA40:AA45" si="31">D40*Z40*O40*$O$25*K40</f>
        <v>#VALUE!</v>
      </c>
      <c r="AB40" s="943" t="e">
        <f t="shared" ref="AB40:AB45" si="32">IF(N40="pasa"," ",AA40+M40)</f>
        <v>#VALUE!</v>
      </c>
      <c r="AC40" s="767" t="e">
        <f>IF(N40="pasa"," ",IF('CG. MPB'!E41="CONCRETO","F/DISEÑO",IF(AB40&gt;L40,"PASA","NO PASA")))</f>
        <v>#VALUE!</v>
      </c>
      <c r="AD40" s="4" t="e">
        <f>$AD$23/($AD$27*'RMCV.PB'!C40)</f>
        <v>#VALUE!</v>
      </c>
      <c r="AE40" s="846" t="e">
        <f t="shared" si="20"/>
        <v>#VALUE!</v>
      </c>
      <c r="AF40" s="846">
        <f>IF(12/$AE$25&gt;'RMCV.PB'!F40*0.3/$AE$25,'RMCV.PB'!F40*0.3/$AE$25,12/$AE$25)</f>
        <v>0</v>
      </c>
      <c r="AG40" s="847" t="e">
        <f t="shared" si="21"/>
        <v>#VALUE!</v>
      </c>
      <c r="AH40" s="846">
        <f>IF(9/$AE$25&gt;'RMCV.PB'!F40*0.3/$AE$25,'RMCV.PB'!F40*0.3/$AE$25,9/$AE$25)</f>
        <v>0</v>
      </c>
      <c r="AI40" s="848" t="e">
        <f t="shared" si="22"/>
        <v>#VALUE!</v>
      </c>
      <c r="AJ40" s="849" t="e">
        <f t="shared" si="23"/>
        <v>#VALUE!</v>
      </c>
      <c r="AK40" s="45" t="e">
        <f t="shared" si="24"/>
        <v>#VALUE!</v>
      </c>
      <c r="AL40" s="45" t="e">
        <f t="shared" si="3"/>
        <v>#VALUE!</v>
      </c>
      <c r="AM40" s="86" t="e">
        <f>IF(N40="PASA"," ",IF('CG. MPB'!E41="CONCRETO","F/DISEÑO",IF(AL40&gt;L40,"PASA","NO PASA")))</f>
        <v>#VALUE!</v>
      </c>
    </row>
    <row r="41" spans="1:51" hidden="1">
      <c r="A41" s="684">
        <f>'CG. MPB'!A42</f>
        <v>13</v>
      </c>
      <c r="B41" s="870" t="e">
        <f>'RMCV.PB'!O41/1.3</f>
        <v>#VALUE!</v>
      </c>
      <c r="C41" s="870" t="e">
        <f t="shared" si="1"/>
        <v>#VALUE!</v>
      </c>
      <c r="D41" s="578">
        <f>IF('CG. MPB'!D42="NO CONFINADO",0.4,0.7)</f>
        <v>0.7</v>
      </c>
      <c r="E41" s="578">
        <f>IF('CG. MPB'!E42="CONCRETO",0.5*(0.8*250)^0.5,F41+G41+I41+J41+H41)</f>
        <v>0</v>
      </c>
      <c r="F41" s="578">
        <f>IF(AND('CG. MPB'!E42="TABIQUE",'CG. MPB'!F42="MACIZO"),IF('RMCV.PB'!$E$17="I",3.5,3),0)</f>
        <v>0</v>
      </c>
      <c r="G41" s="578">
        <f>IF(AND('CG. MPB'!E42="TABIQUE",'CG. MPB'!F42="HUECO"),IF('RMCV.PB'!$E$17="I",3,2),0)</f>
        <v>0</v>
      </c>
      <c r="H41" s="578">
        <f>IF('CG. MPB'!E42="ADOBE",0.3,0)</f>
        <v>0</v>
      </c>
      <c r="I41" s="578">
        <f>IF(AND('CG. MPB'!E42="TABICON",'CG. MPB'!F42="MACIZO"),IF('RMCV.PB'!$E$17="I",3,2),0)</f>
        <v>0</v>
      </c>
      <c r="J41" s="578">
        <f>IF(AND('CG. MPB'!E42="TABICON",'CG. MPB'!F42="HUECO"),IF('RMCV.PB'!$E$17="I",3.5,2.5),0)</f>
        <v>0</v>
      </c>
      <c r="K41" s="870" t="e">
        <f>'RMCV.PB'!N41</f>
        <v>#VALUE!</v>
      </c>
      <c r="L41" s="918" t="e">
        <f>ABS('ELEM. MECA.'!F18)</f>
        <v>#VALUE!</v>
      </c>
      <c r="M41" s="937" t="e">
        <f t="shared" si="4"/>
        <v>#VALUE!</v>
      </c>
      <c r="N41" s="871" t="e">
        <f>IF('CG. MPB'!E42="CONCRETO","F/DISEÑO",IF(L41&gt;M41,IF(M41*1.05&gt;L41,"SE ACEPTA","NO PASA"),"PASA"))</f>
        <v>#VALUE!</v>
      </c>
      <c r="O41" s="466" t="e">
        <f>IF(N41="pasa"," ",$O$24/('RMCV.PB'!C41*100))</f>
        <v>#VALUE!</v>
      </c>
      <c r="P41" s="472" t="e">
        <f>IF(N41="pasa"," ",IF('CG. MPB'!E42="CONCRETO","F/DISEÑO",IF(AND(W41&gt;O41,O41&gt;X41),"BIEN","MAL")))</f>
        <v>#VALUE!</v>
      </c>
      <c r="Q41" s="466">
        <f>IF('CG. MPB'!F42="MACIZO",12/'RMCS.PB'!$O$25,9/'RMCS.PB'!$O$25)</f>
        <v>2.3999999999999998E-3</v>
      </c>
      <c r="R41" s="466">
        <f t="shared" si="26"/>
        <v>0</v>
      </c>
      <c r="S41" s="466">
        <f>IF(G41=0,0,IF(AND(G41=2,'RMCV.PB'!E29="III"),30,40))</f>
        <v>0</v>
      </c>
      <c r="T41" s="466">
        <f>IF(I41=0,0,IF(AND(I41=3,'RMCV.PB'!$E$17="I"),20,15))</f>
        <v>0</v>
      </c>
      <c r="U41" s="466">
        <f>IF(J41=0,0,IF(AND(J41=3.5,'RMCV.PB'!$E$17="I"),20,15))</f>
        <v>0</v>
      </c>
      <c r="V41" s="466">
        <f t="shared" si="27"/>
        <v>0</v>
      </c>
      <c r="W41" s="466">
        <f t="shared" si="28"/>
        <v>0</v>
      </c>
      <c r="X41" s="466" t="e">
        <f>IF('CG. MPB'!E42="CONCRETO",0,IF(M41/(D41*$O$25*K41)&gt;3/$O$25,M41/(D41*$O$25*K41),3/$O$25))</f>
        <v>#VALUE!</v>
      </c>
      <c r="Y41" s="765" t="e">
        <f t="shared" si="29"/>
        <v>#VALUE!</v>
      </c>
      <c r="Z41" s="466" t="e">
        <f t="shared" si="30"/>
        <v>#VALUE!</v>
      </c>
      <c r="AA41" s="766" t="e">
        <f t="shared" si="31"/>
        <v>#VALUE!</v>
      </c>
      <c r="AB41" s="943" t="e">
        <f t="shared" si="32"/>
        <v>#VALUE!</v>
      </c>
      <c r="AC41" s="767" t="e">
        <f>IF(N41="pasa"," ",IF('CG. MPB'!E42="CONCRETO","F/DISEÑO",IF(AB41&gt;L41,"PASA","NO PASA")))</f>
        <v>#VALUE!</v>
      </c>
      <c r="AD41" s="4" t="e">
        <f>$AD$23/($AD$27*'RMCV.PB'!C41)</f>
        <v>#VALUE!</v>
      </c>
      <c r="AE41" s="846" t="e">
        <f t="shared" si="20"/>
        <v>#VALUE!</v>
      </c>
      <c r="AF41" s="846">
        <f>IF(12/$AE$25&gt;'RMCV.PB'!F41*0.3/$AE$25,'RMCV.PB'!F41*0.3/$AE$25,12/$AE$25)</f>
        <v>0</v>
      </c>
      <c r="AG41" s="847" t="e">
        <f t="shared" si="21"/>
        <v>#VALUE!</v>
      </c>
      <c r="AH41" s="846">
        <f>IF(9/$AE$25&gt;'RMCV.PB'!F41*0.3/$AE$25,'RMCV.PB'!F41*0.3/$AE$25,9/$AE$25)</f>
        <v>0</v>
      </c>
      <c r="AI41" s="848" t="e">
        <f t="shared" si="22"/>
        <v>#VALUE!</v>
      </c>
      <c r="AJ41" s="849" t="e">
        <f t="shared" si="23"/>
        <v>#VALUE!</v>
      </c>
      <c r="AK41" s="45" t="e">
        <f t="shared" si="24"/>
        <v>#VALUE!</v>
      </c>
      <c r="AL41" s="45" t="e">
        <f t="shared" si="3"/>
        <v>#VALUE!</v>
      </c>
      <c r="AM41" s="86" t="e">
        <f>IF(N41="PASA"," ",IF('CG. MPB'!E42="CONCRETO","F/DISEÑO",IF(AL41&gt;M41,"PASA","NO PASA")))</f>
        <v>#VALUE!</v>
      </c>
    </row>
    <row r="42" spans="1:51" hidden="1">
      <c r="A42" s="684">
        <f>'CG. MPB'!A43</f>
        <v>14</v>
      </c>
      <c r="B42" s="870" t="e">
        <f>'RMCV.PB'!O42/1.3</f>
        <v>#VALUE!</v>
      </c>
      <c r="C42" s="870" t="e">
        <f t="shared" si="1"/>
        <v>#VALUE!</v>
      </c>
      <c r="D42" s="578">
        <f>IF('CG. MPB'!D43="NO CONFINADO",0.4,0.7)</f>
        <v>0.7</v>
      </c>
      <c r="E42" s="578">
        <f>IF('CG. MPB'!E43="CONCRETO",0.5*(0.8*250)^0.5,F42+G42+I42+J42+H42)</f>
        <v>0</v>
      </c>
      <c r="F42" s="578">
        <f>IF(AND('CG. MPB'!E43="TABIQUE",'CG. MPB'!F43="MACIZO"),IF('RMCV.PB'!$E$17="I",3.5,3),0)</f>
        <v>0</v>
      </c>
      <c r="G42" s="578">
        <f>IF(AND('CG. MPB'!E43="TABIQUE",'CG. MPB'!F43="HUECO"),IF('RMCV.PB'!$E$17="I",3,2),0)</f>
        <v>0</v>
      </c>
      <c r="H42" s="578">
        <f>IF('CG. MPB'!E43="ADOBE",0.3,0)</f>
        <v>0</v>
      </c>
      <c r="I42" s="578">
        <f>IF(AND('CG. MPB'!E43="TABICON",'CG. MPB'!F43="MACIZO"),IF('RMCV.PB'!$E$17="I",3,2),0)</f>
        <v>0</v>
      </c>
      <c r="J42" s="578">
        <f>IF(AND('CG. MPB'!E43="TABICON",'CG. MPB'!F43="HUECO"),IF('RMCV.PB'!$E$17="I",3.5,2.5),0)</f>
        <v>0</v>
      </c>
      <c r="K42" s="870" t="e">
        <f>'RMCV.PB'!N42</f>
        <v>#VALUE!</v>
      </c>
      <c r="L42" s="918" t="e">
        <f>ABS('ELEM. MECA.'!F19)</f>
        <v>#VALUE!</v>
      </c>
      <c r="M42" s="937" t="e">
        <f t="shared" si="4"/>
        <v>#VALUE!</v>
      </c>
      <c r="N42" s="871" t="e">
        <f>IF('CG. MPB'!E43="CONCRETO","F/DISEÑO",IF(L42&gt;M42,IF(M42*1.05&gt;L42,"SE ACEPTA","NO PASA"),"PASA"))</f>
        <v>#VALUE!</v>
      </c>
      <c r="O42" s="466" t="e">
        <f>IF(N42="pasa"," ",$O$24/('RMCV.PB'!C42*100))</f>
        <v>#VALUE!</v>
      </c>
      <c r="P42" s="472" t="e">
        <f>IF(N42="pasa"," ",IF('CG. MPB'!E43="CONCRETO","F/DISEÑO",IF(AND(W42&gt;O42,O42&gt;X42),"BIEN","MAL")))</f>
        <v>#VALUE!</v>
      </c>
      <c r="Q42" s="466">
        <f>IF('CG. MPB'!F43="MACIZO",12/'RMCS.PB'!$O$25,9/'RMCS.PB'!$O$25)</f>
        <v>2.3999999999999998E-3</v>
      </c>
      <c r="R42" s="466">
        <f t="shared" si="26"/>
        <v>0</v>
      </c>
      <c r="S42" s="466">
        <f>IF(G42=0,0,IF(AND(G42=2,'RMCV.PB'!E30="III"),30,40))</f>
        <v>0</v>
      </c>
      <c r="T42" s="466">
        <f>IF(I42=0,0,IF(AND(I42=3,'RMCV.PB'!$E$17="I"),20,15))</f>
        <v>0</v>
      </c>
      <c r="U42" s="466">
        <f>IF(J42=0,0,IF(AND(J42=3.5,'RMCV.PB'!$E$17="I"),20,15))</f>
        <v>0</v>
      </c>
      <c r="V42" s="466">
        <f t="shared" si="27"/>
        <v>0</v>
      </c>
      <c r="W42" s="466">
        <f t="shared" si="28"/>
        <v>0</v>
      </c>
      <c r="X42" s="466" t="e">
        <f>IF('CG. MPB'!E43="CONCRETO",0,IF(M42/(D42*$O$25*K42)&gt;3/$O$25,M42/(D42*$O$25*K42),3/$O$25))</f>
        <v>#VALUE!</v>
      </c>
      <c r="Y42" s="765" t="e">
        <f t="shared" si="29"/>
        <v>#VALUE!</v>
      </c>
      <c r="Z42" s="466" t="e">
        <f t="shared" si="30"/>
        <v>#VALUE!</v>
      </c>
      <c r="AA42" s="766" t="e">
        <f t="shared" si="31"/>
        <v>#VALUE!</v>
      </c>
      <c r="AB42" s="943" t="e">
        <f t="shared" si="32"/>
        <v>#VALUE!</v>
      </c>
      <c r="AC42" s="767" t="e">
        <f>IF(N42="pasa"," ",IF('CG. MPB'!E43="CONCRETO","F/DISEÑO",IF(AB42&gt;L42,"PASA","NO PASA")))</f>
        <v>#VALUE!</v>
      </c>
      <c r="AD42" s="4" t="e">
        <f>$AD$23/($AD$27*'RMCV.PB'!C42)</f>
        <v>#VALUE!</v>
      </c>
      <c r="AE42" s="846" t="e">
        <f t="shared" si="20"/>
        <v>#VALUE!</v>
      </c>
      <c r="AF42" s="846">
        <f>IF(12/$AE$25&gt;'RMCV.PB'!F42*0.3/$AE$25,'RMCV.PB'!F42*0.3/$AE$25,12/$AE$25)</f>
        <v>0</v>
      </c>
      <c r="AG42" s="847" t="e">
        <f t="shared" si="21"/>
        <v>#VALUE!</v>
      </c>
      <c r="AH42" s="846">
        <f>IF(9/$AE$25&gt;'RMCV.PB'!F42*0.3/$AE$25,'RMCV.PB'!F42*0.3/$AE$25,9/$AE$25)</f>
        <v>0</v>
      </c>
      <c r="AI42" s="848" t="e">
        <f t="shared" si="22"/>
        <v>#VALUE!</v>
      </c>
      <c r="AJ42" s="849" t="e">
        <f t="shared" si="23"/>
        <v>#VALUE!</v>
      </c>
      <c r="AK42" s="45" t="e">
        <f t="shared" si="24"/>
        <v>#VALUE!</v>
      </c>
      <c r="AL42" s="45" t="e">
        <f t="shared" si="3"/>
        <v>#VALUE!</v>
      </c>
      <c r="AM42" s="86" t="e">
        <f>IF(N42="PASA"," ",IF('CG. MPB'!E43="CONCRETO","F/DISEÑO",IF(AL42&gt;M42,"PASA","NO PASA")))</f>
        <v>#VALUE!</v>
      </c>
    </row>
    <row r="43" spans="1:51" hidden="1">
      <c r="A43" s="684">
        <f>'CG. MPB'!A44</f>
        <v>15</v>
      </c>
      <c r="B43" s="870" t="e">
        <f>'RMCV.PB'!O43/1.3</f>
        <v>#VALUE!</v>
      </c>
      <c r="C43" s="870" t="e">
        <f t="shared" si="1"/>
        <v>#VALUE!</v>
      </c>
      <c r="D43" s="578">
        <f>IF('CG. MPB'!D44="NO CONFINADO",0.4,0.7)</f>
        <v>0.7</v>
      </c>
      <c r="E43" s="578">
        <f>IF('CG. MPB'!E44="CONCRETO",0.5*(0.8*250)^0.5,F43+G43+I43+J43+H43)</f>
        <v>0</v>
      </c>
      <c r="F43" s="578">
        <f>IF(AND('CG. MPB'!E44="TABIQUE",'CG. MPB'!F44="MACIZO"),IF('RMCV.PB'!$E$17="I",3.5,3),0)</f>
        <v>0</v>
      </c>
      <c r="G43" s="578">
        <f>IF(AND('CG. MPB'!E44="TABIQUE",'CG. MPB'!F44="HUECO"),IF('RMCV.PB'!$E$17="I",3,2),0)</f>
        <v>0</v>
      </c>
      <c r="H43" s="578">
        <f>IF('CG. MPB'!E44="ADOBE",0.3,0)</f>
        <v>0</v>
      </c>
      <c r="I43" s="578">
        <f>IF(AND('CG. MPB'!E44="TABICON",'CG. MPB'!F44="MACIZO"),IF('RMCV.PB'!$E$17="I",3,2),0)</f>
        <v>0</v>
      </c>
      <c r="J43" s="578">
        <f>IF(AND('CG. MPB'!E44="TABICON",'CG. MPB'!F44="HUECO"),IF('RMCV.PB'!$E$17="I",3.5,2.5),0)</f>
        <v>0</v>
      </c>
      <c r="K43" s="870" t="e">
        <f>'RMCV.PB'!N43</f>
        <v>#VALUE!</v>
      </c>
      <c r="L43" s="918" t="e">
        <f>ABS('ELEM. MECA.'!F20)</f>
        <v>#VALUE!</v>
      </c>
      <c r="M43" s="937" t="e">
        <f t="shared" si="4"/>
        <v>#VALUE!</v>
      </c>
      <c r="N43" s="871" t="e">
        <f>IF('CG. MPB'!E44="CONCRETO","F/DISEÑO",IF(L43&gt;M43,IF(M43*1.05&gt;L43,"SE ACEPTA","NO PASA"),"PASA"))</f>
        <v>#VALUE!</v>
      </c>
      <c r="O43" s="466" t="e">
        <f>IF(N43="pasa"," ",$O$24/('RMCV.PB'!C43*100))</f>
        <v>#VALUE!</v>
      </c>
      <c r="P43" s="472" t="e">
        <f>IF(N43="pasa"," ",IF('CG. MPB'!E44="CONCRETO","F/DISEÑO",IF(AND(W43&gt;O43,O43&gt;X43),"BIEN","MAL")))</f>
        <v>#VALUE!</v>
      </c>
      <c r="Q43" s="466">
        <f>IF('CG. MPB'!F44="MACIZO",12/'RMCS.PB'!$O$25,9/'RMCS.PB'!$O$25)</f>
        <v>2.3999999999999998E-3</v>
      </c>
      <c r="R43" s="466">
        <f t="shared" si="26"/>
        <v>0</v>
      </c>
      <c r="S43" s="466">
        <f>IF(G43=0,0,IF(AND(G43=2,'RMCV.PB'!E31="III"),30,40))</f>
        <v>0</v>
      </c>
      <c r="T43" s="466">
        <f>IF(I43=0,0,IF(AND(I43=3,'RMCV.PB'!$E$17="I"),20,15))</f>
        <v>0</v>
      </c>
      <c r="U43" s="466">
        <f>IF(J43=0,0,IF(AND(J43=3.5,'RMCV.PB'!$E$17="I"),20,15))</f>
        <v>0</v>
      </c>
      <c r="V43" s="466">
        <f t="shared" si="27"/>
        <v>0</v>
      </c>
      <c r="W43" s="466">
        <f t="shared" si="28"/>
        <v>0</v>
      </c>
      <c r="X43" s="466" t="e">
        <f>IF('CG. MPB'!E44="CONCRETO",0,IF(M43/(D43*$O$25*K43)&gt;3/$O$25,M43/(D43*$O$25*K43),3/$O$25))</f>
        <v>#VALUE!</v>
      </c>
      <c r="Y43" s="765" t="e">
        <f t="shared" si="29"/>
        <v>#VALUE!</v>
      </c>
      <c r="Z43" s="466" t="e">
        <f t="shared" si="30"/>
        <v>#VALUE!</v>
      </c>
      <c r="AA43" s="766" t="e">
        <f t="shared" si="31"/>
        <v>#VALUE!</v>
      </c>
      <c r="AB43" s="943" t="e">
        <f t="shared" si="32"/>
        <v>#VALUE!</v>
      </c>
      <c r="AC43" s="767" t="e">
        <f>IF(N43="pasa"," ",IF('CG. MPB'!E44="CONCRETO","F/DISEÑO",IF(AB43&gt;L43,"PASA","NO PASA")))</f>
        <v>#VALUE!</v>
      </c>
      <c r="AD43" s="4" t="e">
        <f>$AD$23/($AD$27*'RMCV.PB'!C43)</f>
        <v>#VALUE!</v>
      </c>
      <c r="AE43" s="846" t="e">
        <f t="shared" si="20"/>
        <v>#VALUE!</v>
      </c>
      <c r="AF43" s="846">
        <f>IF(12/$AE$25&gt;'RMCV.PB'!F43*0.3/$AE$25,'RMCV.PB'!F43*0.3/$AE$25,12/$AE$25)</f>
        <v>0</v>
      </c>
      <c r="AG43" s="847" t="e">
        <f t="shared" si="21"/>
        <v>#VALUE!</v>
      </c>
      <c r="AH43" s="846">
        <f>IF(9/$AE$25&gt;'RMCV.PB'!F43*0.3/$AE$25,'RMCV.PB'!F43*0.3/$AE$25,9/$AE$25)</f>
        <v>0</v>
      </c>
      <c r="AI43" s="848" t="e">
        <f t="shared" si="22"/>
        <v>#VALUE!</v>
      </c>
      <c r="AJ43" s="849" t="e">
        <f t="shared" si="23"/>
        <v>#VALUE!</v>
      </c>
      <c r="AK43" s="45" t="e">
        <f t="shared" si="24"/>
        <v>#VALUE!</v>
      </c>
      <c r="AL43" s="45" t="e">
        <f t="shared" si="3"/>
        <v>#VALUE!</v>
      </c>
      <c r="AM43" s="86" t="e">
        <f>IF(N43="PASA"," ",IF('CG. MPB'!E44="CONCRETO","F/DISEÑO",IF(AL43&gt;M43,"PASA","NO PASA")))</f>
        <v>#VALUE!</v>
      </c>
    </row>
    <row r="44" spans="1:51" hidden="1">
      <c r="A44" s="684">
        <f>'CG. MPB'!A45</f>
        <v>16</v>
      </c>
      <c r="B44" s="870" t="e">
        <f>'RMCV.PB'!O44/1.3</f>
        <v>#VALUE!</v>
      </c>
      <c r="C44" s="870" t="e">
        <f t="shared" si="1"/>
        <v>#VALUE!</v>
      </c>
      <c r="D44" s="578">
        <f>IF('CG. MPB'!D45="NO CONFINADO",0.4,0.7)</f>
        <v>0.7</v>
      </c>
      <c r="E44" s="578">
        <f>IF('CG. MPB'!E45="CONCRETO",0.5*(0.8*250)^0.5,F44+G44+I44+J44+H44)</f>
        <v>0</v>
      </c>
      <c r="F44" s="578">
        <f>IF(AND('CG. MPB'!E45="TABIQUE",'CG. MPB'!F45="MACIZO"),IF('RMCV.PB'!$E$17="I",3.5,3),0)</f>
        <v>0</v>
      </c>
      <c r="G44" s="578">
        <f>IF(AND('CG. MPB'!E45="TABIQUE",'CG. MPB'!F45="HUECO"),IF('RMCV.PB'!$E$17="I",3,2),0)</f>
        <v>0</v>
      </c>
      <c r="H44" s="578">
        <f>IF('CG. MPB'!E45="ADOBE",0.3,0)</f>
        <v>0</v>
      </c>
      <c r="I44" s="578">
        <f>IF(AND('CG. MPB'!E45="TABICON",'CG. MPB'!F45="MACIZO"),IF('RMCV.PB'!$E$17="I",3,2),0)</f>
        <v>0</v>
      </c>
      <c r="J44" s="578">
        <f>IF(AND('CG. MPB'!E45="TABICON",'CG. MPB'!F45="HUECO"),IF('RMCV.PB'!$E$17="I",3.5,2.5),0)</f>
        <v>0</v>
      </c>
      <c r="K44" s="870" t="e">
        <f>'RMCV.PB'!N44</f>
        <v>#VALUE!</v>
      </c>
      <c r="L44" s="918" t="e">
        <f>ABS('ELEM. MECA.'!F21)</f>
        <v>#VALUE!</v>
      </c>
      <c r="M44" s="937" t="e">
        <f t="shared" si="4"/>
        <v>#VALUE!</v>
      </c>
      <c r="N44" s="871" t="e">
        <f>IF('CG. MPB'!E45="CONCRETO","F/DISEÑO",IF(L44&gt;M44,IF(M44*1.05&gt;L44,"SE ACEPTA","NO PASA"),"PASA"))</f>
        <v>#VALUE!</v>
      </c>
      <c r="O44" s="466" t="e">
        <f>IF(N44="pasa"," ",$O$24/('RMCV.PB'!C44*100))</f>
        <v>#VALUE!</v>
      </c>
      <c r="P44" s="472" t="e">
        <f>IF(N44="pasa"," ",IF('CG. MPB'!E45="CONCRETO","F/DISEÑO",IF(AND(W44&gt;O44,O44&gt;X44),"BIEN","MAL")))</f>
        <v>#VALUE!</v>
      </c>
      <c r="Q44" s="466">
        <f>IF('CG. MPB'!F45="MACIZO",12/'RMCS.PB'!$O$25,9/'RMCS.PB'!$O$25)</f>
        <v>2.3999999999999998E-3</v>
      </c>
      <c r="R44" s="466">
        <f t="shared" si="26"/>
        <v>0</v>
      </c>
      <c r="S44" s="466">
        <f>IF(G44=0,0,IF(AND(G44=2,'RMCV.PB'!E32="III"),30,40))</f>
        <v>0</v>
      </c>
      <c r="T44" s="466">
        <f>IF(I44=0,0,IF(AND(I44=3,'RMCV.PB'!$E$17="I"),20,15))</f>
        <v>0</v>
      </c>
      <c r="U44" s="466">
        <f>IF(J44=0,0,IF(AND(J44=3.5,'RMCV.PB'!$E$17="I"),20,15))</f>
        <v>0</v>
      </c>
      <c r="V44" s="466">
        <f t="shared" si="27"/>
        <v>0</v>
      </c>
      <c r="W44" s="466">
        <f t="shared" si="28"/>
        <v>0</v>
      </c>
      <c r="X44" s="466" t="e">
        <f>IF('CG. MPB'!E45="CONCRETO",0,IF(M44/(D44*$O$25*K44)&gt;3/$O$25,M44/(D44*$O$25*K44),3/$O$25))</f>
        <v>#VALUE!</v>
      </c>
      <c r="Y44" s="765" t="e">
        <f t="shared" si="29"/>
        <v>#VALUE!</v>
      </c>
      <c r="Z44" s="466" t="e">
        <f t="shared" si="30"/>
        <v>#VALUE!</v>
      </c>
      <c r="AA44" s="766" t="e">
        <f t="shared" si="31"/>
        <v>#VALUE!</v>
      </c>
      <c r="AB44" s="943" t="e">
        <f t="shared" si="32"/>
        <v>#VALUE!</v>
      </c>
      <c r="AC44" s="767" t="e">
        <f>IF(N44="pasa"," ",IF('CG. MPB'!E45="CONCRETO","F/DISEÑO",IF(AB44&gt;L44,"PASA","NO PASA")))</f>
        <v>#VALUE!</v>
      </c>
      <c r="AD44" s="4" t="e">
        <f>$AD$23/($AD$27*'RMCV.PB'!C44)</f>
        <v>#VALUE!</v>
      </c>
      <c r="AE44" s="846" t="e">
        <f t="shared" si="20"/>
        <v>#VALUE!</v>
      </c>
      <c r="AF44" s="846">
        <f>IF(12/$AE$25&gt;'RMCV.PB'!F44*0.3/$AE$25,'RMCV.PB'!F44*0.3/$AE$25,12/$AE$25)</f>
        <v>0</v>
      </c>
      <c r="AG44" s="847" t="e">
        <f t="shared" si="21"/>
        <v>#VALUE!</v>
      </c>
      <c r="AH44" s="846">
        <f>IF(9/$AE$25&gt;'RMCV.PB'!F44*0.3/$AE$25,'RMCV.PB'!F44*0.3/$AE$25,9/$AE$25)</f>
        <v>0</v>
      </c>
      <c r="AI44" s="848" t="e">
        <f t="shared" si="22"/>
        <v>#VALUE!</v>
      </c>
      <c r="AJ44" s="849" t="e">
        <f t="shared" si="23"/>
        <v>#VALUE!</v>
      </c>
      <c r="AK44" s="45" t="e">
        <f t="shared" si="24"/>
        <v>#VALUE!</v>
      </c>
      <c r="AL44" s="45" t="e">
        <f t="shared" si="3"/>
        <v>#VALUE!</v>
      </c>
      <c r="AM44" s="86" t="e">
        <f>IF(N44="PASA"," ",IF('CG. MPB'!E45="CONCRETO","F/DISEÑO",IF(AL44&gt;M44,"PASA","NO PASA")))</f>
        <v>#VALUE!</v>
      </c>
    </row>
    <row r="45" spans="1:51" ht="15.75" hidden="1" thickBot="1">
      <c r="A45" s="684">
        <f>'CG. MPB'!A46</f>
        <v>17</v>
      </c>
      <c r="B45" s="870">
        <f>'RMCV.PB'!O45/1.3</f>
        <v>0</v>
      </c>
      <c r="C45" s="870">
        <f t="shared" si="1"/>
        <v>0</v>
      </c>
      <c r="D45" s="578">
        <f>IF('CG. MPB'!D46="NO CONFINADO",0.4,0.7)</f>
        <v>0.7</v>
      </c>
      <c r="E45" s="578">
        <f>IF('CG. MPB'!E46="CONCRETO",0.5*(0.8*250)^0.5,F45+G45+I45+J45+H45)</f>
        <v>0</v>
      </c>
      <c r="F45" s="578">
        <f>IF(AND('CG. MPB'!E46="TABIQUE",'CG. MPB'!F46="MACIZO"),IF('RMCV.PB'!$E$17="I",3.5,3),0)</f>
        <v>0</v>
      </c>
      <c r="G45" s="578">
        <f>IF(AND('CG. MPB'!E46="TABIQUE",'CG. MPB'!F46="HUECO"),IF('RMCV.PB'!$E$17="I",3,2),0)</f>
        <v>0</v>
      </c>
      <c r="H45" s="578">
        <f>IF('CG. MPB'!E46="ADOBE",0.3,0)</f>
        <v>0</v>
      </c>
      <c r="I45" s="578">
        <f>IF(AND('CG. MPB'!E46="TABICON",'CG. MPB'!F46="MACIZO"),IF('RMCV.PB'!$E$17="I",3,2),0)</f>
        <v>0</v>
      </c>
      <c r="J45" s="578">
        <f>IF(AND('CG. MPB'!E46="TABICON",'CG. MPB'!F46="HUECO"),IF('RMCV.PB'!$E$17="I",3.5,2.5),0)</f>
        <v>0</v>
      </c>
      <c r="K45" s="870">
        <f>'RMCV.PB'!N45</f>
        <v>0</v>
      </c>
      <c r="L45" s="918">
        <f>ABS('ELEM. MECA.'!F22)</f>
        <v>0</v>
      </c>
      <c r="M45" s="937">
        <f t="shared" si="4"/>
        <v>0</v>
      </c>
      <c r="N45" s="871" t="str">
        <f>IF('CG. MPB'!E46="CONCRETO","F/DISEÑO",IF(L45&gt;M45,IF(M45*1.05&gt;L45,"SE ACEPTA","NO PASA"),"PASA"))</f>
        <v>PASA</v>
      </c>
      <c r="O45" s="466" t="str">
        <f>IF(N45="pasa"," ",$O$24/('RMCV.PB'!C45*100))</f>
        <v xml:space="preserve"> </v>
      </c>
      <c r="P45" s="472" t="str">
        <f>IF(N45="pasa"," ",IF('CG. MPB'!E46="CONCRETO","F/DISEÑO",IF(AND(W45&gt;O45,O45&gt;X45),"BIEN","MAL")))</f>
        <v xml:space="preserve"> </v>
      </c>
      <c r="Q45" s="466">
        <f>IF('CG. MPB'!F46="MACIZO",12/'RMCS.PB'!$O$25,9/'RMCS.PB'!$O$25)</f>
        <v>2.3999999999999998E-3</v>
      </c>
      <c r="R45" s="466">
        <f t="shared" si="26"/>
        <v>0</v>
      </c>
      <c r="S45" s="466">
        <f>IF(G45=0,0,IF(AND(G45=2,'RMCV.PB'!E33="III"),30,40))</f>
        <v>0</v>
      </c>
      <c r="T45" s="466">
        <f>IF(I45=0,0,IF(AND(I45=3,'RMCV.PB'!$E$17="I"),20,15))</f>
        <v>0</v>
      </c>
      <c r="U45" s="466">
        <f>IF(J45=0,0,IF(AND(J45=3.5,'RMCV.PB'!$E$17="I"),20,15))</f>
        <v>0</v>
      </c>
      <c r="V45" s="466">
        <f t="shared" si="27"/>
        <v>0</v>
      </c>
      <c r="W45" s="466">
        <f t="shared" si="28"/>
        <v>0</v>
      </c>
      <c r="X45" s="466" t="e">
        <f>IF('CG. MPB'!E46="CONCRETO",0,IF(M45/(D45*$O$25*K45)&gt;3/$O$25,M45/(D45*$O$25*K45),3/$O$25))</f>
        <v>#DIV/0!</v>
      </c>
      <c r="Y45" s="765" t="e">
        <f t="shared" si="29"/>
        <v>#VALUE!</v>
      </c>
      <c r="Z45" s="466" t="e">
        <f t="shared" si="30"/>
        <v>#VALUE!</v>
      </c>
      <c r="AA45" s="766" t="e">
        <f t="shared" si="31"/>
        <v>#VALUE!</v>
      </c>
      <c r="AB45" s="943" t="str">
        <f t="shared" si="32"/>
        <v xml:space="preserve"> </v>
      </c>
      <c r="AC45" s="767" t="str">
        <f>IF(N45="pasa"," ",IF('CG. MPB'!E46="CONCRETO","F/DISEÑO",IF(AB45&gt;L45,"PASA","NO PASA")))</f>
        <v xml:space="preserve"> </v>
      </c>
      <c r="AD45" s="4" t="e">
        <f>$AD$23/($AD$27*'RMCV.PB'!C45)</f>
        <v>#DIV/0!</v>
      </c>
      <c r="AE45" s="846" t="e">
        <f t="shared" si="20"/>
        <v>#DIV/0!</v>
      </c>
      <c r="AF45" s="846">
        <f>IF(12/$AE$25&gt;'RMCV.PB'!F45*0.3/$AE$25,'RMCV.PB'!F45*0.3/$AE$25,12/$AE$25)</f>
        <v>0</v>
      </c>
      <c r="AG45" s="847" t="e">
        <f t="shared" si="21"/>
        <v>#DIV/0!</v>
      </c>
      <c r="AH45" s="846">
        <f>IF(9/$AE$25&gt;'RMCV.PB'!F45*0.3/$AE$25,'RMCV.PB'!F45*0.3/$AE$25,9/$AE$25)</f>
        <v>0</v>
      </c>
      <c r="AI45" s="848" t="e">
        <f t="shared" si="22"/>
        <v>#DIV/0!</v>
      </c>
      <c r="AJ45" s="849" t="e">
        <f t="shared" si="23"/>
        <v>#DIV/0!</v>
      </c>
      <c r="AK45" s="45">
        <f t="shared" si="24"/>
        <v>0</v>
      </c>
      <c r="AL45" s="45">
        <f t="shared" si="3"/>
        <v>0</v>
      </c>
      <c r="AM45" s="86" t="str">
        <f>IF(N45="PASA"," ",IF('CG. MPB'!E46="CONCRETO","F/DISEÑO",IF(AL45&gt;M45,"PASA","NO PASA")))</f>
        <v xml:space="preserve"> </v>
      </c>
    </row>
    <row r="46" spans="1:51" hidden="1">
      <c r="A46" s="684">
        <f>'CG. MPB'!A47</f>
        <v>18</v>
      </c>
      <c r="B46" s="870">
        <f>'RMCV.PB'!O46/1.3</f>
        <v>0</v>
      </c>
      <c r="C46" s="870">
        <f t="shared" si="1"/>
        <v>0</v>
      </c>
      <c r="D46" s="578">
        <f>IF('CG. MPB'!D47="NO CONFINADO",0.4,0.7)</f>
        <v>0.7</v>
      </c>
      <c r="E46" s="578">
        <f>IF('CG. MPB'!E47="CONCRETO",0.5*(0.8*250)^0.5,F46+G46+I46+J46+H46)</f>
        <v>0</v>
      </c>
      <c r="F46" s="578">
        <f>IF(AND('CG. MPB'!E47="TABIQUE",'CG. MPB'!F47="MACIZO"),IF('RMCV.PB'!$E$17="I",3.5,3),0)</f>
        <v>0</v>
      </c>
      <c r="G46" s="578">
        <f>IF(AND('CG. MPB'!E47="TABIQUE",'CG. MPB'!F47="HUECO"),IF('RMCV.PB'!$E$17="I",3,2),0)</f>
        <v>0</v>
      </c>
      <c r="H46" s="578">
        <f>IF('CG. MPB'!E47="ADOBE",0.3,0)</f>
        <v>0</v>
      </c>
      <c r="I46" s="578">
        <f>IF(AND('CG. MPB'!E47="TABICON",'CG. MPB'!F47="MACIZO"),IF('RMCV.PB'!$E$17="I",3,2),0)</f>
        <v>0</v>
      </c>
      <c r="J46" s="578">
        <f>IF(AND('CG. MPB'!E47="TABICON",'CG. MPB'!F47="HUECO"),IF('RMCV.PB'!$E$17="I",3.5,2.5),0)</f>
        <v>0</v>
      </c>
      <c r="K46" s="870">
        <f>'RMCV.PB'!N46</f>
        <v>0</v>
      </c>
      <c r="L46" s="918">
        <f>ABS('ELEM. MECA.'!F23)</f>
        <v>0</v>
      </c>
      <c r="M46" s="937">
        <f t="shared" si="4"/>
        <v>0</v>
      </c>
      <c r="N46" s="871" t="str">
        <f>IF('CG. MPB'!E47="CONCRETO","F/DISEÑO",IF(L46&gt;M46,IF(M46*1.05&gt;L46,"SE ACEPTA","NO PASA"),"PASA"))</f>
        <v>PASA</v>
      </c>
      <c r="O46" s="466" t="str">
        <f>IF(N46="pasa"," ",$O$24/('RMCV.PB'!C46*100))</f>
        <v xml:space="preserve"> </v>
      </c>
      <c r="P46" s="472" t="str">
        <f>IF(N46="pasa"," ",IF('CG. MPB'!E47="CONCRETO","F/DISEÑO",IF(AND(W46&gt;O46,O46&gt;X46),"BIEN","MAL")))</f>
        <v xml:space="preserve"> </v>
      </c>
      <c r="Q46" s="466">
        <f>IF('CG. MPB'!F47="MACIZO",12/'RMCS.PB'!$O$25,9/'RMCS.PB'!$O$25)</f>
        <v>2.3999999999999998E-3</v>
      </c>
      <c r="R46" s="466">
        <f>IF(F46&gt;0,15,0)</f>
        <v>0</v>
      </c>
      <c r="S46" s="466">
        <f>IF(G46=0,0,IF(AND(G46=2,'RMCV.PB'!E34="III"),30,40))</f>
        <v>0</v>
      </c>
      <c r="T46" s="466">
        <f>IF(I46=0,0,IF(AND(I46=3,'RMCV.PB'!$E$17="I"),20,15))</f>
        <v>0</v>
      </c>
      <c r="U46" s="466">
        <f>IF(J46=0,0,IF(AND(J46=3.5,'RMCV.PB'!$E$17="I"),20,15))</f>
        <v>0</v>
      </c>
      <c r="V46" s="466">
        <f>(R46+S46+T46+U46)*0.3/$O$25</f>
        <v>0</v>
      </c>
      <c r="W46" s="466">
        <f>IF(Q46&gt;V46,V46,Q46)</f>
        <v>0</v>
      </c>
      <c r="X46" s="466" t="e">
        <f>IF('CG. MPB'!E47="CONCRETO",0,IF(M46/(D46*$O$25*K46)&gt;3/$O$25,M46/(D46*$O$25*K46),3/$O$25))</f>
        <v>#DIV/0!</v>
      </c>
      <c r="Y46" s="765" t="e">
        <f>O46*$O$25</f>
        <v>#VALUE!</v>
      </c>
      <c r="Z46" s="466" t="e">
        <f>IF(6&gt;Y46,0.6,IF(Y46&gt;9,0.2,(0.4*(9-Y46)/3)+0.2))</f>
        <v>#VALUE!</v>
      </c>
      <c r="AA46" s="766" t="e">
        <f>D46*Z46*O46*$O$25*K46</f>
        <v>#VALUE!</v>
      </c>
      <c r="AB46" s="943" t="str">
        <f>IF(N46="pasa"," ",AA46+M46)</f>
        <v xml:space="preserve"> </v>
      </c>
      <c r="AC46" s="767" t="str">
        <f>IF(N46="pasa"," ",IF('CG. MPB'!E47="CONCRETO","F/DISEÑO",IF(AB46&gt;L46,"PASA","NO PASA")))</f>
        <v xml:space="preserve"> </v>
      </c>
      <c r="AD46" s="4" t="e">
        <f>$AD$23/($AD$27*'RMCV.PB'!C46)</f>
        <v>#DIV/0!</v>
      </c>
      <c r="AE46" s="846" t="e">
        <f t="shared" si="20"/>
        <v>#DIV/0!</v>
      </c>
      <c r="AF46" s="846">
        <f>IF(12/$AE$25&gt;'RMCV.PB'!F46*0.3/$AE$25,'RMCV.PB'!F46*0.3/$AE$25,12/$AE$25)</f>
        <v>0</v>
      </c>
      <c r="AG46" s="847" t="e">
        <f t="shared" si="21"/>
        <v>#DIV/0!</v>
      </c>
      <c r="AH46" s="846">
        <f>IF(9/$AE$25&gt;'RMCV.PB'!F46*0.3/$AE$25,'RMCV.PB'!F46*0.3/$AE$25,9/$AE$25)</f>
        <v>0</v>
      </c>
      <c r="AI46" s="848" t="e">
        <f t="shared" si="22"/>
        <v>#DIV/0!</v>
      </c>
      <c r="AJ46" s="849" t="e">
        <f t="shared" si="23"/>
        <v>#DIV/0!</v>
      </c>
      <c r="AK46" s="45">
        <f t="shared" si="24"/>
        <v>0</v>
      </c>
      <c r="AL46" s="45">
        <f t="shared" si="3"/>
        <v>0</v>
      </c>
      <c r="AM46" s="86" t="str">
        <f>IF(N46="PASA"," ",IF('CG. MPB'!E47="CONCRETO","F/DISEÑO",IF(AL46&gt;M46,"PASA","NO PASA")))</f>
        <v xml:space="preserve"> </v>
      </c>
    </row>
    <row r="47" spans="1:51" hidden="1">
      <c r="A47" s="684">
        <f>'CG. MPB'!A48</f>
        <v>19</v>
      </c>
      <c r="B47" s="870">
        <f>'RMCV.PB'!O47/1.3</f>
        <v>0</v>
      </c>
      <c r="C47" s="870">
        <f t="shared" si="1"/>
        <v>0</v>
      </c>
      <c r="D47" s="578">
        <f>IF('CG. MPB'!D48="NO CONFINADO",0.4,0.7)</f>
        <v>0.7</v>
      </c>
      <c r="E47" s="578">
        <f>IF('CG. MPB'!E48="CONCRETO",0.5*(0.8*250)^0.5,F47+G47+I47+J47+H47)</f>
        <v>0</v>
      </c>
      <c r="F47" s="578">
        <f>IF(AND('CG. MPB'!E48="TABIQUE",'CG. MPB'!F48="MACIZO"),IF('RMCV.PB'!$E$17="I",3.5,3),0)</f>
        <v>0</v>
      </c>
      <c r="G47" s="578">
        <f>IF(AND('CG. MPB'!E48="TABIQUE",'CG. MPB'!F48="HUECO"),IF('RMCV.PB'!$E$17="I",3,2),0)</f>
        <v>0</v>
      </c>
      <c r="H47" s="578">
        <f>IF('CG. MPB'!E48="ADOBE",0.3,0)</f>
        <v>0</v>
      </c>
      <c r="I47" s="578">
        <f>IF(AND('CG. MPB'!E48="TABICON",'CG. MPB'!F48="MACIZO"),IF('RMCV.PB'!$E$17="I",3,2),0)</f>
        <v>0</v>
      </c>
      <c r="J47" s="578">
        <f>IF(AND('CG. MPB'!E48="TABICON",'CG. MPB'!F48="HUECO"),IF('RMCV.PB'!$E$17="I",3.5,2.5),0)</f>
        <v>0</v>
      </c>
      <c r="K47" s="870">
        <f>'RMCV.PB'!N47</f>
        <v>0</v>
      </c>
      <c r="L47" s="918">
        <f>ABS('ELEM. MECA.'!F24)</f>
        <v>0</v>
      </c>
      <c r="M47" s="937">
        <f t="shared" si="4"/>
        <v>0</v>
      </c>
      <c r="N47" s="871" t="str">
        <f>IF('CG. MPB'!E48="CONCRETO","F/DISEÑO",IF(L47&gt;M47,IF(M47*1.05&gt;L47,"SE ACEPTA","NO PASA"),"PASA"))</f>
        <v>PASA</v>
      </c>
      <c r="O47" s="466" t="str">
        <f>IF(N47="pasa"," ",$O$24/('RMCV.PB'!C47*100))</f>
        <v xml:space="preserve"> </v>
      </c>
      <c r="P47" s="472" t="str">
        <f>IF(N47="pasa"," ",IF('CG. MPB'!E48="CONCRETO","F/DISEÑO",IF(AND(W47&gt;O47,O47&gt;X47),"BIEN","MAL")))</f>
        <v xml:space="preserve"> </v>
      </c>
      <c r="Q47" s="466">
        <f>IF('CG. MPB'!F48="MACIZO",12/'RMCS.PB'!$O$25,9/'RMCS.PB'!$O$25)</f>
        <v>2.3999999999999998E-3</v>
      </c>
      <c r="R47" s="466">
        <f>IF(F47&gt;0,15,0)</f>
        <v>0</v>
      </c>
      <c r="S47" s="466">
        <f>IF(G47=0,0,IF(AND(G47=2,'RMCV.PB'!E35="III"),30,40))</f>
        <v>0</v>
      </c>
      <c r="T47" s="466">
        <f>IF(I47=0,0,IF(AND(I47=3,'RMCV.PB'!$E$17="I"),20,15))</f>
        <v>0</v>
      </c>
      <c r="U47" s="466">
        <f>IF(J47=0,0,IF(AND(J47=3.5,'RMCV.PB'!$E$17="I"),20,15))</f>
        <v>0</v>
      </c>
      <c r="V47" s="466">
        <f>(R47+S47+T47+U47)*0.3/$O$25</f>
        <v>0</v>
      </c>
      <c r="W47" s="466">
        <f>IF(Q47&gt;V47,V47,Q47)</f>
        <v>0</v>
      </c>
      <c r="X47" s="466" t="e">
        <f>IF('CG. MPB'!E48="CONCRETO",0,IF(M47/(D47*$O$25*K47)&gt;3/$O$25,M47/(D47*$O$25*K47),3/$O$25))</f>
        <v>#DIV/0!</v>
      </c>
      <c r="Y47" s="765" t="e">
        <f>O47*$O$25</f>
        <v>#VALUE!</v>
      </c>
      <c r="Z47" s="466" t="e">
        <f>IF(6&gt;Y47,0.6,IF(Y47&gt;9,0.2,(0.4*(9-Y47)/3)+0.2))</f>
        <v>#VALUE!</v>
      </c>
      <c r="AA47" s="766" t="e">
        <f>D47*Z47*O47*$O$25*K47</f>
        <v>#VALUE!</v>
      </c>
      <c r="AB47" s="943" t="str">
        <f>IF(N47="pasa"," ",AA47+M47)</f>
        <v xml:space="preserve"> </v>
      </c>
      <c r="AC47" s="767" t="str">
        <f>IF(N47="pasa"," ",IF('CG. MPB'!E48="CONCRETO","F/DISEÑO",IF(AB47&gt;L47,"PASA","NO PASA")))</f>
        <v xml:space="preserve"> </v>
      </c>
      <c r="AD47" s="4" t="e">
        <f>$AD$23/($AD$27*'RMCV.PB'!C47)</f>
        <v>#DIV/0!</v>
      </c>
      <c r="AE47" s="846" t="e">
        <f t="shared" si="20"/>
        <v>#DIV/0!</v>
      </c>
      <c r="AF47" s="846">
        <f>IF(12/$AE$25&gt;'RMCV.PB'!F47*0.3/$AE$25,'RMCV.PB'!F47*0.3/$AE$25,12/$AE$25)</f>
        <v>0</v>
      </c>
      <c r="AG47" s="847" t="e">
        <f t="shared" si="21"/>
        <v>#DIV/0!</v>
      </c>
      <c r="AH47" s="846">
        <f>IF(9/$AE$25&gt;'RMCV.PB'!F47*0.3/$AE$25,'RMCV.PB'!F47*0.3/$AE$25,9/$AE$25)</f>
        <v>0</v>
      </c>
      <c r="AI47" s="848" t="e">
        <f t="shared" si="22"/>
        <v>#DIV/0!</v>
      </c>
      <c r="AJ47" s="849" t="e">
        <f t="shared" si="23"/>
        <v>#DIV/0!</v>
      </c>
      <c r="AK47" s="45">
        <f t="shared" si="24"/>
        <v>0</v>
      </c>
      <c r="AL47" s="45">
        <f t="shared" si="3"/>
        <v>0</v>
      </c>
      <c r="AM47" s="86" t="str">
        <f>IF(N47="PASA"," ",IF('CG. MPB'!E48="CONCRETO","F/DISEÑO",IF(AL47&gt;M47,"PASA","NO PASA")))</f>
        <v xml:space="preserve"> </v>
      </c>
    </row>
    <row r="48" spans="1:51" hidden="1">
      <c r="A48" s="684">
        <f>'CG. MPB'!A49</f>
        <v>20</v>
      </c>
      <c r="B48" s="576">
        <f>'RMCV.PB'!O48/1.3</f>
        <v>0</v>
      </c>
      <c r="C48" s="576">
        <f t="shared" si="1"/>
        <v>0</v>
      </c>
      <c r="D48" s="578">
        <f>IF('CG. MPB'!D49="NO CONFINADO",0.4,0.7)</f>
        <v>0.7</v>
      </c>
      <c r="E48" s="578">
        <f>IF('CG. MPB'!E49="CONCRETO",0.5*(0.8*250)^0.5,F48+G48+I48+J48+H48)</f>
        <v>0</v>
      </c>
      <c r="F48" s="578">
        <f>IF(AND('CG. MPB'!E49="TABIQUE",'CG. MPB'!F49="MACIZO"),IF('RMCV.PB'!$E$17="I",3.5,3),0)</f>
        <v>0</v>
      </c>
      <c r="G48" s="578">
        <f>IF(AND('CG. MPB'!E49="TABIQUE",'CG. MPB'!F49="HUECO"),IF('RMCV.PB'!$E$17="I",3,2),0)</f>
        <v>0</v>
      </c>
      <c r="H48" s="578">
        <f>IF('CG. MPB'!E49="ADOBE",0.3,0)</f>
        <v>0</v>
      </c>
      <c r="I48" s="578">
        <f>IF(AND('CG. MPB'!E49="TABICON",'CG. MPB'!F49="MACIZO"),IF('RMCV.PB'!$E$17="I",3,2),0)</f>
        <v>0</v>
      </c>
      <c r="J48" s="578">
        <f>IF(AND('CG. MPB'!E49="TABICON",'CG. MPB'!F49="HUECO"),IF('RMCV.PB'!$E$17="I",3.5,2.5),0)</f>
        <v>0</v>
      </c>
      <c r="K48" s="576">
        <f>'RMCV.PB'!N48</f>
        <v>0</v>
      </c>
      <c r="L48" s="918">
        <f>ABS('ELEM. MECA.'!F25)</f>
        <v>0</v>
      </c>
      <c r="M48" s="936">
        <f t="shared" si="4"/>
        <v>0</v>
      </c>
      <c r="N48" s="756" t="str">
        <f>IF('CG. MPB'!E49="CONCRETO","F/DISEÑO",IF(L48&gt;M48,IF(M48*1.05&gt;L48,"SE ACEPTA","NO PASA"),"PASA"))</f>
        <v>PASA</v>
      </c>
      <c r="O48" s="466" t="str">
        <f>IF(N48="pasa"," ",$O$24/('RMCV.PB'!C48*100))</f>
        <v xml:space="preserve"> </v>
      </c>
      <c r="P48" s="472" t="str">
        <f>IF(N48="pasa"," ",IF('CG. MPB'!E49="CONCRETO","F/DISEÑO",IF(AND(W48&gt;O48,O48&gt;X48),"BIEN","MAL")))</f>
        <v xml:space="preserve"> </v>
      </c>
      <c r="Q48" s="466">
        <f>IF('CG. MPB'!F49="MACIZO",12/'RMCS.PB'!$O$25,9/'RMCS.PB'!$O$25)</f>
        <v>2.3999999999999998E-3</v>
      </c>
      <c r="R48" s="466">
        <f t="shared" si="2"/>
        <v>0</v>
      </c>
      <c r="S48" s="466">
        <f>IF(G48=0,0,IF(AND(G48=2,'RMCV.PB'!E36="III"),30,40))</f>
        <v>0</v>
      </c>
      <c r="T48" s="466">
        <f>IF(I48=0,0,IF(AND(I48=3,'RMCV.PB'!$E$17="I"),20,15))</f>
        <v>0</v>
      </c>
      <c r="U48" s="466">
        <f>IF(J48=0,0,IF(AND(J48=3.5,'RMCV.PB'!$E$17="I"),20,15))</f>
        <v>0</v>
      </c>
      <c r="V48" s="466">
        <f t="shared" si="5"/>
        <v>0</v>
      </c>
      <c r="W48" s="466">
        <f t="shared" si="6"/>
        <v>0</v>
      </c>
      <c r="X48" s="466" t="e">
        <f>IF('CG. MPB'!E49="CONCRETO",0,IF(M48/(D48*$O$25*K48)&gt;3/$O$25,M48/(D48*$O$25*K48),3/$O$25))</f>
        <v>#DIV/0!</v>
      </c>
      <c r="Y48" s="765" t="e">
        <f t="shared" ref="Y48:Y58" si="33">O48*$O$25</f>
        <v>#VALUE!</v>
      </c>
      <c r="Z48" s="466" t="e">
        <f t="shared" si="8"/>
        <v>#VALUE!</v>
      </c>
      <c r="AA48" s="766" t="e">
        <f t="shared" si="0"/>
        <v>#VALUE!</v>
      </c>
      <c r="AB48" s="943" t="str">
        <f t="shared" si="9"/>
        <v xml:space="preserve"> </v>
      </c>
      <c r="AC48" s="767" t="str">
        <f>IF(N48="pasa"," ",IF('CG. MPB'!E49="CONCRETO","F/DISEÑO",IF(AB48&gt;L48,"PASA","NO PASA")))</f>
        <v xml:space="preserve"> </v>
      </c>
      <c r="AD48" s="474" t="e">
        <f>$AD$23/($AD$27*'RMCV.PB'!C48)</f>
        <v>#DIV/0!</v>
      </c>
      <c r="AE48" s="482" t="e">
        <f t="shared" si="20"/>
        <v>#DIV/0!</v>
      </c>
      <c r="AF48" s="482">
        <f>IF(12/$AE$25&gt;'RMCV.PB'!F48*0.3/$AE$25,'RMCV.PB'!F48*0.3/$AE$25,12/$AE$25)</f>
        <v>0</v>
      </c>
      <c r="AG48" s="483" t="e">
        <f t="shared" si="21"/>
        <v>#DIV/0!</v>
      </c>
      <c r="AH48" s="482">
        <f>IF(9/$AE$25&gt;'RMCV.PB'!F48*0.3/$AE$25,'RMCV.PB'!F48*0.3/$AE$25,9/$AE$25)</f>
        <v>0</v>
      </c>
      <c r="AI48" s="484" t="e">
        <f t="shared" si="22"/>
        <v>#DIV/0!</v>
      </c>
      <c r="AJ48" s="485" t="e">
        <f t="shared" si="23"/>
        <v>#DIV/0!</v>
      </c>
      <c r="AK48" s="486">
        <f t="shared" si="24"/>
        <v>0</v>
      </c>
      <c r="AL48" s="486">
        <f t="shared" si="3"/>
        <v>0</v>
      </c>
      <c r="AM48" s="487" t="str">
        <f>IF(N48="PASA"," ",IF('CG. MPB'!E49="CONCRETO","F/DISEÑO",IF(AL48&gt;M48,"PASA","NO PASA")))</f>
        <v xml:space="preserve"> </v>
      </c>
    </row>
    <row r="49" spans="1:39" hidden="1">
      <c r="A49" s="684">
        <f>'CG. MPB'!A50</f>
        <v>21</v>
      </c>
      <c r="B49" s="576">
        <f>'RMCV.PB'!O49/1.3</f>
        <v>0</v>
      </c>
      <c r="C49" s="576">
        <f t="shared" si="1"/>
        <v>0</v>
      </c>
      <c r="D49" s="578">
        <f>IF('CG. MPB'!D50="NO CONFINADO",0.4,0.7)</f>
        <v>0.7</v>
      </c>
      <c r="E49" s="578">
        <f>IF('CG. MPB'!E50="CONCRETO",0.5*(0.8*250)^0.5,F49+G49+I49+J49+H49)</f>
        <v>0</v>
      </c>
      <c r="F49" s="578">
        <f>IF(AND('CG. MPB'!E50="TABIQUE",'CG. MPB'!F50="MACIZO"),IF('RMCV.PB'!$E$17="I",3.5,3),0)</f>
        <v>0</v>
      </c>
      <c r="G49" s="578">
        <f>IF(AND('CG. MPB'!E50="TABIQUE",'CG. MPB'!F50="HUECO"),IF('RMCV.PB'!$E$17="I",3,2),0)</f>
        <v>0</v>
      </c>
      <c r="H49" s="578">
        <f>IF('CG. MPB'!E50="ADOBE",0.3,0)</f>
        <v>0</v>
      </c>
      <c r="I49" s="578">
        <f>IF(AND('CG. MPB'!E50="TABICON",'CG. MPB'!F50="MACIZO"),IF('RMCV.PB'!$E$17="I",3,2),0)</f>
        <v>0</v>
      </c>
      <c r="J49" s="578">
        <f>IF(AND('CG. MPB'!E50="TABICON",'CG. MPB'!F50="HUECO"),IF('RMCV.PB'!$E$17="I",3.5,2.5),0)</f>
        <v>0</v>
      </c>
      <c r="K49" s="576">
        <f>'RMCV.PB'!N49</f>
        <v>0</v>
      </c>
      <c r="L49" s="918">
        <f>ABS('ELEM. MECA.'!F26)</f>
        <v>0</v>
      </c>
      <c r="M49" s="936">
        <f t="shared" si="4"/>
        <v>0</v>
      </c>
      <c r="N49" s="756" t="str">
        <f>IF('CG. MPB'!E50="CONCRETO","F/DISEÑO",IF(L49&gt;M49,IF(M49*1.05&gt;L49,"SE ACEPTA","NO PASA"),"PASA"))</f>
        <v>PASA</v>
      </c>
      <c r="O49" s="466" t="str">
        <f>IF(N49="pasa"," ",$O$24/('RMCV.PB'!C49*100))</f>
        <v xml:space="preserve"> </v>
      </c>
      <c r="P49" s="472" t="str">
        <f>IF(N49="pasa"," ",IF('CG. MPB'!E50="CONCRETO","F/DISEÑO",IF(AND(W49&gt;O49,O49&gt;X49),"BIEN","MAL")))</f>
        <v xml:space="preserve"> </v>
      </c>
      <c r="Q49" s="466">
        <f>IF('CG. MPB'!F50="MACIZO",12/'RMCS.PB'!$O$25,9/'RMCS.PB'!$O$25)</f>
        <v>2.3999999999999998E-3</v>
      </c>
      <c r="R49" s="466">
        <f t="shared" si="2"/>
        <v>0</v>
      </c>
      <c r="S49" s="466">
        <f>IF(G49=0,0,IF(AND(G49=2,'RMCV.PB'!E37="III"),30,40))</f>
        <v>0</v>
      </c>
      <c r="T49" s="466">
        <f>IF(I49=0,0,IF(AND(I49=3,'RMCV.PB'!$E$17="I"),20,15))</f>
        <v>0</v>
      </c>
      <c r="U49" s="466">
        <f>IF(J49=0,0,IF(AND(J49=3.5,'RMCV.PB'!$E$17="I"),20,15))</f>
        <v>0</v>
      </c>
      <c r="V49" s="466">
        <f t="shared" si="5"/>
        <v>0</v>
      </c>
      <c r="W49" s="466">
        <f t="shared" si="6"/>
        <v>0</v>
      </c>
      <c r="X49" s="466" t="e">
        <f>IF('CG. MPB'!E50="CONCRETO",0,IF(M49/(D49*$O$25*K49)&gt;3/$O$25,M49/(D49*$O$25*K49),3/$O$25))</f>
        <v>#DIV/0!</v>
      </c>
      <c r="Y49" s="765" t="e">
        <f t="shared" si="33"/>
        <v>#VALUE!</v>
      </c>
      <c r="Z49" s="466" t="e">
        <f t="shared" si="8"/>
        <v>#VALUE!</v>
      </c>
      <c r="AA49" s="766" t="e">
        <f t="shared" si="0"/>
        <v>#VALUE!</v>
      </c>
      <c r="AB49" s="943" t="str">
        <f t="shared" si="9"/>
        <v xml:space="preserve"> </v>
      </c>
      <c r="AC49" s="767" t="str">
        <f>IF(N49="pasa"," ",IF('CG. MPB'!E50="CONCRETO","F/DISEÑO",IF(AB49&gt;L49,"PASA","NO PASA")))</f>
        <v xml:space="preserve"> </v>
      </c>
      <c r="AD49" s="474" t="e">
        <f>$AD$23/($AD$27*'RMCV.PB'!C49)</f>
        <v>#DIV/0!</v>
      </c>
      <c r="AE49" s="482" t="e">
        <f t="shared" si="20"/>
        <v>#DIV/0!</v>
      </c>
      <c r="AF49" s="482">
        <f>IF(12/$AE$25&gt;'RMCV.PB'!F49*0.3/$AE$25,'RMCV.PB'!F49*0.3/$AE$25,12/$AE$25)</f>
        <v>0</v>
      </c>
      <c r="AG49" s="483" t="e">
        <f t="shared" si="21"/>
        <v>#DIV/0!</v>
      </c>
      <c r="AH49" s="482">
        <f>IF(9/$AE$25&gt;'RMCV.PB'!F49*0.3/$AE$25,'RMCV.PB'!F49*0.3/$AE$25,9/$AE$25)</f>
        <v>0</v>
      </c>
      <c r="AI49" s="484" t="e">
        <f t="shared" si="22"/>
        <v>#DIV/0!</v>
      </c>
      <c r="AJ49" s="485" t="e">
        <f t="shared" si="23"/>
        <v>#DIV/0!</v>
      </c>
      <c r="AK49" s="486">
        <f t="shared" si="24"/>
        <v>0</v>
      </c>
      <c r="AL49" s="486">
        <f t="shared" si="3"/>
        <v>0</v>
      </c>
      <c r="AM49" s="487" t="str">
        <f>IF(N49="PASA"," ",IF('CG. MPB'!E50="CONCRETO","F/DISEÑO",IF(AL49&gt;M49,"PASA","NO PASA")))</f>
        <v xml:space="preserve"> </v>
      </c>
    </row>
    <row r="50" spans="1:39" hidden="1">
      <c r="A50" s="684">
        <f>'CG. MPB'!A51</f>
        <v>22</v>
      </c>
      <c r="B50" s="576">
        <f>'RMCV.PB'!O50/1.3</f>
        <v>0</v>
      </c>
      <c r="C50" s="576">
        <f t="shared" si="1"/>
        <v>0</v>
      </c>
      <c r="D50" s="578">
        <f>IF('CG. MPB'!D51="NO CONFINADO",0.4,0.7)</f>
        <v>0.7</v>
      </c>
      <c r="E50" s="578">
        <f>IF('CG. MPB'!E51="CONCRETO",0.5*(0.8*250)^0.5,F50+G50+I50+J50+H50)</f>
        <v>0</v>
      </c>
      <c r="F50" s="578">
        <f>IF(AND('CG. MPB'!E51="TABIQUE",'CG. MPB'!F51="MACIZO"),IF('RMCV.PB'!$E$17="I",3.5,3),0)</f>
        <v>0</v>
      </c>
      <c r="G50" s="578">
        <f>IF(AND('CG. MPB'!E51="TABIQUE",'CG. MPB'!F51="HUECO"),IF('RMCV.PB'!$E$17="I",3,2),0)</f>
        <v>0</v>
      </c>
      <c r="H50" s="578">
        <f>IF('CG. MPB'!E51="ADOBE",0.3,0)</f>
        <v>0</v>
      </c>
      <c r="I50" s="578">
        <f>IF(AND('CG. MPB'!E51="TABICON",'CG. MPB'!F51="MACIZO"),IF('RMCV.PB'!$E$17="I",3,2),0)</f>
        <v>0</v>
      </c>
      <c r="J50" s="578">
        <f>IF(AND('CG. MPB'!E51="TABICON",'CG. MPB'!F51="HUECO"),IF('RMCV.PB'!$E$17="I",3.5,2.5),0)</f>
        <v>0</v>
      </c>
      <c r="K50" s="576">
        <f>'RMCV.PB'!N50</f>
        <v>0</v>
      </c>
      <c r="L50" s="918">
        <f>ABS('ELEM. MECA.'!F27)</f>
        <v>0</v>
      </c>
      <c r="M50" s="936">
        <f t="shared" si="4"/>
        <v>0</v>
      </c>
      <c r="N50" s="756" t="str">
        <f>IF('CG. MPB'!E51="CONCRETO","F/DISEÑO",IF(L50&gt;M50,IF(M50*1.05&gt;L50,"SE ACEPTA","NO PASA"),"PASA"))</f>
        <v>PASA</v>
      </c>
      <c r="O50" s="466" t="str">
        <f>IF(N50="pasa"," ",$O$24/('RMCV.PB'!C50*100))</f>
        <v xml:space="preserve"> </v>
      </c>
      <c r="P50" s="472" t="str">
        <f>IF(N50="pasa"," ",IF('CG. MPB'!E51="CONCRETO","F/DISEÑO",IF(AND(W50&gt;O50,O50&gt;X50),"BIEN","MAL")))</f>
        <v xml:space="preserve"> </v>
      </c>
      <c r="Q50" s="466">
        <f>IF('CG. MPB'!F51="MACIZO",12/'RMCS.PB'!$O$25,9/'RMCS.PB'!$O$25)</f>
        <v>2.3999999999999998E-3</v>
      </c>
      <c r="R50" s="466">
        <f t="shared" si="2"/>
        <v>0</v>
      </c>
      <c r="S50" s="466">
        <f>IF(G50=0,0,IF(AND(G50=2,'RMCV.PB'!E38="III"),30,40))</f>
        <v>0</v>
      </c>
      <c r="T50" s="466">
        <f>IF(I50=0,0,IF(AND(I50=3,'RMCV.PB'!$E$17="I"),20,15))</f>
        <v>0</v>
      </c>
      <c r="U50" s="466">
        <f>IF(J50=0,0,IF(AND(J50=3.5,'RMCV.PB'!$E$17="I"),20,15))</f>
        <v>0</v>
      </c>
      <c r="V50" s="466">
        <f t="shared" si="5"/>
        <v>0</v>
      </c>
      <c r="W50" s="466">
        <f t="shared" si="6"/>
        <v>0</v>
      </c>
      <c r="X50" s="466" t="e">
        <f>IF('CG. MPB'!E51="CONCRETO",0,IF(M50/(D50*$O$25*K50)&gt;3/$O$25,M50/(D50*$O$25*K50),3/$O$25))</f>
        <v>#DIV/0!</v>
      </c>
      <c r="Y50" s="765" t="e">
        <f t="shared" si="33"/>
        <v>#VALUE!</v>
      </c>
      <c r="Z50" s="466" t="e">
        <f t="shared" si="8"/>
        <v>#VALUE!</v>
      </c>
      <c r="AA50" s="766" t="e">
        <f t="shared" si="0"/>
        <v>#VALUE!</v>
      </c>
      <c r="AB50" s="943" t="str">
        <f t="shared" si="9"/>
        <v xml:space="preserve"> </v>
      </c>
      <c r="AC50" s="767" t="str">
        <f>IF(N50="pasa"," ",IF('CG. MPB'!E51="CONCRETO","F/DISEÑO",IF(AB50&gt;L50,"PASA","NO PASA")))</f>
        <v xml:space="preserve"> </v>
      </c>
      <c r="AD50" s="474" t="e">
        <f>$AD$23/($AD$27*'RMCV.PB'!C50)</f>
        <v>#DIV/0!</v>
      </c>
      <c r="AE50" s="482" t="e">
        <f t="shared" si="20"/>
        <v>#DIV/0!</v>
      </c>
      <c r="AF50" s="482">
        <f>IF(12/$AE$25&gt;'RMCV.PB'!F50*0.3/$AE$25,'RMCV.PB'!F50*0.3/$AE$25,12/$AE$25)</f>
        <v>0</v>
      </c>
      <c r="AG50" s="483" t="e">
        <f t="shared" si="21"/>
        <v>#DIV/0!</v>
      </c>
      <c r="AH50" s="482">
        <f>IF(9/$AE$25&gt;'RMCV.PB'!F50*0.3/$AE$25,'RMCV.PB'!F50*0.3/$AE$25,9/$AE$25)</f>
        <v>0</v>
      </c>
      <c r="AI50" s="484" t="e">
        <f t="shared" si="22"/>
        <v>#DIV/0!</v>
      </c>
      <c r="AJ50" s="485" t="e">
        <f t="shared" si="23"/>
        <v>#DIV/0!</v>
      </c>
      <c r="AK50" s="486">
        <f t="shared" si="24"/>
        <v>0</v>
      </c>
      <c r="AL50" s="486">
        <f t="shared" si="3"/>
        <v>0</v>
      </c>
      <c r="AM50" s="487" t="str">
        <f>IF(N50="PASA"," ",IF('CG. MPB'!E51="CONCRETO","F/DISEÑO",IF(AL50&gt;M50,"PASA","NO PASA")))</f>
        <v xml:space="preserve"> </v>
      </c>
    </row>
    <row r="51" spans="1:39" hidden="1">
      <c r="A51" s="684">
        <f>'CG. MPB'!A52</f>
        <v>23</v>
      </c>
      <c r="B51" s="576">
        <f>'RMCV.PB'!O51/1.3</f>
        <v>0</v>
      </c>
      <c r="C51" s="576">
        <f t="shared" si="1"/>
        <v>0</v>
      </c>
      <c r="D51" s="578">
        <f>IF('CG. MPB'!D52="NO CONFINADO",0.4,0.7)</f>
        <v>0.7</v>
      </c>
      <c r="E51" s="578">
        <f>IF('CG. MPB'!E52="CONCRETO",0.5*(0.8*250)^0.5,F51+G51+I51+J51+H51)</f>
        <v>0</v>
      </c>
      <c r="F51" s="578">
        <f>IF(AND('CG. MPB'!E52="TABIQUE",'CG. MPB'!F52="MACIZO"),IF('RMCV.PB'!$E$17="I",3.5,3),0)</f>
        <v>0</v>
      </c>
      <c r="G51" s="578">
        <f>IF(AND('CG. MPB'!E52="TABIQUE",'CG. MPB'!F52="HUECO"),IF('RMCV.PB'!$E$17="I",3,2),0)</f>
        <v>0</v>
      </c>
      <c r="H51" s="578">
        <f>IF('CG. MPB'!E52="ADOBE",0.3,0)</f>
        <v>0</v>
      </c>
      <c r="I51" s="578">
        <f>IF(AND('CG. MPB'!E52="TABICON",'CG. MPB'!F52="MACIZO"),IF('RMCV.PB'!$E$17="I",3,2),0)</f>
        <v>0</v>
      </c>
      <c r="J51" s="578">
        <f>IF(AND('CG. MPB'!E52="TABICON",'CG. MPB'!F52="HUECO"),IF('RMCV.PB'!$E$17="I",3.5,2.5),0)</f>
        <v>0</v>
      </c>
      <c r="K51" s="576">
        <f>'RMCV.PB'!N51</f>
        <v>0</v>
      </c>
      <c r="L51" s="918">
        <f>ABS('ELEM. MECA.'!F28)</f>
        <v>0</v>
      </c>
      <c r="M51" s="936">
        <f t="shared" si="4"/>
        <v>0</v>
      </c>
      <c r="N51" s="756" t="str">
        <f>IF('CG. MPB'!E52="CONCRETO","F/DISEÑO",IF(L51&gt;M51,IF(M51*1.05&gt;L51,"SE ACEPTA","NO PASA"),"PASA"))</f>
        <v>PASA</v>
      </c>
      <c r="O51" s="466" t="str">
        <f>IF(N51="pasa"," ",$O$24/('RMCV.PB'!C51*100))</f>
        <v xml:space="preserve"> </v>
      </c>
      <c r="P51" s="472" t="str">
        <f>IF(N51="pasa"," ",IF('CG. MPB'!E52="CONCRETO","F/DISEÑO",IF(AND(W51&gt;O51,O51&gt;X51),"BIEN","MAL")))</f>
        <v xml:space="preserve"> </v>
      </c>
      <c r="Q51" s="466">
        <f>IF('CG. MPB'!F52="MACIZO",12/'RMCS.PB'!$O$25,9/'RMCS.PB'!$O$25)</f>
        <v>2.3999999999999998E-3</v>
      </c>
      <c r="R51" s="466">
        <f t="shared" si="2"/>
        <v>0</v>
      </c>
      <c r="S51" s="466">
        <f>IF(G51=0,0,IF(AND(G51=2,'RMCV.PB'!E39="III"),30,40))</f>
        <v>0</v>
      </c>
      <c r="T51" s="466">
        <f>IF(I51=0,0,IF(AND(I51=3,'RMCV.PB'!$E$17="I"),20,15))</f>
        <v>0</v>
      </c>
      <c r="U51" s="466">
        <f>IF(J51=0,0,IF(AND(J51=3.5,'RMCV.PB'!$E$17="I"),20,15))</f>
        <v>0</v>
      </c>
      <c r="V51" s="466">
        <f t="shared" si="5"/>
        <v>0</v>
      </c>
      <c r="W51" s="466">
        <f t="shared" si="6"/>
        <v>0</v>
      </c>
      <c r="X51" s="466" t="e">
        <f>IF('CG. MPB'!E52="CONCRETO",0,IF(M51/(D51*$O$25*K51)&gt;3/$O$25,M51/(D51*$O$25*K51),3/$O$25))</f>
        <v>#DIV/0!</v>
      </c>
      <c r="Y51" s="765" t="e">
        <f t="shared" si="33"/>
        <v>#VALUE!</v>
      </c>
      <c r="Z51" s="466" t="e">
        <f t="shared" si="8"/>
        <v>#VALUE!</v>
      </c>
      <c r="AA51" s="766" t="e">
        <f t="shared" si="0"/>
        <v>#VALUE!</v>
      </c>
      <c r="AB51" s="943" t="str">
        <f t="shared" si="9"/>
        <v xml:space="preserve"> </v>
      </c>
      <c r="AC51" s="767" t="str">
        <f>IF(N51="pasa"," ",IF('CG. MPB'!E52="CONCRETO","F/DISEÑO",IF(AB51&gt;L51,"PASA","NO PASA")))</f>
        <v xml:space="preserve"> </v>
      </c>
      <c r="AD51" s="474" t="e">
        <f>$AD$23/($AD$27*'RMCV.PB'!C51)</f>
        <v>#DIV/0!</v>
      </c>
      <c r="AE51" s="482" t="e">
        <f t="shared" si="20"/>
        <v>#DIV/0!</v>
      </c>
      <c r="AF51" s="482">
        <f>IF(12/$AE$25&gt;'RMCV.PB'!F51*0.3/$AE$25,'RMCV.PB'!F51*0.3/$AE$25,12/$AE$25)</f>
        <v>0</v>
      </c>
      <c r="AG51" s="483" t="e">
        <f t="shared" si="21"/>
        <v>#DIV/0!</v>
      </c>
      <c r="AH51" s="482">
        <f>IF(9/$AE$25&gt;'RMCV.PB'!F51*0.3/$AE$25,'RMCV.PB'!F51*0.3/$AE$25,9/$AE$25)</f>
        <v>0</v>
      </c>
      <c r="AI51" s="484" t="e">
        <f t="shared" si="22"/>
        <v>#DIV/0!</v>
      </c>
      <c r="AJ51" s="485" t="e">
        <f t="shared" si="23"/>
        <v>#DIV/0!</v>
      </c>
      <c r="AK51" s="486">
        <f t="shared" si="24"/>
        <v>0</v>
      </c>
      <c r="AL51" s="486">
        <f t="shared" si="3"/>
        <v>0</v>
      </c>
      <c r="AM51" s="487" t="str">
        <f>IF(N51="PASA"," ",IF('CG. MPB'!E52="CONCRETO","F/DISEÑO",IF(AL51&gt;M51,"PASA","NO PASA")))</f>
        <v xml:space="preserve"> </v>
      </c>
    </row>
    <row r="52" spans="1:39" hidden="1">
      <c r="A52" s="684">
        <f>'CG. MPB'!A53</f>
        <v>24</v>
      </c>
      <c r="B52" s="576">
        <f>'RMCV.PB'!O52/1.3</f>
        <v>0</v>
      </c>
      <c r="C52" s="576">
        <f t="shared" si="1"/>
        <v>0</v>
      </c>
      <c r="D52" s="578">
        <f>IF('CG. MPB'!D53="NO CONFINADO",0.4,0.7)</f>
        <v>0.7</v>
      </c>
      <c r="E52" s="578">
        <f>IF('CG. MPB'!E53="CONCRETO",0.5*(0.8*250)^0.5,F52+G52+I52+J52+H52)</f>
        <v>0</v>
      </c>
      <c r="F52" s="578">
        <f>IF(AND('CG. MPB'!E53="TABIQUE",'CG. MPB'!F53="MACIZO"),IF('RMCV.PB'!$E$17="I",3.5,3),0)</f>
        <v>0</v>
      </c>
      <c r="G52" s="578">
        <f>IF(AND('CG. MPB'!E53="TABIQUE",'CG. MPB'!F53="HUECO"),IF('RMCV.PB'!$E$17="I",3,2),0)</f>
        <v>0</v>
      </c>
      <c r="H52" s="578">
        <f>IF('CG. MPB'!E53="ADOBE",0.3,0)</f>
        <v>0</v>
      </c>
      <c r="I52" s="578">
        <f>IF(AND('CG. MPB'!E53="TABICON",'CG. MPB'!F53="MACIZO"),IF('RMCV.PB'!$E$17="I",3,2),0)</f>
        <v>0</v>
      </c>
      <c r="J52" s="578">
        <f>IF(AND('CG. MPB'!E53="TABICON",'CG. MPB'!F53="HUECO"),IF('RMCV.PB'!$E$17="I",3.5,2.5),0)</f>
        <v>0</v>
      </c>
      <c r="K52" s="576">
        <f>'RMCV.PB'!N52</f>
        <v>0</v>
      </c>
      <c r="L52" s="918">
        <f>ABS('ELEM. MECA.'!F29)</f>
        <v>0</v>
      </c>
      <c r="M52" s="936">
        <f t="shared" si="4"/>
        <v>0</v>
      </c>
      <c r="N52" s="756" t="str">
        <f>IF('CG. MPB'!E53="CONCRETO","F/DISEÑO",IF(L52&gt;M52,IF(M52*1.05&gt;L52,"SE ACEPTA","NO PASA"),"PASA"))</f>
        <v>PASA</v>
      </c>
      <c r="O52" s="466" t="str">
        <f>IF(N52="pasa"," ",$O$24/('RMCV.PB'!C52*100))</f>
        <v xml:space="preserve"> </v>
      </c>
      <c r="P52" s="472" t="str">
        <f>IF(N52="pasa"," ",IF('CG. MPB'!E53="CONCRETO","F/DISEÑO",IF(AND(W52&gt;O52,O52&gt;X52),"BIEN","MAL")))</f>
        <v xml:space="preserve"> </v>
      </c>
      <c r="Q52" s="466">
        <f>IF('CG. MPB'!F53="MACIZO",12/'RMCS.PB'!$O$25,9/'RMCS.PB'!$O$25)</f>
        <v>2.3999999999999998E-3</v>
      </c>
      <c r="R52" s="466">
        <f t="shared" si="2"/>
        <v>0</v>
      </c>
      <c r="S52" s="466">
        <f>IF(G52=0,0,IF(AND(G52=2,'RMCV.PB'!E40="III"),30,40))</f>
        <v>0</v>
      </c>
      <c r="T52" s="466">
        <f>IF(I52=0,0,IF(AND(I52=3,'RMCV.PB'!$E$17="I"),20,15))</f>
        <v>0</v>
      </c>
      <c r="U52" s="466">
        <f>IF(J52=0,0,IF(AND(J52=3.5,'RMCV.PB'!$E$17="I"),20,15))</f>
        <v>0</v>
      </c>
      <c r="V52" s="466">
        <f t="shared" si="5"/>
        <v>0</v>
      </c>
      <c r="W52" s="466">
        <f t="shared" si="6"/>
        <v>0</v>
      </c>
      <c r="X52" s="466" t="e">
        <f>IF('CG. MPB'!E53="CONCRETO",0,IF(M52/(D52*$O$25*K52)&gt;3/$O$25,M52/(D52*$O$25*K52),3/$O$25))</f>
        <v>#DIV/0!</v>
      </c>
      <c r="Y52" s="765" t="e">
        <f t="shared" si="33"/>
        <v>#VALUE!</v>
      </c>
      <c r="Z52" s="466" t="e">
        <f t="shared" si="8"/>
        <v>#VALUE!</v>
      </c>
      <c r="AA52" s="766" t="e">
        <f t="shared" si="0"/>
        <v>#VALUE!</v>
      </c>
      <c r="AB52" s="943" t="str">
        <f t="shared" si="9"/>
        <v xml:space="preserve"> </v>
      </c>
      <c r="AC52" s="767" t="str">
        <f>IF(N52="pasa"," ",IF('CG. MPB'!E53="CONCRETO","F/DISEÑO",IF(AB52&gt;L52,"PASA","NO PASA")))</f>
        <v xml:space="preserve"> </v>
      </c>
      <c r="AD52" s="474" t="e">
        <f>$AD$23/($AD$27*'RMCV.PB'!C52)</f>
        <v>#DIV/0!</v>
      </c>
      <c r="AE52" s="482" t="e">
        <f t="shared" si="20"/>
        <v>#DIV/0!</v>
      </c>
      <c r="AF52" s="482">
        <f>IF(12/$AE$25&gt;'RMCV.PB'!F52*0.3/$AE$25,'RMCV.PB'!F52*0.3/$AE$25,12/$AE$25)</f>
        <v>0</v>
      </c>
      <c r="AG52" s="483" t="e">
        <f t="shared" si="21"/>
        <v>#DIV/0!</v>
      </c>
      <c r="AH52" s="482">
        <f>IF(9/$AE$25&gt;'RMCV.PB'!F52*0.3/$AE$25,'RMCV.PB'!F52*0.3/$AE$25,9/$AE$25)</f>
        <v>0</v>
      </c>
      <c r="AI52" s="484" t="e">
        <f t="shared" si="22"/>
        <v>#DIV/0!</v>
      </c>
      <c r="AJ52" s="485" t="e">
        <f t="shared" si="23"/>
        <v>#DIV/0!</v>
      </c>
      <c r="AK52" s="486">
        <f t="shared" si="24"/>
        <v>0</v>
      </c>
      <c r="AL52" s="486">
        <f t="shared" si="3"/>
        <v>0</v>
      </c>
      <c r="AM52" s="487" t="str">
        <f>IF(N52="PASA"," ",IF('CG. MPB'!E53="CONCRETO","F/DISEÑO",IF(AL52&gt;M52,"PASA","NO PASA")))</f>
        <v xml:space="preserve"> </v>
      </c>
    </row>
    <row r="53" spans="1:39" hidden="1">
      <c r="A53" s="684">
        <f>'CG. MPB'!A54</f>
        <v>25</v>
      </c>
      <c r="B53" s="576">
        <f>'RMCV.PB'!O53/1.3</f>
        <v>0</v>
      </c>
      <c r="C53" s="576">
        <f t="shared" si="1"/>
        <v>0</v>
      </c>
      <c r="D53" s="578">
        <f>IF('CG. MPB'!D54="NO CONFINADO",0.4,0.7)</f>
        <v>0.7</v>
      </c>
      <c r="E53" s="578">
        <f>IF('CG. MPB'!E54="CONCRETO",0.5*(0.8*250)^0.5,F53+G53+I53+J53+H53)</f>
        <v>0</v>
      </c>
      <c r="F53" s="578">
        <f>IF(AND('CG. MPB'!E54="TABIQUE",'CG. MPB'!F54="MACIZO"),IF('RMCV.PB'!$E$17="I",3.5,3),0)</f>
        <v>0</v>
      </c>
      <c r="G53" s="578">
        <f>IF(AND('CG. MPB'!E54="TABIQUE",'CG. MPB'!F54="HUECO"),IF('RMCV.PB'!$E$17="I",3,2),0)</f>
        <v>0</v>
      </c>
      <c r="H53" s="578">
        <f>IF('CG. MPB'!E54="ADOBE",0.3,0)</f>
        <v>0</v>
      </c>
      <c r="I53" s="578">
        <f>IF(AND('CG. MPB'!E54="TABICON",'CG. MPB'!F54="MACIZO"),IF('RMCV.PB'!$E$17="I",3,2),0)</f>
        <v>0</v>
      </c>
      <c r="J53" s="578">
        <f>IF(AND('CG. MPB'!E54="TABICON",'CG. MPB'!F54="HUECO"),IF('RMCV.PB'!$E$17="I",3.5,2.5),0)</f>
        <v>0</v>
      </c>
      <c r="K53" s="576">
        <f>'RMCV.PB'!N53</f>
        <v>0</v>
      </c>
      <c r="L53" s="918">
        <f>ABS('ELEM. MECA.'!F30)</f>
        <v>0</v>
      </c>
      <c r="M53" s="936">
        <f t="shared" si="4"/>
        <v>0</v>
      </c>
      <c r="N53" s="756" t="str">
        <f>IF('CG. MPB'!E54="CONCRETO","F/DISEÑO",IF(L53&gt;M53,IF(M53*1.05&gt;L53,"SE ACEPTA","NO PASA"),"PASA"))</f>
        <v>PASA</v>
      </c>
      <c r="O53" s="466" t="str">
        <f>IF(N53="pasa"," ",$O$24/('RMCV.PB'!C53*100))</f>
        <v xml:space="preserve"> </v>
      </c>
      <c r="P53" s="472" t="str">
        <f>IF(N53="pasa"," ",IF('CG. MPB'!E54="CONCRETO","F/DISEÑO",IF(AND(W53&gt;O53,O53&gt;X53),"BIEN","MAL")))</f>
        <v xml:space="preserve"> </v>
      </c>
      <c r="Q53" s="466">
        <f>IF('CG. MPB'!F54="MACIZO",12/'RMCS.PB'!$O$25,9/'RMCS.PB'!$O$25)</f>
        <v>2.3999999999999998E-3</v>
      </c>
      <c r="R53" s="466">
        <f t="shared" si="2"/>
        <v>0</v>
      </c>
      <c r="S53" s="466">
        <f>IF(G53=0,0,IF(AND(G53=2,'RMCV.PB'!E41="III"),30,40))</f>
        <v>0</v>
      </c>
      <c r="T53" s="466">
        <f>IF(I53=0,0,IF(AND(I53=3,'RMCV.PB'!$E$17="I"),20,15))</f>
        <v>0</v>
      </c>
      <c r="U53" s="466">
        <f>IF(J53=0,0,IF(AND(J53=3.5,'RMCV.PB'!$E$17="I"),20,15))</f>
        <v>0</v>
      </c>
      <c r="V53" s="466">
        <f t="shared" si="5"/>
        <v>0</v>
      </c>
      <c r="W53" s="466">
        <f t="shared" si="6"/>
        <v>0</v>
      </c>
      <c r="X53" s="466" t="e">
        <f>IF('CG. MPB'!E54="CONCRETO",0,IF(M53/(D53*$O$25*K53)&gt;3/$O$25,M53/(D53*$O$25*K53),3/$O$25))</f>
        <v>#DIV/0!</v>
      </c>
      <c r="Y53" s="765" t="e">
        <f t="shared" si="33"/>
        <v>#VALUE!</v>
      </c>
      <c r="Z53" s="466" t="e">
        <f t="shared" si="8"/>
        <v>#VALUE!</v>
      </c>
      <c r="AA53" s="766" t="e">
        <f t="shared" si="0"/>
        <v>#VALUE!</v>
      </c>
      <c r="AB53" s="943" t="str">
        <f t="shared" si="9"/>
        <v xml:space="preserve"> </v>
      </c>
      <c r="AC53" s="767" t="str">
        <f>IF(N53="pasa"," ",IF('CG. MPB'!E54="CONCRETO","F/DISEÑO",IF(AB53&gt;L53,"PASA","NO PASA")))</f>
        <v xml:space="preserve"> </v>
      </c>
      <c r="AD53" s="474" t="e">
        <f>$AD$23/($AD$27*'RMCV.PB'!C53)</f>
        <v>#DIV/0!</v>
      </c>
      <c r="AE53" s="482" t="e">
        <f t="shared" si="20"/>
        <v>#DIV/0!</v>
      </c>
      <c r="AF53" s="482">
        <f>IF(12/$AE$25&gt;'RMCV.PB'!F53*0.3/$AE$25,'RMCV.PB'!F53*0.3/$AE$25,12/$AE$25)</f>
        <v>0</v>
      </c>
      <c r="AG53" s="483" t="e">
        <f t="shared" si="21"/>
        <v>#DIV/0!</v>
      </c>
      <c r="AH53" s="482">
        <f>IF(9/$AE$25&gt;'RMCV.PB'!F53*0.3/$AE$25,'RMCV.PB'!F53*0.3/$AE$25,9/$AE$25)</f>
        <v>0</v>
      </c>
      <c r="AI53" s="484" t="e">
        <f t="shared" si="22"/>
        <v>#DIV/0!</v>
      </c>
      <c r="AJ53" s="485" t="e">
        <f t="shared" si="23"/>
        <v>#DIV/0!</v>
      </c>
      <c r="AK53" s="486">
        <f t="shared" si="24"/>
        <v>0</v>
      </c>
      <c r="AL53" s="486">
        <f t="shared" si="3"/>
        <v>0</v>
      </c>
      <c r="AM53" s="487" t="str">
        <f>IF(N53="PASA"," ",IF('CG. MPB'!E54="CONCRETO","F/DISEÑO",IF(AL53&gt;M53,"PASA","NO PASA")))</f>
        <v xml:space="preserve"> </v>
      </c>
    </row>
    <row r="54" spans="1:39" hidden="1">
      <c r="A54" s="684">
        <f>'CG. MPB'!A55</f>
        <v>26</v>
      </c>
      <c r="B54" s="576">
        <f>'RMCV.PB'!O54/1.3</f>
        <v>0</v>
      </c>
      <c r="C54" s="576">
        <f t="shared" si="1"/>
        <v>0</v>
      </c>
      <c r="D54" s="578">
        <f>IF('CG. MPB'!D55="NO CONFINADO",0.4,0.7)</f>
        <v>0.7</v>
      </c>
      <c r="E54" s="578">
        <f>IF('CG. MPB'!E55="CONCRETO",0.5*(0.8*250)^0.5,F54+G54+I54+J54+H54)</f>
        <v>0</v>
      </c>
      <c r="F54" s="578">
        <f>IF(AND('CG. MPB'!E55="TABIQUE",'CG. MPB'!F55="MACIZO"),IF('RMCV.PB'!$E$17="I",3.5,3),0)</f>
        <v>0</v>
      </c>
      <c r="G54" s="578">
        <f>IF(AND('CG. MPB'!E55="TABIQUE",'CG. MPB'!F55="HUECO"),IF('RMCV.PB'!$E$17="I",3,2),0)</f>
        <v>0</v>
      </c>
      <c r="H54" s="578">
        <f>IF('CG. MPB'!E55="ADOBE",0.3,0)</f>
        <v>0</v>
      </c>
      <c r="I54" s="578">
        <f>IF(AND('CG. MPB'!E55="TABICON",'CG. MPB'!F55="MACIZO"),IF('RMCV.PB'!$E$17="I",3,2),0)</f>
        <v>0</v>
      </c>
      <c r="J54" s="578">
        <f>IF(AND('CG. MPB'!E55="TABICON",'CG. MPB'!F55="HUECO"),IF('RMCV.PB'!$E$17="I",3.5,2.5),0)</f>
        <v>0</v>
      </c>
      <c r="K54" s="576">
        <f>'RMCV.PB'!N54</f>
        <v>0</v>
      </c>
      <c r="L54" s="918">
        <f>ABS('ELEM. MECA.'!F31)</f>
        <v>0</v>
      </c>
      <c r="M54" s="936">
        <f t="shared" si="4"/>
        <v>0</v>
      </c>
      <c r="N54" s="756" t="str">
        <f>IF('CG. MPB'!E55="CONCRETO","F/DISEÑO",IF(L54&gt;M54,IF(M54*1.05&gt;L54,"SE ACEPTA","NO PASA"),"PASA"))</f>
        <v>PASA</v>
      </c>
      <c r="O54" s="466" t="str">
        <f>IF(N54="pasa"," ",$O$24/('RMCV.PB'!C54*100))</f>
        <v xml:space="preserve"> </v>
      </c>
      <c r="P54" s="472" t="str">
        <f>IF(N54="pasa"," ",IF('CG. MPB'!E55="CONCRETO","F/DISEÑO",IF(AND(W54&gt;O54,O54&gt;X54),"BIEN","MAL")))</f>
        <v xml:space="preserve"> </v>
      </c>
      <c r="Q54" s="466">
        <f>IF('CG. MPB'!F55="MACIZO",12/'RMCS.PB'!$O$25,9/'RMCS.PB'!$O$25)</f>
        <v>2.3999999999999998E-3</v>
      </c>
      <c r="R54" s="466">
        <f t="shared" si="2"/>
        <v>0</v>
      </c>
      <c r="S54" s="466">
        <f>IF(G54=0,0,IF(AND(G54=2,'RMCV.PB'!E42="III"),30,40))</f>
        <v>0</v>
      </c>
      <c r="T54" s="466">
        <f>IF(I54=0,0,IF(AND(I54=3,'RMCV.PB'!$E$17="I"),20,15))</f>
        <v>0</v>
      </c>
      <c r="U54" s="466">
        <f>IF(J54=0,0,IF(AND(J54=3.5,'RMCV.PB'!$E$17="I"),20,15))</f>
        <v>0</v>
      </c>
      <c r="V54" s="466">
        <f t="shared" si="5"/>
        <v>0</v>
      </c>
      <c r="W54" s="466">
        <f t="shared" si="6"/>
        <v>0</v>
      </c>
      <c r="X54" s="466" t="e">
        <f>IF('CG. MPB'!E55="CONCRETO",0,IF(M54/(D54*$O$25*K54)&gt;3/$O$25,M54/(D54*$O$25*K54),3/$O$25))</f>
        <v>#DIV/0!</v>
      </c>
      <c r="Y54" s="765" t="e">
        <f t="shared" si="33"/>
        <v>#VALUE!</v>
      </c>
      <c r="Z54" s="466" t="e">
        <f t="shared" si="8"/>
        <v>#VALUE!</v>
      </c>
      <c r="AA54" s="766" t="e">
        <f t="shared" si="0"/>
        <v>#VALUE!</v>
      </c>
      <c r="AB54" s="943" t="str">
        <f t="shared" si="9"/>
        <v xml:space="preserve"> </v>
      </c>
      <c r="AC54" s="767" t="str">
        <f>IF(N54="pasa"," ",IF('CG. MPB'!E55="CONCRETO","F/DISEÑO",IF(AB54&gt;L54,"PASA","NO PASA")))</f>
        <v xml:space="preserve"> </v>
      </c>
      <c r="AD54" s="474" t="e">
        <f>$AD$23/($AD$27*'RMCV.PB'!C54)</f>
        <v>#DIV/0!</v>
      </c>
      <c r="AE54" s="482" t="e">
        <f t="shared" si="20"/>
        <v>#DIV/0!</v>
      </c>
      <c r="AF54" s="482">
        <f>IF(12/$AE$25&gt;'RMCV.PB'!F54*0.3/$AE$25,'RMCV.PB'!F54*0.3/$AE$25,12/$AE$25)</f>
        <v>0</v>
      </c>
      <c r="AG54" s="483" t="e">
        <f t="shared" si="21"/>
        <v>#DIV/0!</v>
      </c>
      <c r="AH54" s="482">
        <f>IF(9/$AE$25&gt;'RMCV.PB'!F54*0.3/$AE$25,'RMCV.PB'!F54*0.3/$AE$25,9/$AE$25)</f>
        <v>0</v>
      </c>
      <c r="AI54" s="484" t="e">
        <f t="shared" si="22"/>
        <v>#DIV/0!</v>
      </c>
      <c r="AJ54" s="485" t="e">
        <f t="shared" si="23"/>
        <v>#DIV/0!</v>
      </c>
      <c r="AK54" s="486">
        <f t="shared" si="24"/>
        <v>0</v>
      </c>
      <c r="AL54" s="486">
        <f t="shared" si="3"/>
        <v>0</v>
      </c>
      <c r="AM54" s="487" t="str">
        <f>IF(N54="PASA"," ",IF('CG. MPB'!E55="CONCRETO","F/DISEÑO",IF(AL54&gt;M54,"PASA","NO PASA")))</f>
        <v xml:space="preserve"> </v>
      </c>
    </row>
    <row r="55" spans="1:39" hidden="1">
      <c r="A55" s="684">
        <f>'CG. MPB'!A56</f>
        <v>27</v>
      </c>
      <c r="B55" s="576">
        <f>'RMCV.PB'!O55/1.3</f>
        <v>0</v>
      </c>
      <c r="C55" s="576">
        <f t="shared" si="1"/>
        <v>0</v>
      </c>
      <c r="D55" s="578">
        <f>IF('CG. MPB'!D56="NO CONFINADO",0.4,0.7)</f>
        <v>0.7</v>
      </c>
      <c r="E55" s="578">
        <f>IF('CG. MPB'!E56="CONCRETO",0.5*(0.8*250)^0.5,F55+G55+I55+J55+H55)</f>
        <v>0</v>
      </c>
      <c r="F55" s="578">
        <f>IF(AND('CG. MPB'!E56="TABIQUE",'CG. MPB'!F56="MACIZO"),IF('RMCV.PB'!$E$17="I",3.5,3),0)</f>
        <v>0</v>
      </c>
      <c r="G55" s="578">
        <f>IF(AND('CG. MPB'!E56="TABIQUE",'CG. MPB'!F56="HUECO"),IF('RMCV.PB'!$E$17="I",3,2),0)</f>
        <v>0</v>
      </c>
      <c r="H55" s="578">
        <f>IF('CG. MPB'!E56="ADOBE",0.3,0)</f>
        <v>0</v>
      </c>
      <c r="I55" s="578">
        <f>IF(AND('CG. MPB'!E56="TABICON",'CG. MPB'!F56="MACIZO"),IF('RMCV.PB'!$E$17="I",3,2),0)</f>
        <v>0</v>
      </c>
      <c r="J55" s="578">
        <f>IF(AND('CG. MPB'!E56="TABICON",'CG. MPB'!F56="HUECO"),IF('RMCV.PB'!$E$17="I",3.5,2.5),0)</f>
        <v>0</v>
      </c>
      <c r="K55" s="576">
        <f>'RMCV.PB'!N55</f>
        <v>0</v>
      </c>
      <c r="L55" s="918">
        <f>ABS('ELEM. MECA.'!F32)</f>
        <v>0</v>
      </c>
      <c r="M55" s="936">
        <f t="shared" si="4"/>
        <v>0</v>
      </c>
      <c r="N55" s="756" t="str">
        <f>IF('CG. MPB'!E56="CONCRETO","F/DISEÑO",IF(L55&gt;M55,IF(M55*1.05&gt;L55,"SE ACEPTA","NO PASA"),"PASA"))</f>
        <v>PASA</v>
      </c>
      <c r="O55" s="466" t="str">
        <f>IF(N55="pasa"," ",$O$24/('RMCV.PB'!C55*100))</f>
        <v xml:space="preserve"> </v>
      </c>
      <c r="P55" s="472" t="str">
        <f>IF(N55="pasa"," ",IF('CG. MPB'!E56="CONCRETO","F/DISEÑO",IF(AND(W55&gt;O55,O55&gt;X55),"BIEN","MAL")))</f>
        <v xml:space="preserve"> </v>
      </c>
      <c r="Q55" s="466">
        <f>IF('CG. MPB'!F56="MACIZO",12/'RMCS.PB'!$O$25,9/'RMCS.PB'!$O$25)</f>
        <v>2.3999999999999998E-3</v>
      </c>
      <c r="R55" s="466">
        <f t="shared" si="2"/>
        <v>0</v>
      </c>
      <c r="S55" s="466">
        <f>IF(G55=0,0,IF(AND(G55=2,'RMCV.PB'!E43="III"),30,40))</f>
        <v>0</v>
      </c>
      <c r="T55" s="466">
        <f>IF(I55=0,0,IF(AND(I55=3,'RMCV.PB'!$E$17="I"),20,15))</f>
        <v>0</v>
      </c>
      <c r="U55" s="466">
        <f>IF(J55=0,0,IF(AND(J55=3.5,'RMCV.PB'!$E$17="I"),20,15))</f>
        <v>0</v>
      </c>
      <c r="V55" s="466">
        <f t="shared" si="5"/>
        <v>0</v>
      </c>
      <c r="W55" s="466">
        <f t="shared" si="6"/>
        <v>0</v>
      </c>
      <c r="X55" s="466" t="e">
        <f>IF('CG. MPB'!E56="CONCRETO",0,IF(M55/(D55*$O$25*K55)&gt;3/$O$25,M55/(D55*$O$25*K55),3/$O$25))</f>
        <v>#DIV/0!</v>
      </c>
      <c r="Y55" s="765" t="e">
        <f t="shared" si="33"/>
        <v>#VALUE!</v>
      </c>
      <c r="Z55" s="466" t="e">
        <f t="shared" si="8"/>
        <v>#VALUE!</v>
      </c>
      <c r="AA55" s="766" t="e">
        <f t="shared" si="0"/>
        <v>#VALUE!</v>
      </c>
      <c r="AB55" s="943" t="str">
        <f t="shared" si="9"/>
        <v xml:space="preserve"> </v>
      </c>
      <c r="AC55" s="767" t="str">
        <f>IF(N55="pasa"," ",IF('CG. MPB'!E56="CONCRETO","F/DISEÑO",IF(AB55&gt;L55,"PASA","NO PASA")))</f>
        <v xml:space="preserve"> </v>
      </c>
      <c r="AD55" s="474" t="e">
        <f>$AD$23/($AD$27*'RMCV.PB'!C55)</f>
        <v>#DIV/0!</v>
      </c>
      <c r="AE55" s="482" t="e">
        <f t="shared" si="20"/>
        <v>#DIV/0!</v>
      </c>
      <c r="AF55" s="482">
        <f>IF(12/$AE$25&gt;'RMCV.PB'!F55*0.3/$AE$25,'RMCV.PB'!F55*0.3/$AE$25,12/$AE$25)</f>
        <v>0</v>
      </c>
      <c r="AG55" s="483" t="e">
        <f t="shared" si="21"/>
        <v>#DIV/0!</v>
      </c>
      <c r="AH55" s="482">
        <f>IF(9/$AE$25&gt;'RMCV.PB'!F55*0.3/$AE$25,'RMCV.PB'!F55*0.3/$AE$25,9/$AE$25)</f>
        <v>0</v>
      </c>
      <c r="AI55" s="484" t="e">
        <f t="shared" si="22"/>
        <v>#DIV/0!</v>
      </c>
      <c r="AJ55" s="485" t="e">
        <f t="shared" si="23"/>
        <v>#DIV/0!</v>
      </c>
      <c r="AK55" s="486">
        <f t="shared" si="24"/>
        <v>0</v>
      </c>
      <c r="AL55" s="486">
        <f t="shared" si="3"/>
        <v>0</v>
      </c>
      <c r="AM55" s="487" t="str">
        <f>IF(N55="PASA"," ",IF('CG. MPB'!E56="CONCRETO","F/DISEÑO",IF(AL55&gt;M55,"PASA","NO PASA")))</f>
        <v xml:space="preserve"> </v>
      </c>
    </row>
    <row r="56" spans="1:39" hidden="1">
      <c r="A56" s="684">
        <f>'CG. MPB'!A57</f>
        <v>28</v>
      </c>
      <c r="B56" s="576">
        <f>'RMCV.PB'!O56/1.3</f>
        <v>0</v>
      </c>
      <c r="C56" s="576">
        <f t="shared" si="1"/>
        <v>0</v>
      </c>
      <c r="D56" s="578">
        <f>IF('CG. MPB'!D57="NO CONFINADO",0.4,0.7)</f>
        <v>0.7</v>
      </c>
      <c r="E56" s="578">
        <f>IF('CG. MPB'!E57="CONCRETO",0.5*(0.8*250)^0.5,F56+G56+I56+J56+H56)</f>
        <v>0</v>
      </c>
      <c r="F56" s="578">
        <f>IF(AND('CG. MPB'!E57="TABIQUE",'CG. MPB'!F57="MACIZO"),IF('RMCV.PB'!$E$17="I",3.5,3),0)</f>
        <v>0</v>
      </c>
      <c r="G56" s="578">
        <f>IF(AND('CG. MPB'!E57="TABIQUE",'CG. MPB'!F57="HUECO"),IF('RMCV.PB'!$E$17="I",3,2),0)</f>
        <v>0</v>
      </c>
      <c r="H56" s="578">
        <f>IF('CG. MPB'!E57="ADOBE",0.3,0)</f>
        <v>0</v>
      </c>
      <c r="I56" s="578">
        <f>IF(AND('CG. MPB'!E57="TABICON",'CG. MPB'!F57="MACIZO"),IF('RMCV.PB'!$E$17="I",3,2),0)</f>
        <v>0</v>
      </c>
      <c r="J56" s="578">
        <f>IF(AND('CG. MPB'!E57="TABICON",'CG. MPB'!F57="HUECO"),IF('RMCV.PB'!$E$17="I",3.5,2.5),0)</f>
        <v>0</v>
      </c>
      <c r="K56" s="576">
        <f>'RMCV.PB'!N56</f>
        <v>0</v>
      </c>
      <c r="L56" s="918">
        <f>ABS('ELEM. MECA.'!F33)</f>
        <v>0</v>
      </c>
      <c r="M56" s="936">
        <f t="shared" si="4"/>
        <v>0</v>
      </c>
      <c r="N56" s="756" t="str">
        <f>IF('CG. MPB'!E57="CONCRETO","F/DISEÑO",IF(L56&gt;M56,IF(M56*1.05&gt;L56,"SE ACEPTA","NO PASA"),"PASA"))</f>
        <v>PASA</v>
      </c>
      <c r="O56" s="466" t="str">
        <f>IF(N56="pasa"," ",$O$24/('RMCV.PB'!C56*100))</f>
        <v xml:space="preserve"> </v>
      </c>
      <c r="P56" s="472" t="str">
        <f>IF(N56="pasa"," ",IF('CG. MPB'!E57="CONCRETO","F/DISEÑO",IF(AND(W56&gt;O56,O56&gt;X56),"BIEN","MAL")))</f>
        <v xml:space="preserve"> </v>
      </c>
      <c r="Q56" s="466">
        <f>IF('CG. MPB'!F57="MACIZO",12/'RMCS.PB'!$O$25,9/'RMCS.PB'!$O$25)</f>
        <v>2.3999999999999998E-3</v>
      </c>
      <c r="R56" s="466">
        <f t="shared" si="2"/>
        <v>0</v>
      </c>
      <c r="S56" s="466">
        <f>IF(G56=0,0,IF(AND(G56=2,'RMCV.PB'!E44="III"),30,40))</f>
        <v>0</v>
      </c>
      <c r="T56" s="466">
        <f>IF(I56=0,0,IF(AND(I56=3,'RMCV.PB'!$E$17="I"),20,15))</f>
        <v>0</v>
      </c>
      <c r="U56" s="466">
        <f>IF(J56=0,0,IF(AND(J56=3.5,'RMCV.PB'!$E$17="I"),20,15))</f>
        <v>0</v>
      </c>
      <c r="V56" s="466">
        <f t="shared" si="5"/>
        <v>0</v>
      </c>
      <c r="W56" s="466">
        <f t="shared" si="6"/>
        <v>0</v>
      </c>
      <c r="X56" s="466" t="e">
        <f>IF('CG. MPB'!E57="CONCRETO",0,IF(M56/(D56*$O$25*K56)&gt;3/$O$25,M56/(D56*$O$25*K56),3/$O$25))</f>
        <v>#DIV/0!</v>
      </c>
      <c r="Y56" s="765" t="e">
        <f t="shared" si="33"/>
        <v>#VALUE!</v>
      </c>
      <c r="Z56" s="466" t="e">
        <f t="shared" si="8"/>
        <v>#VALUE!</v>
      </c>
      <c r="AA56" s="766" t="e">
        <f t="shared" si="0"/>
        <v>#VALUE!</v>
      </c>
      <c r="AB56" s="943" t="str">
        <f t="shared" si="9"/>
        <v xml:space="preserve"> </v>
      </c>
      <c r="AC56" s="767" t="str">
        <f>IF(N56="pasa"," ",IF('CG. MPB'!E57="CONCRETO","F/DISEÑO",IF(AB56&gt;L56,"PASA","NO PASA")))</f>
        <v xml:space="preserve"> </v>
      </c>
      <c r="AD56" s="474" t="e">
        <f>$AD$23/($AD$27*'RMCV.PB'!C56)</f>
        <v>#DIV/0!</v>
      </c>
      <c r="AE56" s="482" t="e">
        <f t="shared" si="20"/>
        <v>#DIV/0!</v>
      </c>
      <c r="AF56" s="482">
        <f>IF(12/$AE$25&gt;'RMCV.PB'!F56*0.3/$AE$25,'RMCV.PB'!F56*0.3/$AE$25,12/$AE$25)</f>
        <v>0</v>
      </c>
      <c r="AG56" s="483" t="e">
        <f t="shared" si="21"/>
        <v>#DIV/0!</v>
      </c>
      <c r="AH56" s="482">
        <f>IF(9/$AE$25&gt;'RMCV.PB'!F56*0.3/$AE$25,'RMCV.PB'!F56*0.3/$AE$25,9/$AE$25)</f>
        <v>0</v>
      </c>
      <c r="AI56" s="484" t="e">
        <f t="shared" si="22"/>
        <v>#DIV/0!</v>
      </c>
      <c r="AJ56" s="485" t="e">
        <f t="shared" si="23"/>
        <v>#DIV/0!</v>
      </c>
      <c r="AK56" s="486">
        <f t="shared" si="24"/>
        <v>0</v>
      </c>
      <c r="AL56" s="486">
        <f t="shared" si="3"/>
        <v>0</v>
      </c>
      <c r="AM56" s="487" t="str">
        <f>IF(N56="PASA"," ",IF('CG. MPB'!E57="CONCRETO","F/DISEÑO",IF(AL56&gt;M56,"PASA","NO PASA")))</f>
        <v xml:space="preserve"> </v>
      </c>
    </row>
    <row r="57" spans="1:39" hidden="1">
      <c r="A57" s="684">
        <f>'CG. MPB'!A58</f>
        <v>29</v>
      </c>
      <c r="B57" s="576">
        <f>'RMCV.PB'!O57/1.3</f>
        <v>0</v>
      </c>
      <c r="C57" s="576">
        <f t="shared" si="1"/>
        <v>0</v>
      </c>
      <c r="D57" s="578">
        <f>IF('CG. MPB'!D58="NO CONFINADO",0.4,0.7)</f>
        <v>0.7</v>
      </c>
      <c r="E57" s="578">
        <f>IF('CG. MPB'!E58="CONCRETO",0.5*(0.8*250)^0.5,F57+G57+I57+J57+H57)</f>
        <v>0</v>
      </c>
      <c r="F57" s="578">
        <f>IF(AND('CG. MPB'!E58="TABIQUE",'CG. MPB'!F58="MACIZO"),IF('RMCV.PB'!$E$17="I",3.5,3),0)</f>
        <v>0</v>
      </c>
      <c r="G57" s="578">
        <f>IF(AND('CG. MPB'!E58="TABIQUE",'CG. MPB'!F58="HUECO"),IF('RMCV.PB'!$E$17="I",3,2),0)</f>
        <v>0</v>
      </c>
      <c r="H57" s="578">
        <f>IF('CG. MPB'!E58="ADOBE",0.3,0)</f>
        <v>0</v>
      </c>
      <c r="I57" s="578">
        <f>IF(AND('CG. MPB'!E58="TABICON",'CG. MPB'!F58="MACIZO"),IF('RMCV.PB'!$E$17="I",3,2),0)</f>
        <v>0</v>
      </c>
      <c r="J57" s="578">
        <f>IF(AND('CG. MPB'!E58="TABICON",'CG. MPB'!F58="HUECO"),IF('RMCV.PB'!$E$17="I",3.5,2.5),0)</f>
        <v>0</v>
      </c>
      <c r="K57" s="576">
        <f>'RMCV.PB'!N57</f>
        <v>0</v>
      </c>
      <c r="L57" s="918">
        <f>ABS('ELEM. MECA.'!F34)</f>
        <v>0</v>
      </c>
      <c r="M57" s="936">
        <f t="shared" si="4"/>
        <v>0</v>
      </c>
      <c r="N57" s="756" t="str">
        <f>IF('CG. MPB'!E58="CONCRETO","F/DISEÑO",IF(L57&gt;M57,IF(M57*1.05&gt;L57,"SE ACEPTA","NO PASA"),"PASA"))</f>
        <v>PASA</v>
      </c>
      <c r="O57" s="466" t="str">
        <f>IF(N57="pasa"," ",$O$24/('RMCV.PB'!C57*100))</f>
        <v xml:space="preserve"> </v>
      </c>
      <c r="P57" s="472" t="str">
        <f>IF(N57="pasa"," ",IF('CG. MPB'!E58="CONCRETO","F/DISEÑO",IF(AND(W57&gt;O57,O57&gt;X57),"BIEN","MAL")))</f>
        <v xml:space="preserve"> </v>
      </c>
      <c r="Q57" s="466">
        <f>IF('CG. MPB'!F58="MACIZO",12/'RMCS.PB'!$O$25,9/'RMCS.PB'!$O$25)</f>
        <v>2.3999999999999998E-3</v>
      </c>
      <c r="R57" s="466">
        <f t="shared" si="2"/>
        <v>0</v>
      </c>
      <c r="S57" s="466">
        <f>IF(G57=0,0,IF(AND(G57=2,'RMCV.PB'!E45="III"),30,40))</f>
        <v>0</v>
      </c>
      <c r="T57" s="466">
        <f>IF(I57=0,0,IF(AND(I57=3,'RMCV.PB'!$E$17="I"),20,15))</f>
        <v>0</v>
      </c>
      <c r="U57" s="466">
        <f>IF(J57=0,0,IF(AND(J57=3.5,'RMCV.PB'!$E$17="I"),20,15))</f>
        <v>0</v>
      </c>
      <c r="V57" s="466">
        <f t="shared" si="5"/>
        <v>0</v>
      </c>
      <c r="W57" s="466">
        <f t="shared" si="6"/>
        <v>0</v>
      </c>
      <c r="X57" s="466" t="e">
        <f>IF('CG. MPB'!E58="CONCRETO",0,IF(M57/(D57*$O$25*K57)&gt;3/$O$25,M57/(D57*$O$25*K57),3/$O$25))</f>
        <v>#DIV/0!</v>
      </c>
      <c r="Y57" s="765" t="e">
        <f t="shared" si="33"/>
        <v>#VALUE!</v>
      </c>
      <c r="Z57" s="466" t="e">
        <f t="shared" si="8"/>
        <v>#VALUE!</v>
      </c>
      <c r="AA57" s="766" t="e">
        <f t="shared" si="0"/>
        <v>#VALUE!</v>
      </c>
      <c r="AB57" s="943" t="str">
        <f t="shared" si="9"/>
        <v xml:space="preserve"> </v>
      </c>
      <c r="AC57" s="767" t="str">
        <f>IF(N57="pasa"," ",IF('CG. MPB'!E58="CONCRETO","F/DISEÑO",IF(AB57&gt;L57,"PASA","NO PASA")))</f>
        <v xml:space="preserve"> </v>
      </c>
      <c r="AD57" s="474" t="e">
        <f>$AD$23/($AD$27*'RMCV.PB'!C57)</f>
        <v>#DIV/0!</v>
      </c>
      <c r="AE57" s="482" t="e">
        <f t="shared" si="20"/>
        <v>#DIV/0!</v>
      </c>
      <c r="AF57" s="482">
        <f>IF(12/$AE$25&gt;'RMCV.PB'!F57*0.3/$AE$25,'RMCV.PB'!F57*0.3/$AE$25,12/$AE$25)</f>
        <v>0</v>
      </c>
      <c r="AG57" s="483" t="e">
        <f t="shared" si="21"/>
        <v>#DIV/0!</v>
      </c>
      <c r="AH57" s="482">
        <f>IF(9/$AE$25&gt;'RMCV.PB'!F57*0.3/$AE$25,'RMCV.PB'!F57*0.3/$AE$25,9/$AE$25)</f>
        <v>0</v>
      </c>
      <c r="AI57" s="484" t="e">
        <f t="shared" si="22"/>
        <v>#DIV/0!</v>
      </c>
      <c r="AJ57" s="485" t="e">
        <f t="shared" si="23"/>
        <v>#DIV/0!</v>
      </c>
      <c r="AK57" s="486">
        <f t="shared" si="24"/>
        <v>0</v>
      </c>
      <c r="AL57" s="486">
        <f t="shared" si="3"/>
        <v>0</v>
      </c>
      <c r="AM57" s="487" t="str">
        <f>IF(N57="PASA"," ",IF('CG. MPB'!E58="CONCRETO","F/DISEÑO",IF(AL57&gt;M57,"PASA","NO PASA")))</f>
        <v xml:space="preserve"> </v>
      </c>
    </row>
    <row r="58" spans="1:39" hidden="1">
      <c r="A58" s="684">
        <f>'CG. MPB'!A59</f>
        <v>30</v>
      </c>
      <c r="B58" s="576">
        <f>'RMCV.PB'!O58/1.3</f>
        <v>0</v>
      </c>
      <c r="C58" s="576">
        <f t="shared" si="1"/>
        <v>0</v>
      </c>
      <c r="D58" s="578">
        <f>IF('CG. MPB'!D59="NO CONFINADO",0.4,0.7)</f>
        <v>0.7</v>
      </c>
      <c r="E58" s="578">
        <f>IF('CG. MPB'!E59="CONCRETO",0.5*(0.8*250)^0.5,F58+G58+I58+J58+H58)</f>
        <v>0</v>
      </c>
      <c r="F58" s="578">
        <f>IF(AND('CG. MPB'!E59="TABIQUE",'CG. MPB'!F59="MACIZO"),IF('RMCV.PB'!$E$17="I",3.5,3),0)</f>
        <v>0</v>
      </c>
      <c r="G58" s="578">
        <f>IF(AND('CG. MPB'!E59="TABIQUE",'CG. MPB'!F59="HUECO"),IF('RMCV.PB'!$E$17="I",3,2),0)</f>
        <v>0</v>
      </c>
      <c r="H58" s="578">
        <f>IF('CG. MPB'!E59="ADOBE",0.3,0)</f>
        <v>0</v>
      </c>
      <c r="I58" s="578">
        <f>IF(AND('CG. MPB'!E59="TABICON",'CG. MPB'!F59="MACIZO"),IF('RMCV.PB'!$E$17="I",3,2),0)</f>
        <v>0</v>
      </c>
      <c r="J58" s="578">
        <f>IF(AND('CG. MPB'!E59="TABICON",'CG. MPB'!F59="HUECO"),IF('RMCV.PB'!$E$17="I",3.5,2.5),0)</f>
        <v>0</v>
      </c>
      <c r="K58" s="576">
        <f>'RMCV.PB'!N58</f>
        <v>0</v>
      </c>
      <c r="L58" s="918">
        <f>ABS('ELEM. MECA.'!F35)</f>
        <v>0</v>
      </c>
      <c r="M58" s="936">
        <f t="shared" si="4"/>
        <v>0</v>
      </c>
      <c r="N58" s="756" t="str">
        <f>IF('CG. MPB'!E59="CONCRETO","F/DISEÑO",IF(L58&gt;M58,IF(M58*1.05&gt;L58,"SE ACEPTA","NO PASA"),"PASA"))</f>
        <v>PASA</v>
      </c>
      <c r="O58" s="466" t="str">
        <f>IF(N58="pasa"," ",$O$24/('RMCV.PB'!C58*100))</f>
        <v xml:space="preserve"> </v>
      </c>
      <c r="P58" s="472" t="str">
        <f>IF(N58="pasa"," ",IF('CG. MPB'!E59="CONCRETO","F/DISEÑO",IF(AND(W58&gt;O58,O58&gt;X58),"BIEN","MAL")))</f>
        <v xml:space="preserve"> </v>
      </c>
      <c r="Q58" s="466">
        <f>IF('CG. MPB'!F59="MACIZO",12/'RMCS.PB'!$O$25,9/'RMCS.PB'!$O$25)</f>
        <v>2.3999999999999998E-3</v>
      </c>
      <c r="R58" s="466">
        <f t="shared" si="2"/>
        <v>0</v>
      </c>
      <c r="S58" s="466">
        <f>IF(G58=0,0,IF(AND(G58=2,'RMCV.PB'!E46="III"),30,40))</f>
        <v>0</v>
      </c>
      <c r="T58" s="466">
        <f>IF(I58=0,0,IF(AND(I58=3,'RMCV.PB'!$E$17="I"),20,15))</f>
        <v>0</v>
      </c>
      <c r="U58" s="466">
        <f>IF(J58=0,0,IF(AND(J58=3.5,'RMCV.PB'!$E$17="I"),20,15))</f>
        <v>0</v>
      </c>
      <c r="V58" s="466">
        <f t="shared" si="5"/>
        <v>0</v>
      </c>
      <c r="W58" s="466">
        <f t="shared" si="6"/>
        <v>0</v>
      </c>
      <c r="X58" s="466" t="e">
        <f>IF('CG. MPB'!E59="CONCRETO",0,IF(M58/(D58*$O$25*K58)&gt;3/$O$25,M58/(D58*$O$25*K58),3/$O$25))</f>
        <v>#DIV/0!</v>
      </c>
      <c r="Y58" s="765" t="e">
        <f t="shared" si="33"/>
        <v>#VALUE!</v>
      </c>
      <c r="Z58" s="466" t="e">
        <f t="shared" si="8"/>
        <v>#VALUE!</v>
      </c>
      <c r="AA58" s="766" t="e">
        <f t="shared" si="0"/>
        <v>#VALUE!</v>
      </c>
      <c r="AB58" s="943" t="str">
        <f t="shared" si="9"/>
        <v xml:space="preserve"> </v>
      </c>
      <c r="AC58" s="767" t="str">
        <f>IF(N58="pasa"," ",IF('CG. MPB'!E59="CONCRETO","F/DISEÑO",IF(AB58&gt;L58,"PASA","NO PASA")))</f>
        <v xml:space="preserve"> </v>
      </c>
      <c r="AD58" s="474" t="e">
        <f>$AD$23/($AD$27*'RMCV.PB'!C58)</f>
        <v>#DIV/0!</v>
      </c>
      <c r="AE58" s="482" t="e">
        <f t="shared" si="20"/>
        <v>#DIV/0!</v>
      </c>
      <c r="AF58" s="482">
        <f>IF(12/$AE$25&gt;'RMCV.PB'!F58*0.3/$AE$25,'RMCV.PB'!F58*0.3/$AE$25,12/$AE$25)</f>
        <v>0</v>
      </c>
      <c r="AG58" s="483" t="e">
        <f t="shared" si="21"/>
        <v>#DIV/0!</v>
      </c>
      <c r="AH58" s="482">
        <f>IF(9/$AE$25&gt;'RMCV.PB'!F58*0.3/$AE$25,'RMCV.PB'!F58*0.3/$AE$25,9/$AE$25)</f>
        <v>0</v>
      </c>
      <c r="AI58" s="484" t="e">
        <f t="shared" si="22"/>
        <v>#DIV/0!</v>
      </c>
      <c r="AJ58" s="485" t="e">
        <f t="shared" si="23"/>
        <v>#DIV/0!</v>
      </c>
      <c r="AK58" s="486">
        <f t="shared" si="24"/>
        <v>0</v>
      </c>
      <c r="AL58" s="486">
        <f>AK58+M58</f>
        <v>0</v>
      </c>
      <c r="AM58" s="487" t="str">
        <f>IF(N58="PASA"," ",IF('CG. MPB'!E59="CONCRETO","F/DISEÑO",IF(AL58&gt;M58,"PASA","NO PASA")))</f>
        <v xml:space="preserve"> </v>
      </c>
    </row>
    <row r="59" spans="1:39" hidden="1">
      <c r="A59" s="684">
        <f>'CG. MPB'!A60</f>
        <v>31</v>
      </c>
      <c r="B59" s="576">
        <f>'RMCV.PB'!O59/1.3</f>
        <v>0</v>
      </c>
      <c r="C59" s="576">
        <f t="shared" ref="C59:C78" si="34">0.3*B59</f>
        <v>0</v>
      </c>
      <c r="D59" s="578">
        <f>IF('CG. MPB'!D60="NO CONFINADO",0.4,0.7)</f>
        <v>0.7</v>
      </c>
      <c r="E59" s="578">
        <f>IF('CG. MPB'!E60="CONCRETO",0.5*(0.8*250)^0.5,F59+G59+I59+J59+H59)</f>
        <v>0</v>
      </c>
      <c r="F59" s="578">
        <f>IF(AND('CG. MPB'!E60="TABIQUE",'CG. MPB'!F60="MACIZO"),IF('RMCV.PB'!$E$17="I",3.5,3),0)</f>
        <v>0</v>
      </c>
      <c r="G59" s="578">
        <f>IF(AND('CG. MPB'!E60="TABIQUE",'CG. MPB'!F60="HUECO"),IF('RMCV.PB'!$E$17="I",3,2),0)</f>
        <v>0</v>
      </c>
      <c r="H59" s="578">
        <f>IF('CG. MPB'!E60="ADOBE",0.3,0)</f>
        <v>0</v>
      </c>
      <c r="I59" s="578">
        <f>IF(AND('CG. MPB'!E60="TABICON",'CG. MPB'!F60="MACIZO"),IF('RMCV.PB'!$E$17="I",3,2),0)</f>
        <v>0</v>
      </c>
      <c r="J59" s="578">
        <f>IF(AND('CG. MPB'!E60="TABICON",'CG. MPB'!F60="HUECO"),IF('RMCV.PB'!$E$17="I",3.5,2.5),0)</f>
        <v>0</v>
      </c>
      <c r="K59" s="576">
        <f>'RMCV.PB'!N59</f>
        <v>0</v>
      </c>
      <c r="L59" s="918">
        <f>ABS('ELEM. MECA.'!F36)</f>
        <v>0</v>
      </c>
      <c r="M59" s="936">
        <f t="shared" ref="M59:M78" si="35">IF(((D59*E59*K59*0.5)+(D59*C59))&lt;(D59*E59*K59*1.5),((D59*E59*K59*0.5)+(D59*C59)),(D59*E59*K59*1.5))</f>
        <v>0</v>
      </c>
      <c r="N59" s="756" t="str">
        <f>IF('CG. MPB'!E60="CONCRETO","F/DISEÑO",IF(L59&gt;M59,IF(M59*1.05&gt;L59,"SE ACEPTA","NO PASA"),"PASA"))</f>
        <v>PASA</v>
      </c>
      <c r="O59" s="466" t="str">
        <f>IF(N59="pasa"," ",$O$24/('RMCV.PB'!C59*100))</f>
        <v xml:space="preserve"> </v>
      </c>
      <c r="P59" s="472" t="str">
        <f>IF(N59="pasa"," ",IF('CG. MPB'!E60="CONCRETO","F/DISEÑO",IF(AND(W59&gt;O59,O59&gt;X59),"BIEN","MAL")))</f>
        <v xml:space="preserve"> </v>
      </c>
      <c r="Q59" s="466">
        <f>IF('CG. MPB'!F60="MACIZO",12/'RMCS.PB'!$O$25,9/'RMCS.PB'!$O$25)</f>
        <v>2.3999999999999998E-3</v>
      </c>
      <c r="R59" s="466">
        <f t="shared" ref="R59:R78" si="36">IF(F59&gt;0,15,0)</f>
        <v>0</v>
      </c>
      <c r="S59" s="466">
        <f>IF(G59=0,0,IF(AND(G59=2,'RMCV.PB'!E47="III"),30,40))</f>
        <v>0</v>
      </c>
      <c r="T59" s="466">
        <f>IF(I59=0,0,IF(AND(I59=3,'RMCV.PB'!$E$17="I"),20,15))</f>
        <v>0</v>
      </c>
      <c r="U59" s="466">
        <f>IF(J59=0,0,IF(AND(J59=3.5,'RMCV.PB'!$E$17="I"),20,15))</f>
        <v>0</v>
      </c>
      <c r="V59" s="466">
        <f t="shared" ref="V59:V78" si="37">(R59+S59+T59+U59)*0.3/$O$25</f>
        <v>0</v>
      </c>
      <c r="W59" s="466">
        <f t="shared" ref="W59:W78" si="38">IF(Q59&gt;V59,V59,Q59)</f>
        <v>0</v>
      </c>
      <c r="X59" s="466" t="e">
        <f>IF('CG. MPB'!E60="CONCRETO",0,IF(M59/(D59*$O$25*K59)&gt;3/$O$25,M59/(D59*$O$25*K59),3/$O$25))</f>
        <v>#DIV/0!</v>
      </c>
      <c r="Y59" s="765" t="e">
        <f t="shared" ref="Y59:Y78" si="39">O59*$O$25</f>
        <v>#VALUE!</v>
      </c>
      <c r="Z59" s="466" t="e">
        <f t="shared" ref="Z59:Z78" si="40">IF(6&gt;Y59,0.6,IF(Y59&gt;9,0.2,(0.4*(9-Y59)/3)+0.2))</f>
        <v>#VALUE!</v>
      </c>
      <c r="AA59" s="766" t="e">
        <f t="shared" ref="AA59:AA78" si="41">D59*Z59*O59*$O$25*K59</f>
        <v>#VALUE!</v>
      </c>
      <c r="AB59" s="943" t="str">
        <f t="shared" ref="AB59:AB78" si="42">IF(N59="pasa"," ",AA59+M59)</f>
        <v xml:space="preserve"> </v>
      </c>
      <c r="AC59" s="767" t="str">
        <f>IF(N59="pasa"," ",IF('CG. MPB'!E60="CONCRETO","F/DISEÑO",IF(AB59&gt;L59,"PASA","NO PASA")))</f>
        <v xml:space="preserve"> </v>
      </c>
      <c r="AD59" s="474"/>
      <c r="AE59" s="482"/>
      <c r="AF59" s="482"/>
      <c r="AG59" s="483"/>
      <c r="AH59" s="482"/>
      <c r="AI59" s="484"/>
      <c r="AJ59" s="485"/>
      <c r="AK59" s="486"/>
      <c r="AL59" s="486"/>
      <c r="AM59" s="487"/>
    </row>
    <row r="60" spans="1:39" hidden="1">
      <c r="A60" s="684">
        <f>'CG. MPB'!A61</f>
        <v>32</v>
      </c>
      <c r="B60" s="576">
        <f>'RMCV.PB'!O60/1.3</f>
        <v>0</v>
      </c>
      <c r="C60" s="576">
        <f t="shared" si="34"/>
        <v>0</v>
      </c>
      <c r="D60" s="578">
        <f>IF('CG. MPB'!D61="NO CONFINADO",0.4,0.7)</f>
        <v>0.7</v>
      </c>
      <c r="E60" s="578">
        <f>IF('CG. MPB'!E61="CONCRETO",0.5*(0.8*250)^0.5,F60+G60+I60+J60+H60)</f>
        <v>0</v>
      </c>
      <c r="F60" s="578">
        <f>IF(AND('CG. MPB'!E61="TABIQUE",'CG. MPB'!F61="MACIZO"),IF('RMCV.PB'!$E$17="I",3.5,3),0)</f>
        <v>0</v>
      </c>
      <c r="G60" s="578">
        <f>IF(AND('CG. MPB'!E61="TABIQUE",'CG. MPB'!F61="HUECO"),IF('RMCV.PB'!$E$17="I",3,2),0)</f>
        <v>0</v>
      </c>
      <c r="H60" s="578">
        <f>IF('CG. MPB'!E61="ADOBE",0.3,0)</f>
        <v>0</v>
      </c>
      <c r="I60" s="578">
        <f>IF(AND('CG. MPB'!E61="TABICON",'CG. MPB'!F61="MACIZO"),IF('RMCV.PB'!$E$17="I",3,2),0)</f>
        <v>0</v>
      </c>
      <c r="J60" s="578">
        <f>IF(AND('CG. MPB'!E61="TABICON",'CG. MPB'!F61="HUECO"),IF('RMCV.PB'!$E$17="I",3.5,2.5),0)</f>
        <v>0</v>
      </c>
      <c r="K60" s="576">
        <f>'RMCV.PB'!N60</f>
        <v>0</v>
      </c>
      <c r="L60" s="918">
        <f>ABS('ELEM. MECA.'!F37)</f>
        <v>0</v>
      </c>
      <c r="M60" s="936">
        <f t="shared" si="35"/>
        <v>0</v>
      </c>
      <c r="N60" s="756" t="str">
        <f>IF('CG. MPB'!E61="CONCRETO","F/DISEÑO",IF(L60&gt;M60,IF(M60*1.05&gt;L60,"SE ACEPTA","NO PASA"),"PASA"))</f>
        <v>PASA</v>
      </c>
      <c r="O60" s="466" t="str">
        <f>IF(N60="pasa"," ",$O$24/('RMCV.PB'!C60*100))</f>
        <v xml:space="preserve"> </v>
      </c>
      <c r="P60" s="472" t="str">
        <f>IF(N60="pasa"," ",IF('CG. MPB'!E61="CONCRETO","F/DISEÑO",IF(AND(W60&gt;O60,O60&gt;X60),"BIEN","MAL")))</f>
        <v xml:space="preserve"> </v>
      </c>
      <c r="Q60" s="466">
        <f>IF('CG. MPB'!F61="MACIZO",12/'RMCS.PB'!$O$25,9/'RMCS.PB'!$O$25)</f>
        <v>2.3999999999999998E-3</v>
      </c>
      <c r="R60" s="466">
        <f t="shared" si="36"/>
        <v>0</v>
      </c>
      <c r="S60" s="466">
        <f>IF(G60=0,0,IF(AND(G60=2,'RMCV.PB'!E48="III"),30,40))</f>
        <v>0</v>
      </c>
      <c r="T60" s="466">
        <f>IF(I60=0,0,IF(AND(I60=3,'RMCV.PB'!$E$17="I"),20,15))</f>
        <v>0</v>
      </c>
      <c r="U60" s="466">
        <f>IF(J60=0,0,IF(AND(J60=3.5,'RMCV.PB'!$E$17="I"),20,15))</f>
        <v>0</v>
      </c>
      <c r="V60" s="466">
        <f t="shared" si="37"/>
        <v>0</v>
      </c>
      <c r="W60" s="466">
        <f t="shared" si="38"/>
        <v>0</v>
      </c>
      <c r="X60" s="466" t="e">
        <f>IF('CG. MPB'!E61="CONCRETO",0,IF(M60/(D60*$O$25*K60)&gt;3/$O$25,M60/(D60*$O$25*K60),3/$O$25))</f>
        <v>#DIV/0!</v>
      </c>
      <c r="Y60" s="765" t="e">
        <f t="shared" si="39"/>
        <v>#VALUE!</v>
      </c>
      <c r="Z60" s="466" t="e">
        <f t="shared" si="40"/>
        <v>#VALUE!</v>
      </c>
      <c r="AA60" s="766" t="e">
        <f t="shared" si="41"/>
        <v>#VALUE!</v>
      </c>
      <c r="AB60" s="943" t="str">
        <f t="shared" si="42"/>
        <v xml:space="preserve"> </v>
      </c>
      <c r="AC60" s="767" t="str">
        <f>IF(N60="pasa"," ",IF('CG. MPB'!E61="CONCRETO","F/DISEÑO",IF(AB60&gt;L60,"PASA","NO PASA")))</f>
        <v xml:space="preserve"> </v>
      </c>
      <c r="AD60" s="474"/>
      <c r="AE60" s="482"/>
      <c r="AF60" s="482"/>
      <c r="AG60" s="483"/>
      <c r="AH60" s="482"/>
      <c r="AI60" s="484"/>
      <c r="AJ60" s="485"/>
      <c r="AK60" s="486"/>
      <c r="AL60" s="486"/>
      <c r="AM60" s="487"/>
    </row>
    <row r="61" spans="1:39" hidden="1">
      <c r="A61" s="684">
        <f>'CG. MPB'!A62</f>
        <v>33</v>
      </c>
      <c r="B61" s="576">
        <f>'RMCV.PB'!O61/1.3</f>
        <v>0</v>
      </c>
      <c r="C61" s="576">
        <f t="shared" si="34"/>
        <v>0</v>
      </c>
      <c r="D61" s="578">
        <f>IF('CG. MPB'!D62="NO CONFINADO",0.4,0.7)</f>
        <v>0.7</v>
      </c>
      <c r="E61" s="578">
        <f>IF('CG. MPB'!E62="CONCRETO",0.5*(0.8*250)^0.5,F61+G61+I61+J61+H61)</f>
        <v>0</v>
      </c>
      <c r="F61" s="578">
        <f>IF(AND('CG. MPB'!E62="TABIQUE",'CG. MPB'!F62="MACIZO"),IF('RMCV.PB'!$E$17="I",3.5,3),0)</f>
        <v>0</v>
      </c>
      <c r="G61" s="578">
        <f>IF(AND('CG. MPB'!E62="TABIQUE",'CG. MPB'!F62="HUECO"),IF('RMCV.PB'!$E$17="I",3,2),0)</f>
        <v>0</v>
      </c>
      <c r="H61" s="578">
        <f>IF('CG. MPB'!E62="ADOBE",0.3,0)</f>
        <v>0</v>
      </c>
      <c r="I61" s="578">
        <f>IF(AND('CG. MPB'!E62="TABICON",'CG. MPB'!F62="MACIZO"),IF('RMCV.PB'!$E$17="I",3,2),0)</f>
        <v>0</v>
      </c>
      <c r="J61" s="578">
        <f>IF(AND('CG. MPB'!E62="TABICON",'CG. MPB'!F62="HUECO"),IF('RMCV.PB'!$E$17="I",3.5,2.5),0)</f>
        <v>0</v>
      </c>
      <c r="K61" s="576">
        <f>'RMCV.PB'!N61</f>
        <v>0</v>
      </c>
      <c r="L61" s="918">
        <f>ABS('ELEM. MECA.'!F38)</f>
        <v>0</v>
      </c>
      <c r="M61" s="936">
        <f t="shared" si="35"/>
        <v>0</v>
      </c>
      <c r="N61" s="756" t="str">
        <f>IF('CG. MPB'!E62="CONCRETO","F/DISEÑO",IF(L61&gt;M61,IF(M61*1.05&gt;L61,"SE ACEPTA","NO PASA"),"PASA"))</f>
        <v>PASA</v>
      </c>
      <c r="O61" s="466" t="str">
        <f>IF(N61="pasa"," ",$O$24/('RMCV.PB'!C61*100))</f>
        <v xml:space="preserve"> </v>
      </c>
      <c r="P61" s="472" t="str">
        <f>IF(N61="pasa"," ",IF('CG. MPB'!E62="CONCRETO","F/DISEÑO",IF(AND(W61&gt;O61,O61&gt;X61),"BIEN","MAL")))</f>
        <v xml:space="preserve"> </v>
      </c>
      <c r="Q61" s="466">
        <f>IF('CG. MPB'!F62="MACIZO",12/'RMCS.PB'!$O$25,9/'RMCS.PB'!$O$25)</f>
        <v>2.3999999999999998E-3</v>
      </c>
      <c r="R61" s="466">
        <f t="shared" si="36"/>
        <v>0</v>
      </c>
      <c r="S61" s="466">
        <f>IF(G61=0,0,IF(AND(G61=2,'RMCV.PB'!E49="III"),30,40))</f>
        <v>0</v>
      </c>
      <c r="T61" s="466">
        <f>IF(I61=0,0,IF(AND(I61=3,'RMCV.PB'!$E$17="I"),20,15))</f>
        <v>0</v>
      </c>
      <c r="U61" s="466">
        <f>IF(J61=0,0,IF(AND(J61=3.5,'RMCV.PB'!$E$17="I"),20,15))</f>
        <v>0</v>
      </c>
      <c r="V61" s="466">
        <f t="shared" si="37"/>
        <v>0</v>
      </c>
      <c r="W61" s="466">
        <f t="shared" si="38"/>
        <v>0</v>
      </c>
      <c r="X61" s="466" t="e">
        <f>IF('CG. MPB'!E62="CONCRETO",0,IF(M61/(D61*$O$25*K61)&gt;3/$O$25,M61/(D61*$O$25*K61),3/$O$25))</f>
        <v>#DIV/0!</v>
      </c>
      <c r="Y61" s="765" t="e">
        <f t="shared" si="39"/>
        <v>#VALUE!</v>
      </c>
      <c r="Z61" s="466" t="e">
        <f t="shared" si="40"/>
        <v>#VALUE!</v>
      </c>
      <c r="AA61" s="766" t="e">
        <f t="shared" si="41"/>
        <v>#VALUE!</v>
      </c>
      <c r="AB61" s="943" t="str">
        <f t="shared" si="42"/>
        <v xml:space="preserve"> </v>
      </c>
      <c r="AC61" s="767" t="str">
        <f>IF(N61="pasa"," ",IF('CG. MPB'!E62="CONCRETO","F/DISEÑO",IF(AB61&gt;L61,"PASA","NO PASA")))</f>
        <v xml:space="preserve"> </v>
      </c>
      <c r="AD61" s="474"/>
      <c r="AE61" s="482"/>
      <c r="AF61" s="482"/>
      <c r="AG61" s="483"/>
      <c r="AH61" s="482"/>
      <c r="AI61" s="484"/>
      <c r="AJ61" s="485"/>
      <c r="AK61" s="486"/>
      <c r="AL61" s="486"/>
      <c r="AM61" s="487"/>
    </row>
    <row r="62" spans="1:39" hidden="1">
      <c r="A62" s="684">
        <f>'CG. MPB'!A63</f>
        <v>34</v>
      </c>
      <c r="B62" s="576">
        <f>'RMCV.PB'!O62/1.3</f>
        <v>0</v>
      </c>
      <c r="C62" s="576">
        <f t="shared" si="34"/>
        <v>0</v>
      </c>
      <c r="D62" s="578">
        <f>IF('CG. MPB'!D63="NO CONFINADO",0.4,0.7)</f>
        <v>0.7</v>
      </c>
      <c r="E62" s="578">
        <f>IF('CG. MPB'!E63="CONCRETO",0.5*(0.8*250)^0.5,F62+G62+I62+J62+H62)</f>
        <v>0</v>
      </c>
      <c r="F62" s="578">
        <f>IF(AND('CG. MPB'!E63="TABIQUE",'CG. MPB'!F63="MACIZO"),IF('RMCV.PB'!$E$17="I",3.5,3),0)</f>
        <v>0</v>
      </c>
      <c r="G62" s="578">
        <f>IF(AND('CG. MPB'!E63="TABIQUE",'CG. MPB'!F63="HUECO"),IF('RMCV.PB'!$E$17="I",3,2),0)</f>
        <v>0</v>
      </c>
      <c r="H62" s="578">
        <f>IF('CG. MPB'!E63="ADOBE",0.3,0)</f>
        <v>0</v>
      </c>
      <c r="I62" s="578">
        <f>IF(AND('CG. MPB'!E63="TABICON",'CG. MPB'!F63="MACIZO"),IF('RMCV.PB'!$E$17="I",3,2),0)</f>
        <v>0</v>
      </c>
      <c r="J62" s="578">
        <f>IF(AND('CG. MPB'!E63="TABICON",'CG. MPB'!F63="HUECO"),IF('RMCV.PB'!$E$17="I",3.5,2.5),0)</f>
        <v>0</v>
      </c>
      <c r="K62" s="576">
        <f>'RMCV.PB'!N62</f>
        <v>0</v>
      </c>
      <c r="L62" s="918">
        <f>ABS('ELEM. MECA.'!F39)</f>
        <v>0</v>
      </c>
      <c r="M62" s="936">
        <f t="shared" si="35"/>
        <v>0</v>
      </c>
      <c r="N62" s="756" t="str">
        <f>IF('CG. MPB'!E63="CONCRETO","F/DISEÑO",IF(L62&gt;M62,IF(M62*1.05&gt;L62,"SE ACEPTA","NO PASA"),"PASA"))</f>
        <v>PASA</v>
      </c>
      <c r="O62" s="466" t="str">
        <f>IF(N62="pasa"," ",$O$24/('RMCV.PB'!C62*100))</f>
        <v xml:space="preserve"> </v>
      </c>
      <c r="P62" s="472" t="str">
        <f>IF(N62="pasa"," ",IF('CG. MPB'!E63="CONCRETO","F/DISEÑO",IF(AND(W62&gt;O62,O62&gt;X62),"BIEN","MAL")))</f>
        <v xml:space="preserve"> </v>
      </c>
      <c r="Q62" s="466">
        <f>IF('CG. MPB'!F63="MACIZO",12/'RMCS.PB'!$O$25,9/'RMCS.PB'!$O$25)</f>
        <v>2.3999999999999998E-3</v>
      </c>
      <c r="R62" s="466">
        <f t="shared" si="36"/>
        <v>0</v>
      </c>
      <c r="S62" s="466">
        <f>IF(G62=0,0,IF(AND(G62=2,'RMCV.PB'!E50="III"),30,40))</f>
        <v>0</v>
      </c>
      <c r="T62" s="466">
        <f>IF(I62=0,0,IF(AND(I62=3,'RMCV.PB'!$E$17="I"),20,15))</f>
        <v>0</v>
      </c>
      <c r="U62" s="466">
        <f>IF(J62=0,0,IF(AND(J62=3.5,'RMCV.PB'!$E$17="I"),20,15))</f>
        <v>0</v>
      </c>
      <c r="V62" s="466">
        <f t="shared" si="37"/>
        <v>0</v>
      </c>
      <c r="W62" s="466">
        <f t="shared" si="38"/>
        <v>0</v>
      </c>
      <c r="X62" s="466" t="e">
        <f>IF('CG. MPB'!E63="CONCRETO",0,IF(M62/(D62*$O$25*K62)&gt;3/$O$25,M62/(D62*$O$25*K62),3/$O$25))</f>
        <v>#DIV/0!</v>
      </c>
      <c r="Y62" s="765" t="e">
        <f t="shared" si="39"/>
        <v>#VALUE!</v>
      </c>
      <c r="Z62" s="466" t="e">
        <f t="shared" si="40"/>
        <v>#VALUE!</v>
      </c>
      <c r="AA62" s="766" t="e">
        <f t="shared" si="41"/>
        <v>#VALUE!</v>
      </c>
      <c r="AB62" s="943" t="str">
        <f t="shared" si="42"/>
        <v xml:space="preserve"> </v>
      </c>
      <c r="AC62" s="767" t="str">
        <f>IF(N62="pasa"," ",IF('CG. MPB'!E63="CONCRETO","F/DISEÑO",IF(AB62&gt;L62,"PASA","NO PASA")))</f>
        <v xml:space="preserve"> </v>
      </c>
      <c r="AD62" s="474"/>
      <c r="AE62" s="482"/>
      <c r="AF62" s="482"/>
      <c r="AG62" s="483"/>
      <c r="AH62" s="482"/>
      <c r="AI62" s="484"/>
      <c r="AJ62" s="485"/>
      <c r="AK62" s="486"/>
      <c r="AL62" s="486"/>
      <c r="AM62" s="487"/>
    </row>
    <row r="63" spans="1:39" hidden="1">
      <c r="A63" s="684">
        <f>'CG. MPB'!A64</f>
        <v>35</v>
      </c>
      <c r="B63" s="576">
        <f>'RMCV.PB'!O63/1.3</f>
        <v>0</v>
      </c>
      <c r="C63" s="576">
        <f t="shared" si="34"/>
        <v>0</v>
      </c>
      <c r="D63" s="578">
        <f>IF('CG. MPB'!D64="NO CONFINADO",0.4,0.7)</f>
        <v>0.7</v>
      </c>
      <c r="E63" s="578">
        <f>IF('CG. MPB'!E64="CONCRETO",0.5*(0.8*250)^0.5,F63+G63+I63+J63+H63)</f>
        <v>0</v>
      </c>
      <c r="F63" s="578">
        <f>IF(AND('CG. MPB'!E64="TABIQUE",'CG. MPB'!F64="MACIZO"),IF('RMCV.PB'!$E$17="I",3.5,3),0)</f>
        <v>0</v>
      </c>
      <c r="G63" s="578">
        <f>IF(AND('CG. MPB'!E64="TABIQUE",'CG. MPB'!F64="HUECO"),IF('RMCV.PB'!$E$17="I",3,2),0)</f>
        <v>0</v>
      </c>
      <c r="H63" s="578">
        <f>IF('CG. MPB'!E64="ADOBE",0.3,0)</f>
        <v>0</v>
      </c>
      <c r="I63" s="578">
        <f>IF(AND('CG. MPB'!E64="TABICON",'CG. MPB'!F64="MACIZO"),IF('RMCV.PB'!$E$17="I",3,2),0)</f>
        <v>0</v>
      </c>
      <c r="J63" s="578">
        <f>IF(AND('CG. MPB'!E64="TABICON",'CG. MPB'!F64="HUECO"),IF('RMCV.PB'!$E$17="I",3.5,2.5),0)</f>
        <v>0</v>
      </c>
      <c r="K63" s="576">
        <f>'RMCV.PB'!N63</f>
        <v>0</v>
      </c>
      <c r="L63" s="918">
        <f>ABS('ELEM. MECA.'!F40)</f>
        <v>0</v>
      </c>
      <c r="M63" s="936">
        <f t="shared" si="35"/>
        <v>0</v>
      </c>
      <c r="N63" s="756" t="str">
        <f>IF('CG. MPB'!E64="CONCRETO","F/DISEÑO",IF(L63&gt;M63,IF(M63*1.05&gt;L63,"SE ACEPTA","NO PASA"),"PASA"))</f>
        <v>PASA</v>
      </c>
      <c r="O63" s="466" t="str">
        <f>IF(N63="pasa"," ",$O$24/('RMCV.PB'!C63*100))</f>
        <v xml:space="preserve"> </v>
      </c>
      <c r="P63" s="472" t="str">
        <f>IF(N63="pasa"," ",IF('CG. MPB'!E64="CONCRETO","F/DISEÑO",IF(AND(W63&gt;O63,O63&gt;X63),"BIEN","MAL")))</f>
        <v xml:space="preserve"> </v>
      </c>
      <c r="Q63" s="466">
        <f>IF('CG. MPB'!F64="MACIZO",12/'RMCS.PB'!$O$25,9/'RMCS.PB'!$O$25)</f>
        <v>2.3999999999999998E-3</v>
      </c>
      <c r="R63" s="466">
        <f t="shared" si="36"/>
        <v>0</v>
      </c>
      <c r="S63" s="466">
        <f>IF(G63=0,0,IF(AND(G63=2,'RMCV.PB'!E51="III"),30,40))</f>
        <v>0</v>
      </c>
      <c r="T63" s="466">
        <f>IF(I63=0,0,IF(AND(I63=3,'RMCV.PB'!$E$17="I"),20,15))</f>
        <v>0</v>
      </c>
      <c r="U63" s="466">
        <f>IF(J63=0,0,IF(AND(J63=3.5,'RMCV.PB'!$E$17="I"),20,15))</f>
        <v>0</v>
      </c>
      <c r="V63" s="466">
        <f t="shared" si="37"/>
        <v>0</v>
      </c>
      <c r="W63" s="466">
        <f t="shared" si="38"/>
        <v>0</v>
      </c>
      <c r="X63" s="466" t="e">
        <f>IF('CG. MPB'!E64="CONCRETO",0,IF(M63/(D63*$O$25*K63)&gt;3/$O$25,M63/(D63*$O$25*K63),3/$O$25))</f>
        <v>#DIV/0!</v>
      </c>
      <c r="Y63" s="765" t="e">
        <f t="shared" si="39"/>
        <v>#VALUE!</v>
      </c>
      <c r="Z63" s="466" t="e">
        <f t="shared" si="40"/>
        <v>#VALUE!</v>
      </c>
      <c r="AA63" s="766" t="e">
        <f t="shared" si="41"/>
        <v>#VALUE!</v>
      </c>
      <c r="AB63" s="943" t="str">
        <f t="shared" si="42"/>
        <v xml:space="preserve"> </v>
      </c>
      <c r="AC63" s="767" t="str">
        <f>IF(N63="pasa"," ",IF('CG. MPB'!E64="CONCRETO","F/DISEÑO",IF(AB63&gt;L63,"PASA","NO PASA")))</f>
        <v xml:space="preserve"> </v>
      </c>
      <c r="AD63" s="474"/>
      <c r="AE63" s="482"/>
      <c r="AF63" s="482"/>
      <c r="AG63" s="483"/>
      <c r="AH63" s="482"/>
      <c r="AI63" s="484"/>
      <c r="AJ63" s="485"/>
      <c r="AK63" s="486"/>
      <c r="AL63" s="486"/>
      <c r="AM63" s="487"/>
    </row>
    <row r="64" spans="1:39" hidden="1">
      <c r="A64" s="684">
        <f>'CG. MPB'!A65</f>
        <v>36</v>
      </c>
      <c r="B64" s="576">
        <f>'RMCV.PB'!O64/1.3</f>
        <v>0</v>
      </c>
      <c r="C64" s="576">
        <f t="shared" si="34"/>
        <v>0</v>
      </c>
      <c r="D64" s="578">
        <f>IF('CG. MPB'!D65="NO CONFINADO",0.4,0.7)</f>
        <v>0.7</v>
      </c>
      <c r="E64" s="578">
        <f>IF('CG. MPB'!E65="CONCRETO",0.5*(0.8*250)^0.5,F64+G64+I64+J64+H64)</f>
        <v>0</v>
      </c>
      <c r="F64" s="578">
        <f>IF(AND('CG. MPB'!E65="TABIQUE",'CG. MPB'!F65="MACIZO"),IF('RMCV.PB'!$E$17="I",3.5,3),0)</f>
        <v>0</v>
      </c>
      <c r="G64" s="578">
        <f>IF(AND('CG. MPB'!E65="TABIQUE",'CG. MPB'!F65="HUECO"),IF('RMCV.PB'!$E$17="I",3,2),0)</f>
        <v>0</v>
      </c>
      <c r="H64" s="578">
        <f>IF('CG. MPB'!E65="ADOBE",0.3,0)</f>
        <v>0</v>
      </c>
      <c r="I64" s="578">
        <f>IF(AND('CG. MPB'!E65="TABICON",'CG. MPB'!F65="MACIZO"),IF('RMCV.PB'!$E$17="I",3,2),0)</f>
        <v>0</v>
      </c>
      <c r="J64" s="578">
        <f>IF(AND('CG. MPB'!E65="TABICON",'CG. MPB'!F65="HUECO"),IF('RMCV.PB'!$E$17="I",3.5,2.5),0)</f>
        <v>0</v>
      </c>
      <c r="K64" s="576">
        <f>'RMCV.PB'!N64</f>
        <v>0</v>
      </c>
      <c r="L64" s="918">
        <f>ABS('ELEM. MECA.'!F41)</f>
        <v>0</v>
      </c>
      <c r="M64" s="936">
        <f t="shared" si="35"/>
        <v>0</v>
      </c>
      <c r="N64" s="756" t="str">
        <f>IF('CG. MPB'!E65="CONCRETO","F/DISEÑO",IF(L64&gt;M64,IF(M64*1.05&gt;L64,"SE ACEPTA","NO PASA"),"PASA"))</f>
        <v>PASA</v>
      </c>
      <c r="O64" s="466" t="str">
        <f>IF(N64="pasa"," ",$O$24/('RMCV.PB'!C64*100))</f>
        <v xml:space="preserve"> </v>
      </c>
      <c r="P64" s="472" t="str">
        <f>IF(N64="pasa"," ",IF('CG. MPB'!E65="CONCRETO","F/DISEÑO",IF(AND(W64&gt;O64,O64&gt;X64),"BIEN","MAL")))</f>
        <v xml:space="preserve"> </v>
      </c>
      <c r="Q64" s="466">
        <f>IF('CG. MPB'!F65="MACIZO",12/'RMCS.PB'!$O$25,9/'RMCS.PB'!$O$25)</f>
        <v>2.3999999999999998E-3</v>
      </c>
      <c r="R64" s="466">
        <f t="shared" si="36"/>
        <v>0</v>
      </c>
      <c r="S64" s="466">
        <f>IF(G64=0,0,IF(AND(G64=2,'RMCV.PB'!E52="III"),30,40))</f>
        <v>0</v>
      </c>
      <c r="T64" s="466">
        <f>IF(I64=0,0,IF(AND(I64=3,'RMCV.PB'!$E$17="I"),20,15))</f>
        <v>0</v>
      </c>
      <c r="U64" s="466">
        <f>IF(J64=0,0,IF(AND(J64=3.5,'RMCV.PB'!$E$17="I"),20,15))</f>
        <v>0</v>
      </c>
      <c r="V64" s="466">
        <f t="shared" si="37"/>
        <v>0</v>
      </c>
      <c r="W64" s="466">
        <f t="shared" si="38"/>
        <v>0</v>
      </c>
      <c r="X64" s="466" t="e">
        <f>IF('CG. MPB'!E65="CONCRETO",0,IF(M64/(D64*$O$25*K64)&gt;3/$O$25,M64/(D64*$O$25*K64),3/$O$25))</f>
        <v>#DIV/0!</v>
      </c>
      <c r="Y64" s="765" t="e">
        <f t="shared" si="39"/>
        <v>#VALUE!</v>
      </c>
      <c r="Z64" s="466" t="e">
        <f t="shared" si="40"/>
        <v>#VALUE!</v>
      </c>
      <c r="AA64" s="766" t="e">
        <f t="shared" si="41"/>
        <v>#VALUE!</v>
      </c>
      <c r="AB64" s="943" t="str">
        <f t="shared" si="42"/>
        <v xml:space="preserve"> </v>
      </c>
      <c r="AC64" s="767" t="str">
        <f>IF(N64="pasa"," ",IF('CG. MPB'!E65="CONCRETO","F/DISEÑO",IF(AB64&gt;L64,"PASA","NO PASA")))</f>
        <v xml:space="preserve"> </v>
      </c>
      <c r="AD64" s="474"/>
      <c r="AE64" s="482"/>
      <c r="AF64" s="482"/>
      <c r="AG64" s="483"/>
      <c r="AH64" s="482"/>
      <c r="AI64" s="484"/>
      <c r="AJ64" s="485"/>
      <c r="AK64" s="486"/>
      <c r="AL64" s="486"/>
      <c r="AM64" s="487"/>
    </row>
    <row r="65" spans="1:41" hidden="1">
      <c r="A65" s="684">
        <f>'CG. MPB'!A66</f>
        <v>37</v>
      </c>
      <c r="B65" s="576">
        <f>'RMCV.PB'!O65/1.3</f>
        <v>0</v>
      </c>
      <c r="C65" s="576">
        <f t="shared" si="34"/>
        <v>0</v>
      </c>
      <c r="D65" s="578">
        <f>IF('CG. MPB'!D66="NO CONFINADO",0.4,0.7)</f>
        <v>0.7</v>
      </c>
      <c r="E65" s="578">
        <f>IF('CG. MPB'!E66="CONCRETO",0.5*(0.8*250)^0.5,F65+G65+I65+J65+H65)</f>
        <v>0</v>
      </c>
      <c r="F65" s="578">
        <f>IF(AND('CG. MPB'!E66="TABIQUE",'CG. MPB'!F66="MACIZO"),IF('RMCV.PB'!$E$17="I",3.5,3),0)</f>
        <v>0</v>
      </c>
      <c r="G65" s="578">
        <f>IF(AND('CG. MPB'!E66="TABIQUE",'CG. MPB'!F66="HUECO"),IF('RMCV.PB'!$E$17="I",3,2),0)</f>
        <v>0</v>
      </c>
      <c r="H65" s="578">
        <f>IF('CG. MPB'!E66="ADOBE",0.3,0)</f>
        <v>0</v>
      </c>
      <c r="I65" s="578">
        <f>IF(AND('CG. MPB'!E66="TABICON",'CG. MPB'!F66="MACIZO"),IF('RMCV.PB'!$E$17="I",3,2),0)</f>
        <v>0</v>
      </c>
      <c r="J65" s="578">
        <f>IF(AND('CG. MPB'!E66="TABICON",'CG. MPB'!F66="HUECO"),IF('RMCV.PB'!$E$17="I",3.5,2.5),0)</f>
        <v>0</v>
      </c>
      <c r="K65" s="576">
        <f>'RMCV.PB'!N65</f>
        <v>0</v>
      </c>
      <c r="L65" s="918">
        <f>ABS('ELEM. MECA.'!F42)</f>
        <v>0</v>
      </c>
      <c r="M65" s="936">
        <f t="shared" si="35"/>
        <v>0</v>
      </c>
      <c r="N65" s="756" t="str">
        <f>IF('CG. MPB'!E66="CONCRETO","F/DISEÑO",IF(L65&gt;M65,IF(M65*1.05&gt;L65,"SE ACEPTA","NO PASA"),"PASA"))</f>
        <v>PASA</v>
      </c>
      <c r="O65" s="466" t="str">
        <f>IF(N65="pasa"," ",$O$24/('RMCV.PB'!C65*100))</f>
        <v xml:space="preserve"> </v>
      </c>
      <c r="P65" s="472" t="str">
        <f>IF(N65="pasa"," ",IF('CG. MPB'!E66="CONCRETO","F/DISEÑO",IF(AND(W65&gt;O65,O65&gt;X65),"BIEN","MAL")))</f>
        <v xml:space="preserve"> </v>
      </c>
      <c r="Q65" s="466">
        <f>IF('CG. MPB'!F66="MACIZO",12/'RMCS.PB'!$O$25,9/'RMCS.PB'!$O$25)</f>
        <v>2.3999999999999998E-3</v>
      </c>
      <c r="R65" s="466">
        <f t="shared" si="36"/>
        <v>0</v>
      </c>
      <c r="S65" s="466">
        <f>IF(G65=0,0,IF(AND(G65=2,'RMCV.PB'!E53="III"),30,40))</f>
        <v>0</v>
      </c>
      <c r="T65" s="466">
        <f>IF(I65=0,0,IF(AND(I65=3,'RMCV.PB'!$E$17="I"),20,15))</f>
        <v>0</v>
      </c>
      <c r="U65" s="466">
        <f>IF(J65=0,0,IF(AND(J65=3.5,'RMCV.PB'!$E$17="I"),20,15))</f>
        <v>0</v>
      </c>
      <c r="V65" s="466">
        <f t="shared" si="37"/>
        <v>0</v>
      </c>
      <c r="W65" s="466">
        <f t="shared" si="38"/>
        <v>0</v>
      </c>
      <c r="X65" s="466" t="e">
        <f>IF('CG. MPB'!E66="CONCRETO",0,IF(M65/(D65*$O$25*K65)&gt;3/$O$25,M65/(D65*$O$25*K65),3/$O$25))</f>
        <v>#DIV/0!</v>
      </c>
      <c r="Y65" s="765" t="e">
        <f t="shared" si="39"/>
        <v>#VALUE!</v>
      </c>
      <c r="Z65" s="466" t="e">
        <f t="shared" si="40"/>
        <v>#VALUE!</v>
      </c>
      <c r="AA65" s="766" t="e">
        <f t="shared" si="41"/>
        <v>#VALUE!</v>
      </c>
      <c r="AB65" s="943" t="str">
        <f t="shared" si="42"/>
        <v xml:space="preserve"> </v>
      </c>
      <c r="AC65" s="767" t="str">
        <f>IF(N65="pasa"," ",IF('CG. MPB'!E66="CONCRETO","F/DISEÑO",IF(AB65&gt;L65,"PASA","NO PASA")))</f>
        <v xml:space="preserve"> </v>
      </c>
      <c r="AD65" s="474"/>
      <c r="AE65" s="482"/>
      <c r="AF65" s="482"/>
      <c r="AG65" s="483"/>
      <c r="AH65" s="482"/>
      <c r="AI65" s="484"/>
      <c r="AJ65" s="485"/>
      <c r="AK65" s="486"/>
      <c r="AL65" s="486"/>
      <c r="AM65" s="487"/>
    </row>
    <row r="66" spans="1:41" hidden="1">
      <c r="A66" s="684">
        <f>'CG. MPB'!A67</f>
        <v>38</v>
      </c>
      <c r="B66" s="576">
        <f>'RMCV.PB'!O66/1.3</f>
        <v>0</v>
      </c>
      <c r="C66" s="576">
        <f t="shared" si="34"/>
        <v>0</v>
      </c>
      <c r="D66" s="578">
        <f>IF('CG. MPB'!D67="NO CONFINADO",0.4,0.7)</f>
        <v>0.7</v>
      </c>
      <c r="E66" s="578">
        <f>IF('CG. MPB'!E67="CONCRETO",0.5*(0.8*250)^0.5,F66+G66+I66+J66+H66)</f>
        <v>0</v>
      </c>
      <c r="F66" s="578">
        <f>IF(AND('CG. MPB'!E67="TABIQUE",'CG. MPB'!F67="MACIZO"),IF('RMCV.PB'!$E$17="I",3.5,3),0)</f>
        <v>0</v>
      </c>
      <c r="G66" s="578">
        <f>IF(AND('CG. MPB'!E67="TABIQUE",'CG. MPB'!F67="HUECO"),IF('RMCV.PB'!$E$17="I",3,2),0)</f>
        <v>0</v>
      </c>
      <c r="H66" s="578">
        <f>IF('CG. MPB'!E67="ADOBE",0.3,0)</f>
        <v>0</v>
      </c>
      <c r="I66" s="578">
        <f>IF(AND('CG. MPB'!E67="TABICON",'CG. MPB'!F67="MACIZO"),IF('RMCV.PB'!$E$17="I",3,2),0)</f>
        <v>0</v>
      </c>
      <c r="J66" s="578">
        <f>IF(AND('CG. MPB'!E67="TABICON",'CG. MPB'!F67="HUECO"),IF('RMCV.PB'!$E$17="I",3.5,2.5),0)</f>
        <v>0</v>
      </c>
      <c r="K66" s="576">
        <f>'RMCV.PB'!N66</f>
        <v>0</v>
      </c>
      <c r="L66" s="918">
        <f>ABS('ELEM. MECA.'!F43)</f>
        <v>0</v>
      </c>
      <c r="M66" s="936">
        <f t="shared" si="35"/>
        <v>0</v>
      </c>
      <c r="N66" s="756" t="str">
        <f>IF('CG. MPB'!E67="CONCRETO","F/DISEÑO",IF(L66&gt;M66,IF(M66*1.05&gt;L66,"SE ACEPTA","NO PASA"),"PASA"))</f>
        <v>PASA</v>
      </c>
      <c r="O66" s="466" t="str">
        <f>IF(N66="pasa"," ",$O$24/('RMCV.PB'!C66*100))</f>
        <v xml:space="preserve"> </v>
      </c>
      <c r="P66" s="472" t="str">
        <f>IF(N66="pasa"," ",IF('CG. MPB'!E67="CONCRETO","F/DISEÑO",IF(AND(W66&gt;O66,O66&gt;X66),"BIEN","MAL")))</f>
        <v xml:space="preserve"> </v>
      </c>
      <c r="Q66" s="466">
        <f>IF('CG. MPB'!F67="MACIZO",12/'RMCS.PB'!$O$25,9/'RMCS.PB'!$O$25)</f>
        <v>2.3999999999999998E-3</v>
      </c>
      <c r="R66" s="466">
        <f t="shared" si="36"/>
        <v>0</v>
      </c>
      <c r="S66" s="466">
        <f>IF(G66=0,0,IF(AND(G66=2,'RMCV.PB'!E54="III"),30,40))</f>
        <v>0</v>
      </c>
      <c r="T66" s="466">
        <f>IF(I66=0,0,IF(AND(I66=3,'RMCV.PB'!$E$17="I"),20,15))</f>
        <v>0</v>
      </c>
      <c r="U66" s="466">
        <f>IF(J66=0,0,IF(AND(J66=3.5,'RMCV.PB'!$E$17="I"),20,15))</f>
        <v>0</v>
      </c>
      <c r="V66" s="466">
        <f t="shared" si="37"/>
        <v>0</v>
      </c>
      <c r="W66" s="466">
        <f t="shared" si="38"/>
        <v>0</v>
      </c>
      <c r="X66" s="466" t="e">
        <f>IF('CG. MPB'!E67="CONCRETO",0,IF(M66/(D66*$O$25*K66)&gt;3/$O$25,M66/(D66*$O$25*K66),3/$O$25))</f>
        <v>#DIV/0!</v>
      </c>
      <c r="Y66" s="765" t="e">
        <f t="shared" si="39"/>
        <v>#VALUE!</v>
      </c>
      <c r="Z66" s="466" t="e">
        <f t="shared" si="40"/>
        <v>#VALUE!</v>
      </c>
      <c r="AA66" s="766" t="e">
        <f t="shared" si="41"/>
        <v>#VALUE!</v>
      </c>
      <c r="AB66" s="943" t="str">
        <f t="shared" si="42"/>
        <v xml:space="preserve"> </v>
      </c>
      <c r="AC66" s="767" t="str">
        <f>IF(N66="pasa"," ",IF('CG. MPB'!E67="CONCRETO","F/DISEÑO",IF(AB66&gt;L66,"PASA","NO PASA")))</f>
        <v xml:space="preserve"> </v>
      </c>
      <c r="AD66" s="474"/>
      <c r="AE66" s="482"/>
      <c r="AF66" s="482"/>
      <c r="AG66" s="483"/>
      <c r="AH66" s="482"/>
      <c r="AI66" s="484"/>
      <c r="AJ66" s="485"/>
      <c r="AK66" s="486"/>
      <c r="AL66" s="486"/>
      <c r="AM66" s="487"/>
    </row>
    <row r="67" spans="1:41" hidden="1">
      <c r="A67" s="684">
        <f>'CG. MPB'!A68</f>
        <v>39</v>
      </c>
      <c r="B67" s="576">
        <f>'RMCV.PB'!O67/1.3</f>
        <v>0</v>
      </c>
      <c r="C67" s="576">
        <f t="shared" si="34"/>
        <v>0</v>
      </c>
      <c r="D67" s="578">
        <f>IF('CG. MPB'!D68="NO CONFINADO",0.4,0.7)</f>
        <v>0.7</v>
      </c>
      <c r="E67" s="578">
        <f>IF('CG. MPB'!E68="CONCRETO",0.5*(0.8*250)^0.5,F67+G67+I67+J67+H67)</f>
        <v>0</v>
      </c>
      <c r="F67" s="578">
        <f>IF(AND('CG. MPB'!E68="TABIQUE",'CG. MPB'!F68="MACIZO"),IF('RMCV.PB'!$E$17="I",3.5,3),0)</f>
        <v>0</v>
      </c>
      <c r="G67" s="578">
        <f>IF(AND('CG. MPB'!E68="TABIQUE",'CG. MPB'!F68="HUECO"),IF('RMCV.PB'!$E$17="I",3,2),0)</f>
        <v>0</v>
      </c>
      <c r="H67" s="578">
        <f>IF('CG. MPB'!E68="ADOBE",0.3,0)</f>
        <v>0</v>
      </c>
      <c r="I67" s="578">
        <f>IF(AND('CG. MPB'!E68="TABICON",'CG. MPB'!F68="MACIZO"),IF('RMCV.PB'!$E$17="I",3,2),0)</f>
        <v>0</v>
      </c>
      <c r="J67" s="578">
        <f>IF(AND('CG. MPB'!E68="TABICON",'CG. MPB'!F68="HUECO"),IF('RMCV.PB'!$E$17="I",3.5,2.5),0)</f>
        <v>0</v>
      </c>
      <c r="K67" s="576">
        <f>'RMCV.PB'!N67</f>
        <v>0</v>
      </c>
      <c r="L67" s="918">
        <f>ABS('ELEM. MECA.'!F44)</f>
        <v>0</v>
      </c>
      <c r="M67" s="936">
        <f t="shared" si="35"/>
        <v>0</v>
      </c>
      <c r="N67" s="756" t="str">
        <f>IF('CG. MPB'!E68="CONCRETO","F/DISEÑO",IF(L67&gt;M67,IF(M67*1.05&gt;L67,"SE ACEPTA","NO PASA"),"PASA"))</f>
        <v>PASA</v>
      </c>
      <c r="O67" s="466" t="str">
        <f>IF(N67="pasa"," ",$O$24/('RMCV.PB'!C67*100))</f>
        <v xml:space="preserve"> </v>
      </c>
      <c r="P67" s="472" t="str">
        <f>IF(N67="pasa"," ",IF('CG. MPB'!E68="CONCRETO","F/DISEÑO",IF(AND(W67&gt;O67,O67&gt;X67),"BIEN","MAL")))</f>
        <v xml:space="preserve"> </v>
      </c>
      <c r="Q67" s="466">
        <f>IF('CG. MPB'!F68="MACIZO",12/'RMCS.PB'!$O$25,9/'RMCS.PB'!$O$25)</f>
        <v>2.3999999999999998E-3</v>
      </c>
      <c r="R67" s="466">
        <f t="shared" si="36"/>
        <v>0</v>
      </c>
      <c r="S67" s="466">
        <f>IF(G67=0,0,IF(AND(G67=2,'RMCV.PB'!E55="III"),30,40))</f>
        <v>0</v>
      </c>
      <c r="T67" s="466">
        <f>IF(I67=0,0,IF(AND(I67=3,'RMCV.PB'!$E$17="I"),20,15))</f>
        <v>0</v>
      </c>
      <c r="U67" s="466">
        <f>IF(J67=0,0,IF(AND(J67=3.5,'RMCV.PB'!$E$17="I"),20,15))</f>
        <v>0</v>
      </c>
      <c r="V67" s="466">
        <f t="shared" si="37"/>
        <v>0</v>
      </c>
      <c r="W67" s="466">
        <f t="shared" si="38"/>
        <v>0</v>
      </c>
      <c r="X67" s="466" t="e">
        <f>IF('CG. MPB'!E68="CONCRETO",0,IF(M67/(D67*$O$25*K67)&gt;3/$O$25,M67/(D67*$O$25*K67),3/$O$25))</f>
        <v>#DIV/0!</v>
      </c>
      <c r="Y67" s="765" t="e">
        <f t="shared" si="39"/>
        <v>#VALUE!</v>
      </c>
      <c r="Z67" s="466" t="e">
        <f t="shared" si="40"/>
        <v>#VALUE!</v>
      </c>
      <c r="AA67" s="766" t="e">
        <f t="shared" si="41"/>
        <v>#VALUE!</v>
      </c>
      <c r="AB67" s="943" t="str">
        <f t="shared" si="42"/>
        <v xml:space="preserve"> </v>
      </c>
      <c r="AC67" s="767" t="str">
        <f>IF(N67="pasa"," ",IF('CG. MPB'!E68="CONCRETO","F/DISEÑO",IF(AB67&gt;L67,"PASA","NO PASA")))</f>
        <v xml:space="preserve"> </v>
      </c>
      <c r="AD67" s="474"/>
      <c r="AE67" s="482"/>
      <c r="AF67" s="482"/>
      <c r="AG67" s="483"/>
      <c r="AH67" s="482"/>
      <c r="AI67" s="484"/>
      <c r="AJ67" s="485"/>
      <c r="AK67" s="486"/>
      <c r="AL67" s="486"/>
      <c r="AM67" s="487"/>
    </row>
    <row r="68" spans="1:41" hidden="1">
      <c r="A68" s="684">
        <f>'CG. MPB'!A69</f>
        <v>40</v>
      </c>
      <c r="B68" s="576">
        <f>'RMCV.PB'!O68/1.3</f>
        <v>0</v>
      </c>
      <c r="C68" s="576">
        <f t="shared" si="34"/>
        <v>0</v>
      </c>
      <c r="D68" s="578">
        <f>IF('CG. MPB'!D69="NO CONFINADO",0.4,0.7)</f>
        <v>0.7</v>
      </c>
      <c r="E68" s="578">
        <f>IF('CG. MPB'!E69="CONCRETO",0.5*(0.8*250)^0.5,F68+G68+I68+J68+H68)</f>
        <v>0</v>
      </c>
      <c r="F68" s="578">
        <f>IF(AND('CG. MPB'!E69="TABIQUE",'CG. MPB'!F69="MACIZO"),IF('RMCV.PB'!$E$17="I",3.5,3),0)</f>
        <v>0</v>
      </c>
      <c r="G68" s="578">
        <f>IF(AND('CG. MPB'!E69="TABIQUE",'CG. MPB'!F69="HUECO"),IF('RMCV.PB'!$E$17="I",3,2),0)</f>
        <v>0</v>
      </c>
      <c r="H68" s="578">
        <f>IF('CG. MPB'!E69="ADOBE",0.3,0)</f>
        <v>0</v>
      </c>
      <c r="I68" s="578">
        <f>IF(AND('CG. MPB'!E69="TABICON",'CG. MPB'!F69="MACIZO"),IF('RMCV.PB'!$E$17="I",3,2),0)</f>
        <v>0</v>
      </c>
      <c r="J68" s="578">
        <f>IF(AND('CG. MPB'!E69="TABICON",'CG. MPB'!F69="HUECO"),IF('RMCV.PB'!$E$17="I",3.5,2.5),0)</f>
        <v>0</v>
      </c>
      <c r="K68" s="576">
        <f>'RMCV.PB'!N68</f>
        <v>0</v>
      </c>
      <c r="L68" s="918">
        <f>ABS('ELEM. MECA.'!F45)</f>
        <v>0</v>
      </c>
      <c r="M68" s="936">
        <f t="shared" si="35"/>
        <v>0</v>
      </c>
      <c r="N68" s="756" t="str">
        <f>IF('CG. MPB'!E69="CONCRETO","F/DISEÑO",IF(L68&gt;M68,IF(M68*1.05&gt;L68,"SE ACEPTA","NO PASA"),"PASA"))</f>
        <v>PASA</v>
      </c>
      <c r="O68" s="466" t="str">
        <f>IF(N68="pasa"," ",$O$24/('RMCV.PB'!C68*100))</f>
        <v xml:space="preserve"> </v>
      </c>
      <c r="P68" s="472" t="str">
        <f>IF(N68="pasa"," ",IF('CG. MPB'!E69="CONCRETO","F/DISEÑO",IF(AND(W68&gt;O68,O68&gt;X68),"BIEN","MAL")))</f>
        <v xml:space="preserve"> </v>
      </c>
      <c r="Q68" s="466">
        <f>IF('CG. MPB'!F69="MACIZO",12/'RMCS.PB'!$O$25,9/'RMCS.PB'!$O$25)</f>
        <v>2.3999999999999998E-3</v>
      </c>
      <c r="R68" s="466">
        <f t="shared" si="36"/>
        <v>0</v>
      </c>
      <c r="S68" s="466">
        <f>IF(G68=0,0,IF(AND(G68=2,'RMCV.PB'!E56="III"),30,40))</f>
        <v>0</v>
      </c>
      <c r="T68" s="466">
        <f>IF(I68=0,0,IF(AND(I68=3,'RMCV.PB'!$E$17="I"),20,15))</f>
        <v>0</v>
      </c>
      <c r="U68" s="466">
        <f>IF(J68=0,0,IF(AND(J68=3.5,'RMCV.PB'!$E$17="I"),20,15))</f>
        <v>0</v>
      </c>
      <c r="V68" s="466">
        <f t="shared" si="37"/>
        <v>0</v>
      </c>
      <c r="W68" s="466">
        <f t="shared" si="38"/>
        <v>0</v>
      </c>
      <c r="X68" s="466" t="e">
        <f>IF('CG. MPB'!E69="CONCRETO",0,IF(M68/(D68*$O$25*K68)&gt;3/$O$25,M68/(D68*$O$25*K68),3/$O$25))</f>
        <v>#DIV/0!</v>
      </c>
      <c r="Y68" s="765" t="e">
        <f t="shared" si="39"/>
        <v>#VALUE!</v>
      </c>
      <c r="Z68" s="466" t="e">
        <f t="shared" si="40"/>
        <v>#VALUE!</v>
      </c>
      <c r="AA68" s="766" t="e">
        <f t="shared" si="41"/>
        <v>#VALUE!</v>
      </c>
      <c r="AB68" s="943" t="str">
        <f t="shared" si="42"/>
        <v xml:space="preserve"> </v>
      </c>
      <c r="AC68" s="767" t="str">
        <f>IF(N68="pasa"," ",IF('CG. MPB'!E69="CONCRETO","F/DISEÑO",IF(AB68&gt;L68,"PASA","NO PASA")))</f>
        <v xml:space="preserve"> </v>
      </c>
      <c r="AD68" s="474"/>
      <c r="AE68" s="482"/>
      <c r="AF68" s="482"/>
      <c r="AG68" s="483"/>
      <c r="AH68" s="482"/>
      <c r="AI68" s="484"/>
      <c r="AJ68" s="485"/>
      <c r="AK68" s="486"/>
      <c r="AL68" s="486"/>
      <c r="AM68" s="487"/>
    </row>
    <row r="69" spans="1:41" hidden="1">
      <c r="A69" s="684">
        <f>'CG. MPB'!A70</f>
        <v>41</v>
      </c>
      <c r="B69" s="576">
        <f>'RMCV.PB'!O69/1.3</f>
        <v>0</v>
      </c>
      <c r="C69" s="576">
        <f t="shared" si="34"/>
        <v>0</v>
      </c>
      <c r="D69" s="578">
        <f>IF('CG. MPB'!D70="NO CONFINADO",0.4,0.7)</f>
        <v>0.7</v>
      </c>
      <c r="E69" s="578">
        <f>IF('CG. MPB'!E70="CONCRETO",0.5*(0.8*250)^0.5,F69+G69+I69+J69+H69)</f>
        <v>0</v>
      </c>
      <c r="F69" s="578">
        <f>IF(AND('CG. MPB'!E70="TABIQUE",'CG. MPB'!F70="MACIZO"),IF('RMCV.PB'!$E$17="I",3.5,3),0)</f>
        <v>0</v>
      </c>
      <c r="G69" s="578">
        <f>IF(AND('CG. MPB'!E70="TABIQUE",'CG. MPB'!F70="HUECO"),IF('RMCV.PB'!$E$17="I",3,2),0)</f>
        <v>0</v>
      </c>
      <c r="H69" s="578">
        <f>IF('CG. MPB'!E70="ADOBE",0.3,0)</f>
        <v>0</v>
      </c>
      <c r="I69" s="578">
        <f>IF(AND('CG. MPB'!E70="TABICON",'CG. MPB'!F70="MACIZO"),IF('RMCV.PB'!$E$17="I",3,2),0)</f>
        <v>0</v>
      </c>
      <c r="J69" s="578">
        <f>IF(AND('CG. MPB'!E70="TABICON",'CG. MPB'!F70="HUECO"),IF('RMCV.PB'!$E$17="I",3.5,2.5),0)</f>
        <v>0</v>
      </c>
      <c r="K69" s="576">
        <f>'RMCV.PB'!N69</f>
        <v>0</v>
      </c>
      <c r="L69" s="918">
        <f>ABS('ELEM. MECA.'!F46)</f>
        <v>0</v>
      </c>
      <c r="M69" s="936">
        <f t="shared" si="35"/>
        <v>0</v>
      </c>
      <c r="N69" s="756" t="str">
        <f>IF('CG. MPB'!E70="CONCRETO","F/DISEÑO",IF(L69&gt;M69,IF(M69*1.05&gt;L69,"SE ACEPTA","NO PASA"),"PASA"))</f>
        <v>PASA</v>
      </c>
      <c r="O69" s="466" t="str">
        <f>IF(N69="pasa"," ",$O$24/('RMCV.PB'!C69*100))</f>
        <v xml:space="preserve"> </v>
      </c>
      <c r="P69" s="472" t="str">
        <f>IF(N69="pasa"," ",IF('CG. MPB'!E70="CONCRETO","F/DISEÑO",IF(AND(W69&gt;O69,O69&gt;X69),"BIEN","MAL")))</f>
        <v xml:space="preserve"> </v>
      </c>
      <c r="Q69" s="466">
        <f>IF('CG. MPB'!F70="MACIZO",12/'RMCS.PB'!$O$25,9/'RMCS.PB'!$O$25)</f>
        <v>2.3999999999999998E-3</v>
      </c>
      <c r="R69" s="466">
        <f t="shared" si="36"/>
        <v>0</v>
      </c>
      <c r="S69" s="466">
        <f>IF(G69=0,0,IF(AND(G69=2,'RMCV.PB'!E57="III"),30,40))</f>
        <v>0</v>
      </c>
      <c r="T69" s="466">
        <f>IF(I69=0,0,IF(AND(I69=3,'RMCV.PB'!$E$17="I"),20,15))</f>
        <v>0</v>
      </c>
      <c r="U69" s="466">
        <f>IF(J69=0,0,IF(AND(J69=3.5,'RMCV.PB'!$E$17="I"),20,15))</f>
        <v>0</v>
      </c>
      <c r="V69" s="466">
        <f t="shared" si="37"/>
        <v>0</v>
      </c>
      <c r="W69" s="466">
        <f t="shared" si="38"/>
        <v>0</v>
      </c>
      <c r="X69" s="466" t="e">
        <f>IF('CG. MPB'!E70="CONCRETO",0,IF(M69/(D69*$O$25*K69)&gt;3/$O$25,M69/(D69*$O$25*K69),3/$O$25))</f>
        <v>#DIV/0!</v>
      </c>
      <c r="Y69" s="765" t="e">
        <f t="shared" si="39"/>
        <v>#VALUE!</v>
      </c>
      <c r="Z69" s="466" t="e">
        <f t="shared" si="40"/>
        <v>#VALUE!</v>
      </c>
      <c r="AA69" s="766" t="e">
        <f t="shared" si="41"/>
        <v>#VALUE!</v>
      </c>
      <c r="AB69" s="943" t="str">
        <f t="shared" si="42"/>
        <v xml:space="preserve"> </v>
      </c>
      <c r="AC69" s="767" t="str">
        <f>IF(N69="pasa"," ",IF('CG. MPB'!E70="CONCRETO","F/DISEÑO",IF(AB69&gt;L69,"PASA","NO PASA")))</f>
        <v xml:space="preserve"> </v>
      </c>
      <c r="AD69" s="474"/>
      <c r="AE69" s="482"/>
      <c r="AF69" s="482"/>
      <c r="AG69" s="483"/>
      <c r="AH69" s="482"/>
      <c r="AI69" s="484"/>
      <c r="AJ69" s="485"/>
      <c r="AK69" s="486"/>
      <c r="AL69" s="486"/>
      <c r="AM69" s="487"/>
    </row>
    <row r="70" spans="1:41" hidden="1">
      <c r="A70" s="684">
        <f>'CG. MPB'!A71</f>
        <v>42</v>
      </c>
      <c r="B70" s="576">
        <f>'RMCV.PB'!O70/1.3</f>
        <v>0</v>
      </c>
      <c r="C70" s="576">
        <f t="shared" si="34"/>
        <v>0</v>
      </c>
      <c r="D70" s="578">
        <f>IF('CG. MPB'!D71="NO CONFINADO",0.4,0.7)</f>
        <v>0.7</v>
      </c>
      <c r="E70" s="578">
        <f>IF('CG. MPB'!E71="CONCRETO",0.5*(0.8*250)^0.5,F70+G70+I70+J70+H70)</f>
        <v>0</v>
      </c>
      <c r="F70" s="578">
        <f>IF(AND('CG. MPB'!E71="TABIQUE",'CG. MPB'!F71="MACIZO"),IF('RMCV.PB'!$E$17="I",3.5,3),0)</f>
        <v>0</v>
      </c>
      <c r="G70" s="578">
        <f>IF(AND('CG. MPB'!E71="TABIQUE",'CG. MPB'!F71="HUECO"),IF('RMCV.PB'!$E$17="I",3,2),0)</f>
        <v>0</v>
      </c>
      <c r="H70" s="578">
        <f>IF('CG. MPB'!E71="ADOBE",0.3,0)</f>
        <v>0</v>
      </c>
      <c r="I70" s="578">
        <f>IF(AND('CG. MPB'!E71="TABICON",'CG. MPB'!F71="MACIZO"),IF('RMCV.PB'!$E$17="I",3,2),0)</f>
        <v>0</v>
      </c>
      <c r="J70" s="578">
        <f>IF(AND('CG. MPB'!E71="TABICON",'CG. MPB'!F71="HUECO"),IF('RMCV.PB'!$E$17="I",3.5,2.5),0)</f>
        <v>0</v>
      </c>
      <c r="K70" s="576">
        <f>'RMCV.PB'!N70</f>
        <v>0</v>
      </c>
      <c r="L70" s="918">
        <f>ABS('ELEM. MECA.'!F47)</f>
        <v>0</v>
      </c>
      <c r="M70" s="936">
        <f t="shared" si="35"/>
        <v>0</v>
      </c>
      <c r="N70" s="756" t="str">
        <f>IF('CG. MPB'!E71="CONCRETO","F/DISEÑO",IF(L70&gt;M70,IF(M70*1.05&gt;L70,"SE ACEPTA","NO PASA"),"PASA"))</f>
        <v>PASA</v>
      </c>
      <c r="O70" s="466" t="str">
        <f>IF(N70="pasa"," ",$O$24/('RMCV.PB'!C70*100))</f>
        <v xml:space="preserve"> </v>
      </c>
      <c r="P70" s="472" t="str">
        <f>IF(N70="pasa"," ",IF('CG. MPB'!E71="CONCRETO","F/DISEÑO",IF(AND(W70&gt;O70,O70&gt;X70),"BIEN","MAL")))</f>
        <v xml:space="preserve"> </v>
      </c>
      <c r="Q70" s="466">
        <f>IF('CG. MPB'!F71="MACIZO",12/'RMCS.PB'!$O$25,9/'RMCS.PB'!$O$25)</f>
        <v>2.3999999999999998E-3</v>
      </c>
      <c r="R70" s="466">
        <f t="shared" si="36"/>
        <v>0</v>
      </c>
      <c r="S70" s="466">
        <f>IF(G70=0,0,IF(AND(G70=2,'RMCV.PB'!E58="III"),30,40))</f>
        <v>0</v>
      </c>
      <c r="T70" s="466">
        <f>IF(I70=0,0,IF(AND(I70=3,'RMCV.PB'!$E$17="I"),20,15))</f>
        <v>0</v>
      </c>
      <c r="U70" s="466">
        <f>IF(J70=0,0,IF(AND(J70=3.5,'RMCV.PB'!$E$17="I"),20,15))</f>
        <v>0</v>
      </c>
      <c r="V70" s="466">
        <f t="shared" si="37"/>
        <v>0</v>
      </c>
      <c r="W70" s="466">
        <f t="shared" si="38"/>
        <v>0</v>
      </c>
      <c r="X70" s="466" t="e">
        <f>IF('CG. MPB'!E71="CONCRETO",0,IF(M70/(D70*$O$25*K70)&gt;3/$O$25,M70/(D70*$O$25*K70),3/$O$25))</f>
        <v>#DIV/0!</v>
      </c>
      <c r="Y70" s="765" t="e">
        <f t="shared" si="39"/>
        <v>#VALUE!</v>
      </c>
      <c r="Z70" s="466" t="e">
        <f t="shared" si="40"/>
        <v>#VALUE!</v>
      </c>
      <c r="AA70" s="766" t="e">
        <f t="shared" si="41"/>
        <v>#VALUE!</v>
      </c>
      <c r="AB70" s="943" t="str">
        <f t="shared" si="42"/>
        <v xml:space="preserve"> </v>
      </c>
      <c r="AC70" s="767" t="str">
        <f>IF(N70="pasa"," ",IF('CG. MPB'!E71="CONCRETO","F/DISEÑO",IF(AB70&gt;L70,"PASA","NO PASA")))</f>
        <v xml:space="preserve"> </v>
      </c>
      <c r="AD70" s="474"/>
      <c r="AE70" s="482"/>
      <c r="AF70" s="482"/>
      <c r="AG70" s="483"/>
      <c r="AH70" s="482"/>
      <c r="AI70" s="484"/>
      <c r="AJ70" s="485"/>
      <c r="AK70" s="486"/>
      <c r="AL70" s="486"/>
      <c r="AM70" s="487"/>
    </row>
    <row r="71" spans="1:41" hidden="1">
      <c r="A71" s="684">
        <f>'CG. MPB'!A72</f>
        <v>43</v>
      </c>
      <c r="B71" s="576">
        <f>'RMCV.PB'!O71/1.3</f>
        <v>0</v>
      </c>
      <c r="C71" s="576">
        <f t="shared" si="34"/>
        <v>0</v>
      </c>
      <c r="D71" s="578">
        <f>IF('CG. MPB'!D72="NO CONFINADO",0.4,0.7)</f>
        <v>0.7</v>
      </c>
      <c r="E71" s="578">
        <f>IF('CG. MPB'!E72="CONCRETO",0.5*(0.8*250)^0.5,F71+G71+I71+J71+H71)</f>
        <v>0</v>
      </c>
      <c r="F71" s="578">
        <f>IF(AND('CG. MPB'!E72="TABIQUE",'CG. MPB'!F72="MACIZO"),IF('RMCV.PB'!$E$17="I",3.5,3),0)</f>
        <v>0</v>
      </c>
      <c r="G71" s="578">
        <f>IF(AND('CG. MPB'!E72="TABIQUE",'CG. MPB'!F72="HUECO"),IF('RMCV.PB'!$E$17="I",3,2),0)</f>
        <v>0</v>
      </c>
      <c r="H71" s="578">
        <f>IF('CG. MPB'!E72="ADOBE",0.3,0)</f>
        <v>0</v>
      </c>
      <c r="I71" s="578">
        <f>IF(AND('CG. MPB'!E72="TABICON",'CG. MPB'!F72="MACIZO"),IF('RMCV.PB'!$E$17="I",3,2),0)</f>
        <v>0</v>
      </c>
      <c r="J71" s="578">
        <f>IF(AND('CG. MPB'!E72="TABICON",'CG. MPB'!F72="HUECO"),IF('RMCV.PB'!$E$17="I",3.5,2.5),0)</f>
        <v>0</v>
      </c>
      <c r="K71" s="576">
        <f>'RMCV.PB'!N71</f>
        <v>0</v>
      </c>
      <c r="L71" s="918">
        <f>ABS('ELEM. MECA.'!F48)</f>
        <v>0</v>
      </c>
      <c r="M71" s="936">
        <f t="shared" si="35"/>
        <v>0</v>
      </c>
      <c r="N71" s="756" t="str">
        <f>IF('CG. MPB'!E72="CONCRETO","F/DISEÑO",IF(L71&gt;M71,IF(M71*1.05&gt;L71,"SE ACEPTA","NO PASA"),"PASA"))</f>
        <v>PASA</v>
      </c>
      <c r="O71" s="466" t="str">
        <f>IF(N71="pasa"," ",$O$24/('RMCV.PB'!C71*100))</f>
        <v xml:space="preserve"> </v>
      </c>
      <c r="P71" s="472" t="str">
        <f>IF(N71="pasa"," ",IF('CG. MPB'!E72="CONCRETO","F/DISEÑO",IF(AND(W71&gt;O71,O71&gt;X71),"BIEN","MAL")))</f>
        <v xml:space="preserve"> </v>
      </c>
      <c r="Q71" s="466">
        <f>IF('CG. MPB'!F72="MACIZO",12/'RMCS.PB'!$O$25,9/'RMCS.PB'!$O$25)</f>
        <v>2.3999999999999998E-3</v>
      </c>
      <c r="R71" s="466">
        <f t="shared" si="36"/>
        <v>0</v>
      </c>
      <c r="S71" s="466">
        <f>IF(G71=0,0,IF(AND(G71=2,'RMCV.PB'!E59="III"),30,40))</f>
        <v>0</v>
      </c>
      <c r="T71" s="466">
        <f>IF(I71=0,0,IF(AND(I71=3,'RMCV.PB'!$E$17="I"),20,15))</f>
        <v>0</v>
      </c>
      <c r="U71" s="466">
        <f>IF(J71=0,0,IF(AND(J71=3.5,'RMCV.PB'!$E$17="I"),20,15))</f>
        <v>0</v>
      </c>
      <c r="V71" s="466">
        <f t="shared" si="37"/>
        <v>0</v>
      </c>
      <c r="W71" s="466">
        <f t="shared" si="38"/>
        <v>0</v>
      </c>
      <c r="X71" s="466" t="e">
        <f>IF('CG. MPB'!E72="CONCRETO",0,IF(M71/(D71*$O$25*K71)&gt;3/$O$25,M71/(D71*$O$25*K71),3/$O$25))</f>
        <v>#DIV/0!</v>
      </c>
      <c r="Y71" s="765" t="e">
        <f t="shared" si="39"/>
        <v>#VALUE!</v>
      </c>
      <c r="Z71" s="466" t="e">
        <f t="shared" si="40"/>
        <v>#VALUE!</v>
      </c>
      <c r="AA71" s="766" t="e">
        <f t="shared" si="41"/>
        <v>#VALUE!</v>
      </c>
      <c r="AB71" s="943" t="str">
        <f t="shared" si="42"/>
        <v xml:space="preserve"> </v>
      </c>
      <c r="AC71" s="767" t="str">
        <f>IF(N71="pasa"," ",IF('CG. MPB'!E72="CONCRETO","F/DISEÑO",IF(AB71&gt;L71,"PASA","NO PASA")))</f>
        <v xml:space="preserve"> </v>
      </c>
      <c r="AD71" s="474"/>
      <c r="AE71" s="482"/>
      <c r="AF71" s="482"/>
      <c r="AG71" s="483"/>
      <c r="AH71" s="482"/>
      <c r="AI71" s="484"/>
      <c r="AJ71" s="485"/>
      <c r="AK71" s="486"/>
      <c r="AL71" s="486"/>
      <c r="AM71" s="487"/>
    </row>
    <row r="72" spans="1:41" hidden="1">
      <c r="A72" s="684">
        <f>'CG. MPB'!A73</f>
        <v>44</v>
      </c>
      <c r="B72" s="576">
        <f>'RMCV.PB'!O72/1.3</f>
        <v>0</v>
      </c>
      <c r="C72" s="576">
        <f t="shared" si="34"/>
        <v>0</v>
      </c>
      <c r="D72" s="578">
        <f>IF('CG. MPB'!D73="NO CONFINADO",0.4,0.7)</f>
        <v>0.7</v>
      </c>
      <c r="E72" s="578">
        <f>IF('CG. MPB'!E73="CONCRETO",0.5*(0.8*250)^0.5,F72+G72+I72+J72+H72)</f>
        <v>0</v>
      </c>
      <c r="F72" s="578">
        <f>IF(AND('CG. MPB'!E73="TABIQUE",'CG. MPB'!F73="MACIZO"),IF('RMCV.PB'!$E$17="I",3.5,3),0)</f>
        <v>0</v>
      </c>
      <c r="G72" s="578">
        <f>IF(AND('CG. MPB'!E73="TABIQUE",'CG. MPB'!F73="HUECO"),IF('RMCV.PB'!$E$17="I",3,2),0)</f>
        <v>0</v>
      </c>
      <c r="H72" s="578">
        <f>IF('CG. MPB'!E73="ADOBE",0.3,0)</f>
        <v>0</v>
      </c>
      <c r="I72" s="578">
        <f>IF(AND('CG. MPB'!E73="TABICON",'CG. MPB'!F73="MACIZO"),IF('RMCV.PB'!$E$17="I",3,2),0)</f>
        <v>0</v>
      </c>
      <c r="J72" s="578">
        <f>IF(AND('CG. MPB'!E73="TABICON",'CG. MPB'!F73="HUECO"),IF('RMCV.PB'!$E$17="I",3.5,2.5),0)</f>
        <v>0</v>
      </c>
      <c r="K72" s="576">
        <f>'RMCV.PB'!N72</f>
        <v>0</v>
      </c>
      <c r="L72" s="918">
        <f>ABS('ELEM. MECA.'!F49)</f>
        <v>0</v>
      </c>
      <c r="M72" s="936">
        <f t="shared" si="35"/>
        <v>0</v>
      </c>
      <c r="N72" s="756" t="str">
        <f>IF('CG. MPB'!E73="CONCRETO","F/DISEÑO",IF(L72&gt;M72,IF(M72*1.05&gt;L72,"SE ACEPTA","NO PASA"),"PASA"))</f>
        <v>PASA</v>
      </c>
      <c r="O72" s="466" t="str">
        <f>IF(N72="pasa"," ",$O$24/('RMCV.PB'!C72*100))</f>
        <v xml:space="preserve"> </v>
      </c>
      <c r="P72" s="472" t="str">
        <f>IF(N72="pasa"," ",IF('CG. MPB'!E73="CONCRETO","F/DISEÑO",IF(AND(W72&gt;O72,O72&gt;X72),"BIEN","MAL")))</f>
        <v xml:space="preserve"> </v>
      </c>
      <c r="Q72" s="466">
        <f>IF('CG. MPB'!F73="MACIZO",12/'RMCS.PB'!$O$25,9/'RMCS.PB'!$O$25)</f>
        <v>2.3999999999999998E-3</v>
      </c>
      <c r="R72" s="466">
        <f t="shared" si="36"/>
        <v>0</v>
      </c>
      <c r="S72" s="466">
        <f>IF(G72=0,0,IF(AND(G72=2,'RMCV.PB'!E60="III"),30,40))</f>
        <v>0</v>
      </c>
      <c r="T72" s="466">
        <f>IF(I72=0,0,IF(AND(I72=3,'RMCV.PB'!$E$17="I"),20,15))</f>
        <v>0</v>
      </c>
      <c r="U72" s="466">
        <f>IF(J72=0,0,IF(AND(J72=3.5,'RMCV.PB'!$E$17="I"),20,15))</f>
        <v>0</v>
      </c>
      <c r="V72" s="466">
        <f t="shared" si="37"/>
        <v>0</v>
      </c>
      <c r="W72" s="466">
        <f t="shared" si="38"/>
        <v>0</v>
      </c>
      <c r="X72" s="466" t="e">
        <f>IF('CG. MPB'!E73="CONCRETO",0,IF(M72/(D72*$O$25*K72)&gt;3/$O$25,M72/(D72*$O$25*K72),3/$O$25))</f>
        <v>#DIV/0!</v>
      </c>
      <c r="Y72" s="765" t="e">
        <f t="shared" si="39"/>
        <v>#VALUE!</v>
      </c>
      <c r="Z72" s="466" t="e">
        <f t="shared" si="40"/>
        <v>#VALUE!</v>
      </c>
      <c r="AA72" s="766" t="e">
        <f t="shared" si="41"/>
        <v>#VALUE!</v>
      </c>
      <c r="AB72" s="943" t="str">
        <f t="shared" si="42"/>
        <v xml:space="preserve"> </v>
      </c>
      <c r="AC72" s="767" t="str">
        <f>IF(N72="pasa"," ",IF('CG. MPB'!E73="CONCRETO","F/DISEÑO",IF(AB72&gt;L72,"PASA","NO PASA")))</f>
        <v xml:space="preserve"> </v>
      </c>
      <c r="AD72" s="474"/>
      <c r="AE72" s="482"/>
      <c r="AF72" s="482"/>
      <c r="AG72" s="483"/>
      <c r="AH72" s="482"/>
      <c r="AI72" s="484"/>
      <c r="AJ72" s="485"/>
      <c r="AK72" s="486"/>
      <c r="AL72" s="486"/>
      <c r="AM72" s="487"/>
    </row>
    <row r="73" spans="1:41" hidden="1">
      <c r="A73" s="684">
        <f>'CG. MPB'!A74</f>
        <v>45</v>
      </c>
      <c r="B73" s="576">
        <f>'RMCV.PB'!O73/1.3</f>
        <v>0</v>
      </c>
      <c r="C73" s="576">
        <f t="shared" si="34"/>
        <v>0</v>
      </c>
      <c r="D73" s="578">
        <f>IF('CG. MPB'!D74="NO CONFINADO",0.4,0.7)</f>
        <v>0.7</v>
      </c>
      <c r="E73" s="578">
        <f>IF('CG. MPB'!E74="CONCRETO",0.5*(0.8*250)^0.5,F73+G73+I73+J73+H73)</f>
        <v>0</v>
      </c>
      <c r="F73" s="578">
        <f>IF(AND('CG. MPB'!E74="TABIQUE",'CG. MPB'!F74="MACIZO"),IF('RMCV.PB'!$E$17="I",3.5,3),0)</f>
        <v>0</v>
      </c>
      <c r="G73" s="578">
        <f>IF(AND('CG. MPB'!E74="TABIQUE",'CG. MPB'!F74="HUECO"),IF('RMCV.PB'!$E$17="I",3,2),0)</f>
        <v>0</v>
      </c>
      <c r="H73" s="578">
        <f>IF('CG. MPB'!E74="ADOBE",0.3,0)</f>
        <v>0</v>
      </c>
      <c r="I73" s="578">
        <f>IF(AND('CG. MPB'!E74="TABICON",'CG. MPB'!F74="MACIZO"),IF('RMCV.PB'!$E$17="I",3,2),0)</f>
        <v>0</v>
      </c>
      <c r="J73" s="578">
        <f>IF(AND('CG. MPB'!E74="TABICON",'CG. MPB'!F74="HUECO"),IF('RMCV.PB'!$E$17="I",3.5,2.5),0)</f>
        <v>0</v>
      </c>
      <c r="K73" s="576">
        <f>'RMCV.PB'!N73</f>
        <v>0</v>
      </c>
      <c r="L73" s="918">
        <f>ABS('ELEM. MECA.'!F50)</f>
        <v>0</v>
      </c>
      <c r="M73" s="936">
        <f t="shared" si="35"/>
        <v>0</v>
      </c>
      <c r="N73" s="756" t="str">
        <f>IF('CG. MPB'!E74="CONCRETO","F/DISEÑO",IF(L73&gt;M73,IF(M73*1.05&gt;L73,"SE ACEPTA","NO PASA"),"PASA"))</f>
        <v>PASA</v>
      </c>
      <c r="O73" s="466" t="str">
        <f>IF(N73="pasa"," ",$O$24/('RMCV.PB'!C73*100))</f>
        <v xml:space="preserve"> </v>
      </c>
      <c r="P73" s="472" t="str">
        <f>IF(N73="pasa"," ",IF('CG. MPB'!E74="CONCRETO","F/DISEÑO",IF(AND(W73&gt;O73,O73&gt;X73),"BIEN","MAL")))</f>
        <v xml:space="preserve"> </v>
      </c>
      <c r="Q73" s="466">
        <f>IF('CG. MPB'!F74="MACIZO",12/'RMCS.PB'!$O$25,9/'RMCS.PB'!$O$25)</f>
        <v>2.3999999999999998E-3</v>
      </c>
      <c r="R73" s="466">
        <f t="shared" si="36"/>
        <v>0</v>
      </c>
      <c r="S73" s="466">
        <f>IF(G73=0,0,IF(AND(G73=2,'RMCV.PB'!E61="III"),30,40))</f>
        <v>0</v>
      </c>
      <c r="T73" s="466">
        <f>IF(I73=0,0,IF(AND(I73=3,'RMCV.PB'!$E$17="I"),20,15))</f>
        <v>0</v>
      </c>
      <c r="U73" s="466">
        <f>IF(J73=0,0,IF(AND(J73=3.5,'RMCV.PB'!$E$17="I"),20,15))</f>
        <v>0</v>
      </c>
      <c r="V73" s="466">
        <f t="shared" si="37"/>
        <v>0</v>
      </c>
      <c r="W73" s="466">
        <f t="shared" si="38"/>
        <v>0</v>
      </c>
      <c r="X73" s="466" t="e">
        <f>IF('CG. MPB'!E74="CONCRETO",0,IF(M73/(D73*$O$25*K73)&gt;3/$O$25,M73/(D73*$O$25*K73),3/$O$25))</f>
        <v>#DIV/0!</v>
      </c>
      <c r="Y73" s="765" t="e">
        <f t="shared" si="39"/>
        <v>#VALUE!</v>
      </c>
      <c r="Z73" s="466" t="e">
        <f t="shared" si="40"/>
        <v>#VALUE!</v>
      </c>
      <c r="AA73" s="766" t="e">
        <f t="shared" si="41"/>
        <v>#VALUE!</v>
      </c>
      <c r="AB73" s="943" t="str">
        <f t="shared" si="42"/>
        <v xml:space="preserve"> </v>
      </c>
      <c r="AC73" s="767" t="str">
        <f>IF(N73="pasa"," ",IF('CG. MPB'!E74="CONCRETO","F/DISEÑO",IF(AB73&gt;L73,"PASA","NO PASA")))</f>
        <v xml:space="preserve"> </v>
      </c>
      <c r="AD73" s="474"/>
      <c r="AE73" s="482"/>
      <c r="AF73" s="482"/>
      <c r="AG73" s="483"/>
      <c r="AH73" s="482"/>
      <c r="AI73" s="484"/>
      <c r="AJ73" s="485"/>
      <c r="AK73" s="486"/>
      <c r="AL73" s="486"/>
      <c r="AM73" s="487"/>
    </row>
    <row r="74" spans="1:41" hidden="1">
      <c r="A74" s="684">
        <f>'CG. MPB'!A75</f>
        <v>46</v>
      </c>
      <c r="B74" s="576">
        <f>'RMCV.PB'!O74/1.3</f>
        <v>0</v>
      </c>
      <c r="C74" s="576">
        <f t="shared" si="34"/>
        <v>0</v>
      </c>
      <c r="D74" s="578">
        <f>IF('CG. MPB'!D75="NO CONFINADO",0.4,0.7)</f>
        <v>0.7</v>
      </c>
      <c r="E74" s="578">
        <f>IF('CG. MPB'!E75="CONCRETO",0.5*(0.8*250)^0.5,F74+G74+I74+J74+H74)</f>
        <v>0</v>
      </c>
      <c r="F74" s="578">
        <f>IF(AND('CG. MPB'!E75="TABIQUE",'CG. MPB'!F75="MACIZO"),IF('RMCV.PB'!$E$17="I",3.5,3),0)</f>
        <v>0</v>
      </c>
      <c r="G74" s="578">
        <f>IF(AND('CG. MPB'!E75="TABIQUE",'CG. MPB'!F75="HUECO"),IF('RMCV.PB'!$E$17="I",3,2),0)</f>
        <v>0</v>
      </c>
      <c r="H74" s="578">
        <f>IF('CG. MPB'!E75="ADOBE",0.3,0)</f>
        <v>0</v>
      </c>
      <c r="I74" s="578">
        <f>IF(AND('CG. MPB'!E75="TABICON",'CG. MPB'!F75="MACIZO"),IF('RMCV.PB'!$E$17="I",3,2),0)</f>
        <v>0</v>
      </c>
      <c r="J74" s="578">
        <f>IF(AND('CG. MPB'!E75="TABICON",'CG. MPB'!F75="HUECO"),IF('RMCV.PB'!$E$17="I",3.5,2.5),0)</f>
        <v>0</v>
      </c>
      <c r="K74" s="576">
        <f>'RMCV.PB'!N74</f>
        <v>0</v>
      </c>
      <c r="L74" s="918">
        <f>ABS('ELEM. MECA.'!F51)</f>
        <v>0</v>
      </c>
      <c r="M74" s="936">
        <f t="shared" si="35"/>
        <v>0</v>
      </c>
      <c r="N74" s="756" t="str">
        <f>IF('CG. MPB'!E75="CONCRETO","F/DISEÑO",IF(L74&gt;M74,IF(M74*1.05&gt;L74,"SE ACEPTA","NO PASA"),"PASA"))</f>
        <v>PASA</v>
      </c>
      <c r="O74" s="466" t="str">
        <f>IF(N74="pasa"," ",$O$24/('RMCV.PB'!C74*100))</f>
        <v xml:space="preserve"> </v>
      </c>
      <c r="P74" s="472" t="str">
        <f>IF(N74="pasa"," ",IF('CG. MPB'!E75="CONCRETO","F/DISEÑO",IF(AND(W74&gt;O74,O74&gt;X74),"BIEN","MAL")))</f>
        <v xml:space="preserve"> </v>
      </c>
      <c r="Q74" s="466">
        <f>IF('CG. MPB'!F75="MACIZO",12/'RMCS.PB'!$O$25,9/'RMCS.PB'!$O$25)</f>
        <v>2.3999999999999998E-3</v>
      </c>
      <c r="R74" s="466">
        <f t="shared" si="36"/>
        <v>0</v>
      </c>
      <c r="S74" s="466">
        <f>IF(G74=0,0,IF(AND(G74=2,'RMCV.PB'!E62="III"),30,40))</f>
        <v>0</v>
      </c>
      <c r="T74" s="466">
        <f>IF(I74=0,0,IF(AND(I74=3,'RMCV.PB'!$E$17="I"),20,15))</f>
        <v>0</v>
      </c>
      <c r="U74" s="466">
        <f>IF(J74=0,0,IF(AND(J74=3.5,'RMCV.PB'!$E$17="I"),20,15))</f>
        <v>0</v>
      </c>
      <c r="V74" s="466">
        <f t="shared" si="37"/>
        <v>0</v>
      </c>
      <c r="W74" s="466">
        <f t="shared" si="38"/>
        <v>0</v>
      </c>
      <c r="X74" s="466" t="e">
        <f>IF('CG. MPB'!E75="CONCRETO",0,IF(M74/(D74*$O$25*K74)&gt;3/$O$25,M74/(D74*$O$25*K74),3/$O$25))</f>
        <v>#DIV/0!</v>
      </c>
      <c r="Y74" s="765" t="e">
        <f t="shared" si="39"/>
        <v>#VALUE!</v>
      </c>
      <c r="Z74" s="466" t="e">
        <f t="shared" si="40"/>
        <v>#VALUE!</v>
      </c>
      <c r="AA74" s="766" t="e">
        <f t="shared" si="41"/>
        <v>#VALUE!</v>
      </c>
      <c r="AB74" s="943" t="str">
        <f t="shared" si="42"/>
        <v xml:space="preserve"> </v>
      </c>
      <c r="AC74" s="767" t="str">
        <f>IF(N74="pasa"," ",IF('CG. MPB'!E75="CONCRETO","F/DISEÑO",IF(AB74&gt;L74,"PASA","NO PASA")))</f>
        <v xml:space="preserve"> </v>
      </c>
      <c r="AD74" s="474"/>
      <c r="AE74" s="482"/>
      <c r="AF74" s="482"/>
      <c r="AG74" s="483"/>
      <c r="AH74" s="482"/>
      <c r="AI74" s="484"/>
      <c r="AJ74" s="485"/>
      <c r="AK74" s="486"/>
      <c r="AL74" s="486"/>
      <c r="AM74" s="487"/>
    </row>
    <row r="75" spans="1:41" hidden="1">
      <c r="A75" s="684">
        <f>'CG. MPB'!A76</f>
        <v>47</v>
      </c>
      <c r="B75" s="576">
        <f>'RMCV.PB'!O75/1.3</f>
        <v>0</v>
      </c>
      <c r="C75" s="576">
        <f t="shared" si="34"/>
        <v>0</v>
      </c>
      <c r="D75" s="578">
        <f>IF('CG. MPB'!D76="NO CONFINADO",0.4,0.7)</f>
        <v>0.7</v>
      </c>
      <c r="E75" s="578">
        <f>IF('CG. MPB'!E76="CONCRETO",0.5*(0.8*250)^0.5,F75+G75+I75+J75+H75)</f>
        <v>0</v>
      </c>
      <c r="F75" s="578">
        <f>IF(AND('CG. MPB'!E76="TABIQUE",'CG. MPB'!F76="MACIZO"),IF('RMCV.PB'!$E$17="I",3.5,3),0)</f>
        <v>0</v>
      </c>
      <c r="G75" s="578">
        <f>IF(AND('CG. MPB'!E76="TABIQUE",'CG. MPB'!F76="HUECO"),IF('RMCV.PB'!$E$17="I",3,2),0)</f>
        <v>0</v>
      </c>
      <c r="H75" s="578">
        <f>IF('CG. MPB'!E76="ADOBE",0.3,0)</f>
        <v>0</v>
      </c>
      <c r="I75" s="578">
        <f>IF(AND('CG. MPB'!E76="TABICON",'CG. MPB'!F76="MACIZO"),IF('RMCV.PB'!$E$17="I",3,2),0)</f>
        <v>0</v>
      </c>
      <c r="J75" s="578">
        <f>IF(AND('CG. MPB'!E76="TABICON",'CG. MPB'!F76="HUECO"),IF('RMCV.PB'!$E$17="I",3.5,2.5),0)</f>
        <v>0</v>
      </c>
      <c r="K75" s="576">
        <f>'RMCV.PB'!N75</f>
        <v>0</v>
      </c>
      <c r="L75" s="918">
        <f>ABS('ELEM. MECA.'!F52)</f>
        <v>0</v>
      </c>
      <c r="M75" s="936">
        <f t="shared" si="35"/>
        <v>0</v>
      </c>
      <c r="N75" s="756" t="str">
        <f>IF('CG. MPB'!E76="CONCRETO","F/DISEÑO",IF(L75&gt;M75,IF(M75*1.05&gt;L75,"SE ACEPTA","NO PASA"),"PASA"))</f>
        <v>PASA</v>
      </c>
      <c r="O75" s="466" t="str">
        <f>IF(N75="pasa"," ",$O$24/('RMCV.PB'!C75*100))</f>
        <v xml:space="preserve"> </v>
      </c>
      <c r="P75" s="472" t="str">
        <f>IF(N75="pasa"," ",IF('CG. MPB'!E76="CONCRETO","F/DISEÑO",IF(AND(W75&gt;O75,O75&gt;X75),"BIEN","MAL")))</f>
        <v xml:space="preserve"> </v>
      </c>
      <c r="Q75" s="466">
        <f>IF('CG. MPB'!F76="MACIZO",12/'RMCS.PB'!$O$25,9/'RMCS.PB'!$O$25)</f>
        <v>2.3999999999999998E-3</v>
      </c>
      <c r="R75" s="466">
        <f t="shared" si="36"/>
        <v>0</v>
      </c>
      <c r="S75" s="466">
        <f>IF(G75=0,0,IF(AND(G75=2,'RMCV.PB'!E63="III"),30,40))</f>
        <v>0</v>
      </c>
      <c r="T75" s="466">
        <f>IF(I75=0,0,IF(AND(I75=3,'RMCV.PB'!$E$17="I"),20,15))</f>
        <v>0</v>
      </c>
      <c r="U75" s="466">
        <f>IF(J75=0,0,IF(AND(J75=3.5,'RMCV.PB'!$E$17="I"),20,15))</f>
        <v>0</v>
      </c>
      <c r="V75" s="466">
        <f t="shared" si="37"/>
        <v>0</v>
      </c>
      <c r="W75" s="466">
        <f t="shared" si="38"/>
        <v>0</v>
      </c>
      <c r="X75" s="466" t="e">
        <f>IF('CG. MPB'!E76="CONCRETO",0,IF(M75/(D75*$O$25*K75)&gt;3/$O$25,M75/(D75*$O$25*K75),3/$O$25))</f>
        <v>#DIV/0!</v>
      </c>
      <c r="Y75" s="765" t="e">
        <f t="shared" si="39"/>
        <v>#VALUE!</v>
      </c>
      <c r="Z75" s="466" t="e">
        <f t="shared" si="40"/>
        <v>#VALUE!</v>
      </c>
      <c r="AA75" s="766" t="e">
        <f t="shared" si="41"/>
        <v>#VALUE!</v>
      </c>
      <c r="AB75" s="943" t="str">
        <f t="shared" si="42"/>
        <v xml:space="preserve"> </v>
      </c>
      <c r="AC75" s="767" t="str">
        <f>IF(N75="pasa"," ",IF('CG. MPB'!E76="CONCRETO","F/DISEÑO",IF(AB75&gt;L75,"PASA","NO PASA")))</f>
        <v xml:space="preserve"> </v>
      </c>
      <c r="AD75" s="474"/>
      <c r="AE75" s="482"/>
      <c r="AF75" s="482"/>
      <c r="AG75" s="483"/>
      <c r="AH75" s="482"/>
      <c r="AI75" s="484"/>
      <c r="AJ75" s="485"/>
      <c r="AK75" s="486"/>
      <c r="AL75" s="486"/>
      <c r="AM75" s="487"/>
    </row>
    <row r="76" spans="1:41" hidden="1">
      <c r="A76" s="684">
        <f>'CG. MPB'!A77</f>
        <v>48</v>
      </c>
      <c r="B76" s="576">
        <f>'RMCV.PB'!O76/1.3</f>
        <v>0</v>
      </c>
      <c r="C76" s="576">
        <f t="shared" si="34"/>
        <v>0</v>
      </c>
      <c r="D76" s="578">
        <f>IF('CG. MPB'!D77="NO CONFINADO",0.4,0.7)</f>
        <v>0.7</v>
      </c>
      <c r="E76" s="578">
        <f>IF('CG. MPB'!E77="CONCRETO",0.5*(0.8*250)^0.5,F76+G76+I76+J76+H76)</f>
        <v>0</v>
      </c>
      <c r="F76" s="578">
        <f>IF(AND('CG. MPB'!E77="TABIQUE",'CG. MPB'!F77="MACIZO"),IF('RMCV.PB'!$E$17="I",3.5,3),0)</f>
        <v>0</v>
      </c>
      <c r="G76" s="578">
        <f>IF(AND('CG. MPB'!E77="TABIQUE",'CG. MPB'!F77="HUECO"),IF('RMCV.PB'!$E$17="I",3,2),0)</f>
        <v>0</v>
      </c>
      <c r="H76" s="578">
        <f>IF('CG. MPB'!E77="ADOBE",0.3,0)</f>
        <v>0</v>
      </c>
      <c r="I76" s="578">
        <f>IF(AND('CG. MPB'!E77="TABICON",'CG. MPB'!F77="MACIZO"),IF('RMCV.PB'!$E$17="I",3,2),0)</f>
        <v>0</v>
      </c>
      <c r="J76" s="578">
        <f>IF(AND('CG. MPB'!E77="TABICON",'CG. MPB'!F77="HUECO"),IF('RMCV.PB'!$E$17="I",3.5,2.5),0)</f>
        <v>0</v>
      </c>
      <c r="K76" s="576">
        <f>'RMCV.PB'!N76</f>
        <v>0</v>
      </c>
      <c r="L76" s="918">
        <f>ABS('ELEM. MECA.'!F53)</f>
        <v>0</v>
      </c>
      <c r="M76" s="936">
        <f t="shared" si="35"/>
        <v>0</v>
      </c>
      <c r="N76" s="756" t="str">
        <f>IF('CG. MPB'!E77="CONCRETO","F/DISEÑO",IF(L76&gt;M76,IF(M76*1.05&gt;L76,"SE ACEPTA","NO PASA"),"PASA"))</f>
        <v>PASA</v>
      </c>
      <c r="O76" s="466" t="str">
        <f>IF(N76="pasa"," ",$O$24/('RMCV.PB'!C76*100))</f>
        <v xml:space="preserve"> </v>
      </c>
      <c r="P76" s="472" t="str">
        <f>IF(N76="pasa"," ",IF('CG. MPB'!E77="CONCRETO","F/DISEÑO",IF(AND(W76&gt;O76,O76&gt;X76),"BIEN","MAL")))</f>
        <v xml:space="preserve"> </v>
      </c>
      <c r="Q76" s="466">
        <f>IF('CG. MPB'!F77="MACIZO",12/'RMCS.PB'!$O$25,9/'RMCS.PB'!$O$25)</f>
        <v>2.3999999999999998E-3</v>
      </c>
      <c r="R76" s="466">
        <f t="shared" si="36"/>
        <v>0</v>
      </c>
      <c r="S76" s="466">
        <f>IF(G76=0,0,IF(AND(G76=2,'RMCV.PB'!E64="III"),30,40))</f>
        <v>0</v>
      </c>
      <c r="T76" s="466">
        <f>IF(I76=0,0,IF(AND(I76=3,'RMCV.PB'!$E$17="I"),20,15))</f>
        <v>0</v>
      </c>
      <c r="U76" s="466">
        <f>IF(J76=0,0,IF(AND(J76=3.5,'RMCV.PB'!$E$17="I"),20,15))</f>
        <v>0</v>
      </c>
      <c r="V76" s="466">
        <f t="shared" si="37"/>
        <v>0</v>
      </c>
      <c r="W76" s="466">
        <f t="shared" si="38"/>
        <v>0</v>
      </c>
      <c r="X76" s="466" t="e">
        <f>IF('CG. MPB'!E77="CONCRETO",0,IF(M76/(D76*$O$25*K76)&gt;3/$O$25,M76/(D76*$O$25*K76),3/$O$25))</f>
        <v>#DIV/0!</v>
      </c>
      <c r="Y76" s="765" t="e">
        <f t="shared" si="39"/>
        <v>#VALUE!</v>
      </c>
      <c r="Z76" s="466" t="e">
        <f t="shared" si="40"/>
        <v>#VALUE!</v>
      </c>
      <c r="AA76" s="766" t="e">
        <f t="shared" si="41"/>
        <v>#VALUE!</v>
      </c>
      <c r="AB76" s="943" t="str">
        <f t="shared" si="42"/>
        <v xml:space="preserve"> </v>
      </c>
      <c r="AC76" s="767" t="str">
        <f>IF(N76="pasa"," ",IF('CG. MPB'!E77="CONCRETO","F/DISEÑO",IF(AB76&gt;L76,"PASA","NO PASA")))</f>
        <v xml:space="preserve"> </v>
      </c>
      <c r="AD76" s="474"/>
      <c r="AE76" s="482"/>
      <c r="AF76" s="482"/>
      <c r="AG76" s="483"/>
      <c r="AH76" s="482"/>
      <c r="AI76" s="484"/>
      <c r="AJ76" s="485"/>
      <c r="AK76" s="486"/>
      <c r="AL76" s="486"/>
      <c r="AM76" s="487"/>
    </row>
    <row r="77" spans="1:41" hidden="1">
      <c r="A77" s="684">
        <f>'CG. MPB'!A78</f>
        <v>49</v>
      </c>
      <c r="B77" s="576">
        <f>'RMCV.PB'!O77/1.3</f>
        <v>0</v>
      </c>
      <c r="C77" s="576">
        <f t="shared" si="34"/>
        <v>0</v>
      </c>
      <c r="D77" s="578">
        <f>IF('CG. MPB'!D78="NO CONFINADO",0.4,0.7)</f>
        <v>0.7</v>
      </c>
      <c r="E77" s="578">
        <f>IF('CG. MPB'!E78="CONCRETO",0.5*(0.8*250)^0.5,F77+G77+I77+J77+H77)</f>
        <v>0</v>
      </c>
      <c r="F77" s="578">
        <f>IF(AND('CG. MPB'!E78="TABIQUE",'CG. MPB'!F78="MACIZO"),IF('RMCV.PB'!$E$17="I",3.5,3),0)</f>
        <v>0</v>
      </c>
      <c r="G77" s="578">
        <f>IF(AND('CG. MPB'!E78="TABIQUE",'CG. MPB'!F78="HUECO"),IF('RMCV.PB'!$E$17="I",3,2),0)</f>
        <v>0</v>
      </c>
      <c r="H77" s="578">
        <f>IF('CG. MPB'!E78="ADOBE",0.3,0)</f>
        <v>0</v>
      </c>
      <c r="I77" s="578">
        <f>IF(AND('CG. MPB'!E78="TABICON",'CG. MPB'!F78="MACIZO"),IF('RMCV.PB'!$E$17="I",3,2),0)</f>
        <v>0</v>
      </c>
      <c r="J77" s="578">
        <f>IF(AND('CG. MPB'!E78="TABICON",'CG. MPB'!F78="HUECO"),IF('RMCV.PB'!$E$17="I",3.5,2.5),0)</f>
        <v>0</v>
      </c>
      <c r="K77" s="576">
        <f>'RMCV.PB'!N77</f>
        <v>0</v>
      </c>
      <c r="L77" s="918">
        <f>ABS('ELEM. MECA.'!F54)</f>
        <v>0</v>
      </c>
      <c r="M77" s="936">
        <f t="shared" si="35"/>
        <v>0</v>
      </c>
      <c r="N77" s="756" t="str">
        <f>IF('CG. MPB'!E78="CONCRETO","F/DISEÑO",IF(L77&gt;M77,IF(M77*1.05&gt;L77,"SE ACEPTA","NO PASA"),"PASA"))</f>
        <v>PASA</v>
      </c>
      <c r="O77" s="466" t="str">
        <f>IF(N77="pasa"," ",$O$24/('RMCV.PB'!C77*100))</f>
        <v xml:space="preserve"> </v>
      </c>
      <c r="P77" s="472" t="str">
        <f>IF(N77="pasa"," ",IF('CG. MPB'!E78="CONCRETO","F/DISEÑO",IF(AND(W77&gt;O77,O77&gt;X77),"BIEN","MAL")))</f>
        <v xml:space="preserve"> </v>
      </c>
      <c r="Q77" s="466">
        <f>IF('CG. MPB'!F78="MACIZO",12/'RMCS.PB'!$O$25,9/'RMCS.PB'!$O$25)</f>
        <v>2.3999999999999998E-3</v>
      </c>
      <c r="R77" s="466">
        <f t="shared" si="36"/>
        <v>0</v>
      </c>
      <c r="S77" s="466">
        <f>IF(G77=0,0,IF(AND(G77=2,'RMCV.PB'!E65="III"),30,40))</f>
        <v>0</v>
      </c>
      <c r="T77" s="466">
        <f>IF(I77=0,0,IF(AND(I77=3,'RMCV.PB'!$E$17="I"),20,15))</f>
        <v>0</v>
      </c>
      <c r="U77" s="466">
        <f>IF(J77=0,0,IF(AND(J77=3.5,'RMCV.PB'!$E$17="I"),20,15))</f>
        <v>0</v>
      </c>
      <c r="V77" s="466">
        <f t="shared" si="37"/>
        <v>0</v>
      </c>
      <c r="W77" s="466">
        <f t="shared" si="38"/>
        <v>0</v>
      </c>
      <c r="X77" s="466" t="e">
        <f>IF('CG. MPB'!E78="CONCRETO",0,IF(M77/(D77*$O$25*K77)&gt;3/$O$25,M77/(D77*$O$25*K77),3/$O$25))</f>
        <v>#DIV/0!</v>
      </c>
      <c r="Y77" s="765" t="e">
        <f t="shared" si="39"/>
        <v>#VALUE!</v>
      </c>
      <c r="Z77" s="466" t="e">
        <f t="shared" si="40"/>
        <v>#VALUE!</v>
      </c>
      <c r="AA77" s="766" t="e">
        <f t="shared" si="41"/>
        <v>#VALUE!</v>
      </c>
      <c r="AB77" s="943" t="str">
        <f t="shared" si="42"/>
        <v xml:space="preserve"> </v>
      </c>
      <c r="AC77" s="767" t="str">
        <f>IF(N77="pasa"," ",IF('CG. MPB'!E78="CONCRETO","F/DISEÑO",IF(AB77&gt;L77,"PASA","NO PASA")))</f>
        <v xml:space="preserve"> </v>
      </c>
      <c r="AD77" s="474"/>
      <c r="AE77" s="482"/>
      <c r="AF77" s="482"/>
      <c r="AG77" s="483"/>
      <c r="AH77" s="482"/>
      <c r="AI77" s="484"/>
      <c r="AJ77" s="485"/>
      <c r="AK77" s="486"/>
      <c r="AL77" s="486"/>
      <c r="AM77" s="487"/>
    </row>
    <row r="78" spans="1:41" ht="15.75" hidden="1" thickBot="1">
      <c r="A78" s="684">
        <f>'CG. MPB'!A79</f>
        <v>50</v>
      </c>
      <c r="B78" s="576">
        <f>'RMCV.PB'!O78/1.3</f>
        <v>0</v>
      </c>
      <c r="C78" s="576">
        <f t="shared" si="34"/>
        <v>0</v>
      </c>
      <c r="D78" s="578">
        <f>IF('CG. MPB'!D79="NO CONFINADO",0.4,0.7)</f>
        <v>0.7</v>
      </c>
      <c r="E78" s="578">
        <f>IF('CG. MPB'!E79="CONCRETO",0.5*(0.8*250)^0.5,F78+G78+I78+J78+H78)</f>
        <v>0</v>
      </c>
      <c r="F78" s="578">
        <f>IF(AND('CG. MPB'!E79="TABIQUE",'CG. MPB'!F79="MACIZO"),IF('RMCV.PB'!$E$17="I",3.5,3),0)</f>
        <v>0</v>
      </c>
      <c r="G78" s="578">
        <f>IF(AND('CG. MPB'!E79="TABIQUE",'CG. MPB'!F79="HUECO"),IF('RMCV.PB'!$E$17="I",3,2),0)</f>
        <v>0</v>
      </c>
      <c r="H78" s="578">
        <f>IF('CG. MPB'!E79="ADOBE",0.3,0)</f>
        <v>0</v>
      </c>
      <c r="I78" s="578">
        <f>IF(AND('CG. MPB'!E79="TABICON",'CG. MPB'!F79="MACIZO"),IF('RMCV.PB'!$E$17="I",3,2),0)</f>
        <v>0</v>
      </c>
      <c r="J78" s="578">
        <f>IF(AND('CG. MPB'!E79="TABICON",'CG. MPB'!F79="HUECO"),IF('RMCV.PB'!$E$17="I",3.5,2.5),0)</f>
        <v>0</v>
      </c>
      <c r="K78" s="576">
        <f>'RMCV.PB'!N78</f>
        <v>0</v>
      </c>
      <c r="L78" s="918">
        <f>ABS('ELEM. MECA.'!F55)</f>
        <v>0</v>
      </c>
      <c r="M78" s="936">
        <f t="shared" si="35"/>
        <v>0</v>
      </c>
      <c r="N78" s="756" t="str">
        <f>IF('CG. MPB'!E79="CONCRETO","F/DISEÑO",IF(L78&gt;M78,IF(M78*1.05&gt;L78,"SE ACEPTA","NO PASA"),"PASA"))</f>
        <v>PASA</v>
      </c>
      <c r="O78" s="466" t="str">
        <f>IF(N78="pasa"," ",$O$24/('RMCV.PB'!C78*100))</f>
        <v xml:space="preserve"> </v>
      </c>
      <c r="P78" s="472" t="str">
        <f>IF(N78="pasa"," ",IF('CG. MPB'!E79="CONCRETO","F/DISEÑO",IF(AND(W78&gt;O78,O78&gt;X78),"BIEN","MAL")))</f>
        <v xml:space="preserve"> </v>
      </c>
      <c r="Q78" s="466">
        <f>IF('CG. MPB'!F79="MACIZO",12/'RMCS.PB'!$O$25,9/'RMCS.PB'!$O$25)</f>
        <v>2.3999999999999998E-3</v>
      </c>
      <c r="R78" s="466">
        <f t="shared" si="36"/>
        <v>0</v>
      </c>
      <c r="S78" s="466">
        <f>IF(G78=0,0,IF(AND(G78=2,'RMCV.PB'!E66="III"),30,40))</f>
        <v>0</v>
      </c>
      <c r="T78" s="466">
        <f>IF(I78=0,0,IF(AND(I78=3,'RMCV.PB'!$E$17="I"),20,15))</f>
        <v>0</v>
      </c>
      <c r="U78" s="466">
        <f>IF(J78=0,0,IF(AND(J78=3.5,'RMCV.PB'!$E$17="I"),20,15))</f>
        <v>0</v>
      </c>
      <c r="V78" s="466">
        <f t="shared" si="37"/>
        <v>0</v>
      </c>
      <c r="W78" s="466">
        <f t="shared" si="38"/>
        <v>0</v>
      </c>
      <c r="X78" s="466" t="e">
        <f>IF('CG. MPB'!E79="CONCRETO",0,IF(M78/(D78*$O$25*K78)&gt;3/$O$25,M78/(D78*$O$25*K78),3/$O$25))</f>
        <v>#DIV/0!</v>
      </c>
      <c r="Y78" s="765" t="e">
        <f t="shared" si="39"/>
        <v>#VALUE!</v>
      </c>
      <c r="Z78" s="466" t="e">
        <f t="shared" si="40"/>
        <v>#VALUE!</v>
      </c>
      <c r="AA78" s="766" t="e">
        <f t="shared" si="41"/>
        <v>#VALUE!</v>
      </c>
      <c r="AB78" s="943" t="str">
        <f t="shared" si="42"/>
        <v xml:space="preserve"> </v>
      </c>
      <c r="AC78" s="767" t="str">
        <f>IF(N78="pasa"," ",IF('CG. MPB'!E79="CONCRETO","F/DISEÑO",IF(AB78&gt;L78,"PASA","NO PASA")))</f>
        <v xml:space="preserve"> </v>
      </c>
      <c r="AD78" s="474"/>
      <c r="AE78" s="482"/>
      <c r="AF78" s="482"/>
      <c r="AG78" s="483"/>
      <c r="AH78" s="482"/>
      <c r="AI78" s="484"/>
      <c r="AJ78" s="485"/>
      <c r="AK78" s="486"/>
      <c r="AL78" s="486"/>
      <c r="AM78" s="487"/>
    </row>
    <row r="79" spans="1:41" ht="15.75">
      <c r="A79" s="665" t="s">
        <v>88</v>
      </c>
      <c r="B79" s="692"/>
      <c r="C79" s="692"/>
      <c r="D79" s="757"/>
      <c r="E79" s="902"/>
      <c r="F79" s="712"/>
      <c r="G79" s="712"/>
      <c r="H79" s="712"/>
      <c r="I79" s="712"/>
      <c r="J79" s="712"/>
      <c r="K79" s="692"/>
      <c r="L79" s="938"/>
      <c r="M79" s="938"/>
      <c r="N79" s="758"/>
      <c r="O79" s="796"/>
      <c r="P79" s="769"/>
      <c r="Q79" s="768"/>
      <c r="R79" s="768"/>
      <c r="S79" s="768"/>
      <c r="T79" s="768"/>
      <c r="U79" s="768"/>
      <c r="V79" s="768"/>
      <c r="W79" s="768"/>
      <c r="X79" s="768"/>
      <c r="Y79" s="768"/>
      <c r="Z79" s="768"/>
      <c r="AA79" s="768"/>
      <c r="AB79" s="944"/>
      <c r="AC79" s="770"/>
      <c r="AD79" s="474"/>
      <c r="AE79" s="482"/>
      <c r="AF79" s="482"/>
      <c r="AG79" s="483"/>
      <c r="AH79" s="482"/>
      <c r="AI79" s="484"/>
      <c r="AJ79" s="485"/>
      <c r="AK79" s="486"/>
      <c r="AL79" s="486"/>
      <c r="AM79" s="487"/>
      <c r="AO79" s="4" t="s">
        <v>0</v>
      </c>
    </row>
    <row r="80" spans="1:41">
      <c r="A80" s="684">
        <f>'CG. MPB'!A81</f>
        <v>1</v>
      </c>
      <c r="B80" s="576">
        <f>'RMCV.PB'!O80/1.3</f>
        <v>2661.1914973395556</v>
      </c>
      <c r="C80" s="576">
        <f>0.3*B80</f>
        <v>798.35744920186664</v>
      </c>
      <c r="D80" s="578">
        <f>IF('CG. MPB'!D81="NO CONFINADO",0.4,0.7)</f>
        <v>0.7</v>
      </c>
      <c r="E80" s="578">
        <f>IF('CG. MPB'!E81="CONCRETO",0.5*(0.8*250)^0.5,F80+G80+I80+J80+H80)</f>
        <v>3</v>
      </c>
      <c r="F80" s="578">
        <f>IF(AND('CG. MPB'!E81="TABIQUE",'CG. MPB'!F81="MACIZO"),IF('RMCV.PB'!$E$17="I",3.5,3),0)</f>
        <v>0</v>
      </c>
      <c r="G80" s="578">
        <f>IF(AND('CG. MPB'!E81="TABIQUE",'CG. MPB'!F81="HUECO"),IF('RMCV.PB'!$E$17="I",3,5.5),0)</f>
        <v>0</v>
      </c>
      <c r="H80" s="578">
        <f>IF('CG. MPB'!E81="ADOBE",0.3,0)</f>
        <v>0</v>
      </c>
      <c r="I80" s="578">
        <f>IF(AND('CG. MPB'!E81="TABICON",'CG. MPB'!F81="MACIZO"),IF('RMCV.PB'!$E$17="I",3,2),0)</f>
        <v>3</v>
      </c>
      <c r="J80" s="578">
        <f>IF(AND('CG. MPB'!E81="TABICON",'CG. MPB'!F81="HUECO"),IF('RMCV.PB'!$E$17="I",3.5,2.5),0)</f>
        <v>0</v>
      </c>
      <c r="K80" s="576">
        <f>'RMCV.PB'!N80</f>
        <v>1538.2499999999991</v>
      </c>
      <c r="L80" s="918">
        <f>ABS('ELEM. MECA.'!F207)</f>
        <v>275.62224698392441</v>
      </c>
      <c r="M80" s="936">
        <f>IF(((D80*E80*K80*0.5)+(D80*C80))&lt;(D80*E80*K80*1.5),((D80*E80*K80*0.5)+(D80*C80)),(D80*E80*K80*1.5))</f>
        <v>2174.0127144413054</v>
      </c>
      <c r="N80" s="756" t="str">
        <f>IF('CG. MPB'!E81="CONCRETO","F/DISEÑO",IF(L80&gt;M80,IF(M80*1.05&gt;L80,"SE ACEPTA","NO PASA"),"PASA"))</f>
        <v>PASA</v>
      </c>
      <c r="O80" s="466" t="str">
        <f>IF(N80="pasa"," ",$O$24/('RMCV.PB'!C80*100))</f>
        <v xml:space="preserve"> </v>
      </c>
      <c r="P80" s="472" t="str">
        <f>IF(N80="pasa"," ",IF('CG. MPB'!E81="CONCRETO","F/DISEÑO",IF(AND(W80&gt;O80,O80&gt;X80),"BIEN","MAL")))</f>
        <v xml:space="preserve"> </v>
      </c>
      <c r="Q80" s="466">
        <f>IF('CG. MPB'!F81="MACIZO",12/'RMCS.PB'!$O$25,9/'RMCS.PB'!$O$25)</f>
        <v>2.3999999999999998E-3</v>
      </c>
      <c r="R80" s="466">
        <f>IF(F80&gt;0,15,0)</f>
        <v>0</v>
      </c>
      <c r="S80" s="466">
        <f>IF(G80=0,0,IF(AND(G80=2,'RMCV.PB'!E49="III"),30,40))</f>
        <v>0</v>
      </c>
      <c r="T80" s="466">
        <f>IF(I80=0,0,IF(AND(I80=3,'RMCV.PB'!$E$17="I"),20,15))</f>
        <v>20</v>
      </c>
      <c r="U80" s="466">
        <f>IF(J80=0,0,IF(AND(J80=3.5,'RMCV.PB'!$E$17="I"),20,15))</f>
        <v>0</v>
      </c>
      <c r="V80" s="466">
        <f>(R80+S80+T80+U80)*0.3/$O$25</f>
        <v>1.1999999999999999E-3</v>
      </c>
      <c r="W80" s="466">
        <f>IF(Q80&gt;V80,V80,Q80)</f>
        <v>1.1999999999999999E-3</v>
      </c>
      <c r="X80" s="466">
        <f>IF('CG. MPB'!E81="CONCRETO",0,IF(M80/(D80*$O$25*K80)&gt;3/$O$25,M80/(D80*$O$25*K80),3/$O$25))</f>
        <v>5.9999999999999995E-4</v>
      </c>
      <c r="Y80" s="765" t="e">
        <f>O80*$O$25</f>
        <v>#VALUE!</v>
      </c>
      <c r="Z80" s="466" t="e">
        <f>IF(6&gt;Y80,0.6,IF(Y80&gt;9,0.2,(0.4*(9-Y80)/3)+0.2))</f>
        <v>#VALUE!</v>
      </c>
      <c r="AA80" s="766" t="e">
        <f>D80*Z80*O80*$O$25*K80</f>
        <v>#VALUE!</v>
      </c>
      <c r="AB80" s="943" t="str">
        <f>IF(N80="pasa"," ",AA80+M80)</f>
        <v xml:space="preserve"> </v>
      </c>
      <c r="AC80" s="767" t="str">
        <f>IF(N80="pasa"," ",IF('CG. MPB'!E81="CONCRETO","F/DISEÑO",IF(AB80&gt;L80,"PASA","NO PASA")))</f>
        <v xml:space="preserve"> </v>
      </c>
      <c r="AD80" s="474">
        <f>$AD$23/($AD$27*'RMCV.PB'!C80)</f>
        <v>1.0158730158730158E-3</v>
      </c>
      <c r="AE80" s="482">
        <f>IF(3/$AE$25&gt;M80/(D80*K80*$AE$25),3/$AE$25,M80/(D80*K80*$AE$25))</f>
        <v>5.0000000000000001E-4</v>
      </c>
      <c r="AF80" s="482">
        <f>IF(12/$AE$25&gt;'RMCV.PB'!F80*0.3/$AE$25,'RMCV.PB'!F80*0.3/$AE$25,12/$AE$25)</f>
        <v>1E-3</v>
      </c>
      <c r="AG80" s="483" t="str">
        <f>IF(AND(AD80&gt;AE80,AF80&gt;AD80),"BIEN","MAL")</f>
        <v>MAL</v>
      </c>
      <c r="AH80" s="482">
        <f>IF(9/$AE$25&gt;'RMCV.PB'!F80*0.3/$AE$25,'RMCV.PB'!F80*0.3/$AE$25,9/$AE$25)</f>
        <v>1E-3</v>
      </c>
      <c r="AI80" s="484" t="str">
        <f>IF(AND(AD80&gt;AE80,AH80&gt;AD80),"BIEN","MAL")</f>
        <v>MAL</v>
      </c>
      <c r="AJ80" s="485">
        <f>IF(6&gt;AD80*$AE$25,0.6,IF(AD80*$AE$25&gt;9,0.2,0.6-(0.4*(AD80*$AE$25-6))/3))</f>
        <v>0.58730158730158732</v>
      </c>
      <c r="AK80" s="486">
        <f>IF(N80="PASA",0,D80*AJ80*AD80*$AE$25*K80)</f>
        <v>0</v>
      </c>
      <c r="AL80" s="486">
        <f>AK80+M80</f>
        <v>2174.0127144413054</v>
      </c>
      <c r="AM80" s="487" t="str">
        <f>IF(N80="PASA"," ",IF('CG. MPB'!E81="CONCRETO","F/DISEÑO",IF(AL80&gt;M80,"PASA","NO PASA")))</f>
        <v xml:space="preserve"> </v>
      </c>
    </row>
    <row r="81" spans="1:39">
      <c r="A81" s="684">
        <f>'CG. MPB'!A82</f>
        <v>2</v>
      </c>
      <c r="B81" s="576">
        <f>'RMCV.PB'!O81/1.3</f>
        <v>5199.0589930502993</v>
      </c>
      <c r="C81" s="576">
        <f t="shared" ref="C81:C128" si="43">0.3*B81</f>
        <v>1559.7176979150897</v>
      </c>
      <c r="D81" s="578">
        <f>IF('CG. MPB'!D82="NO CONFINADO",0.4,0.7)</f>
        <v>0.7</v>
      </c>
      <c r="E81" s="578">
        <f>IF('CG. MPB'!E82="CONCRETO",0.5*(0.8*250)^0.5,F81+G81+I81+J81+H81)</f>
        <v>3</v>
      </c>
      <c r="F81" s="578">
        <f>IF(AND('CG. MPB'!E82="TABIQUE",'CG. MPB'!F82="MACIZO"),IF('RMCV.PB'!$E$17="I",3.5,3),0)</f>
        <v>0</v>
      </c>
      <c r="G81" s="578">
        <f>IF(AND('CG. MPB'!E82="TABIQUE",'CG. MPB'!F82="HUECO"),IF('RMCV.PB'!$E$17="I",3,5.5),0)</f>
        <v>0</v>
      </c>
      <c r="H81" s="578">
        <f>IF('CG. MPB'!E82="ADOBE",0.3,0)</f>
        <v>0</v>
      </c>
      <c r="I81" s="578">
        <f>IF(AND('CG. MPB'!E82="TABICON",'CG. MPB'!F82="MACIZO"),IF('RMCV.PB'!$E$17="I",3,2),0)</f>
        <v>3</v>
      </c>
      <c r="J81" s="578">
        <f>IF(AND('CG. MPB'!E82="TABICON",'CG. MPB'!F82="HUECO"),IF('RMCV.PB'!$E$17="I",3.5,2.5),0)</f>
        <v>0</v>
      </c>
      <c r="K81" s="576">
        <f>'RMCV.PB'!N81</f>
        <v>2180.2500000000014</v>
      </c>
      <c r="L81" s="918">
        <f>ABS('ELEM. MECA.'!F208)</f>
        <v>1074.7026705367109</v>
      </c>
      <c r="M81" s="936">
        <f t="shared" ref="M81:M128" si="44">IF(((D81*E81*K81*0.5)+(D81*C81))&lt;(D81*E81*K81*1.5),((D81*E81*K81*0.5)+(D81*C81)),(D81*E81*K81*1.5))</f>
        <v>3381.064888540564</v>
      </c>
      <c r="N81" s="756" t="str">
        <f>IF('CG. MPB'!E82="CONCRETO","F/DISEÑO",IF(L81&gt;M81,IF(M81*1.05&gt;L81,"SE ACEPTA","NO PASA"),"PASA"))</f>
        <v>PASA</v>
      </c>
      <c r="O81" s="466" t="str">
        <f>IF(N81="pasa"," ",$O$24/('RMCV.PB'!C81*100))</f>
        <v xml:space="preserve"> </v>
      </c>
      <c r="P81" s="472" t="str">
        <f>IF(N81="pasa"," ",IF('CG. MPB'!E82="CONCRETO","F/DISEÑO",IF(AND(W81&gt;O81,O81&gt;X81),"BIEN","MAL")))</f>
        <v xml:space="preserve"> </v>
      </c>
      <c r="Q81" s="466">
        <f>IF('CG. MPB'!F82="MACIZO",12/'RMCS.PB'!$O$25,9/'RMCS.PB'!$O$25)</f>
        <v>2.3999999999999998E-3</v>
      </c>
      <c r="R81" s="466">
        <f t="shared" ref="R81:R128" si="45">IF(F81&gt;0,15,0)</f>
        <v>0</v>
      </c>
      <c r="S81" s="466">
        <f>IF(G81=0,0,IF(AND(G81=2,'RMCV.PB'!E50="III"),30,40))</f>
        <v>0</v>
      </c>
      <c r="T81" s="466">
        <f>IF(I81=0,0,IF(AND(I81=3,'RMCV.PB'!$E$17="I"),20,15))</f>
        <v>20</v>
      </c>
      <c r="U81" s="466">
        <f>IF(J81=0,0,IF(AND(J81=3.5,'RMCV.PB'!$E$17="I"),20,15))</f>
        <v>0</v>
      </c>
      <c r="V81" s="466">
        <f t="shared" ref="V81:V128" si="46">(R81+S81+T81+U81)*0.3/$O$25</f>
        <v>1.1999999999999999E-3</v>
      </c>
      <c r="W81" s="466">
        <f t="shared" ref="W81:W128" si="47">IF(Q81&gt;V81,V81,Q81)</f>
        <v>1.1999999999999999E-3</v>
      </c>
      <c r="X81" s="466">
        <f>IF('CG. MPB'!E82="CONCRETO",0,IF(M81/(D81*$O$25*K81)&gt;3/$O$25,M81/(D81*$O$25*K81),3/$O$25))</f>
        <v>5.9999999999999995E-4</v>
      </c>
      <c r="Y81" s="765" t="e">
        <f t="shared" ref="Y81:Y128" si="48">O81*$O$25</f>
        <v>#VALUE!</v>
      </c>
      <c r="Z81" s="466" t="e">
        <f t="shared" ref="Z81:Z128" si="49">IF(6&gt;Y81,0.6,IF(Y81&gt;9,0.2,(0.4*(9-Y81)/3)+0.2))</f>
        <v>#VALUE!</v>
      </c>
      <c r="AA81" s="766" t="e">
        <f t="shared" ref="AA81:AA128" si="50">D81*Z81*O81*$O$25*K81</f>
        <v>#VALUE!</v>
      </c>
      <c r="AB81" s="943" t="str">
        <f t="shared" ref="AB81:AB128" si="51">IF(N81="pasa"," ",AA81+M81)</f>
        <v xml:space="preserve"> </v>
      </c>
      <c r="AC81" s="767" t="str">
        <f>IF(N81="pasa"," ",IF('CG. MPB'!E82="CONCRETO","F/DISEÑO",IF(AB81&gt;L81,"PASA","NO PASA")))</f>
        <v xml:space="preserve"> </v>
      </c>
      <c r="AD81" s="474">
        <f>$AD$23/($AD$27*'RMCV.PB'!C81)</f>
        <v>1.0158730158730158E-3</v>
      </c>
      <c r="AE81" s="482">
        <f t="shared" ref="AE81:AE109" si="52">IF(3/$AE$25&gt;M81/(D81*K81*$AE$25),3/$AE$25,M81/(D81*K81*$AE$25))</f>
        <v>5.0000000000000001E-4</v>
      </c>
      <c r="AF81" s="482">
        <f>IF(12/$AE$25&gt;'RMCV.PB'!F81*0.3/$AE$25,'RMCV.PB'!F81*0.3/$AE$25,12/$AE$25)</f>
        <v>7.5000000000000002E-4</v>
      </c>
      <c r="AG81" s="483" t="str">
        <f t="shared" ref="AG81:AG109" si="53">IF(AND(AD81&gt;AE81,AF81&gt;AD81),"BIEN","MAL")</f>
        <v>MAL</v>
      </c>
      <c r="AH81" s="482">
        <f>IF(9/$AE$25&gt;'RMCV.PB'!F81*0.3/$AE$25,'RMCV.PB'!F81*0.3/$AE$25,9/$AE$25)</f>
        <v>7.5000000000000002E-4</v>
      </c>
      <c r="AI81" s="484" t="str">
        <f t="shared" ref="AI81:AI109" si="54">IF(AND(AD81&gt;AE81,AH81&gt;AD81),"BIEN","MAL")</f>
        <v>MAL</v>
      </c>
      <c r="AJ81" s="485">
        <f t="shared" ref="AJ81:AJ109" si="55">IF(6&gt;AD81*$AE$25,0.6,IF(AD81*$AE$25&gt;9,0.2,0.6-(0.4*(AD81*$AE$25-6))/3))</f>
        <v>0.58730158730158732</v>
      </c>
      <c r="AK81" s="486">
        <f t="shared" ref="AK81:AK109" si="56">IF(N81="PASA",0,D81*AJ81*AD81*$AE$25*K81)</f>
        <v>0</v>
      </c>
      <c r="AL81" s="486">
        <f t="shared" ref="AL81:AL109" si="57">AK81+M81</f>
        <v>3381.064888540564</v>
      </c>
      <c r="AM81" s="487" t="str">
        <f>IF(N81="PASA"," ",IF('CG. MPB'!E82="CONCRETO","F/DISEÑO",IF(AL81&gt;M81,"PASA","NO PASA")))</f>
        <v xml:space="preserve"> </v>
      </c>
    </row>
    <row r="82" spans="1:39">
      <c r="A82" s="684">
        <f>'CG. MPB'!A83</f>
        <v>3</v>
      </c>
      <c r="B82" s="576">
        <f>'RMCV.PB'!O82/1.3</f>
        <v>12204.532967515806</v>
      </c>
      <c r="C82" s="576">
        <f t="shared" si="43"/>
        <v>3661.3598902547419</v>
      </c>
      <c r="D82" s="578">
        <f>IF('CG. MPB'!D83="NO CONFINADO",0.4,0.7)</f>
        <v>0.7</v>
      </c>
      <c r="E82" s="578">
        <f>IF('CG. MPB'!E83="CONCRETO",0.5*(0.8*250)^0.5,F82+G82+I82+J82+H82)</f>
        <v>7.0710678118654755</v>
      </c>
      <c r="F82" s="578">
        <f>IF(AND('CG. MPB'!E83="TABIQUE",'CG. MPB'!F83="MACIZO"),IF('RMCV.PB'!$E$17="I",3.5,3),0)</f>
        <v>0</v>
      </c>
      <c r="G82" s="578">
        <f>IF(AND('CG. MPB'!E83="TABIQUE",'CG. MPB'!F83="HUECO"),IF('RMCV.PB'!$E$17="I",3,5.5),0)</f>
        <v>0</v>
      </c>
      <c r="H82" s="578">
        <f>IF('CG. MPB'!E83="ADOBE",0.3,0)</f>
        <v>0</v>
      </c>
      <c r="I82" s="578">
        <f>IF(AND('CG. MPB'!E83="TABICON",'CG. MPB'!F83="MACIZO"),IF('RMCV.PB'!$E$17="I",3,2),0)</f>
        <v>0</v>
      </c>
      <c r="J82" s="578">
        <f>IF(AND('CG. MPB'!E83="TABICON",'CG. MPB'!F83="HUECO"),IF('RMCV.PB'!$E$17="I",3.5,2.5),0)</f>
        <v>0</v>
      </c>
      <c r="K82" s="576">
        <f>'RMCV.PB'!N82</f>
        <v>3806.9999999999991</v>
      </c>
      <c r="L82" s="918">
        <f>ABS('ELEM. MECA.'!F209)</f>
        <v>9791.1401026295916</v>
      </c>
      <c r="M82" s="936">
        <f t="shared" si="44"/>
        <v>11984.796229098471</v>
      </c>
      <c r="N82" s="756" t="str">
        <f>IF('CG. MPB'!E83="CONCRETO","F/DISEÑO",IF(L82&gt;M82,IF(M82*1.05&gt;L82,"SE ACEPTA","NO PASA"),"PASA"))</f>
        <v>F/DISEÑO</v>
      </c>
      <c r="O82" s="466">
        <f>IF(N82="pasa"," ",$O$24/('RMCV.PB'!C82*100))</f>
        <v>5.8E-4</v>
      </c>
      <c r="P82" s="472" t="str">
        <f>IF(N82="pasa"," ",IF('CG. MPB'!E83="CONCRETO","F/DISEÑO",IF(AND(W82&gt;O82,O82&gt;X82),"BIEN","MAL")))</f>
        <v>F/DISEÑO</v>
      </c>
      <c r="Q82" s="466">
        <f>IF('CG. MPB'!F83="MACIZO",12/'RMCS.PB'!$O$25,9/'RMCS.PB'!$O$25)</f>
        <v>2.3999999999999998E-3</v>
      </c>
      <c r="R82" s="466">
        <f t="shared" si="45"/>
        <v>0</v>
      </c>
      <c r="S82" s="466">
        <f>IF(G82=0,0,IF(AND(G82=2,'RMCV.PB'!E51="III"),30,40))</f>
        <v>0</v>
      </c>
      <c r="T82" s="466">
        <f>IF(I82=0,0,IF(AND(I82=3,'RMCV.PB'!$E$17="I"),20,15))</f>
        <v>0</v>
      </c>
      <c r="U82" s="466">
        <f>IF(J82=0,0,IF(AND(J82=3.5,'RMCV.PB'!$E$17="I"),20,15))</f>
        <v>0</v>
      </c>
      <c r="V82" s="466">
        <f t="shared" si="46"/>
        <v>0</v>
      </c>
      <c r="W82" s="466">
        <f t="shared" si="47"/>
        <v>0</v>
      </c>
      <c r="X82" s="466">
        <f>IF('CG. MPB'!E83="CONCRETO",0,IF(M82/(D82*$O$25*K82)&gt;3/$O$25,M82/(D82*$O$25*K82),3/$O$25))</f>
        <v>0</v>
      </c>
      <c r="Y82" s="765">
        <f t="shared" si="48"/>
        <v>2.9</v>
      </c>
      <c r="Z82" s="466">
        <f t="shared" si="49"/>
        <v>0.6</v>
      </c>
      <c r="AA82" s="766">
        <f t="shared" si="50"/>
        <v>4636.9259999999986</v>
      </c>
      <c r="AB82" s="943">
        <f t="shared" si="51"/>
        <v>16621.722229098468</v>
      </c>
      <c r="AC82" s="767" t="str">
        <f>IF(N82="pasa"," ",IF('CG. MPB'!E83="CONCRETO","F/DISEÑO",IF(AB82&gt;L82,"PASA","NO PASA")))</f>
        <v>F/DISEÑO</v>
      </c>
      <c r="AD82" s="474">
        <f>$AD$23/($AD$27*'RMCV.PB'!C82)</f>
        <v>1.0158730158730158E-3</v>
      </c>
      <c r="AE82" s="482">
        <f>IF(3/$AE$25&gt;M82/(D82*K82*$AE$25),3/$AE$25,M82/(D82*K82*$AE$25))</f>
        <v>7.4954633876808858E-4</v>
      </c>
      <c r="AF82" s="482">
        <f>IF(12/$AE$25&gt;'RMCV.PB'!F82*0.3/$AE$25,'RMCV.PB'!F82*0.3/$AE$25,12/$AE$25)</f>
        <v>2E-3</v>
      </c>
      <c r="AG82" s="483" t="str">
        <f>IF(AND(AD82&gt;AE82,AF82&gt;AD82),"BIEN","MAL")</f>
        <v>BIEN</v>
      </c>
      <c r="AH82" s="482">
        <f>IF(9/$AE$25&gt;'RMCV.PB'!F82*0.3/$AE$25,'RMCV.PB'!F82*0.3/$AE$25,9/$AE$25)</f>
        <v>1.5E-3</v>
      </c>
      <c r="AI82" s="484" t="str">
        <f>IF(AND(AD82&gt;AE82,AH82&gt;AD82),"BIEN","MAL")</f>
        <v>BIEN</v>
      </c>
      <c r="AJ82" s="485">
        <f>IF(6&gt;AD82*$AE$25,0.6,IF(AD82*$AE$25&gt;9,0.2,0.6-(0.4*(AD82*$AE$25-6))/3))</f>
        <v>0.58730158730158732</v>
      </c>
      <c r="AK82" s="486">
        <f>IF(N82="PASA",0,D82*AJ82*AD82*$AE$25*K82)</f>
        <v>9539.6571428571388</v>
      </c>
      <c r="AL82" s="486">
        <f>AK82+M82</f>
        <v>21524.453371955609</v>
      </c>
      <c r="AM82" s="487" t="str">
        <f>IF(N82="PASA"," ",IF('CG. MPB'!E83="CONCRETO","F/DISEÑO",IF(AL82&gt;M82,"PASA","NO PASA")))</f>
        <v>F/DISEÑO</v>
      </c>
    </row>
    <row r="83" spans="1:39">
      <c r="A83" s="684">
        <f>'CG. MPB'!A84</f>
        <v>4</v>
      </c>
      <c r="B83" s="576">
        <f>'RMCV.PB'!O83/1.3</f>
        <v>30172.564331144345</v>
      </c>
      <c r="C83" s="576">
        <f t="shared" ref="C83:C85" si="58">0.3*B83</f>
        <v>9051.7692993433029</v>
      </c>
      <c r="D83" s="578">
        <f>IF('CG. MPB'!D84="NO CONFINADO",0.4,0.7)</f>
        <v>0.7</v>
      </c>
      <c r="E83" s="578">
        <f>IF('CG. MPB'!E84="CONCRETO",0.5*(0.8*250)^0.5,F83+G83+I83+J83+H83)</f>
        <v>7.0710678118654755</v>
      </c>
      <c r="F83" s="578">
        <f>IF(AND('CG. MPB'!E84="TABIQUE",'CG. MPB'!F84="MACIZO"),IF('RMCV.PB'!$E$17="I",3.5,3),0)</f>
        <v>0</v>
      </c>
      <c r="G83" s="578">
        <f>IF(AND('CG. MPB'!E84="TABIQUE",'CG. MPB'!F84="HUECO"),IF('RMCV.PB'!$E$17="I",3,5.5),0)</f>
        <v>0</v>
      </c>
      <c r="H83" s="578">
        <f>IF('CG. MPB'!E84="ADOBE",0.3,0)</f>
        <v>0</v>
      </c>
      <c r="I83" s="578">
        <f>IF(AND('CG. MPB'!E84="TABICON",'CG. MPB'!F84="MACIZO"),IF('RMCV.PB'!$E$17="I",3,2),0)</f>
        <v>0</v>
      </c>
      <c r="J83" s="578">
        <f>IF(AND('CG. MPB'!E84="TABICON",'CG. MPB'!F84="HUECO"),IF('RMCV.PB'!$E$17="I",3.5,2.5),0)</f>
        <v>0</v>
      </c>
      <c r="K83" s="576">
        <f>'RMCV.PB'!N83</f>
        <v>3807</v>
      </c>
      <c r="L83" s="918">
        <f>ABS('ELEM. MECA.'!F210)</f>
        <v>30693.575095628617</v>
      </c>
      <c r="M83" s="936">
        <f t="shared" ref="M83:M85" si="59">IF(((D83*E83*K83*0.5)+(D83*C83))&lt;(D83*E83*K83*1.5),((D83*E83*K83*0.5)+(D83*C83)),(D83*E83*K83*1.5))</f>
        <v>15758.082815460464</v>
      </c>
      <c r="N83" s="756" t="str">
        <f>IF('CG. MPB'!E84="CONCRETO","F/DISEÑO",IF(L83&gt;M83,IF(M83*1.05&gt;L83,"SE ACEPTA","NO PASA"),"PASA"))</f>
        <v>F/DISEÑO</v>
      </c>
      <c r="O83" s="466">
        <f>IF(N83="pasa"," ",$O$24/('RMCV.PB'!C83*100))</f>
        <v>5.8E-4</v>
      </c>
      <c r="P83" s="472" t="str">
        <f>IF(N83="pasa"," ",IF('CG. MPB'!E84="CONCRETO","F/DISEÑO",IF(AND(W83&gt;O83,O83&gt;X83),"BIEN","MAL")))</f>
        <v>F/DISEÑO</v>
      </c>
      <c r="Q83" s="466">
        <f>IF('CG. MPB'!F84="MACIZO",12/'RMCS.PB'!$O$25,9/'RMCS.PB'!$O$25)</f>
        <v>2.3999999999999998E-3</v>
      </c>
      <c r="R83" s="466">
        <f t="shared" ref="R83:R85" si="60">IF(F83&gt;0,15,0)</f>
        <v>0</v>
      </c>
      <c r="S83" s="466">
        <f>IF(G83=0,0,IF(AND(G83=2,'RMCV.PB'!E52="III"),30,40))</f>
        <v>0</v>
      </c>
      <c r="T83" s="466">
        <f>IF(I83=0,0,IF(AND(I83=3,'RMCV.PB'!$E$17="I"),20,15))</f>
        <v>0</v>
      </c>
      <c r="U83" s="466">
        <f>IF(J83=0,0,IF(AND(J83=3.5,'RMCV.PB'!$E$17="I"),20,15))</f>
        <v>0</v>
      </c>
      <c r="V83" s="466">
        <f t="shared" ref="V83:V85" si="61">(R83+S83+T83+U83)*0.3/$O$25</f>
        <v>0</v>
      </c>
      <c r="W83" s="466">
        <f t="shared" ref="W83:W85" si="62">IF(Q83&gt;V83,V83,Q83)</f>
        <v>0</v>
      </c>
      <c r="X83" s="466">
        <f>IF('CG. MPB'!E84="CONCRETO",0,IF(M83/(D83*$O$25*K83)&gt;3/$O$25,M83/(D83*$O$25*K83),3/$O$25))</f>
        <v>0</v>
      </c>
      <c r="Y83" s="765">
        <f t="shared" ref="Y83:Y85" si="63">O83*$O$25</f>
        <v>2.9</v>
      </c>
      <c r="Z83" s="466">
        <f t="shared" ref="Z83:Z85" si="64">IF(6&gt;Y83,0.6,IF(Y83&gt;9,0.2,(0.4*(9-Y83)/3)+0.2))</f>
        <v>0.6</v>
      </c>
      <c r="AA83" s="766">
        <f t="shared" ref="AA83:AA85" si="65">D83*Z83*O83*$O$25*K83</f>
        <v>4636.9259999999995</v>
      </c>
      <c r="AB83" s="943">
        <f t="shared" ref="AB83:AB85" si="66">IF(N83="pasa"," ",AA83+M83)</f>
        <v>20395.008815460464</v>
      </c>
      <c r="AC83" s="767" t="str">
        <f>IF(N83="pasa"," ",IF('CG. MPB'!E84="CONCRETO","F/DISEÑO",IF(AB83&gt;L83,"PASA","NO PASA")))</f>
        <v>F/DISEÑO</v>
      </c>
      <c r="AD83" s="474">
        <f>$AD$23/($AD$27*'RMCV.PB'!C83)</f>
        <v>1.0158730158730158E-3</v>
      </c>
      <c r="AE83" s="482">
        <f t="shared" si="52"/>
        <v>9.8553309163949029E-4</v>
      </c>
      <c r="AF83" s="482">
        <f>IF(12/$AE$25&gt;'RMCV.PB'!F83*0.3/$AE$25,'RMCV.PB'!F83*0.3/$AE$25,12/$AE$25)</f>
        <v>2E-3</v>
      </c>
      <c r="AG83" s="483" t="str">
        <f t="shared" si="53"/>
        <v>BIEN</v>
      </c>
      <c r="AH83" s="482">
        <f>IF(9/$AE$25&gt;'RMCV.PB'!F83*0.3/$AE$25,'RMCV.PB'!F83*0.3/$AE$25,9/$AE$25)</f>
        <v>1.5E-3</v>
      </c>
      <c r="AI83" s="484" t="str">
        <f t="shared" si="54"/>
        <v>BIEN</v>
      </c>
      <c r="AJ83" s="485">
        <f t="shared" si="55"/>
        <v>0.58730158730158732</v>
      </c>
      <c r="AK83" s="486">
        <f t="shared" si="56"/>
        <v>9539.6571428571424</v>
      </c>
      <c r="AL83" s="486">
        <f t="shared" si="57"/>
        <v>25297.739958317608</v>
      </c>
      <c r="AM83" s="487" t="str">
        <f>IF(N83="PASA"," ",IF('CG. MPB'!E84="CONCRETO","F/DISEÑO",IF(AL83&gt;M83,"PASA","NO PASA")))</f>
        <v>F/DISEÑO</v>
      </c>
    </row>
    <row r="84" spans="1:39">
      <c r="A84" s="684">
        <f>'CG. MPB'!A85</f>
        <v>5</v>
      </c>
      <c r="B84" s="576">
        <f>'RMCV.PB'!O84/1.3</f>
        <v>69492.384658120762</v>
      </c>
      <c r="C84" s="576">
        <f t="shared" si="58"/>
        <v>20847.715397436226</v>
      </c>
      <c r="D84" s="578">
        <f>IF('CG. MPB'!D85="NO CONFINADO",0.4,0.7)</f>
        <v>0.7</v>
      </c>
      <c r="E84" s="578">
        <f>IF('CG. MPB'!E85="CONCRETO",0.5*(0.8*250)^0.5,F84+G84+I84+J84+H84)</f>
        <v>7.0710678118654755</v>
      </c>
      <c r="F84" s="578">
        <f>IF(AND('CG. MPB'!E85="TABIQUE",'CG. MPB'!F85="MACIZO"),IF('RMCV.PB'!$E$17="I",3.5,3),0)</f>
        <v>0</v>
      </c>
      <c r="G84" s="578">
        <f>IF(AND('CG. MPB'!E85="TABIQUE",'CG. MPB'!F85="HUECO"),IF('RMCV.PB'!$E$17="I",3,5.5),0)</f>
        <v>0</v>
      </c>
      <c r="H84" s="578">
        <f>IF('CG. MPB'!E85="ADOBE",0.3,0)</f>
        <v>0</v>
      </c>
      <c r="I84" s="578">
        <f>IF(AND('CG. MPB'!E85="TABICON",'CG. MPB'!F85="MACIZO"),IF('RMCV.PB'!$E$17="I",3,2),0)</f>
        <v>0</v>
      </c>
      <c r="J84" s="578">
        <f>IF(AND('CG. MPB'!E85="TABICON",'CG. MPB'!F85="HUECO"),IF('RMCV.PB'!$E$17="I",3.5,2.5),0)</f>
        <v>0</v>
      </c>
      <c r="K84" s="576">
        <f>'RMCV.PB'!N84</f>
        <v>5775.75</v>
      </c>
      <c r="L84" s="918">
        <f>ABS('ELEM. MECA.'!F211)</f>
        <v>17909.410118637625</v>
      </c>
      <c r="M84" s="936">
        <f t="shared" si="59"/>
        <v>28887.652748239067</v>
      </c>
      <c r="N84" s="756" t="str">
        <f>IF('CG. MPB'!E85="CONCRETO","F/DISEÑO",IF(L84&gt;M84,IF(M84*1.05&gt;L84,"SE ACEPTA","NO PASA"),"PASA"))</f>
        <v>F/DISEÑO</v>
      </c>
      <c r="O84" s="466">
        <f>IF(N84="pasa"," ",$O$24/('RMCV.PB'!C84*100))</f>
        <v>5.8E-4</v>
      </c>
      <c r="P84" s="472" t="str">
        <f>IF(N84="pasa"," ",IF('CG. MPB'!E85="CONCRETO","F/DISEÑO",IF(AND(W84&gt;O84,O84&gt;X84),"BIEN","MAL")))</f>
        <v>F/DISEÑO</v>
      </c>
      <c r="Q84" s="466">
        <f>IF('CG. MPB'!F85="MACIZO",12/'RMCS.PB'!$O$25,9/'RMCS.PB'!$O$25)</f>
        <v>2.3999999999999998E-3</v>
      </c>
      <c r="R84" s="466">
        <f t="shared" si="60"/>
        <v>0</v>
      </c>
      <c r="S84" s="466">
        <f>IF(G84=0,0,IF(AND(G84=2,'RMCV.PB'!E53="III"),30,40))</f>
        <v>0</v>
      </c>
      <c r="T84" s="466">
        <f>IF(I84=0,0,IF(AND(I84=3,'RMCV.PB'!$E$17="I"),20,15))</f>
        <v>0</v>
      </c>
      <c r="U84" s="466">
        <f>IF(J84=0,0,IF(AND(J84=3.5,'RMCV.PB'!$E$17="I"),20,15))</f>
        <v>0</v>
      </c>
      <c r="V84" s="466">
        <f t="shared" si="61"/>
        <v>0</v>
      </c>
      <c r="W84" s="466">
        <f t="shared" si="62"/>
        <v>0</v>
      </c>
      <c r="X84" s="466">
        <f>IF('CG. MPB'!E85="CONCRETO",0,IF(M84/(D84*$O$25*K84)&gt;3/$O$25,M84/(D84*$O$25*K84),3/$O$25))</f>
        <v>0</v>
      </c>
      <c r="Y84" s="765">
        <f t="shared" si="63"/>
        <v>2.9</v>
      </c>
      <c r="Z84" s="466">
        <f t="shared" si="64"/>
        <v>0.6</v>
      </c>
      <c r="AA84" s="766">
        <f t="shared" si="65"/>
        <v>7034.8634999999995</v>
      </c>
      <c r="AB84" s="943">
        <f t="shared" si="66"/>
        <v>35922.516248239066</v>
      </c>
      <c r="AC84" s="767" t="str">
        <f>IF(N84="pasa"," ",IF('CG. MPB'!E85="CONCRETO","F/DISEÑO",IF(AB84&gt;L84,"PASA","NO PASA")))</f>
        <v>F/DISEÑO</v>
      </c>
      <c r="AD84" s="474">
        <f>$AD$23/($AD$27*'RMCV.PB'!C84)</f>
        <v>1.0158730158730158E-3</v>
      </c>
      <c r="AE84" s="482">
        <f t="shared" si="52"/>
        <v>1.1908431907725473E-3</v>
      </c>
      <c r="AF84" s="482">
        <f>IF(12/$AE$25&gt;'RMCV.PB'!F84*0.3/$AE$25,'RMCV.PB'!F84*0.3/$AE$25,12/$AE$25)</f>
        <v>2E-3</v>
      </c>
      <c r="AG84" s="483" t="str">
        <f t="shared" si="53"/>
        <v>MAL</v>
      </c>
      <c r="AH84" s="482">
        <f>IF(9/$AE$25&gt;'RMCV.PB'!F84*0.3/$AE$25,'RMCV.PB'!F84*0.3/$AE$25,9/$AE$25)</f>
        <v>1.5E-3</v>
      </c>
      <c r="AI84" s="484" t="str">
        <f t="shared" si="54"/>
        <v>MAL</v>
      </c>
      <c r="AJ84" s="485">
        <f t="shared" si="55"/>
        <v>0.58730158730158732</v>
      </c>
      <c r="AK84" s="486">
        <f t="shared" si="56"/>
        <v>14472.990476190475</v>
      </c>
      <c r="AL84" s="486">
        <f t="shared" si="57"/>
        <v>43360.643224429543</v>
      </c>
      <c r="AM84" s="487" t="str">
        <f>IF(N84="PASA"," ",IF('CG. MPB'!E85="CONCRETO","F/DISEÑO",IF(AL84&gt;M84,"PASA","NO PASA")))</f>
        <v>F/DISEÑO</v>
      </c>
    </row>
    <row r="85" spans="1:39">
      <c r="A85" s="684">
        <f>'CG. MPB'!A86</f>
        <v>6</v>
      </c>
      <c r="B85" s="576" t="e">
        <f>'RMCV.PB'!O85/1.3</f>
        <v>#VALUE!</v>
      </c>
      <c r="C85" s="576" t="e">
        <f t="shared" si="58"/>
        <v>#VALUE!</v>
      </c>
      <c r="D85" s="578">
        <f>IF('CG. MPB'!D86="NO CONFINADO",0.4,0.7)</f>
        <v>0.7</v>
      </c>
      <c r="E85" s="578">
        <f>IF('CG. MPB'!E86="CONCRETO",0.5*(0.8*250)^0.5,F85+G85+I85+J85+H85)</f>
        <v>0</v>
      </c>
      <c r="F85" s="578">
        <f>IF(AND('CG. MPB'!E86="TABIQUE",'CG. MPB'!F86="MACIZO"),IF('RMCV.PB'!$E$17="I",3.5,3),0)</f>
        <v>0</v>
      </c>
      <c r="G85" s="578">
        <f>IF(AND('CG. MPB'!E86="TABIQUE",'CG. MPB'!F86="HUECO"),IF('RMCV.PB'!$E$17="I",3,5.5),0)</f>
        <v>0</v>
      </c>
      <c r="H85" s="578">
        <f>IF('CG. MPB'!E86="ADOBE",0.3,0)</f>
        <v>0</v>
      </c>
      <c r="I85" s="578">
        <f>IF(AND('CG. MPB'!E86="TABICON",'CG. MPB'!F86="MACIZO"),IF('RMCV.PB'!$E$17="I",3,2),0)</f>
        <v>0</v>
      </c>
      <c r="J85" s="578">
        <f>IF(AND('CG. MPB'!E86="TABICON",'CG. MPB'!F86="HUECO"),IF('RMCV.PB'!$E$17="I",3.5,2.5),0)</f>
        <v>0</v>
      </c>
      <c r="K85" s="576" t="e">
        <f>'RMCV.PB'!N85</f>
        <v>#VALUE!</v>
      </c>
      <c r="L85" s="918" t="e">
        <f>ABS('ELEM. MECA.'!F212)</f>
        <v>#VALUE!</v>
      </c>
      <c r="M85" s="936" t="e">
        <f t="shared" si="59"/>
        <v>#VALUE!</v>
      </c>
      <c r="N85" s="756" t="e">
        <f>IF('CG. MPB'!E86="CONCRETO","F/DISEÑO",IF(L85&gt;M85,IF(M85*1.05&gt;L85,"SE ACEPTA","NO PASA"),"PASA"))</f>
        <v>#VALUE!</v>
      </c>
      <c r="O85" s="466" t="e">
        <f>IF(N85="pasa"," ",$O$24/('RMCV.PB'!C85*100))</f>
        <v>#VALUE!</v>
      </c>
      <c r="P85" s="472" t="e">
        <f>IF(N85="pasa"," ",IF('CG. MPB'!E86="CONCRETO","F/DISEÑO",IF(AND(W85&gt;O85,O85&gt;X85),"BIEN","MAL")))</f>
        <v>#VALUE!</v>
      </c>
      <c r="Q85" s="466">
        <f>IF('CG. MPB'!F86="MACIZO",12/'RMCS.PB'!$O$25,9/'RMCS.PB'!$O$25)</f>
        <v>2.3999999999999998E-3</v>
      </c>
      <c r="R85" s="466">
        <f t="shared" si="60"/>
        <v>0</v>
      </c>
      <c r="S85" s="466">
        <f>IF(G85=0,0,IF(AND(G85=2,'RMCV.PB'!E54="III"),30,40))</f>
        <v>0</v>
      </c>
      <c r="T85" s="466">
        <f>IF(I85=0,0,IF(AND(I85=3,'RMCV.PB'!$E$17="I"),20,15))</f>
        <v>0</v>
      </c>
      <c r="U85" s="466">
        <f>IF(J85=0,0,IF(AND(J85=3.5,'RMCV.PB'!$E$17="I"),20,15))</f>
        <v>0</v>
      </c>
      <c r="V85" s="466">
        <f t="shared" si="61"/>
        <v>0</v>
      </c>
      <c r="W85" s="466">
        <f t="shared" si="62"/>
        <v>0</v>
      </c>
      <c r="X85" s="466" t="e">
        <f>IF('CG. MPB'!E86="CONCRETO",0,IF(M85/(D85*$O$25*K85)&gt;3/$O$25,M85/(D85*$O$25*K85),3/$O$25))</f>
        <v>#VALUE!</v>
      </c>
      <c r="Y85" s="765" t="e">
        <f t="shared" si="63"/>
        <v>#VALUE!</v>
      </c>
      <c r="Z85" s="466" t="e">
        <f t="shared" si="64"/>
        <v>#VALUE!</v>
      </c>
      <c r="AA85" s="766" t="e">
        <f t="shared" si="65"/>
        <v>#VALUE!</v>
      </c>
      <c r="AB85" s="943" t="e">
        <f t="shared" si="66"/>
        <v>#VALUE!</v>
      </c>
      <c r="AC85" s="767" t="e">
        <f>IF(N85="pasa"," ",IF('CG. MPB'!E86="CONCRETO","F/DISEÑO",IF(AB85&gt;L85,"PASA","NO PASA")))</f>
        <v>#VALUE!</v>
      </c>
      <c r="AD85" s="474" t="e">
        <f>$AD$23/($AD$27*'RMCV.PB'!C85)</f>
        <v>#VALUE!</v>
      </c>
      <c r="AE85" s="482" t="e">
        <f t="shared" si="52"/>
        <v>#VALUE!</v>
      </c>
      <c r="AF85" s="482">
        <f>IF(12/$AE$25&gt;'RMCV.PB'!F85*0.3/$AE$25,'RMCV.PB'!F85*0.3/$AE$25,12/$AE$25)</f>
        <v>0</v>
      </c>
      <c r="AG85" s="483" t="e">
        <f t="shared" si="53"/>
        <v>#VALUE!</v>
      </c>
      <c r="AH85" s="482">
        <f>IF(9/$AE$25&gt;'RMCV.PB'!F85*0.3/$AE$25,'RMCV.PB'!F85*0.3/$AE$25,9/$AE$25)</f>
        <v>0</v>
      </c>
      <c r="AI85" s="484" t="e">
        <f t="shared" si="54"/>
        <v>#VALUE!</v>
      </c>
      <c r="AJ85" s="485" t="e">
        <f t="shared" si="55"/>
        <v>#VALUE!</v>
      </c>
      <c r="AK85" s="486" t="e">
        <f t="shared" si="56"/>
        <v>#VALUE!</v>
      </c>
      <c r="AL85" s="486" t="e">
        <f t="shared" si="57"/>
        <v>#VALUE!</v>
      </c>
      <c r="AM85" s="487" t="e">
        <f>IF(N85="PASA"," ",IF('CG. MPB'!E86="CONCRETO","F/DISEÑO",IF(AL85&gt;M85,"PASA","NO PASA")))</f>
        <v>#VALUE!</v>
      </c>
    </row>
    <row r="86" spans="1:39">
      <c r="A86" s="684">
        <f>'CG. MPB'!A87</f>
        <v>7</v>
      </c>
      <c r="B86" s="576" t="e">
        <f>'RMCV.PB'!O86/1.3</f>
        <v>#VALUE!</v>
      </c>
      <c r="C86" s="576" t="e">
        <f t="shared" si="43"/>
        <v>#VALUE!</v>
      </c>
      <c r="D86" s="578">
        <f>IF('CG. MPB'!D87="NO CONFINADO",0.4,0.7)</f>
        <v>0.7</v>
      </c>
      <c r="E86" s="578">
        <f>IF('CG. MPB'!E87="CONCRETO",0.5*(0.8*250)^0.5,F86+G86+I86+J86+H86)</f>
        <v>0</v>
      </c>
      <c r="F86" s="578">
        <f>IF(AND('CG. MPB'!E87="TABIQUE",'CG. MPB'!F87="MACIZO"),IF('RMCV.PB'!$E$17="I",3.5,3),0)</f>
        <v>0</v>
      </c>
      <c r="G86" s="578">
        <f>IF(AND('CG. MPB'!E87="TABIQUE",'CG. MPB'!F87="HUECO"),IF('RMCV.PB'!$E$17="I",3,5.5),0)</f>
        <v>0</v>
      </c>
      <c r="H86" s="578">
        <f>IF('CG. MPB'!E87="ADOBE",0.3,0)</f>
        <v>0</v>
      </c>
      <c r="I86" s="578">
        <f>IF(AND('CG. MPB'!E87="TABICON",'CG. MPB'!F87="MACIZO"),IF('RMCV.PB'!$E$17="I",3,2),0)</f>
        <v>0</v>
      </c>
      <c r="J86" s="578">
        <f>IF(AND('CG. MPB'!E87="TABICON",'CG. MPB'!F87="HUECO"),IF('RMCV.PB'!$E$17="I",3.5,2.5),0)</f>
        <v>0</v>
      </c>
      <c r="K86" s="576" t="e">
        <f>'RMCV.PB'!N86</f>
        <v>#VALUE!</v>
      </c>
      <c r="L86" s="918" t="e">
        <f>ABS('ELEM. MECA.'!F213)</f>
        <v>#VALUE!</v>
      </c>
      <c r="M86" s="936" t="e">
        <f t="shared" si="44"/>
        <v>#VALUE!</v>
      </c>
      <c r="N86" s="756" t="e">
        <f>IF('CG. MPB'!E87="CONCRETO","F/DISEÑO",IF(L86&gt;M86,IF(M86*1.05&gt;L86,"SE ACEPTA","NO PASA"),"PASA"))</f>
        <v>#VALUE!</v>
      </c>
      <c r="O86" s="466" t="e">
        <f>IF(N86="pasa"," ",$O$24/('RMCV.PB'!C86*100))</f>
        <v>#VALUE!</v>
      </c>
      <c r="P86" s="472" t="e">
        <f>IF(N86="pasa"," ",IF('CG. MPB'!E87="CONCRETO","F/DISEÑO",IF(AND(W86&gt;O86,O86&gt;X86),"BIEN","MAL")))</f>
        <v>#VALUE!</v>
      </c>
      <c r="Q86" s="466">
        <f>IF('CG. MPB'!F87="MACIZO",12/'RMCS.PB'!$O$25,9/'RMCS.PB'!$O$25)</f>
        <v>2.3999999999999998E-3</v>
      </c>
      <c r="R86" s="466">
        <f t="shared" si="45"/>
        <v>0</v>
      </c>
      <c r="S86" s="466">
        <f>IF(G86=0,0,IF(AND(G86=2,'RMCV.PB'!E55="III"),30,40))</f>
        <v>0</v>
      </c>
      <c r="T86" s="466">
        <f>IF(I86=0,0,IF(AND(I86=3,'RMCV.PB'!$E$17="I"),20,15))</f>
        <v>0</v>
      </c>
      <c r="U86" s="466">
        <f>IF(J86=0,0,IF(AND(J86=3.5,'RMCV.PB'!$E$17="I"),20,15))</f>
        <v>0</v>
      </c>
      <c r="V86" s="466">
        <f t="shared" si="46"/>
        <v>0</v>
      </c>
      <c r="W86" s="466">
        <f t="shared" si="47"/>
        <v>0</v>
      </c>
      <c r="X86" s="466" t="e">
        <f>IF('CG. MPB'!E87="CONCRETO",0,IF(M86/(D86*$O$25*K86)&gt;3/$O$25,M86/(D86*$O$25*K86),3/$O$25))</f>
        <v>#VALUE!</v>
      </c>
      <c r="Y86" s="765" t="e">
        <f t="shared" si="48"/>
        <v>#VALUE!</v>
      </c>
      <c r="Z86" s="466" t="e">
        <f t="shared" si="49"/>
        <v>#VALUE!</v>
      </c>
      <c r="AA86" s="766" t="e">
        <f t="shared" si="50"/>
        <v>#VALUE!</v>
      </c>
      <c r="AB86" s="943" t="e">
        <f t="shared" si="51"/>
        <v>#VALUE!</v>
      </c>
      <c r="AC86" s="767" t="e">
        <f>IF(N86="pasa"," ",IF('CG. MPB'!E87="CONCRETO","F/DISEÑO",IF(AB86&gt;L86,"PASA","NO PASA")))</f>
        <v>#VALUE!</v>
      </c>
      <c r="AD86" s="474" t="e">
        <f>$AD$23/($AD$27*'RMCV.PB'!C86)</f>
        <v>#VALUE!</v>
      </c>
      <c r="AE86" s="482" t="e">
        <f t="shared" si="52"/>
        <v>#VALUE!</v>
      </c>
      <c r="AF86" s="482">
        <f>IF(12/$AE$25&gt;'RMCV.PB'!F86*0.3/$AE$25,'RMCV.PB'!F86*0.3/$AE$25,12/$AE$25)</f>
        <v>0</v>
      </c>
      <c r="AG86" s="483" t="e">
        <f t="shared" si="53"/>
        <v>#VALUE!</v>
      </c>
      <c r="AH86" s="482">
        <f>IF(9/$AE$25&gt;'RMCV.PB'!F86*0.3/$AE$25,'RMCV.PB'!F86*0.3/$AE$25,9/$AE$25)</f>
        <v>0</v>
      </c>
      <c r="AI86" s="484" t="e">
        <f t="shared" si="54"/>
        <v>#VALUE!</v>
      </c>
      <c r="AJ86" s="485" t="e">
        <f t="shared" si="55"/>
        <v>#VALUE!</v>
      </c>
      <c r="AK86" s="486" t="e">
        <f t="shared" si="56"/>
        <v>#VALUE!</v>
      </c>
      <c r="AL86" s="486" t="e">
        <f t="shared" si="57"/>
        <v>#VALUE!</v>
      </c>
      <c r="AM86" s="487" t="e">
        <f>IF(N86="PASA"," ",IF('CG. MPB'!E87="CONCRETO","F/DISEÑO",IF(AL86&gt;M86,"PASA","NO PASA")))</f>
        <v>#VALUE!</v>
      </c>
    </row>
    <row r="87" spans="1:39" ht="16.149999999999999" customHeight="1">
      <c r="A87" s="684">
        <f>'CG. MPB'!A88</f>
        <v>8</v>
      </c>
      <c r="B87" s="576" t="e">
        <f>'RMCV.PB'!O87/1.3</f>
        <v>#VALUE!</v>
      </c>
      <c r="C87" s="576" t="e">
        <f t="shared" si="43"/>
        <v>#VALUE!</v>
      </c>
      <c r="D87" s="578">
        <f>IF('CG. MPB'!D88="NO CONFINADO",0.4,0.7)</f>
        <v>0.7</v>
      </c>
      <c r="E87" s="578">
        <f>IF('CG. MPB'!E88="CONCRETO",0.5*(0.8*250)^0.5,F87+G87+I87+J87+H87)</f>
        <v>0</v>
      </c>
      <c r="F87" s="578">
        <f>IF(AND('CG. MPB'!E88="TABIQUE",'CG. MPB'!F88="MACIZO"),IF('RMCV.PB'!$E$17="I",3.5,3),0)</f>
        <v>0</v>
      </c>
      <c r="G87" s="578">
        <f>IF(AND('CG. MPB'!E88="TABIQUE",'CG. MPB'!F88="HUECO"),IF('RMCV.PB'!$E$17="I",3,5.5),0)</f>
        <v>0</v>
      </c>
      <c r="H87" s="578">
        <f>IF('CG. MPB'!E88="ADOBE",0.3,0)</f>
        <v>0</v>
      </c>
      <c r="I87" s="578">
        <f>IF(AND('CG. MPB'!E88="TABICON",'CG. MPB'!F88="MACIZO"),IF('RMCV.PB'!$E$17="I",3,2),0)</f>
        <v>0</v>
      </c>
      <c r="J87" s="578">
        <f>IF(AND('CG. MPB'!E88="TABICON",'CG. MPB'!F88="HUECO"),IF('RMCV.PB'!$E$17="I",3.5,2.5),0)</f>
        <v>0</v>
      </c>
      <c r="K87" s="576" t="e">
        <f>'RMCV.PB'!N87</f>
        <v>#VALUE!</v>
      </c>
      <c r="L87" s="918" t="e">
        <f>ABS('ELEM. MECA.'!F214)</f>
        <v>#VALUE!</v>
      </c>
      <c r="M87" s="936" t="e">
        <f t="shared" si="44"/>
        <v>#VALUE!</v>
      </c>
      <c r="N87" s="756" t="e">
        <f>IF('CG. MPB'!E88="CONCRETO","F/DISEÑO",IF(L87&gt;M87,IF(M87*1.05&gt;L87,"SE ACEPTA","NO PASA"),"PASA"))</f>
        <v>#VALUE!</v>
      </c>
      <c r="O87" s="466" t="e">
        <f>IF(N87="pasa"," ",$O$24/('RMCV.PB'!C87*100))</f>
        <v>#VALUE!</v>
      </c>
      <c r="P87" s="472" t="e">
        <f>IF(N87="pasa"," ",IF('CG. MPB'!E88="CONCRETO","F/DISEÑO",IF(AND(W87&gt;O87,O87&gt;X87),"BIEN","MAL")))</f>
        <v>#VALUE!</v>
      </c>
      <c r="Q87" s="466">
        <f>IF('CG. MPB'!F88="MACIZO",12/'RMCS.PB'!$O$25,9/'RMCS.PB'!$O$25)</f>
        <v>2.3999999999999998E-3</v>
      </c>
      <c r="R87" s="466">
        <f t="shared" si="45"/>
        <v>0</v>
      </c>
      <c r="S87" s="466">
        <f>IF(G87=0,0,IF(AND(G87=2,'RMCV.PB'!E56="III"),30,40))</f>
        <v>0</v>
      </c>
      <c r="T87" s="466">
        <f>IF(I87=0,0,IF(AND(I87=3,'RMCV.PB'!$E$17="I"),20,15))</f>
        <v>0</v>
      </c>
      <c r="U87" s="466">
        <f>IF(J87=0,0,IF(AND(J87=3.5,'RMCV.PB'!$E$17="I"),20,15))</f>
        <v>0</v>
      </c>
      <c r="V87" s="466">
        <f t="shared" si="46"/>
        <v>0</v>
      </c>
      <c r="W87" s="466">
        <f t="shared" si="47"/>
        <v>0</v>
      </c>
      <c r="X87" s="466" t="e">
        <f>IF('CG. MPB'!E88="CONCRETO",0,IF(M87/(D87*$O$25*K87)&gt;3/$O$25,M87/(D87*$O$25*K87),3/$O$25))</f>
        <v>#VALUE!</v>
      </c>
      <c r="Y87" s="765" t="e">
        <f t="shared" si="48"/>
        <v>#VALUE!</v>
      </c>
      <c r="Z87" s="466" t="e">
        <f t="shared" si="49"/>
        <v>#VALUE!</v>
      </c>
      <c r="AA87" s="766" t="e">
        <f t="shared" si="50"/>
        <v>#VALUE!</v>
      </c>
      <c r="AB87" s="943" t="e">
        <f t="shared" si="51"/>
        <v>#VALUE!</v>
      </c>
      <c r="AC87" s="767" t="e">
        <f>IF(N87="pasa"," ",IF('CG. MPB'!E88="CONCRETO","F/DISEÑO",IF(AB87&gt;L87,"PASA","NO PASA")))</f>
        <v>#VALUE!</v>
      </c>
      <c r="AD87" s="474" t="e">
        <f>$AD$23/($AD$27*'RMCV.PB'!C87)</f>
        <v>#VALUE!</v>
      </c>
      <c r="AE87" s="482" t="e">
        <f t="shared" si="52"/>
        <v>#VALUE!</v>
      </c>
      <c r="AF87" s="482">
        <f>IF(12/$AE$25&gt;'RMCV.PB'!F87*0.3/$AE$25,'RMCV.PB'!F87*0.3/$AE$25,12/$AE$25)</f>
        <v>0</v>
      </c>
      <c r="AG87" s="483" t="e">
        <f t="shared" si="53"/>
        <v>#VALUE!</v>
      </c>
      <c r="AH87" s="482">
        <f>IF(9/$AE$25&gt;'RMCV.PB'!F87*0.3/$AE$25,'RMCV.PB'!F87*0.3/$AE$25,9/$AE$25)</f>
        <v>0</v>
      </c>
      <c r="AI87" s="484" t="e">
        <f t="shared" si="54"/>
        <v>#VALUE!</v>
      </c>
      <c r="AJ87" s="485" t="e">
        <f t="shared" si="55"/>
        <v>#VALUE!</v>
      </c>
      <c r="AK87" s="486" t="e">
        <f t="shared" si="56"/>
        <v>#VALUE!</v>
      </c>
      <c r="AL87" s="486" t="e">
        <f t="shared" si="57"/>
        <v>#VALUE!</v>
      </c>
      <c r="AM87" s="487" t="e">
        <f>IF(N87="PASA"," ",IF('CG. MPB'!E88="CONCRETO","F/DISEÑO",IF(AL87&gt;M87,"PASA","NO PASA")))</f>
        <v>#VALUE!</v>
      </c>
    </row>
    <row r="88" spans="1:39">
      <c r="A88" s="684">
        <f>'CG. MPB'!A89</f>
        <v>9</v>
      </c>
      <c r="B88" s="576" t="e">
        <f>'RMCV.PB'!O88/1.3</f>
        <v>#VALUE!</v>
      </c>
      <c r="C88" s="576" t="e">
        <f t="shared" si="43"/>
        <v>#VALUE!</v>
      </c>
      <c r="D88" s="578">
        <f>IF('CG. MPB'!D89="NO CONFINADO",0.4,0.7)</f>
        <v>0.7</v>
      </c>
      <c r="E88" s="578">
        <f>IF('CG. MPB'!E89="CONCRETO",0.5*(0.8*250)^0.5,F88+G88+I88+J88+H88)</f>
        <v>0</v>
      </c>
      <c r="F88" s="578">
        <f>IF(AND('CG. MPB'!E89="TABIQUE",'CG. MPB'!F89="MACIZO"),IF('RMCV.PB'!$E$17="I",3.5,3),0)</f>
        <v>0</v>
      </c>
      <c r="G88" s="578">
        <f>IF(AND('CG. MPB'!E89="TABIQUE",'CG. MPB'!F89="HUECO"),IF('RMCV.PB'!$E$17="I",3,5.5),0)</f>
        <v>0</v>
      </c>
      <c r="H88" s="578">
        <f>IF('CG. MPB'!E89="ADOBE",0.3,0)</f>
        <v>0</v>
      </c>
      <c r="I88" s="578">
        <f>IF(AND('CG. MPB'!E89="TABICON",'CG. MPB'!F89="MACIZO"),IF('RMCV.PB'!$E$17="I",3,2),0)</f>
        <v>0</v>
      </c>
      <c r="J88" s="578">
        <f>IF(AND('CG. MPB'!E89="TABICON",'CG. MPB'!F89="HUECO"),IF('RMCV.PB'!$E$17="I",3.5,2.5),0)</f>
        <v>0</v>
      </c>
      <c r="K88" s="576" t="e">
        <f>'RMCV.PB'!N88</f>
        <v>#VALUE!</v>
      </c>
      <c r="L88" s="918" t="e">
        <f>ABS('ELEM. MECA.'!F215)</f>
        <v>#VALUE!</v>
      </c>
      <c r="M88" s="936" t="e">
        <f t="shared" si="44"/>
        <v>#VALUE!</v>
      </c>
      <c r="N88" s="756" t="e">
        <f>IF('CG. MPB'!E89="CONCRETO","F/DISEÑO",IF(L88&gt;M88,IF(M88*1.05&gt;L88,"SE ACEPTA","NO PASA"),"PASA"))</f>
        <v>#VALUE!</v>
      </c>
      <c r="O88" s="466" t="e">
        <f>IF(N88="pasa"," ",$O$24/('RMCV.PB'!C88*100))</f>
        <v>#VALUE!</v>
      </c>
      <c r="P88" s="472" t="e">
        <f>IF(N88="pasa"," ",IF('CG. MPB'!E89="CONCRETO","F/DISEÑO",IF(AND(W88&gt;O88,O88&gt;X88),"BIEN","MAL")))</f>
        <v>#VALUE!</v>
      </c>
      <c r="Q88" s="466">
        <f>IF('CG. MPB'!F89="MACIZO",12/'RMCS.PB'!$O$25,9/'RMCS.PB'!$O$25)</f>
        <v>2.3999999999999998E-3</v>
      </c>
      <c r="R88" s="466">
        <f t="shared" si="45"/>
        <v>0</v>
      </c>
      <c r="S88" s="466">
        <f>IF(G88=0,0,IF(AND(G88=2,'RMCV.PB'!E57="III"),30,40))</f>
        <v>0</v>
      </c>
      <c r="T88" s="466">
        <f>IF(I88=0,0,IF(AND(I88=3,'RMCV.PB'!$E$17="I"),20,15))</f>
        <v>0</v>
      </c>
      <c r="U88" s="466">
        <f>IF(J88=0,0,IF(AND(J88=3.5,'RMCV.PB'!$E$17="I"),20,15))</f>
        <v>0</v>
      </c>
      <c r="V88" s="466">
        <f t="shared" si="46"/>
        <v>0</v>
      </c>
      <c r="W88" s="466">
        <f t="shared" si="47"/>
        <v>0</v>
      </c>
      <c r="X88" s="466" t="e">
        <f>IF('CG. MPB'!E89="CONCRETO",0,IF(M88/(D88*$O$25*K88)&gt;3/$O$25,M88/(D88*$O$25*K88),3/$O$25))</f>
        <v>#VALUE!</v>
      </c>
      <c r="Y88" s="765" t="e">
        <f t="shared" si="48"/>
        <v>#VALUE!</v>
      </c>
      <c r="Z88" s="466" t="e">
        <f t="shared" si="49"/>
        <v>#VALUE!</v>
      </c>
      <c r="AA88" s="766" t="e">
        <f t="shared" si="50"/>
        <v>#VALUE!</v>
      </c>
      <c r="AB88" s="943" t="e">
        <f t="shared" si="51"/>
        <v>#VALUE!</v>
      </c>
      <c r="AC88" s="767" t="e">
        <f>IF(N88="pasa"," ",IF('CG. MPB'!E89="CONCRETO","F/DISEÑO",IF(AB88&gt;L88,"PASA","NO PASA")))</f>
        <v>#VALUE!</v>
      </c>
      <c r="AD88" s="474" t="e">
        <f>$AD$23/($AD$27*'RMCV.PB'!C88)</f>
        <v>#VALUE!</v>
      </c>
      <c r="AE88" s="482" t="e">
        <f>IF(3/$AE$25&gt;M88/(C88*J88*$AE$25),3/$AE$25,M88/(C88*J88*$AE$25))</f>
        <v>#VALUE!</v>
      </c>
      <c r="AF88" s="482">
        <f>IF(12/$AE$25&gt;'RMCV.PB'!F88*0.3/$AE$25,'RMCV.PB'!F88*0.3/$AE$25,12/$AE$25)</f>
        <v>0</v>
      </c>
      <c r="AG88" s="483" t="e">
        <f t="shared" si="53"/>
        <v>#VALUE!</v>
      </c>
      <c r="AH88" s="482">
        <f>IF(9/$AE$25&gt;'RMCV.PB'!F88*0.3/$AE$25,'RMCV.PB'!F88*0.3/$AE$25,9/$AE$25)</f>
        <v>0</v>
      </c>
      <c r="AI88" s="484" t="e">
        <f t="shared" si="54"/>
        <v>#VALUE!</v>
      </c>
      <c r="AJ88" s="485" t="e">
        <f t="shared" si="55"/>
        <v>#VALUE!</v>
      </c>
      <c r="AK88" s="486" t="e">
        <f>IF(N88="PASA",0,C88*AJ88*AD88*$AE$25*J88)</f>
        <v>#VALUE!</v>
      </c>
      <c r="AL88" s="486" t="e">
        <f>AK88+M88</f>
        <v>#VALUE!</v>
      </c>
      <c r="AM88" s="487" t="e">
        <f>IF(N88="PASA"," ",IF('CG. MPB'!E89="CONCRETO","F/DISEÑO",IF(AL88&gt;M88,"PASA","NO PASA")))</f>
        <v>#VALUE!</v>
      </c>
    </row>
    <row r="89" spans="1:39">
      <c r="A89" s="684">
        <f>'CG. MPB'!A90</f>
        <v>10</v>
      </c>
      <c r="B89" s="576">
        <f>'RMCV.PB'!O89/1.3</f>
        <v>0</v>
      </c>
      <c r="C89" s="576">
        <f t="shared" si="43"/>
        <v>0</v>
      </c>
      <c r="D89" s="578">
        <f>IF('CG. MPB'!D90="NO CONFINADO",0.4,0.7)</f>
        <v>0.7</v>
      </c>
      <c r="E89" s="578">
        <f>IF('CG. MPB'!E90="CONCRETO",0.5*(0.8*250)^0.5,F89+G89+I89+J89+H89)</f>
        <v>0</v>
      </c>
      <c r="F89" s="578">
        <f>IF(AND('CG. MPB'!E90="TABIQUE",'CG. MPB'!F90="MACIZO"),IF('RMCV.PB'!$E$17="I",3.5,3),0)</f>
        <v>0</v>
      </c>
      <c r="G89" s="578">
        <f>IF(AND('CG. MPB'!E90="TABIQUE",'CG. MPB'!F90="HUECO"),IF('RMCV.PB'!$E$17="I",3,5.5),0)</f>
        <v>0</v>
      </c>
      <c r="H89" s="578">
        <f>IF('CG. MPB'!E90="ADOBE",0.3,0)</f>
        <v>0</v>
      </c>
      <c r="I89" s="578">
        <f>IF(AND('CG. MPB'!E90="TABICON",'CG. MPB'!F90="MACIZO"),IF('RMCV.PB'!$E$17="I",3,2),0)</f>
        <v>0</v>
      </c>
      <c r="J89" s="578">
        <f>IF(AND('CG. MPB'!E90="TABICON",'CG. MPB'!F90="HUECO"),IF('RMCV.PB'!$E$17="I",3.5,2.5),0)</f>
        <v>0</v>
      </c>
      <c r="K89" s="576">
        <f>'RMCV.PB'!N89</f>
        <v>0</v>
      </c>
      <c r="L89" s="918">
        <f>ABS('ELEM. MECA.'!F216)</f>
        <v>0</v>
      </c>
      <c r="M89" s="936">
        <f t="shared" si="44"/>
        <v>0</v>
      </c>
      <c r="N89" s="756" t="str">
        <f>IF('CG. MPB'!E90="CONCRETO","F/DISEÑO",IF(L89&gt;M89,IF(M89*1.05&gt;L89,"SE ACEPTA","NO PASA"),"PASA"))</f>
        <v>PASA</v>
      </c>
      <c r="O89" s="466" t="str">
        <f>IF(N89="pasa"," ",$O$24/('RMCV.PB'!C89*100))</f>
        <v xml:space="preserve"> </v>
      </c>
      <c r="P89" s="472" t="str">
        <f>IF(N89="pasa"," ",IF('CG. MPB'!E90="CONCRETO","F/DISEÑO",IF(AND(W89&gt;O89,O89&gt;X89),"BIEN","MAL")))</f>
        <v xml:space="preserve"> </v>
      </c>
      <c r="Q89" s="466">
        <f>IF('CG. MPB'!F90="MACIZO",12/'RMCS.PB'!$O$25,9/'RMCS.PB'!$O$25)</f>
        <v>2.3999999999999998E-3</v>
      </c>
      <c r="R89" s="466">
        <f t="shared" si="45"/>
        <v>0</v>
      </c>
      <c r="S89" s="466">
        <f>IF(G89=0,0,IF(AND(G89=2,'RMCV.PB'!E58="III"),30,40))</f>
        <v>0</v>
      </c>
      <c r="T89" s="466">
        <f>IF(I89=0,0,IF(AND(I89=3,'RMCV.PB'!$E$17="I"),20,15))</f>
        <v>0</v>
      </c>
      <c r="U89" s="466">
        <f>IF(J89=0,0,IF(AND(J89=3.5,'RMCV.PB'!$E$17="I"),20,15))</f>
        <v>0</v>
      </c>
      <c r="V89" s="466">
        <f t="shared" si="46"/>
        <v>0</v>
      </c>
      <c r="W89" s="466">
        <f t="shared" si="47"/>
        <v>0</v>
      </c>
      <c r="X89" s="466" t="e">
        <f>IF('CG. MPB'!E90="CONCRETO",0,IF(M89/(D89*$O$25*K89)&gt;3/$O$25,M89/(D89*$O$25*K89),3/$O$25))</f>
        <v>#DIV/0!</v>
      </c>
      <c r="Y89" s="765" t="e">
        <f t="shared" si="48"/>
        <v>#VALUE!</v>
      </c>
      <c r="Z89" s="466" t="e">
        <f t="shared" si="49"/>
        <v>#VALUE!</v>
      </c>
      <c r="AA89" s="766" t="e">
        <f t="shared" si="50"/>
        <v>#VALUE!</v>
      </c>
      <c r="AB89" s="943" t="str">
        <f t="shared" si="51"/>
        <v xml:space="preserve"> </v>
      </c>
      <c r="AC89" s="767" t="str">
        <f>IF(N89="pasa"," ",IF('CG. MPB'!E90="CONCRETO","F/DISEÑO",IF(AB89&gt;L89,"PASA","NO PASA")))</f>
        <v xml:space="preserve"> </v>
      </c>
      <c r="AD89" s="488" t="e">
        <f>$AD$23/($AD$27*'RMCV.PB'!C89)</f>
        <v>#DIV/0!</v>
      </c>
      <c r="AE89" s="482" t="e">
        <f t="shared" si="52"/>
        <v>#DIV/0!</v>
      </c>
      <c r="AF89" s="482">
        <f>IF(12/$AE$25&gt;'RMCV.PB'!F89*0.3/$AE$25,'RMCV.PB'!F89*0.3/$AE$25,12/$AE$25)</f>
        <v>0</v>
      </c>
      <c r="AG89" s="483" t="e">
        <f t="shared" si="53"/>
        <v>#DIV/0!</v>
      </c>
      <c r="AH89" s="482">
        <f>IF(9/$AE$25&gt;'RMCV.PB'!F89*0.3/$AE$25,'RMCV.PB'!F89*0.3/$AE$25,9/$AE$25)</f>
        <v>0</v>
      </c>
      <c r="AI89" s="484" t="e">
        <f t="shared" si="54"/>
        <v>#DIV/0!</v>
      </c>
      <c r="AJ89" s="485" t="e">
        <f t="shared" si="55"/>
        <v>#DIV/0!</v>
      </c>
      <c r="AK89" s="486">
        <f t="shared" si="56"/>
        <v>0</v>
      </c>
      <c r="AL89" s="486">
        <f t="shared" si="57"/>
        <v>0</v>
      </c>
      <c r="AM89" s="487" t="str">
        <f>IF(N89="PASA"," ",IF('CG. MPB'!E90="CONCRETO","F/DISEÑO",IF(AL89&gt;M89,"PASA","NO PASA")))</f>
        <v xml:space="preserve"> </v>
      </c>
    </row>
    <row r="90" spans="1:39">
      <c r="A90" s="684">
        <f>'CG. MPB'!A91</f>
        <v>11</v>
      </c>
      <c r="B90" s="576">
        <f>'RMCV.PB'!O90/1.3</f>
        <v>0</v>
      </c>
      <c r="C90" s="576">
        <f t="shared" si="43"/>
        <v>0</v>
      </c>
      <c r="D90" s="578">
        <f>IF('CG. MPB'!D91="NO CONFINADO",0.4,0.7)</f>
        <v>0.7</v>
      </c>
      <c r="E90" s="578">
        <f>IF('CG. MPB'!E91="CONCRETO",0.5*(0.8*250)^0.5,F90+G90+I90+J90+H90)</f>
        <v>0</v>
      </c>
      <c r="F90" s="578">
        <f>IF(AND('CG. MPB'!E91="TABIQUE",'CG. MPB'!F91="MACIZO"),IF('RMCV.PB'!$E$17="I",3.5,3),0)</f>
        <v>0</v>
      </c>
      <c r="G90" s="578">
        <f>IF(AND('CG. MPB'!E91="TABIQUE",'CG. MPB'!F91="HUECO"),IF('RMCV.PB'!$E$17="I",3,5.5),0)</f>
        <v>0</v>
      </c>
      <c r="H90" s="578">
        <f>IF('CG. MPB'!E91="ADOBE",0.3,0)</f>
        <v>0</v>
      </c>
      <c r="I90" s="578">
        <f>IF(AND('CG. MPB'!E91="TABICON",'CG. MPB'!F91="MACIZO"),IF('RMCV.PB'!$E$17="I",3,2),0)</f>
        <v>0</v>
      </c>
      <c r="J90" s="578">
        <f>IF(AND('CG. MPB'!E91="TABICON",'CG. MPB'!F91="HUECO"),IF('RMCV.PB'!$E$17="I",3.5,2.5),0)</f>
        <v>0</v>
      </c>
      <c r="K90" s="576">
        <f>'RMCV.PB'!N90</f>
        <v>0</v>
      </c>
      <c r="L90" s="918">
        <f>ABS('ELEM. MECA.'!F217)</f>
        <v>0</v>
      </c>
      <c r="M90" s="936">
        <f t="shared" si="44"/>
        <v>0</v>
      </c>
      <c r="N90" s="756" t="str">
        <f>IF('CG. MPB'!E91="CONCRETO","F/DISEÑO",IF(L90&gt;M90,IF(M90*1.05&gt;L90,"SE ACEPTA","NO PASA"),"PASA"))</f>
        <v>PASA</v>
      </c>
      <c r="O90" s="466" t="str">
        <f>IF(N90="pasa"," ",$O$24/('RMCV.PB'!C90*100))</f>
        <v xml:space="preserve"> </v>
      </c>
      <c r="P90" s="472" t="str">
        <f>IF(N90="pasa"," ",IF('CG. MPB'!E91="CONCRETO","F/DISEÑO",IF(AND(W90&gt;O90,O90&gt;X90),"BIEN","MAL")))</f>
        <v xml:space="preserve"> </v>
      </c>
      <c r="Q90" s="466">
        <f>IF('CG. MPB'!F91="MACIZO",12/'RMCS.PB'!$O$25,9/'RMCS.PB'!$O$25)</f>
        <v>2.3999999999999998E-3</v>
      </c>
      <c r="R90" s="466">
        <f t="shared" si="45"/>
        <v>0</v>
      </c>
      <c r="S90" s="466">
        <f>IF(G90=0,0,IF(AND(G90=2,'RMCV.PB'!E59="III"),30,40))</f>
        <v>0</v>
      </c>
      <c r="T90" s="466">
        <f>IF(I90=0,0,IF(AND(I90=3,'RMCV.PB'!$E$17="I"),20,15))</f>
        <v>0</v>
      </c>
      <c r="U90" s="466">
        <f>IF(J90=0,0,IF(AND(J90=3.5,'RMCV.PB'!$E$17="I"),20,15))</f>
        <v>0</v>
      </c>
      <c r="V90" s="466">
        <f t="shared" si="46"/>
        <v>0</v>
      </c>
      <c r="W90" s="466">
        <f t="shared" si="47"/>
        <v>0</v>
      </c>
      <c r="X90" s="466" t="e">
        <f>IF('CG. MPB'!E91="CONCRETO",0,IF(M90/(D90*$O$25*K90)&gt;3/$O$25,M90/(D90*$O$25*K90),3/$O$25))</f>
        <v>#DIV/0!</v>
      </c>
      <c r="Y90" s="765" t="e">
        <f t="shared" si="48"/>
        <v>#VALUE!</v>
      </c>
      <c r="Z90" s="466" t="e">
        <f t="shared" si="49"/>
        <v>#VALUE!</v>
      </c>
      <c r="AA90" s="766" t="e">
        <f t="shared" si="50"/>
        <v>#VALUE!</v>
      </c>
      <c r="AB90" s="943" t="str">
        <f t="shared" si="51"/>
        <v xml:space="preserve"> </v>
      </c>
      <c r="AC90" s="767" t="str">
        <f>IF(N90="pasa"," ",IF('CG. MPB'!E91="CONCRETO","F/DISEÑO",IF(AB90&gt;L90,"PASA","NO PASA")))</f>
        <v xml:space="preserve"> </v>
      </c>
      <c r="AD90" s="488" t="e">
        <f>$AD$23/($AD$27*'RMCV.PB'!C90)</f>
        <v>#DIV/0!</v>
      </c>
      <c r="AE90" s="482" t="e">
        <f t="shared" si="52"/>
        <v>#DIV/0!</v>
      </c>
      <c r="AF90" s="482">
        <f>IF(12/$AE$25&gt;'RMCV.PB'!F90*0.3/$AE$25,'RMCV.PB'!F90*0.3/$AE$25,12/$AE$25)</f>
        <v>0</v>
      </c>
      <c r="AG90" s="483" t="e">
        <f t="shared" si="53"/>
        <v>#DIV/0!</v>
      </c>
      <c r="AH90" s="482">
        <f>IF(9/$AE$25&gt;'RMCV.PB'!F90*0.3/$AE$25,'RMCV.PB'!F90*0.3/$AE$25,9/$AE$25)</f>
        <v>0</v>
      </c>
      <c r="AI90" s="484" t="e">
        <f t="shared" si="54"/>
        <v>#DIV/0!</v>
      </c>
      <c r="AJ90" s="485" t="e">
        <f t="shared" si="55"/>
        <v>#DIV/0!</v>
      </c>
      <c r="AK90" s="486">
        <f t="shared" si="56"/>
        <v>0</v>
      </c>
      <c r="AL90" s="486">
        <f t="shared" si="57"/>
        <v>0</v>
      </c>
      <c r="AM90" s="487" t="str">
        <f>IF(N90="PASA"," ",IF('CG. MPB'!E91="CONCRETO","F/DISEÑO",IF(AL90&gt;M90,"PASA","NO PASA")))</f>
        <v xml:space="preserve"> </v>
      </c>
    </row>
    <row r="91" spans="1:39">
      <c r="A91" s="684">
        <f>'CG. MPB'!A92</f>
        <v>12</v>
      </c>
      <c r="B91" s="576">
        <f>'RMCV.PB'!O91/1.3</f>
        <v>0</v>
      </c>
      <c r="C91" s="576">
        <f t="shared" si="43"/>
        <v>0</v>
      </c>
      <c r="D91" s="578">
        <f>IF('CG. MPB'!D92="NO CONFINADO",0.4,0.7)</f>
        <v>0.7</v>
      </c>
      <c r="E91" s="578">
        <f>IF('CG. MPB'!E92="CONCRETO",0.5*(0.8*250)^0.5,F91+G91+I91+J91+H91)</f>
        <v>0</v>
      </c>
      <c r="F91" s="578">
        <f>IF(AND('CG. MPB'!E92="TABIQUE",'CG. MPB'!F92="MACIZO"),IF('RMCV.PB'!$E$17="I",3.5,3),0)</f>
        <v>0</v>
      </c>
      <c r="G91" s="578">
        <f>IF(AND('CG. MPB'!E92="TABIQUE",'CG. MPB'!F92="HUECO"),IF('RMCV.PB'!$E$17="I",3,5.5),0)</f>
        <v>0</v>
      </c>
      <c r="H91" s="578">
        <f>IF('CG. MPB'!E92="ADOBE",0.3,0)</f>
        <v>0</v>
      </c>
      <c r="I91" s="578">
        <f>IF(AND('CG. MPB'!E92="TABICON",'CG. MPB'!F92="MACIZO"),IF('RMCV.PB'!$E$17="I",3,2),0)</f>
        <v>0</v>
      </c>
      <c r="J91" s="578">
        <f>IF(AND('CG. MPB'!E92="TABICON",'CG. MPB'!F92="HUECO"),IF('RMCV.PB'!$E$17="I",3.5,2.5),0)</f>
        <v>0</v>
      </c>
      <c r="K91" s="576">
        <f>'RMCV.PB'!N91</f>
        <v>0</v>
      </c>
      <c r="L91" s="918">
        <f>ABS('ELEM. MECA.'!F218)</f>
        <v>0</v>
      </c>
      <c r="M91" s="936">
        <f t="shared" si="44"/>
        <v>0</v>
      </c>
      <c r="N91" s="756" t="str">
        <f>IF('CG. MPB'!E92="CONCRETO","F/DISEÑO",IF(L91&gt;M91,IF(M91*1.05&gt;L91,"SE ACEPTA","NO PASA"),"PASA"))</f>
        <v>PASA</v>
      </c>
      <c r="O91" s="466" t="str">
        <f>IF(N91="pasa"," ",$O$24/('RMCV.PB'!C91*100))</f>
        <v xml:space="preserve"> </v>
      </c>
      <c r="P91" s="472" t="str">
        <f>IF(N91="pasa"," ",IF('CG. MPB'!E92="CONCRETO","F/DISEÑO",IF(AND(W91&gt;O91,O91&gt;X91),"BIEN","MAL")))</f>
        <v xml:space="preserve"> </v>
      </c>
      <c r="Q91" s="466">
        <f>IF('CG. MPB'!F92="MACIZO",12/'RMCS.PB'!$O$25,9/'RMCS.PB'!$O$25)</f>
        <v>2.3999999999999998E-3</v>
      </c>
      <c r="R91" s="466">
        <f t="shared" si="45"/>
        <v>0</v>
      </c>
      <c r="S91" s="466">
        <f>IF(G91=0,0,IF(AND(G91=2,'RMCV.PB'!E60="III"),30,40))</f>
        <v>0</v>
      </c>
      <c r="T91" s="466">
        <f>IF(I91=0,0,IF(AND(I91=3,'RMCV.PB'!$E$17="I"),20,15))</f>
        <v>0</v>
      </c>
      <c r="U91" s="466">
        <f>IF(J91=0,0,IF(AND(J91=3.5,'RMCV.PB'!$E$17="I"),20,15))</f>
        <v>0</v>
      </c>
      <c r="V91" s="466">
        <f t="shared" si="46"/>
        <v>0</v>
      </c>
      <c r="W91" s="466">
        <f t="shared" si="47"/>
        <v>0</v>
      </c>
      <c r="X91" s="466" t="e">
        <f>IF('CG. MPB'!E92="CONCRETO",0,IF(M91/(D91*$O$25*K91)&gt;3/$O$25,M91/(D91*$O$25*K91),3/$O$25))</f>
        <v>#DIV/0!</v>
      </c>
      <c r="Y91" s="765" t="e">
        <f t="shared" si="48"/>
        <v>#VALUE!</v>
      </c>
      <c r="Z91" s="466" t="e">
        <f t="shared" si="49"/>
        <v>#VALUE!</v>
      </c>
      <c r="AA91" s="766" t="e">
        <f t="shared" si="50"/>
        <v>#VALUE!</v>
      </c>
      <c r="AB91" s="943" t="str">
        <f t="shared" si="51"/>
        <v xml:space="preserve"> </v>
      </c>
      <c r="AC91" s="767" t="str">
        <f>IF(N91="pasa"," ",IF('CG. MPB'!E92="CONCRETO","F/DISEÑO",IF(AB91&gt;L91,"PASA","NO PASA")))</f>
        <v xml:space="preserve"> </v>
      </c>
      <c r="AD91" s="488" t="e">
        <f>$AD$23/($AD$27*'RMCV.PB'!C91)</f>
        <v>#DIV/0!</v>
      </c>
      <c r="AE91" s="482" t="e">
        <f t="shared" si="52"/>
        <v>#DIV/0!</v>
      </c>
      <c r="AF91" s="482">
        <f>IF(12/$AE$25&gt;'RMCV.PB'!F91*0.3/$AE$25,'RMCV.PB'!F91*0.3/$AE$25,12/$AE$25)</f>
        <v>0</v>
      </c>
      <c r="AG91" s="483" t="e">
        <f t="shared" si="53"/>
        <v>#DIV/0!</v>
      </c>
      <c r="AH91" s="482">
        <f>IF(9/$AE$25&gt;'RMCV.PB'!F91*0.3/$AE$25,'RMCV.PB'!F91*0.3/$AE$25,9/$AE$25)</f>
        <v>0</v>
      </c>
      <c r="AI91" s="484" t="e">
        <f t="shared" si="54"/>
        <v>#DIV/0!</v>
      </c>
      <c r="AJ91" s="485" t="e">
        <f t="shared" si="55"/>
        <v>#DIV/0!</v>
      </c>
      <c r="AK91" s="486">
        <f t="shared" si="56"/>
        <v>0</v>
      </c>
      <c r="AL91" s="486">
        <f t="shared" si="57"/>
        <v>0</v>
      </c>
      <c r="AM91" s="487" t="str">
        <f>IF(N91="PASA"," ",IF('CG. MPB'!E92="CONCRETO","F/DISEÑO",IF(AL91&gt;M91,"PASA","NO PASA")))</f>
        <v xml:space="preserve"> </v>
      </c>
    </row>
    <row r="92" spans="1:39">
      <c r="A92" s="684">
        <f>'CG. MPB'!A93</f>
        <v>13</v>
      </c>
      <c r="B92" s="576">
        <f>'RMCV.PB'!O92/1.3</f>
        <v>0</v>
      </c>
      <c r="C92" s="576">
        <f t="shared" si="43"/>
        <v>0</v>
      </c>
      <c r="D92" s="578">
        <f>IF('CG. MPB'!D93="NO CONFINADO",0.4,0.7)</f>
        <v>0.7</v>
      </c>
      <c r="E92" s="578">
        <f>IF('CG. MPB'!E93="CONCRETO",0.5*(0.8*250)^0.5,F92+G92+I92+J92+H92)</f>
        <v>0</v>
      </c>
      <c r="F92" s="578">
        <f>IF(AND('CG. MPB'!E93="TABIQUE",'CG. MPB'!F93="MACIZO"),IF('RMCV.PB'!$E$17="I",3.5,3),0)</f>
        <v>0</v>
      </c>
      <c r="G92" s="578">
        <f>IF(AND('CG. MPB'!E93="TABIQUE",'CG. MPB'!F93="HUECO"),IF('RMCV.PB'!$E$17="I",3,5.5),0)</f>
        <v>0</v>
      </c>
      <c r="H92" s="578">
        <f>IF('CG. MPB'!E93="ADOBE",0.3,0)</f>
        <v>0</v>
      </c>
      <c r="I92" s="578">
        <f>IF(AND('CG. MPB'!E93="TABICON",'CG. MPB'!F93="MACIZO"),IF('RMCV.PB'!$E$17="I",3,2),0)</f>
        <v>0</v>
      </c>
      <c r="J92" s="578">
        <f>IF(AND('CG. MPB'!E93="TABICON",'CG. MPB'!F93="HUECO"),IF('RMCV.PB'!$E$17="I",3.5,2.5),0)</f>
        <v>0</v>
      </c>
      <c r="K92" s="576">
        <f>'RMCV.PB'!N92</f>
        <v>0</v>
      </c>
      <c r="L92" s="918">
        <f>ABS('ELEM. MECA.'!F219)</f>
        <v>0</v>
      </c>
      <c r="M92" s="936">
        <f t="shared" si="44"/>
        <v>0</v>
      </c>
      <c r="N92" s="756" t="str">
        <f>IF('CG. MPB'!E93="CONCRETO","F/DISEÑO",IF(L92&gt;M92,IF(M92*1.05&gt;L92,"SE ACEPTA","NO PASA"),"PASA"))</f>
        <v>PASA</v>
      </c>
      <c r="O92" s="466" t="str">
        <f>IF(N92="pasa"," ",$O$24/('RMCV.PB'!C92*100))</f>
        <v xml:space="preserve"> </v>
      </c>
      <c r="P92" s="472" t="str">
        <f>IF(N92="pasa"," ",IF('CG. MPB'!E93="CONCRETO","F/DISEÑO",IF(AND(W92&gt;O92,O92&gt;X92),"BIEN","MAL")))</f>
        <v xml:space="preserve"> </v>
      </c>
      <c r="Q92" s="466">
        <f>IF('CG. MPB'!F93="MACIZO",12/'RMCS.PB'!$O$25,9/'RMCS.PB'!$O$25)</f>
        <v>2.3999999999999998E-3</v>
      </c>
      <c r="R92" s="466">
        <f t="shared" si="45"/>
        <v>0</v>
      </c>
      <c r="S92" s="466">
        <f>IF(G92=0,0,IF(AND(G92=2,'RMCV.PB'!E61="III"),30,40))</f>
        <v>0</v>
      </c>
      <c r="T92" s="466">
        <f>IF(I92=0,0,IF(AND(I92=3,'RMCV.PB'!$E$17="I"),20,15))</f>
        <v>0</v>
      </c>
      <c r="U92" s="466">
        <f>IF(J92=0,0,IF(AND(J92=3.5,'RMCV.PB'!$E$17="I"),20,15))</f>
        <v>0</v>
      </c>
      <c r="V92" s="466">
        <f t="shared" si="46"/>
        <v>0</v>
      </c>
      <c r="W92" s="466">
        <f t="shared" si="47"/>
        <v>0</v>
      </c>
      <c r="X92" s="466" t="e">
        <f>IF('CG. MPB'!E93="CONCRETO",0,IF(M92/(D92*$O$25*K92)&gt;3/$O$25,M92/(D92*$O$25*K92),3/$O$25))</f>
        <v>#DIV/0!</v>
      </c>
      <c r="Y92" s="765" t="e">
        <f t="shared" si="48"/>
        <v>#VALUE!</v>
      </c>
      <c r="Z92" s="466" t="e">
        <f t="shared" si="49"/>
        <v>#VALUE!</v>
      </c>
      <c r="AA92" s="766" t="e">
        <f t="shared" si="50"/>
        <v>#VALUE!</v>
      </c>
      <c r="AB92" s="943" t="str">
        <f t="shared" si="51"/>
        <v xml:space="preserve"> </v>
      </c>
      <c r="AC92" s="767" t="str">
        <f>IF(N92="pasa"," ",IF('CG. MPB'!E93="CONCRETO","F/DISEÑO",IF(AB92&gt;L92,"PASA","NO PASA")))</f>
        <v xml:space="preserve"> </v>
      </c>
      <c r="AD92" s="488" t="e">
        <f>$AD$23/($AD$27*'RMCV.PB'!C92)</f>
        <v>#DIV/0!</v>
      </c>
      <c r="AE92" s="482" t="e">
        <f t="shared" si="52"/>
        <v>#DIV/0!</v>
      </c>
      <c r="AF92" s="482">
        <f>IF(12/$AE$25&gt;'RMCV.PB'!F92*0.3/$AE$25,'RMCV.PB'!F92*0.3/$AE$25,12/$AE$25)</f>
        <v>0</v>
      </c>
      <c r="AG92" s="483" t="e">
        <f t="shared" si="53"/>
        <v>#DIV/0!</v>
      </c>
      <c r="AH92" s="482">
        <f>IF(9/$AE$25&gt;'RMCV.PB'!F92*0.3/$AE$25,'RMCV.PB'!F92*0.3/$AE$25,9/$AE$25)</f>
        <v>0</v>
      </c>
      <c r="AI92" s="484" t="e">
        <f t="shared" si="54"/>
        <v>#DIV/0!</v>
      </c>
      <c r="AJ92" s="485" t="e">
        <f t="shared" si="55"/>
        <v>#DIV/0!</v>
      </c>
      <c r="AK92" s="486">
        <f t="shared" si="56"/>
        <v>0</v>
      </c>
      <c r="AL92" s="486">
        <f t="shared" si="57"/>
        <v>0</v>
      </c>
      <c r="AM92" s="487" t="str">
        <f>IF(N92="PASA"," ",IF('CG. MPB'!E93="CONCRETO","F/DISEÑO",IF(AL92&gt;M92,"PASA","NO PASA")))</f>
        <v xml:space="preserve"> </v>
      </c>
    </row>
    <row r="93" spans="1:39">
      <c r="A93" s="684">
        <f>'CG. MPB'!A94</f>
        <v>14</v>
      </c>
      <c r="B93" s="576">
        <f>'RMCV.PB'!O93/1.3</f>
        <v>0</v>
      </c>
      <c r="C93" s="576">
        <f t="shared" ref="C93:C94" si="67">0.3*B93</f>
        <v>0</v>
      </c>
      <c r="D93" s="578">
        <f>IF('CG. MPB'!D94="NO CONFINADO",0.4,0.7)</f>
        <v>0.7</v>
      </c>
      <c r="E93" s="578">
        <f>IF('CG. MPB'!E94="CONCRETO",0.5*(0.8*250)^0.5,F93+G93+I93+J93+H93)</f>
        <v>0</v>
      </c>
      <c r="F93" s="578">
        <f>IF(AND('CG. MPB'!E94="TABIQUE",'CG. MPB'!F94="MACIZO"),IF('RMCV.PB'!$E$17="I",3.5,3),0)</f>
        <v>0</v>
      </c>
      <c r="G93" s="578">
        <f>IF(AND('CG. MPB'!E94="TABIQUE",'CG. MPB'!F94="HUECO"),IF('RMCV.PB'!$E$17="I",3,5.5),0)</f>
        <v>0</v>
      </c>
      <c r="H93" s="578">
        <f>IF('CG. MPB'!E94="ADOBE",0.3,0)</f>
        <v>0</v>
      </c>
      <c r="I93" s="578">
        <f>IF(AND('CG. MPB'!E94="TABICON",'CG. MPB'!F94="MACIZO"),IF('RMCV.PB'!$E$17="I",3,2),0)</f>
        <v>0</v>
      </c>
      <c r="J93" s="578">
        <f>IF(AND('CG. MPB'!E94="TABICON",'CG. MPB'!F94="HUECO"),IF('RMCV.PB'!$E$17="I",3.5,2.5),0)</f>
        <v>0</v>
      </c>
      <c r="K93" s="576">
        <f>'RMCV.PB'!N93</f>
        <v>0</v>
      </c>
      <c r="L93" s="918">
        <f>ABS('ELEM. MECA.'!F220)</f>
        <v>0</v>
      </c>
      <c r="M93" s="936">
        <f t="shared" ref="M93:M94" si="68">IF(((D93*E93*K93*0.5)+(D93*C93))&lt;(D93*E93*K93*1.5),((D93*E93*K93*0.5)+(D93*C93)),(D93*E93*K93*1.5))</f>
        <v>0</v>
      </c>
      <c r="N93" s="756" t="str">
        <f>IF('CG. MPB'!E94="CONCRETO","F/DISEÑO",IF(L93&gt;M93,IF(M93*1.05&gt;L93,"SE ACEPTA","NO PASA"),"PASA"))</f>
        <v>PASA</v>
      </c>
      <c r="O93" s="466" t="str">
        <f>IF(N93="pasa"," ",$O$24/('RMCV.PB'!C93*100))</f>
        <v xml:space="preserve"> </v>
      </c>
      <c r="P93" s="472" t="str">
        <f>IF(N93="pasa"," ",IF('CG. MPB'!E94="CONCRETO","F/DISEÑO",IF(AND(W93&gt;O93,O93&gt;X93),"BIEN","MAL")))</f>
        <v xml:space="preserve"> </v>
      </c>
      <c r="Q93" s="466">
        <f>IF('CG. MPB'!F94="MACIZO",12/'RMCS.PB'!$O$25,9/'RMCS.PB'!$O$25)</f>
        <v>2.3999999999999998E-3</v>
      </c>
      <c r="R93" s="466">
        <f t="shared" ref="R93:R94" si="69">IF(F93&gt;0,15,0)</f>
        <v>0</v>
      </c>
      <c r="S93" s="466">
        <f>IF(G93=0,0,IF(AND(G93=2,'RMCV.PB'!E62="III"),30,40))</f>
        <v>0</v>
      </c>
      <c r="T93" s="466">
        <f>IF(I93=0,0,IF(AND(I93=3,'RMCV.PB'!$E$17="I"),20,15))</f>
        <v>0</v>
      </c>
      <c r="U93" s="466">
        <f>IF(J93=0,0,IF(AND(J93=3.5,'RMCV.PB'!$E$17="I"),20,15))</f>
        <v>0</v>
      </c>
      <c r="V93" s="466">
        <f t="shared" ref="V93:V94" si="70">(R93+S93+T93+U93)*0.3/$O$25</f>
        <v>0</v>
      </c>
      <c r="W93" s="466">
        <f t="shared" ref="W93:W94" si="71">IF(Q93&gt;V93,V93,Q93)</f>
        <v>0</v>
      </c>
      <c r="X93" s="466" t="e">
        <f>IF('CG. MPB'!E94="CONCRETO",0,IF(M93/(D93*$O$25*K93)&gt;3/$O$25,M93/(D93*$O$25*K93),3/$O$25))</f>
        <v>#DIV/0!</v>
      </c>
      <c r="Y93" s="765" t="e">
        <f t="shared" ref="Y93:Y94" si="72">O93*$O$25</f>
        <v>#VALUE!</v>
      </c>
      <c r="Z93" s="466" t="e">
        <f t="shared" ref="Z93:Z94" si="73">IF(6&gt;Y93,0.6,IF(Y93&gt;9,0.2,(0.4*(9-Y93)/3)+0.2))</f>
        <v>#VALUE!</v>
      </c>
      <c r="AA93" s="766" t="e">
        <f t="shared" ref="AA93:AA94" si="74">D93*Z93*O93*$O$25*K93</f>
        <v>#VALUE!</v>
      </c>
      <c r="AB93" s="943" t="str">
        <f t="shared" ref="AB93:AB94" si="75">IF(N93="pasa"," ",AA93+M93)</f>
        <v xml:space="preserve"> </v>
      </c>
      <c r="AC93" s="767" t="str">
        <f>IF(N93="pasa"," ",IF('CG. MPB'!E94="CONCRETO","F/DISEÑO",IF(AB93&gt;L93,"PASA","NO PASA")))</f>
        <v xml:space="preserve"> </v>
      </c>
      <c r="AD93" s="488" t="e">
        <f>$AD$23/($AD$27*'RMCV.PB'!C93)</f>
        <v>#DIV/0!</v>
      </c>
      <c r="AE93" s="482" t="e">
        <f t="shared" si="52"/>
        <v>#DIV/0!</v>
      </c>
      <c r="AF93" s="482">
        <f>IF(12/$AE$25&gt;'RMCV.PB'!F93*0.3/$AE$25,'RMCV.PB'!F93*0.3/$AE$25,12/$AE$25)</f>
        <v>0</v>
      </c>
      <c r="AG93" s="483" t="e">
        <f t="shared" si="53"/>
        <v>#DIV/0!</v>
      </c>
      <c r="AH93" s="482">
        <f>IF(9/$AE$25&gt;'RMCV.PB'!F93*0.3/$AE$25,'RMCV.PB'!F93*0.3/$AE$25,9/$AE$25)</f>
        <v>0</v>
      </c>
      <c r="AI93" s="484" t="e">
        <f t="shared" si="54"/>
        <v>#DIV/0!</v>
      </c>
      <c r="AJ93" s="485" t="e">
        <f t="shared" si="55"/>
        <v>#DIV/0!</v>
      </c>
      <c r="AK93" s="486">
        <f t="shared" si="56"/>
        <v>0</v>
      </c>
      <c r="AL93" s="486">
        <f t="shared" si="57"/>
        <v>0</v>
      </c>
      <c r="AM93" s="487" t="str">
        <f>IF(N93="PASA"," ",IF('CG. MPB'!E94="CONCRETO","F/DISEÑO",IF(AL93&gt;M93,"PASA","NO PASA")))</f>
        <v xml:space="preserve"> </v>
      </c>
    </row>
    <row r="94" spans="1:39">
      <c r="A94" s="684">
        <f>'CG. MPB'!A95</f>
        <v>15</v>
      </c>
      <c r="B94" s="576">
        <f>'RMCV.PB'!O94/1.3</f>
        <v>0</v>
      </c>
      <c r="C94" s="576">
        <f t="shared" si="67"/>
        <v>0</v>
      </c>
      <c r="D94" s="578">
        <f>IF('CG. MPB'!D95="NO CONFINADO",0.4,0.7)</f>
        <v>0.7</v>
      </c>
      <c r="E94" s="578">
        <f>IF('CG. MPB'!E95="CONCRETO",0.5*(0.8*250)^0.5,F94+G94+I94+J94+H94)</f>
        <v>0</v>
      </c>
      <c r="F94" s="578">
        <f>IF(AND('CG. MPB'!E95="TABIQUE",'CG. MPB'!F95="MACIZO"),IF('RMCV.PB'!$E$17="I",3.5,3),0)</f>
        <v>0</v>
      </c>
      <c r="G94" s="578">
        <f>IF(AND('CG. MPB'!E95="TABIQUE",'CG. MPB'!F95="HUECO"),IF('RMCV.PB'!$E$17="I",3,5.5),0)</f>
        <v>0</v>
      </c>
      <c r="H94" s="578">
        <f>IF('CG. MPB'!E95="ADOBE",0.3,0)</f>
        <v>0</v>
      </c>
      <c r="I94" s="578">
        <f>IF(AND('CG. MPB'!E95="TABICON",'CG. MPB'!F95="MACIZO"),IF('RMCV.PB'!$E$17="I",3,2),0)</f>
        <v>0</v>
      </c>
      <c r="J94" s="578">
        <f>IF(AND('CG. MPB'!E95="TABICON",'CG. MPB'!F95="HUECO"),IF('RMCV.PB'!$E$17="I",3.5,2.5),0)</f>
        <v>0</v>
      </c>
      <c r="K94" s="576">
        <f>'RMCV.PB'!N94</f>
        <v>0</v>
      </c>
      <c r="L94" s="918">
        <f>ABS('ELEM. MECA.'!F221)</f>
        <v>0</v>
      </c>
      <c r="M94" s="936">
        <f t="shared" si="68"/>
        <v>0</v>
      </c>
      <c r="N94" s="756" t="str">
        <f>IF('CG. MPB'!E95="CONCRETO","F/DISEÑO",IF(L94&gt;M94,IF(M94*1.05&gt;L94,"SE ACEPTA","NO PASA"),"PASA"))</f>
        <v>PASA</v>
      </c>
      <c r="O94" s="466" t="str">
        <f>IF(N94="pasa"," ",$O$24/('RMCV.PB'!C94*100))</f>
        <v xml:space="preserve"> </v>
      </c>
      <c r="P94" s="472" t="str">
        <f>IF(N94="pasa"," ",IF('CG. MPB'!E95="CONCRETO","F/DISEÑO",IF(AND(W94&gt;O94,O94&gt;X94),"BIEN","MAL")))</f>
        <v xml:space="preserve"> </v>
      </c>
      <c r="Q94" s="466">
        <f>IF('CG. MPB'!F95="MACIZO",12/'RMCS.PB'!$O$25,9/'RMCS.PB'!$O$25)</f>
        <v>2.3999999999999998E-3</v>
      </c>
      <c r="R94" s="466">
        <f t="shared" si="69"/>
        <v>0</v>
      </c>
      <c r="S94" s="466">
        <f>IF(G94=0,0,IF(AND(G94=2,'RMCV.PB'!E63="III"),30,40))</f>
        <v>0</v>
      </c>
      <c r="T94" s="466">
        <f>IF(I94=0,0,IF(AND(I94=3,'RMCV.PB'!$E$17="I"),20,15))</f>
        <v>0</v>
      </c>
      <c r="U94" s="466">
        <f>IF(J94=0,0,IF(AND(J94=3.5,'RMCV.PB'!$E$17="I"),20,15))</f>
        <v>0</v>
      </c>
      <c r="V94" s="466">
        <f t="shared" si="70"/>
        <v>0</v>
      </c>
      <c r="W94" s="466">
        <f t="shared" si="71"/>
        <v>0</v>
      </c>
      <c r="X94" s="466" t="e">
        <f>IF('CG. MPB'!E95="CONCRETO",0,IF(M94/(D94*$O$25*K94)&gt;3/$O$25,M94/(D94*$O$25*K94),3/$O$25))</f>
        <v>#DIV/0!</v>
      </c>
      <c r="Y94" s="765" t="e">
        <f t="shared" si="72"/>
        <v>#VALUE!</v>
      </c>
      <c r="Z94" s="466" t="e">
        <f t="shared" si="73"/>
        <v>#VALUE!</v>
      </c>
      <c r="AA94" s="766" t="e">
        <f t="shared" si="74"/>
        <v>#VALUE!</v>
      </c>
      <c r="AB94" s="943" t="str">
        <f t="shared" si="75"/>
        <v xml:space="preserve"> </v>
      </c>
      <c r="AC94" s="767" t="str">
        <f>IF(N94="pasa"," ",IF('CG. MPB'!E95="CONCRETO","F/DISEÑO",IF(AB94&gt;L94,"PASA","NO PASA")))</f>
        <v xml:space="preserve"> </v>
      </c>
      <c r="AD94" s="488" t="e">
        <f>$AD$23/($AD$27*'RMCV.PB'!C94)</f>
        <v>#DIV/0!</v>
      </c>
      <c r="AE94" s="482" t="e">
        <f t="shared" si="52"/>
        <v>#DIV/0!</v>
      </c>
      <c r="AF94" s="482">
        <f>IF(12/$AE$25&gt;'RMCV.PB'!F94*0.3/$AE$25,'RMCV.PB'!F94*0.3/$AE$25,12/$AE$25)</f>
        <v>0</v>
      </c>
      <c r="AG94" s="483" t="e">
        <f t="shared" si="53"/>
        <v>#DIV/0!</v>
      </c>
      <c r="AH94" s="482">
        <f>IF(9/$AE$25&gt;'RMCV.PB'!F94*0.3/$AE$25,'RMCV.PB'!F94*0.3/$AE$25,9/$AE$25)</f>
        <v>0</v>
      </c>
      <c r="AI94" s="484" t="e">
        <f t="shared" si="54"/>
        <v>#DIV/0!</v>
      </c>
      <c r="AJ94" s="485" t="e">
        <f t="shared" si="55"/>
        <v>#DIV/0!</v>
      </c>
      <c r="AK94" s="486">
        <f t="shared" si="56"/>
        <v>0</v>
      </c>
      <c r="AL94" s="486">
        <f t="shared" si="57"/>
        <v>0</v>
      </c>
      <c r="AM94" s="487" t="str">
        <f>IF(N94="PASA"," ",IF('CG. MPB'!E95="CONCRETO","F/DISEÑO",IF(AL94&gt;M94,"PASA","NO PASA")))</f>
        <v xml:space="preserve"> </v>
      </c>
    </row>
    <row r="95" spans="1:39">
      <c r="A95" s="684">
        <f>'CG. MPB'!A96</f>
        <v>16</v>
      </c>
      <c r="B95" s="576">
        <f>'RMCV.PB'!O95/1.3</f>
        <v>0</v>
      </c>
      <c r="C95" s="576">
        <f t="shared" si="43"/>
        <v>0</v>
      </c>
      <c r="D95" s="578">
        <f>IF('CG. MPB'!D96="NO CONFINADO",0.4,0.7)</f>
        <v>0.7</v>
      </c>
      <c r="E95" s="578">
        <f>IF('CG. MPB'!E96="CONCRETO",0.5*(0.8*250)^0.5,F95+G95+I95+J95+H95)</f>
        <v>0</v>
      </c>
      <c r="F95" s="578">
        <f>IF(AND('CG. MPB'!E96="TABIQUE",'CG. MPB'!F96="MACIZO"),IF('RMCV.PB'!$E$17="I",3.5,3),0)</f>
        <v>0</v>
      </c>
      <c r="G95" s="578">
        <f>IF(AND('CG. MPB'!E96="TABIQUE",'CG. MPB'!F96="HUECO"),IF('RMCV.PB'!$E$17="I",3,5.5),0)</f>
        <v>0</v>
      </c>
      <c r="H95" s="578">
        <f>IF('CG. MPB'!E96="ADOBE",0.3,0)</f>
        <v>0</v>
      </c>
      <c r="I95" s="578">
        <f>IF(AND('CG. MPB'!E96="TABICON",'CG. MPB'!F96="MACIZO"),IF('RMCV.PB'!$E$17="I",3,2),0)</f>
        <v>0</v>
      </c>
      <c r="J95" s="578">
        <f>IF(AND('CG. MPB'!E96="TABICON",'CG. MPB'!F96="HUECO"),IF('RMCV.PB'!$E$17="I",3.5,2.5),0)</f>
        <v>0</v>
      </c>
      <c r="K95" s="576">
        <f>'RMCV.PB'!N95</f>
        <v>0</v>
      </c>
      <c r="L95" s="918">
        <f>ABS('ELEM. MECA.'!F222)</f>
        <v>0</v>
      </c>
      <c r="M95" s="936">
        <f t="shared" si="44"/>
        <v>0</v>
      </c>
      <c r="N95" s="756" t="str">
        <f>IF('CG. MPB'!E96="CONCRETO","F/DISEÑO",IF(L95&gt;M95,IF(M95*1.05&gt;L95,"SE ACEPTA","NO PASA"),"PASA"))</f>
        <v>PASA</v>
      </c>
      <c r="O95" s="466" t="str">
        <f>IF(N95="pasa"," ",$O$24/('RMCV.PB'!C95*100))</f>
        <v xml:space="preserve"> </v>
      </c>
      <c r="P95" s="472" t="str">
        <f>IF(N95="pasa"," ",IF('CG. MPB'!E96="CONCRETO","F/DISEÑO",IF(AND(W95&gt;O95,O95&gt;X95),"BIEN","MAL")))</f>
        <v xml:space="preserve"> </v>
      </c>
      <c r="Q95" s="466">
        <f>IF('CG. MPB'!F96="MACIZO",12/'RMCS.PB'!$O$25,9/'RMCS.PB'!$O$25)</f>
        <v>2.3999999999999998E-3</v>
      </c>
      <c r="R95" s="466">
        <f t="shared" si="45"/>
        <v>0</v>
      </c>
      <c r="S95" s="466">
        <f>IF(G95=0,0,IF(AND(G95=2,'RMCV.PB'!E64="III"),30,40))</f>
        <v>0</v>
      </c>
      <c r="T95" s="466">
        <f>IF(I95=0,0,IF(AND(I95=3,'RMCV.PB'!$E$17="I"),20,15))</f>
        <v>0</v>
      </c>
      <c r="U95" s="466">
        <f>IF(J95=0,0,IF(AND(J95=3.5,'RMCV.PB'!$E$17="I"),20,15))</f>
        <v>0</v>
      </c>
      <c r="V95" s="466">
        <f t="shared" si="46"/>
        <v>0</v>
      </c>
      <c r="W95" s="466">
        <f t="shared" si="47"/>
        <v>0</v>
      </c>
      <c r="X95" s="466" t="e">
        <f>IF('CG. MPB'!E96="CONCRETO",0,IF(M95/(D95*$O$25*K95)&gt;3/$O$25,M95/(D95*$O$25*K95),3/$O$25))</f>
        <v>#DIV/0!</v>
      </c>
      <c r="Y95" s="765" t="e">
        <f t="shared" si="48"/>
        <v>#VALUE!</v>
      </c>
      <c r="Z95" s="466" t="e">
        <f t="shared" si="49"/>
        <v>#VALUE!</v>
      </c>
      <c r="AA95" s="766" t="e">
        <f t="shared" si="50"/>
        <v>#VALUE!</v>
      </c>
      <c r="AB95" s="943" t="str">
        <f t="shared" si="51"/>
        <v xml:space="preserve"> </v>
      </c>
      <c r="AC95" s="767" t="str">
        <f>IF(N95="pasa"," ",IF('CG. MPB'!E96="CONCRETO","F/DISEÑO",IF(AB95&gt;L95,"PASA","NO PASA")))</f>
        <v xml:space="preserve"> </v>
      </c>
      <c r="AD95" s="488" t="e">
        <f>$AD$23/($AD$27*'RMCV.PB'!C95)</f>
        <v>#DIV/0!</v>
      </c>
      <c r="AE95" s="482" t="e">
        <f t="shared" si="52"/>
        <v>#DIV/0!</v>
      </c>
      <c r="AF95" s="482">
        <f>IF(12/$AE$25&gt;'RMCV.PB'!F95*0.3/$AE$25,'RMCV.PB'!F95*0.3/$AE$25,12/$AE$25)</f>
        <v>0</v>
      </c>
      <c r="AG95" s="483" t="e">
        <f t="shared" si="53"/>
        <v>#DIV/0!</v>
      </c>
      <c r="AH95" s="482">
        <f>IF(9/$AE$25&gt;'RMCV.PB'!F95*0.3/$AE$25,'RMCV.PB'!F95*0.3/$AE$25,9/$AE$25)</f>
        <v>0</v>
      </c>
      <c r="AI95" s="484" t="e">
        <f t="shared" si="54"/>
        <v>#DIV/0!</v>
      </c>
      <c r="AJ95" s="485" t="e">
        <f t="shared" si="55"/>
        <v>#DIV/0!</v>
      </c>
      <c r="AK95" s="486">
        <f t="shared" si="56"/>
        <v>0</v>
      </c>
      <c r="AL95" s="486">
        <f t="shared" si="57"/>
        <v>0</v>
      </c>
      <c r="AM95" s="487" t="str">
        <f>IF(N95="PASA"," ",IF('CG. MPB'!E96="CONCRETO","F/DISEÑO",IF(AL95&gt;M95,"PASA","NO PASA")))</f>
        <v xml:space="preserve"> </v>
      </c>
    </row>
    <row r="96" spans="1:39">
      <c r="A96" s="684">
        <f>'CG. MPB'!A97</f>
        <v>17</v>
      </c>
      <c r="B96" s="576">
        <f>'RMCV.PB'!O96/1.3</f>
        <v>0</v>
      </c>
      <c r="C96" s="576">
        <f t="shared" si="43"/>
        <v>0</v>
      </c>
      <c r="D96" s="578">
        <f>IF('CG. MPB'!D97="NO CONFINADO",0.4,0.7)</f>
        <v>0.7</v>
      </c>
      <c r="E96" s="578">
        <f>IF('CG. MPB'!E97="CONCRETO",0.5*(0.8*250)^0.5,F96+G96+I96+J96+H96)</f>
        <v>0</v>
      </c>
      <c r="F96" s="578">
        <f>IF(AND('CG. MPB'!E97="TABIQUE",'CG. MPB'!F97="MACIZO"),IF('RMCV.PB'!$E$17="I",3.5,3),0)</f>
        <v>0</v>
      </c>
      <c r="G96" s="578">
        <f>IF(AND('CG. MPB'!E97="TABIQUE",'CG. MPB'!F97="HUECO"),IF('RMCV.PB'!$E$17="I",3,5.5),0)</f>
        <v>0</v>
      </c>
      <c r="H96" s="578">
        <f>IF('CG. MPB'!E97="ADOBE",0.3,0)</f>
        <v>0</v>
      </c>
      <c r="I96" s="578">
        <f>IF(AND('CG. MPB'!E97="TABICON",'CG. MPB'!F97="MACIZO"),IF('RMCV.PB'!$E$17="I",3,2),0)</f>
        <v>0</v>
      </c>
      <c r="J96" s="578">
        <f>IF(AND('CG. MPB'!E97="TABICON",'CG. MPB'!F97="HUECO"),IF('RMCV.PB'!$E$17="I",3.5,2.5),0)</f>
        <v>0</v>
      </c>
      <c r="K96" s="576">
        <f>'RMCV.PB'!N96</f>
        <v>0</v>
      </c>
      <c r="L96" s="918">
        <f>ABS('ELEM. MECA.'!F223)</f>
        <v>0</v>
      </c>
      <c r="M96" s="936">
        <f t="shared" si="44"/>
        <v>0</v>
      </c>
      <c r="N96" s="756" t="str">
        <f>IF('CG. MPB'!E97="CONCRETO","F/DISEÑO",IF(L96&gt;M96,IF(M96*1.05&gt;L96,"SE ACEPTA","NO PASA"),"PASA"))</f>
        <v>PASA</v>
      </c>
      <c r="O96" s="466" t="str">
        <f>IF(N96="pasa"," ",$O$24/('RMCV.PB'!C96*100))</f>
        <v xml:space="preserve"> </v>
      </c>
      <c r="P96" s="472" t="str">
        <f>IF(N96="pasa"," ",IF('CG. MPB'!E97="CONCRETO","F/DISEÑO",IF(AND(W96&gt;O96,O96&gt;X96),"BIEN","MAL")))</f>
        <v xml:space="preserve"> </v>
      </c>
      <c r="Q96" s="466">
        <f>IF('CG. MPB'!F97="MACIZO",12/'RMCS.PB'!$O$25,9/'RMCS.PB'!$O$25)</f>
        <v>2.3999999999999998E-3</v>
      </c>
      <c r="R96" s="466">
        <f t="shared" si="45"/>
        <v>0</v>
      </c>
      <c r="S96" s="466">
        <f>IF(G96=0,0,IF(AND(G96=2,'RMCV.PB'!E65="III"),30,40))</f>
        <v>0</v>
      </c>
      <c r="T96" s="466">
        <f>IF(I96=0,0,IF(AND(I96=3,'RMCV.PB'!$E$17="I"),20,15))</f>
        <v>0</v>
      </c>
      <c r="U96" s="466">
        <f>IF(J96=0,0,IF(AND(J96=3.5,'RMCV.PB'!$E$17="I"),20,15))</f>
        <v>0</v>
      </c>
      <c r="V96" s="466">
        <f t="shared" si="46"/>
        <v>0</v>
      </c>
      <c r="W96" s="466">
        <f t="shared" si="47"/>
        <v>0</v>
      </c>
      <c r="X96" s="466" t="e">
        <f>IF('CG. MPB'!E97="CONCRETO",0,IF(M96/(D96*$O$25*K96)&gt;3/$O$25,M96/(D96*$O$25*K96),3/$O$25))</f>
        <v>#DIV/0!</v>
      </c>
      <c r="Y96" s="765" t="e">
        <f t="shared" si="48"/>
        <v>#VALUE!</v>
      </c>
      <c r="Z96" s="466" t="e">
        <f t="shared" si="49"/>
        <v>#VALUE!</v>
      </c>
      <c r="AA96" s="766" t="e">
        <f t="shared" si="50"/>
        <v>#VALUE!</v>
      </c>
      <c r="AB96" s="943" t="str">
        <f t="shared" si="51"/>
        <v xml:space="preserve"> </v>
      </c>
      <c r="AC96" s="767" t="str">
        <f>IF(N96="pasa"," ",IF('CG. MPB'!E97="CONCRETO","F/DISEÑO",IF(AB96&gt;L96,"PASA","NO PASA")))</f>
        <v xml:space="preserve"> </v>
      </c>
      <c r="AD96" s="488" t="e">
        <f>$AD$23/($AD$27*'RMCV.PB'!C96)</f>
        <v>#DIV/0!</v>
      </c>
      <c r="AE96" s="482" t="e">
        <f t="shared" si="52"/>
        <v>#DIV/0!</v>
      </c>
      <c r="AF96" s="482">
        <f>IF(12/$AE$25&gt;'RMCV.PB'!F96*0.3/$AE$25,'RMCV.PB'!F96*0.3/$AE$25,12/$AE$25)</f>
        <v>0</v>
      </c>
      <c r="AG96" s="483" t="e">
        <f t="shared" si="53"/>
        <v>#DIV/0!</v>
      </c>
      <c r="AH96" s="482">
        <f>IF(9/$AE$25&gt;'RMCV.PB'!F96*0.3/$AE$25,'RMCV.PB'!F96*0.3/$AE$25,9/$AE$25)</f>
        <v>0</v>
      </c>
      <c r="AI96" s="484" t="e">
        <f t="shared" si="54"/>
        <v>#DIV/0!</v>
      </c>
      <c r="AJ96" s="485" t="e">
        <f t="shared" si="55"/>
        <v>#DIV/0!</v>
      </c>
      <c r="AK96" s="486">
        <f t="shared" si="56"/>
        <v>0</v>
      </c>
      <c r="AL96" s="486">
        <f t="shared" si="57"/>
        <v>0</v>
      </c>
      <c r="AM96" s="487" t="str">
        <f>IF(N96="PASA"," ",IF('CG. MPB'!E97="CONCRETO","F/DISEÑO",IF(AL96&gt;M96,"PASA","NO PASA")))</f>
        <v xml:space="preserve"> </v>
      </c>
    </row>
    <row r="97" spans="1:39">
      <c r="A97" s="684">
        <f>'CG. MPB'!A98</f>
        <v>18</v>
      </c>
      <c r="B97" s="576">
        <f>'RMCV.PB'!O97/1.3</f>
        <v>0</v>
      </c>
      <c r="C97" s="576">
        <f t="shared" si="43"/>
        <v>0</v>
      </c>
      <c r="D97" s="578">
        <f>IF('CG. MPB'!D98="NO CONFINADO",0.4,0.7)</f>
        <v>0.7</v>
      </c>
      <c r="E97" s="578">
        <f>IF('CG. MPB'!E98="CONCRETO",0.5*(0.8*250)^0.5,F97+G97+I97+J97+H97)</f>
        <v>0</v>
      </c>
      <c r="F97" s="578">
        <f>IF(AND('CG. MPB'!E98="TABIQUE",'CG. MPB'!F98="MACIZO"),IF('RMCV.PB'!$E$17="I",3.5,3),0)</f>
        <v>0</v>
      </c>
      <c r="G97" s="578">
        <f>IF(AND('CG. MPB'!E98="TABIQUE",'CG. MPB'!F98="HUECO"),IF('RMCV.PB'!$E$17="I",3,5.5),0)</f>
        <v>0</v>
      </c>
      <c r="H97" s="578">
        <f>IF('CG. MPB'!E98="ADOBE",0.3,0)</f>
        <v>0</v>
      </c>
      <c r="I97" s="578">
        <f>IF(AND('CG. MPB'!E98="TABICON",'CG. MPB'!F98="MACIZO"),IF('RMCV.PB'!$E$17="I",3,2),0)</f>
        <v>0</v>
      </c>
      <c r="J97" s="578">
        <f>IF(AND('CG. MPB'!E98="TABICON",'CG. MPB'!F98="HUECO"),IF('RMCV.PB'!$E$17="I",3.5,2.5),0)</f>
        <v>0</v>
      </c>
      <c r="K97" s="576">
        <f>'RMCV.PB'!N97</f>
        <v>0</v>
      </c>
      <c r="L97" s="918">
        <f>ABS('ELEM. MECA.'!F224)</f>
        <v>0</v>
      </c>
      <c r="M97" s="936">
        <f t="shared" si="44"/>
        <v>0</v>
      </c>
      <c r="N97" s="756" t="str">
        <f>IF('CG. MPB'!E98="CONCRETO","F/DISEÑO",IF(L97&gt;M97,IF(M97*1.05&gt;L97,"SE ACEPTA","NO PASA"),"PASA"))</f>
        <v>PASA</v>
      </c>
      <c r="O97" s="466" t="str">
        <f>IF(N97="pasa"," ",$O$24/('RMCV.PB'!C97*100))</f>
        <v xml:space="preserve"> </v>
      </c>
      <c r="P97" s="472" t="str">
        <f>IF(N97="pasa"," ",IF('CG. MPB'!E98="CONCRETO","F/DISEÑO",IF(AND(W97&gt;O97,O97&gt;X97),"BIEN","MAL")))</f>
        <v xml:space="preserve"> </v>
      </c>
      <c r="Q97" s="466">
        <f>IF('CG. MPB'!F98="MACIZO",12/'RMCS.PB'!$O$25,9/'RMCS.PB'!$O$25)</f>
        <v>2.3999999999999998E-3</v>
      </c>
      <c r="R97" s="466">
        <f t="shared" si="45"/>
        <v>0</v>
      </c>
      <c r="S97" s="466">
        <f>IF(G97=0,0,IF(AND(G97=2,'RMCV.PB'!E66="III"),30,40))</f>
        <v>0</v>
      </c>
      <c r="T97" s="466">
        <f>IF(I97=0,0,IF(AND(I97=3,'RMCV.PB'!$E$17="I"),20,15))</f>
        <v>0</v>
      </c>
      <c r="U97" s="466">
        <f>IF(J97=0,0,IF(AND(J97=3.5,'RMCV.PB'!$E$17="I"),20,15))</f>
        <v>0</v>
      </c>
      <c r="V97" s="466">
        <f t="shared" si="46"/>
        <v>0</v>
      </c>
      <c r="W97" s="466">
        <f t="shared" si="47"/>
        <v>0</v>
      </c>
      <c r="X97" s="466" t="e">
        <f>IF('CG. MPB'!E98="CONCRETO",0,IF(M97/(D97*$O$25*K97)&gt;3/$O$25,M97/(D97*$O$25*K97),3/$O$25))</f>
        <v>#DIV/0!</v>
      </c>
      <c r="Y97" s="765" t="e">
        <f t="shared" si="48"/>
        <v>#VALUE!</v>
      </c>
      <c r="Z97" s="466" t="e">
        <f t="shared" si="49"/>
        <v>#VALUE!</v>
      </c>
      <c r="AA97" s="766" t="e">
        <f t="shared" si="50"/>
        <v>#VALUE!</v>
      </c>
      <c r="AB97" s="943" t="str">
        <f t="shared" si="51"/>
        <v xml:space="preserve"> </v>
      </c>
      <c r="AC97" s="767" t="str">
        <f>IF(N97="pasa"," ",IF('CG. MPB'!E98="CONCRETO","F/DISEÑO",IF(AB97&gt;L97,"PASA","NO PASA")))</f>
        <v xml:space="preserve"> </v>
      </c>
      <c r="AD97" s="488" t="e">
        <f>$AD$23/($AD$27*'RMCV.PB'!C97)</f>
        <v>#DIV/0!</v>
      </c>
      <c r="AE97" s="482" t="e">
        <f t="shared" si="52"/>
        <v>#DIV/0!</v>
      </c>
      <c r="AF97" s="482">
        <f>IF(12/$AE$25&gt;'RMCV.PB'!F97*0.3/$AE$25,'RMCV.PB'!F97*0.3/$AE$25,12/$AE$25)</f>
        <v>0</v>
      </c>
      <c r="AG97" s="483" t="e">
        <f t="shared" si="53"/>
        <v>#DIV/0!</v>
      </c>
      <c r="AH97" s="482">
        <f>IF(9/$AE$25&gt;'RMCV.PB'!F97*0.3/$AE$25,'RMCV.PB'!F97*0.3/$AE$25,9/$AE$25)</f>
        <v>0</v>
      </c>
      <c r="AI97" s="484" t="e">
        <f t="shared" si="54"/>
        <v>#DIV/0!</v>
      </c>
      <c r="AJ97" s="485" t="e">
        <f t="shared" si="55"/>
        <v>#DIV/0!</v>
      </c>
      <c r="AK97" s="486">
        <f t="shared" si="56"/>
        <v>0</v>
      </c>
      <c r="AL97" s="486">
        <f t="shared" si="57"/>
        <v>0</v>
      </c>
      <c r="AM97" s="487" t="str">
        <f>IF(N97="PASA"," ",IF('CG. MPB'!E98="CONCRETO","F/DISEÑO",IF(AL97&gt;M97,"PASA","NO PASA")))</f>
        <v xml:space="preserve"> </v>
      </c>
    </row>
    <row r="98" spans="1:39">
      <c r="A98" s="684">
        <f>'CG. MPB'!A99</f>
        <v>19</v>
      </c>
      <c r="B98" s="576">
        <f>'RMCV.PB'!O98/1.3</f>
        <v>0</v>
      </c>
      <c r="C98" s="576">
        <f t="shared" si="43"/>
        <v>0</v>
      </c>
      <c r="D98" s="578">
        <f>IF('CG. MPB'!D99="NO CONFINADO",0.4,0.7)</f>
        <v>0.7</v>
      </c>
      <c r="E98" s="578">
        <f>IF('CG. MPB'!E99="CONCRETO",0.5*(0.8*250)^0.5,F98+G98+I98+J98+H98)</f>
        <v>0</v>
      </c>
      <c r="F98" s="578">
        <f>IF(AND('CG. MPB'!E99="TABIQUE",'CG. MPB'!F99="MACIZO"),IF('RMCV.PB'!$E$17="I",3.5,3),0)</f>
        <v>0</v>
      </c>
      <c r="G98" s="578">
        <f>IF(AND('CG. MPB'!E99="TABIQUE",'CG. MPB'!F99="HUECO"),IF('RMCV.PB'!$E$17="I",3,5.5),0)</f>
        <v>0</v>
      </c>
      <c r="H98" s="578">
        <f>IF('CG. MPB'!E99="ADOBE",0.3,0)</f>
        <v>0</v>
      </c>
      <c r="I98" s="578">
        <f>IF(AND('CG. MPB'!E99="TABICON",'CG. MPB'!F99="MACIZO"),IF('RMCV.PB'!$E$17="I",3,2),0)</f>
        <v>0</v>
      </c>
      <c r="J98" s="578">
        <f>IF(AND('CG. MPB'!E99="TABICON",'CG. MPB'!F99="HUECO"),IF('RMCV.PB'!$E$17="I",3.5,2.5),0)</f>
        <v>0</v>
      </c>
      <c r="K98" s="576">
        <f>'RMCV.PB'!N98</f>
        <v>0</v>
      </c>
      <c r="L98" s="918">
        <f>ABS('ELEM. MECA.'!F225)</f>
        <v>0</v>
      </c>
      <c r="M98" s="936">
        <f t="shared" si="44"/>
        <v>0</v>
      </c>
      <c r="N98" s="756" t="str">
        <f>IF('CG. MPB'!E99="CONCRETO","F/DISEÑO",IF(L98&gt;M98,IF(M98*1.05&gt;L98,"SE ACEPTA","NO PASA"),"PASA"))</f>
        <v>PASA</v>
      </c>
      <c r="O98" s="466" t="str">
        <f>IF(N98="pasa"," ",$O$24/('RMCV.PB'!C98*100))</f>
        <v xml:space="preserve"> </v>
      </c>
      <c r="P98" s="472" t="str">
        <f>IF(N98="pasa"," ",IF('CG. MPB'!E99="CONCRETO","F/DISEÑO",IF(AND(W98&gt;O98,O98&gt;X98),"BIEN","MAL")))</f>
        <v xml:space="preserve"> </v>
      </c>
      <c r="Q98" s="466">
        <f>IF('CG. MPB'!F99="MACIZO",12/'RMCS.PB'!$O$25,9/'RMCS.PB'!$O$25)</f>
        <v>2.3999999999999998E-3</v>
      </c>
      <c r="R98" s="466">
        <f t="shared" si="45"/>
        <v>0</v>
      </c>
      <c r="S98" s="466">
        <f>IF(G98=0,0,IF(AND(G98=2,'RMCV.PB'!E67="III"),30,40))</f>
        <v>0</v>
      </c>
      <c r="T98" s="466">
        <f>IF(I98=0,0,IF(AND(I98=3,'RMCV.PB'!$E$17="I"),20,15))</f>
        <v>0</v>
      </c>
      <c r="U98" s="466">
        <f>IF(J98=0,0,IF(AND(J98=3.5,'RMCV.PB'!$E$17="I"),20,15))</f>
        <v>0</v>
      </c>
      <c r="V98" s="466">
        <f t="shared" si="46"/>
        <v>0</v>
      </c>
      <c r="W98" s="466">
        <f t="shared" si="47"/>
        <v>0</v>
      </c>
      <c r="X98" s="466" t="e">
        <f>IF('CG. MPB'!E99="CONCRETO",0,IF(M98/(D98*$O$25*K98)&gt;3/$O$25,M98/(D98*$O$25*K98),3/$O$25))</f>
        <v>#DIV/0!</v>
      </c>
      <c r="Y98" s="765" t="e">
        <f t="shared" si="48"/>
        <v>#VALUE!</v>
      </c>
      <c r="Z98" s="466" t="e">
        <f t="shared" si="49"/>
        <v>#VALUE!</v>
      </c>
      <c r="AA98" s="766" t="e">
        <f t="shared" si="50"/>
        <v>#VALUE!</v>
      </c>
      <c r="AB98" s="943" t="str">
        <f t="shared" si="51"/>
        <v xml:space="preserve"> </v>
      </c>
      <c r="AC98" s="767" t="str">
        <f>IF(N98="pasa"," ",IF('CG. MPB'!E99="CONCRETO","F/DISEÑO",IF(AB98&gt;L98,"PASA","NO PASA")))</f>
        <v xml:space="preserve"> </v>
      </c>
      <c r="AD98" s="488" t="e">
        <f>$AD$23/($AD$27*'RMCV.PB'!C98)</f>
        <v>#DIV/0!</v>
      </c>
      <c r="AE98" s="482" t="e">
        <f t="shared" si="52"/>
        <v>#DIV/0!</v>
      </c>
      <c r="AF98" s="482">
        <f>IF(12/$AE$25&gt;'RMCV.PB'!F98*0.3/$AE$25,'RMCV.PB'!F98*0.3/$AE$25,12/$AE$25)</f>
        <v>0</v>
      </c>
      <c r="AG98" s="483" t="e">
        <f t="shared" si="53"/>
        <v>#DIV/0!</v>
      </c>
      <c r="AH98" s="482">
        <f>IF(9/$AE$25&gt;'RMCV.PB'!F98*0.3/$AE$25,'RMCV.PB'!F98*0.3/$AE$25,9/$AE$25)</f>
        <v>0</v>
      </c>
      <c r="AI98" s="484" t="e">
        <f t="shared" si="54"/>
        <v>#DIV/0!</v>
      </c>
      <c r="AJ98" s="485" t="e">
        <f t="shared" si="55"/>
        <v>#DIV/0!</v>
      </c>
      <c r="AK98" s="486">
        <f t="shared" si="56"/>
        <v>0</v>
      </c>
      <c r="AL98" s="486">
        <f t="shared" si="57"/>
        <v>0</v>
      </c>
      <c r="AM98" s="487" t="str">
        <f>IF(N98="PASA"," ",IF('CG. MPB'!E99="CONCRETO","F/DISEÑO",IF(AL98&gt;M98,"PASA","NO PASA")))</f>
        <v xml:space="preserve"> </v>
      </c>
    </row>
    <row r="99" spans="1:39">
      <c r="A99" s="684">
        <f>'CG. MPB'!A100</f>
        <v>20</v>
      </c>
      <c r="B99" s="576">
        <f>'RMCV.PB'!O99/1.3</f>
        <v>0</v>
      </c>
      <c r="C99" s="576">
        <f t="shared" si="43"/>
        <v>0</v>
      </c>
      <c r="D99" s="578">
        <f>IF('CG. MPB'!D100="NO CONFINADO",0.4,0.7)</f>
        <v>0.7</v>
      </c>
      <c r="E99" s="578">
        <f>IF('CG. MPB'!E100="CONCRETO",0.5*(0.8*250)^0.5,F99+G99+I99+J99+H99)</f>
        <v>0</v>
      </c>
      <c r="F99" s="578">
        <f>IF(AND('CG. MPB'!E100="TABIQUE",'CG. MPB'!F100="MACIZO"),IF('RMCV.PB'!$E$17="I",3.5,3),0)</f>
        <v>0</v>
      </c>
      <c r="G99" s="578">
        <f>IF(AND('CG. MPB'!E100="TABIQUE",'CG. MPB'!F100="HUECO"),IF('RMCV.PB'!$E$17="I",3,5.5),0)</f>
        <v>0</v>
      </c>
      <c r="H99" s="578">
        <f>IF('CG. MPB'!E100="ADOBE",0.3,0)</f>
        <v>0</v>
      </c>
      <c r="I99" s="578">
        <f>IF(AND('CG. MPB'!E100="TABICON",'CG. MPB'!F100="MACIZO"),IF('RMCV.PB'!$E$17="I",3,2),0)</f>
        <v>0</v>
      </c>
      <c r="J99" s="578">
        <f>IF(AND('CG. MPB'!E100="TABICON",'CG. MPB'!F100="HUECO"),IF('RMCV.PB'!$E$17="I",3.5,2.5),0)</f>
        <v>0</v>
      </c>
      <c r="K99" s="576">
        <f>'RMCV.PB'!N99</f>
        <v>0</v>
      </c>
      <c r="L99" s="918">
        <f>ABS('ELEM. MECA.'!F226)</f>
        <v>0</v>
      </c>
      <c r="M99" s="936">
        <f t="shared" si="44"/>
        <v>0</v>
      </c>
      <c r="N99" s="756" t="str">
        <f>IF('CG. MPB'!E100="CONCRETO","F/DISEÑO",IF(L99&gt;M99,IF(M99*1.05&gt;L99,"SE ACEPTA","NO PASA"),"PASA"))</f>
        <v>PASA</v>
      </c>
      <c r="O99" s="466" t="str">
        <f>IF(N99="pasa"," ",$O$24/('RMCV.PB'!C99*100))</f>
        <v xml:space="preserve"> </v>
      </c>
      <c r="P99" s="472" t="str">
        <f>IF(N99="pasa"," ",IF('CG. MPB'!E100="CONCRETO","F/DISEÑO",IF(AND(W99&gt;O99,O99&gt;X99),"BIEN","MAL")))</f>
        <v xml:space="preserve"> </v>
      </c>
      <c r="Q99" s="466">
        <f>IF('CG. MPB'!F100="MACIZO",12/'RMCS.PB'!$O$25,9/'RMCS.PB'!$O$25)</f>
        <v>2.3999999999999998E-3</v>
      </c>
      <c r="R99" s="466">
        <f t="shared" si="45"/>
        <v>0</v>
      </c>
      <c r="S99" s="466">
        <f>IF(G99=0,0,IF(AND(G99=2,'RMCV.PB'!E68="III"),30,40))</f>
        <v>0</v>
      </c>
      <c r="T99" s="466">
        <f>IF(I99=0,0,IF(AND(I99=3,'RMCV.PB'!$E$17="I"),20,15))</f>
        <v>0</v>
      </c>
      <c r="U99" s="466">
        <f>IF(J99=0,0,IF(AND(J99=3.5,'RMCV.PB'!$E$17="I"),20,15))</f>
        <v>0</v>
      </c>
      <c r="V99" s="466">
        <f t="shared" si="46"/>
        <v>0</v>
      </c>
      <c r="W99" s="466">
        <f t="shared" si="47"/>
        <v>0</v>
      </c>
      <c r="X99" s="466" t="e">
        <f>IF('CG. MPB'!E100="CONCRETO",0,IF(M99/(D99*$O$25*K99)&gt;3/$O$25,M99/(D99*$O$25*K99),3/$O$25))</f>
        <v>#DIV/0!</v>
      </c>
      <c r="Y99" s="765" t="e">
        <f t="shared" si="48"/>
        <v>#VALUE!</v>
      </c>
      <c r="Z99" s="466" t="e">
        <f t="shared" si="49"/>
        <v>#VALUE!</v>
      </c>
      <c r="AA99" s="766" t="e">
        <f t="shared" si="50"/>
        <v>#VALUE!</v>
      </c>
      <c r="AB99" s="943" t="str">
        <f t="shared" si="51"/>
        <v xml:space="preserve"> </v>
      </c>
      <c r="AC99" s="767" t="str">
        <f>IF(N99="pasa"," ",IF('CG. MPB'!E100="CONCRETO","F/DISEÑO",IF(AB99&gt;L99,"PASA","NO PASA")))</f>
        <v xml:space="preserve"> </v>
      </c>
      <c r="AD99" s="488" t="e">
        <f>$AD$23/($AD$27*'RMCV.PB'!C99)</f>
        <v>#DIV/0!</v>
      </c>
      <c r="AE99" s="482" t="e">
        <f t="shared" si="52"/>
        <v>#DIV/0!</v>
      </c>
      <c r="AF99" s="482">
        <f>IF(12/$AE$25&gt;'RMCV.PB'!F99*0.3/$AE$25,'RMCV.PB'!F99*0.3/$AE$25,12/$AE$25)</f>
        <v>0</v>
      </c>
      <c r="AG99" s="483" t="e">
        <f t="shared" si="53"/>
        <v>#DIV/0!</v>
      </c>
      <c r="AH99" s="482">
        <f>IF(9/$AE$25&gt;'RMCV.PB'!F99*0.3/$AE$25,'RMCV.PB'!F99*0.3/$AE$25,9/$AE$25)</f>
        <v>0</v>
      </c>
      <c r="AI99" s="484" t="e">
        <f t="shared" si="54"/>
        <v>#DIV/0!</v>
      </c>
      <c r="AJ99" s="485" t="e">
        <f t="shared" si="55"/>
        <v>#DIV/0!</v>
      </c>
      <c r="AK99" s="486">
        <f t="shared" si="56"/>
        <v>0</v>
      </c>
      <c r="AL99" s="486">
        <f t="shared" si="57"/>
        <v>0</v>
      </c>
      <c r="AM99" s="487" t="str">
        <f>IF(N99="PASA"," ",IF('CG. MPB'!E100="CONCRETO","F/DISEÑO",IF(AL99&gt;M99,"PASA","NO PASA")))</f>
        <v xml:space="preserve"> </v>
      </c>
    </row>
    <row r="100" spans="1:39">
      <c r="A100" s="684">
        <f>'CG. MPB'!A101</f>
        <v>21</v>
      </c>
      <c r="B100" s="576">
        <f>'RMCV.PB'!O100/1.3</f>
        <v>0</v>
      </c>
      <c r="C100" s="576">
        <f t="shared" si="43"/>
        <v>0</v>
      </c>
      <c r="D100" s="578">
        <f>IF('CG. MPB'!D101="NO CONFINADO",0.4,0.7)</f>
        <v>0.7</v>
      </c>
      <c r="E100" s="578">
        <f>IF('CG. MPB'!E101="CONCRETO",0.5*(0.8*250)^0.5,F100+G100+I100+J100+H100)</f>
        <v>0</v>
      </c>
      <c r="F100" s="578">
        <f>IF(AND('CG. MPB'!E101="TABIQUE",'CG. MPB'!F101="MACIZO"),IF('RMCV.PB'!$E$17="I",3.5,3),0)</f>
        <v>0</v>
      </c>
      <c r="G100" s="578">
        <f>IF(AND('CG. MPB'!E101="TABIQUE",'CG. MPB'!F101="HUECO"),IF('RMCV.PB'!$E$17="I",3,5.5),0)</f>
        <v>0</v>
      </c>
      <c r="H100" s="578">
        <f>IF('CG. MPB'!E101="ADOBE",0.3,0)</f>
        <v>0</v>
      </c>
      <c r="I100" s="578">
        <f>IF(AND('CG. MPB'!E101="TABICON",'CG. MPB'!F101="MACIZO"),IF('RMCV.PB'!$E$17="I",3,2),0)</f>
        <v>0</v>
      </c>
      <c r="J100" s="578">
        <f>IF(AND('CG. MPB'!E101="TABICON",'CG. MPB'!F101="HUECO"),IF('RMCV.PB'!$E$17="I",3.5,2.5),0)</f>
        <v>0</v>
      </c>
      <c r="K100" s="576">
        <f>'RMCV.PB'!N100</f>
        <v>0</v>
      </c>
      <c r="L100" s="918">
        <f>ABS('ELEM. MECA.'!F227)</f>
        <v>0</v>
      </c>
      <c r="M100" s="936">
        <f t="shared" si="44"/>
        <v>0</v>
      </c>
      <c r="N100" s="756" t="str">
        <f>IF('CG. MPB'!E101="CONCRETO","F/DISEÑO",IF(L100&gt;M100,IF(M100*1.05&gt;L100,"SE ACEPTA","NO PASA"),"PASA"))</f>
        <v>PASA</v>
      </c>
      <c r="O100" s="466" t="str">
        <f>IF(N100="pasa"," ",$O$24/('RMCV.PB'!C100*100))</f>
        <v xml:space="preserve"> </v>
      </c>
      <c r="P100" s="472" t="str">
        <f>IF(N100="pasa"," ",IF('CG. MPB'!E101="CONCRETO","F/DISEÑO",IF(AND(W100&gt;O100,O100&gt;X100),"BIEN","MAL")))</f>
        <v xml:space="preserve"> </v>
      </c>
      <c r="Q100" s="466">
        <f>IF('CG. MPB'!F101="MACIZO",12/'RMCS.PB'!$O$25,9/'RMCS.PB'!$O$25)</f>
        <v>2.3999999999999998E-3</v>
      </c>
      <c r="R100" s="466">
        <f t="shared" si="45"/>
        <v>0</v>
      </c>
      <c r="S100" s="466">
        <f>IF(G100=0,0,IF(AND(G100=2,'RMCV.PB'!E69="III"),30,40))</f>
        <v>0</v>
      </c>
      <c r="T100" s="466">
        <f>IF(I100=0,0,IF(AND(I100=3,'RMCV.PB'!$E$17="I"),20,15))</f>
        <v>0</v>
      </c>
      <c r="U100" s="466">
        <f>IF(J100=0,0,IF(AND(J100=3.5,'RMCV.PB'!$E$17="I"),20,15))</f>
        <v>0</v>
      </c>
      <c r="V100" s="466">
        <f t="shared" si="46"/>
        <v>0</v>
      </c>
      <c r="W100" s="466">
        <f t="shared" si="47"/>
        <v>0</v>
      </c>
      <c r="X100" s="466" t="e">
        <f>IF('CG. MPB'!E101="CONCRETO",0,IF(M100/(D100*$O$25*K100)&gt;3/$O$25,M100/(D100*$O$25*K100),3/$O$25))</f>
        <v>#DIV/0!</v>
      </c>
      <c r="Y100" s="765" t="e">
        <f t="shared" si="48"/>
        <v>#VALUE!</v>
      </c>
      <c r="Z100" s="466" t="e">
        <f t="shared" si="49"/>
        <v>#VALUE!</v>
      </c>
      <c r="AA100" s="766" t="e">
        <f t="shared" si="50"/>
        <v>#VALUE!</v>
      </c>
      <c r="AB100" s="943" t="str">
        <f t="shared" si="51"/>
        <v xml:space="preserve"> </v>
      </c>
      <c r="AC100" s="767" t="str">
        <f>IF(N100="pasa"," ",IF('CG. MPB'!E101="CONCRETO","F/DISEÑO",IF(AB100&gt;L100,"PASA","NO PASA")))</f>
        <v xml:space="preserve"> </v>
      </c>
      <c r="AD100" s="488" t="e">
        <f>$AD$23/($AD$27*'RMCV.PB'!C100)</f>
        <v>#DIV/0!</v>
      </c>
      <c r="AE100" s="482" t="e">
        <f t="shared" si="52"/>
        <v>#DIV/0!</v>
      </c>
      <c r="AF100" s="482">
        <f>IF(12/$AE$25&gt;'RMCV.PB'!F100*0.3/$AE$25,'RMCV.PB'!F100*0.3/$AE$25,12/$AE$25)</f>
        <v>0</v>
      </c>
      <c r="AG100" s="483" t="e">
        <f t="shared" si="53"/>
        <v>#DIV/0!</v>
      </c>
      <c r="AH100" s="482">
        <f>IF(9/$AE$25&gt;'RMCV.PB'!F100*0.3/$AE$25,'RMCV.PB'!F100*0.3/$AE$25,9/$AE$25)</f>
        <v>0</v>
      </c>
      <c r="AI100" s="484" t="e">
        <f t="shared" si="54"/>
        <v>#DIV/0!</v>
      </c>
      <c r="AJ100" s="485" t="e">
        <f t="shared" si="55"/>
        <v>#DIV/0!</v>
      </c>
      <c r="AK100" s="486">
        <f t="shared" si="56"/>
        <v>0</v>
      </c>
      <c r="AL100" s="486">
        <f t="shared" si="57"/>
        <v>0</v>
      </c>
      <c r="AM100" s="487" t="str">
        <f>IF(N100="PASA"," ",IF('CG. MPB'!E101="CONCRETO","F/DISEÑO",IF(AL100&gt;M100,"PASA","NO PASA")))</f>
        <v xml:space="preserve"> </v>
      </c>
    </row>
    <row r="101" spans="1:39">
      <c r="A101" s="684">
        <f>'CG. MPB'!A102</f>
        <v>22</v>
      </c>
      <c r="B101" s="576">
        <f>'RMCV.PB'!O101/1.3</f>
        <v>0</v>
      </c>
      <c r="C101" s="576">
        <f t="shared" si="43"/>
        <v>0</v>
      </c>
      <c r="D101" s="578">
        <f>IF('CG. MPB'!D102="NO CONFINADO",0.4,0.7)</f>
        <v>0.7</v>
      </c>
      <c r="E101" s="578">
        <f>IF('CG. MPB'!E102="CONCRETO",0.5*(0.8*250)^0.5,F101+G101+I101+J101+H101)</f>
        <v>0</v>
      </c>
      <c r="F101" s="578">
        <f>IF(AND('CG. MPB'!E102="TABIQUE",'CG. MPB'!F102="MACIZO"),IF('RMCV.PB'!$E$17="I",3.5,3),0)</f>
        <v>0</v>
      </c>
      <c r="G101" s="578">
        <f>IF(AND('CG. MPB'!E102="TABIQUE",'CG. MPB'!F102="HUECO"),IF('RMCV.PB'!$E$17="I",3,5.5),0)</f>
        <v>0</v>
      </c>
      <c r="H101" s="578">
        <f>IF('CG. MPB'!E102="ADOBE",0.3,0)</f>
        <v>0</v>
      </c>
      <c r="I101" s="578">
        <f>IF(AND('CG. MPB'!E102="TABICON",'CG. MPB'!F102="MACIZO"),IF('RMCV.PB'!$E$17="I",3,2),0)</f>
        <v>0</v>
      </c>
      <c r="J101" s="578">
        <f>IF(AND('CG. MPB'!E102="TABICON",'CG. MPB'!F102="HUECO"),IF('RMCV.PB'!$E$17="I",3.5,2.5),0)</f>
        <v>0</v>
      </c>
      <c r="K101" s="576">
        <f>'RMCV.PB'!N101</f>
        <v>0</v>
      </c>
      <c r="L101" s="918">
        <f>ABS('ELEM. MECA.'!F228)</f>
        <v>0</v>
      </c>
      <c r="M101" s="936">
        <f t="shared" si="44"/>
        <v>0</v>
      </c>
      <c r="N101" s="756" t="str">
        <f>IF('CG. MPB'!E102="CONCRETO","F/DISEÑO",IF(L101&gt;M101,IF(M101*1.05&gt;L101,"SE ACEPTA","NO PASA"),"PASA"))</f>
        <v>PASA</v>
      </c>
      <c r="O101" s="466" t="str">
        <f>IF(N101="pasa"," ",$O$24/('RMCV.PB'!C101*100))</f>
        <v xml:space="preserve"> </v>
      </c>
      <c r="P101" s="472" t="str">
        <f>IF(N101="pasa"," ",IF('CG. MPB'!E102="CONCRETO","F/DISEÑO",IF(AND(W101&gt;O101,O101&gt;X101),"BIEN","MAL")))</f>
        <v xml:space="preserve"> </v>
      </c>
      <c r="Q101" s="466">
        <f>IF('CG. MPB'!F102="MACIZO",12/'RMCS.PB'!$O$25,9/'RMCS.PB'!$O$25)</f>
        <v>2.3999999999999998E-3</v>
      </c>
      <c r="R101" s="466">
        <f t="shared" si="45"/>
        <v>0</v>
      </c>
      <c r="S101" s="466">
        <f>IF(G101=0,0,IF(AND(G101=2,'RMCV.PB'!E70="III"),30,40))</f>
        <v>0</v>
      </c>
      <c r="T101" s="466">
        <f>IF(I101=0,0,IF(AND(I101=3,'RMCV.PB'!$E$17="I"),20,15))</f>
        <v>0</v>
      </c>
      <c r="U101" s="466">
        <f>IF(J101=0,0,IF(AND(J101=3.5,'RMCV.PB'!$E$17="I"),20,15))</f>
        <v>0</v>
      </c>
      <c r="V101" s="466">
        <f t="shared" si="46"/>
        <v>0</v>
      </c>
      <c r="W101" s="466">
        <f t="shared" si="47"/>
        <v>0</v>
      </c>
      <c r="X101" s="466" t="e">
        <f>IF('CG. MPB'!E102="CONCRETO",0,IF(M101/(D101*$O$25*K101)&gt;3/$O$25,M101/(D101*$O$25*K101),3/$O$25))</f>
        <v>#DIV/0!</v>
      </c>
      <c r="Y101" s="765" t="e">
        <f t="shared" si="48"/>
        <v>#VALUE!</v>
      </c>
      <c r="Z101" s="466" t="e">
        <f t="shared" si="49"/>
        <v>#VALUE!</v>
      </c>
      <c r="AA101" s="766" t="e">
        <f t="shared" si="50"/>
        <v>#VALUE!</v>
      </c>
      <c r="AB101" s="943" t="str">
        <f t="shared" si="51"/>
        <v xml:space="preserve"> </v>
      </c>
      <c r="AC101" s="767" t="str">
        <f>IF(N101="pasa"," ",IF('CG. MPB'!E102="CONCRETO","F/DISEÑO",IF(AB101&gt;L101,"PASA","NO PASA")))</f>
        <v xml:space="preserve"> </v>
      </c>
      <c r="AD101" s="488" t="e">
        <f>$AD$23/($AD$27*'RMCV.PB'!C101)</f>
        <v>#DIV/0!</v>
      </c>
      <c r="AE101" s="482" t="e">
        <f t="shared" si="52"/>
        <v>#DIV/0!</v>
      </c>
      <c r="AF101" s="482">
        <f>IF(12/$AE$25&gt;'RMCV.PB'!F101*0.3/$AE$25,'RMCV.PB'!F101*0.3/$AE$25,12/$AE$25)</f>
        <v>0</v>
      </c>
      <c r="AG101" s="483" t="e">
        <f t="shared" si="53"/>
        <v>#DIV/0!</v>
      </c>
      <c r="AH101" s="482">
        <f>IF(9/$AE$25&gt;'RMCV.PB'!F101*0.3/$AE$25,'RMCV.PB'!F101*0.3/$AE$25,9/$AE$25)</f>
        <v>0</v>
      </c>
      <c r="AI101" s="484" t="e">
        <f t="shared" si="54"/>
        <v>#DIV/0!</v>
      </c>
      <c r="AJ101" s="485" t="e">
        <f t="shared" si="55"/>
        <v>#DIV/0!</v>
      </c>
      <c r="AK101" s="486">
        <f t="shared" si="56"/>
        <v>0</v>
      </c>
      <c r="AL101" s="486">
        <f t="shared" si="57"/>
        <v>0</v>
      </c>
      <c r="AM101" s="487" t="str">
        <f>IF(N101="PASA"," ",IF('CG. MPB'!E102="CONCRETO","F/DISEÑO",IF(AL101&gt;M101,"PASA","NO PASA")))</f>
        <v xml:space="preserve"> </v>
      </c>
    </row>
    <row r="102" spans="1:39">
      <c r="A102" s="684">
        <f>'CG. MPB'!A103</f>
        <v>23</v>
      </c>
      <c r="B102" s="576">
        <f>'RMCV.PB'!O102/1.3</f>
        <v>0</v>
      </c>
      <c r="C102" s="576">
        <f t="shared" si="43"/>
        <v>0</v>
      </c>
      <c r="D102" s="578">
        <f>IF('CG. MPB'!D103="NO CONFINADO",0.4,0.7)</f>
        <v>0.7</v>
      </c>
      <c r="E102" s="578">
        <f>IF('CG. MPB'!E103="CONCRETO",0.5*(0.8*250)^0.5,F102+G102+I102+J102+H102)</f>
        <v>0</v>
      </c>
      <c r="F102" s="578">
        <f>IF(AND('CG. MPB'!E103="TABIQUE",'CG. MPB'!F103="MACIZO"),IF('RMCV.PB'!$E$17="I",3.5,3),0)</f>
        <v>0</v>
      </c>
      <c r="G102" s="578">
        <f>IF(AND('CG. MPB'!E103="TABIQUE",'CG. MPB'!F103="HUECO"),IF('RMCV.PB'!$E$17="I",3,5.5),0)</f>
        <v>0</v>
      </c>
      <c r="H102" s="578">
        <f>IF('CG. MPB'!E103="ADOBE",0.3,0)</f>
        <v>0</v>
      </c>
      <c r="I102" s="578">
        <f>IF(AND('CG. MPB'!E103="TABICON",'CG. MPB'!F103="MACIZO"),IF('RMCV.PB'!$E$17="I",3,2),0)</f>
        <v>0</v>
      </c>
      <c r="J102" s="578">
        <f>IF(AND('CG. MPB'!E103="TABICON",'CG. MPB'!F103="HUECO"),IF('RMCV.PB'!$E$17="I",3.5,2.5),0)</f>
        <v>0</v>
      </c>
      <c r="K102" s="576">
        <f>'RMCV.PB'!N102</f>
        <v>0</v>
      </c>
      <c r="L102" s="918">
        <f>ABS('ELEM. MECA.'!F229)</f>
        <v>0</v>
      </c>
      <c r="M102" s="936">
        <f t="shared" si="44"/>
        <v>0</v>
      </c>
      <c r="N102" s="756" t="str">
        <f>IF('CG. MPB'!E103="CONCRETO","F/DISEÑO",IF(L102&gt;M102,IF(M102*1.05&gt;L102,"SE ACEPTA","NO PASA"),"PASA"))</f>
        <v>PASA</v>
      </c>
      <c r="O102" s="466" t="str">
        <f>IF(N102="pasa"," ",$O$24/('RMCV.PB'!C102*100))</f>
        <v xml:space="preserve"> </v>
      </c>
      <c r="P102" s="472" t="str">
        <f>IF(N102="pasa"," ",IF('CG. MPB'!E103="CONCRETO","F/DISEÑO",IF(AND(W102&gt;O102,O102&gt;X102),"BIEN","MAL")))</f>
        <v xml:space="preserve"> </v>
      </c>
      <c r="Q102" s="466">
        <f>IF('CG. MPB'!F103="MACIZO",12/'RMCS.PB'!$O$25,9/'RMCS.PB'!$O$25)</f>
        <v>2.3999999999999998E-3</v>
      </c>
      <c r="R102" s="466">
        <f t="shared" si="45"/>
        <v>0</v>
      </c>
      <c r="S102" s="466">
        <f>IF(G102=0,0,IF(AND(G102=2,'RMCV.PB'!E71="III"),30,40))</f>
        <v>0</v>
      </c>
      <c r="T102" s="466">
        <f>IF(I102=0,0,IF(AND(I102=3,'RMCV.PB'!$E$17="I"),20,15))</f>
        <v>0</v>
      </c>
      <c r="U102" s="466">
        <f>IF(J102=0,0,IF(AND(J102=3.5,'RMCV.PB'!$E$17="I"),20,15))</f>
        <v>0</v>
      </c>
      <c r="V102" s="466">
        <f t="shared" si="46"/>
        <v>0</v>
      </c>
      <c r="W102" s="466">
        <f t="shared" si="47"/>
        <v>0</v>
      </c>
      <c r="X102" s="466" t="e">
        <f>IF('CG. MPB'!E103="CONCRETO",0,IF(M102/(D102*$O$25*K102)&gt;3/$O$25,M102/(D102*$O$25*K102),3/$O$25))</f>
        <v>#DIV/0!</v>
      </c>
      <c r="Y102" s="765" t="e">
        <f t="shared" si="48"/>
        <v>#VALUE!</v>
      </c>
      <c r="Z102" s="466" t="e">
        <f t="shared" si="49"/>
        <v>#VALUE!</v>
      </c>
      <c r="AA102" s="766" t="e">
        <f t="shared" si="50"/>
        <v>#VALUE!</v>
      </c>
      <c r="AB102" s="943" t="str">
        <f t="shared" si="51"/>
        <v xml:space="preserve"> </v>
      </c>
      <c r="AC102" s="767" t="str">
        <f>IF(N102="pasa"," ",IF('CG. MPB'!E103="CONCRETO","F/DISEÑO",IF(AB102&gt;L102,"PASA","NO PASA")))</f>
        <v xml:space="preserve"> </v>
      </c>
      <c r="AD102" s="488" t="e">
        <f>$AD$23/($AD$27*'RMCV.PB'!C102)</f>
        <v>#DIV/0!</v>
      </c>
      <c r="AE102" s="482" t="e">
        <f t="shared" si="52"/>
        <v>#DIV/0!</v>
      </c>
      <c r="AF102" s="482">
        <f>IF(12/$AE$25&gt;'RMCV.PB'!F102*0.3/$AE$25,'RMCV.PB'!F102*0.3/$AE$25,12/$AE$25)</f>
        <v>0</v>
      </c>
      <c r="AG102" s="483" t="e">
        <f t="shared" si="53"/>
        <v>#DIV/0!</v>
      </c>
      <c r="AH102" s="482">
        <f>IF(9/$AE$25&gt;'RMCV.PB'!F102*0.3/$AE$25,'RMCV.PB'!F102*0.3/$AE$25,9/$AE$25)</f>
        <v>0</v>
      </c>
      <c r="AI102" s="484" t="e">
        <f t="shared" si="54"/>
        <v>#DIV/0!</v>
      </c>
      <c r="AJ102" s="485" t="e">
        <f t="shared" si="55"/>
        <v>#DIV/0!</v>
      </c>
      <c r="AK102" s="486">
        <f t="shared" si="56"/>
        <v>0</v>
      </c>
      <c r="AL102" s="486">
        <f t="shared" si="57"/>
        <v>0</v>
      </c>
      <c r="AM102" s="487" t="str">
        <f>IF(N102="PASA"," ",IF('CG. MPB'!E103="CONCRETO","F/DISEÑO",IF(AL102&gt;M102,"PASA","NO PASA")))</f>
        <v xml:space="preserve"> </v>
      </c>
    </row>
    <row r="103" spans="1:39">
      <c r="A103" s="684">
        <f>'CG. MPB'!A104</f>
        <v>24</v>
      </c>
      <c r="B103" s="576">
        <f>'RMCV.PB'!O103/1.3</f>
        <v>0</v>
      </c>
      <c r="C103" s="576">
        <f t="shared" si="43"/>
        <v>0</v>
      </c>
      <c r="D103" s="578">
        <f>IF('CG. MPB'!D104="NO CONFINADO",0.4,0.7)</f>
        <v>0.7</v>
      </c>
      <c r="E103" s="578">
        <f>IF('CG. MPB'!E104="CONCRETO",0.5*(0.8*250)^0.5,F103+G103+I103+J103+H103)</f>
        <v>0</v>
      </c>
      <c r="F103" s="578">
        <f>IF(AND('CG. MPB'!E104="TABIQUE",'CG. MPB'!F104="MACIZO"),IF('RMCV.PB'!$E$17="I",3.5,3),0)</f>
        <v>0</v>
      </c>
      <c r="G103" s="578">
        <f>IF(AND('CG. MPB'!E104="TABIQUE",'CG. MPB'!F104="HUECO"),IF('RMCV.PB'!$E$17="I",3,5.5),0)</f>
        <v>0</v>
      </c>
      <c r="H103" s="578">
        <f>IF('CG. MPB'!E104="ADOBE",0.3,0)</f>
        <v>0</v>
      </c>
      <c r="I103" s="578">
        <f>IF(AND('CG. MPB'!E104="TABICON",'CG. MPB'!F104="MACIZO"),IF('RMCV.PB'!$E$17="I",3,2),0)</f>
        <v>0</v>
      </c>
      <c r="J103" s="578">
        <f>IF(AND('CG. MPB'!E104="TABICON",'CG. MPB'!F104="HUECO"),IF('RMCV.PB'!$E$17="I",3.5,2.5),0)</f>
        <v>0</v>
      </c>
      <c r="K103" s="576">
        <f>'RMCV.PB'!N103</f>
        <v>0</v>
      </c>
      <c r="L103" s="918">
        <f>ABS('ELEM. MECA.'!F230)</f>
        <v>0</v>
      </c>
      <c r="M103" s="936">
        <f t="shared" si="44"/>
        <v>0</v>
      </c>
      <c r="N103" s="756" t="str">
        <f>IF('CG. MPB'!E104="CONCRETO","F/DISEÑO",IF(L103&gt;M103,IF(M103*1.05&gt;L103,"SE ACEPTA","NO PASA"),"PASA"))</f>
        <v>PASA</v>
      </c>
      <c r="O103" s="466" t="str">
        <f>IF(N103="pasa"," ",$O$24/('RMCV.PB'!C103*100))</f>
        <v xml:space="preserve"> </v>
      </c>
      <c r="P103" s="472" t="str">
        <f>IF(N103="pasa"," ",IF('CG. MPB'!E104="CONCRETO","F/DISEÑO",IF(AND(W103&gt;O103,O103&gt;X103),"BIEN","MAL")))</f>
        <v xml:space="preserve"> </v>
      </c>
      <c r="Q103" s="466">
        <f>IF('CG. MPB'!F104="MACIZO",12/'RMCS.PB'!$O$25,9/'RMCS.PB'!$O$25)</f>
        <v>2.3999999999999998E-3</v>
      </c>
      <c r="R103" s="466">
        <f t="shared" si="45"/>
        <v>0</v>
      </c>
      <c r="S103" s="466">
        <f>IF(G103=0,0,IF(AND(G103=2,'RMCV.PB'!E72="III"),30,40))</f>
        <v>0</v>
      </c>
      <c r="T103" s="466">
        <f>IF(I103=0,0,IF(AND(I103=3,'RMCV.PB'!$E$17="I"),20,15))</f>
        <v>0</v>
      </c>
      <c r="U103" s="466">
        <f>IF(J103=0,0,IF(AND(J103=3.5,'RMCV.PB'!$E$17="I"),20,15))</f>
        <v>0</v>
      </c>
      <c r="V103" s="466">
        <f t="shared" si="46"/>
        <v>0</v>
      </c>
      <c r="W103" s="466">
        <f t="shared" si="47"/>
        <v>0</v>
      </c>
      <c r="X103" s="466" t="e">
        <f>IF('CG. MPB'!E104="CONCRETO",0,IF(M103/(D103*$O$25*K103)&gt;3/$O$25,M103/(D103*$O$25*K103),3/$O$25))</f>
        <v>#DIV/0!</v>
      </c>
      <c r="Y103" s="765" t="e">
        <f t="shared" si="48"/>
        <v>#VALUE!</v>
      </c>
      <c r="Z103" s="466" t="e">
        <f t="shared" si="49"/>
        <v>#VALUE!</v>
      </c>
      <c r="AA103" s="766" t="e">
        <f t="shared" si="50"/>
        <v>#VALUE!</v>
      </c>
      <c r="AB103" s="943" t="str">
        <f t="shared" si="51"/>
        <v xml:space="preserve"> </v>
      </c>
      <c r="AC103" s="767" t="str">
        <f>IF(N103="pasa"," ",IF('CG. MPB'!E104="CONCRETO","F/DISEÑO",IF(AB103&gt;L103,"PASA","NO PASA")))</f>
        <v xml:space="preserve"> </v>
      </c>
      <c r="AD103" s="488" t="e">
        <f>$AD$23/($AD$27*'RMCV.PB'!C103)</f>
        <v>#DIV/0!</v>
      </c>
      <c r="AE103" s="482" t="e">
        <f t="shared" si="52"/>
        <v>#DIV/0!</v>
      </c>
      <c r="AF103" s="482">
        <f>IF(12/$AE$25&gt;'RMCV.PB'!F103*0.3/$AE$25,'RMCV.PB'!F103*0.3/$AE$25,12/$AE$25)</f>
        <v>0</v>
      </c>
      <c r="AG103" s="483" t="e">
        <f t="shared" si="53"/>
        <v>#DIV/0!</v>
      </c>
      <c r="AH103" s="482">
        <f>IF(9/$AE$25&gt;'RMCV.PB'!F103*0.3/$AE$25,'RMCV.PB'!F103*0.3/$AE$25,9/$AE$25)</f>
        <v>0</v>
      </c>
      <c r="AI103" s="484" t="e">
        <f t="shared" si="54"/>
        <v>#DIV/0!</v>
      </c>
      <c r="AJ103" s="485" t="e">
        <f t="shared" si="55"/>
        <v>#DIV/0!</v>
      </c>
      <c r="AK103" s="486">
        <f t="shared" si="56"/>
        <v>0</v>
      </c>
      <c r="AL103" s="486">
        <f t="shared" si="57"/>
        <v>0</v>
      </c>
      <c r="AM103" s="487" t="str">
        <f>IF(N103="PASA"," ",IF('CG. MPB'!E104="CONCRETO","F/DISEÑO",IF(AL103&gt;M103,"PASA","NO PASA")))</f>
        <v xml:space="preserve"> </v>
      </c>
    </row>
    <row r="104" spans="1:39">
      <c r="A104" s="684">
        <f>'CG. MPB'!A105</f>
        <v>25</v>
      </c>
      <c r="B104" s="576">
        <f>'RMCV.PB'!O104/1.3</f>
        <v>0</v>
      </c>
      <c r="C104" s="576">
        <f t="shared" si="43"/>
        <v>0</v>
      </c>
      <c r="D104" s="578">
        <f>IF('CG. MPB'!D105="NO CONFINADO",0.4,0.7)</f>
        <v>0.7</v>
      </c>
      <c r="E104" s="578">
        <f>IF('CG. MPB'!E105="CONCRETO",0.5*(0.8*250)^0.5,F104+G104+I104+J104+H104)</f>
        <v>0</v>
      </c>
      <c r="F104" s="578">
        <f>IF(AND('CG. MPB'!E105="TABIQUE",'CG. MPB'!F105="MACIZO"),IF('RMCV.PB'!$E$17="I",3.5,3),0)</f>
        <v>0</v>
      </c>
      <c r="G104" s="578">
        <f>IF(AND('CG. MPB'!E105="TABIQUE",'CG. MPB'!F105="HUECO"),IF('RMCV.PB'!$E$17="I",3,5.5),0)</f>
        <v>0</v>
      </c>
      <c r="H104" s="578">
        <f>IF('CG. MPB'!E105="ADOBE",0.3,0)</f>
        <v>0</v>
      </c>
      <c r="I104" s="578">
        <f>IF(AND('CG. MPB'!E105="TABICON",'CG. MPB'!F105="MACIZO"),IF('RMCV.PB'!$E$17="I",3,2),0)</f>
        <v>0</v>
      </c>
      <c r="J104" s="578">
        <f>IF(AND('CG. MPB'!E105="TABICON",'CG. MPB'!F105="HUECO"),IF('RMCV.PB'!$E$17="I",3.5,2.5),0)</f>
        <v>0</v>
      </c>
      <c r="K104" s="576">
        <f>'RMCV.PB'!N104</f>
        <v>0</v>
      </c>
      <c r="L104" s="918">
        <f>ABS('ELEM. MECA.'!F231)</f>
        <v>0</v>
      </c>
      <c r="M104" s="936">
        <f t="shared" si="44"/>
        <v>0</v>
      </c>
      <c r="N104" s="756" t="str">
        <f>IF('CG. MPB'!E105="CONCRETO","F/DISEÑO",IF(L104&gt;M104,IF(M104*1.05&gt;L104,"SE ACEPTA","NO PASA"),"PASA"))</f>
        <v>PASA</v>
      </c>
      <c r="O104" s="466" t="str">
        <f>IF(N104="pasa"," ",$O$24/('RMCV.PB'!C104*100))</f>
        <v xml:space="preserve"> </v>
      </c>
      <c r="P104" s="472" t="str">
        <f>IF(N104="pasa"," ",IF('CG. MPB'!E105="CONCRETO","F/DISEÑO",IF(AND(W104&gt;O104,O104&gt;X104),"BIEN","MAL")))</f>
        <v xml:space="preserve"> </v>
      </c>
      <c r="Q104" s="466">
        <f>IF('CG. MPB'!F105="MACIZO",12/'RMCS.PB'!$O$25,9/'RMCS.PB'!$O$25)</f>
        <v>2.3999999999999998E-3</v>
      </c>
      <c r="R104" s="466">
        <f t="shared" si="45"/>
        <v>0</v>
      </c>
      <c r="S104" s="466">
        <f>IF(G104=0,0,IF(AND(G104=2,'RMCV.PB'!E73="III"),30,40))</f>
        <v>0</v>
      </c>
      <c r="T104" s="466">
        <f>IF(I104=0,0,IF(AND(I104=3,'RMCV.PB'!$E$17="I"),20,15))</f>
        <v>0</v>
      </c>
      <c r="U104" s="466">
        <f>IF(J104=0,0,IF(AND(J104=3.5,'RMCV.PB'!$E$17="I"),20,15))</f>
        <v>0</v>
      </c>
      <c r="V104" s="466">
        <f t="shared" si="46"/>
        <v>0</v>
      </c>
      <c r="W104" s="466">
        <f t="shared" si="47"/>
        <v>0</v>
      </c>
      <c r="X104" s="466" t="e">
        <f>IF('CG. MPB'!E105="CONCRETO",0,IF(M104/(D104*$O$25*K104)&gt;3/$O$25,M104/(D104*$O$25*K104),3/$O$25))</f>
        <v>#DIV/0!</v>
      </c>
      <c r="Y104" s="765" t="e">
        <f t="shared" si="48"/>
        <v>#VALUE!</v>
      </c>
      <c r="Z104" s="466" t="e">
        <f t="shared" si="49"/>
        <v>#VALUE!</v>
      </c>
      <c r="AA104" s="766" t="e">
        <f t="shared" si="50"/>
        <v>#VALUE!</v>
      </c>
      <c r="AB104" s="943" t="str">
        <f t="shared" si="51"/>
        <v xml:space="preserve"> </v>
      </c>
      <c r="AC104" s="767" t="str">
        <f>IF(N104="pasa"," ",IF('CG. MPB'!E105="CONCRETO","F/DISEÑO",IF(AB104&gt;L104,"PASA","NO PASA")))</f>
        <v xml:space="preserve"> </v>
      </c>
      <c r="AD104" s="488" t="e">
        <f>$AD$23/($AD$27*'RMCV.PB'!C104)</f>
        <v>#DIV/0!</v>
      </c>
      <c r="AE104" s="482" t="e">
        <f t="shared" si="52"/>
        <v>#DIV/0!</v>
      </c>
      <c r="AF104" s="482">
        <f>IF(12/$AE$25&gt;'RMCV.PB'!F104*0.3/$AE$25,'RMCV.PB'!F104*0.3/$AE$25,12/$AE$25)</f>
        <v>0</v>
      </c>
      <c r="AG104" s="483" t="e">
        <f t="shared" si="53"/>
        <v>#DIV/0!</v>
      </c>
      <c r="AH104" s="482">
        <f>IF(9/$AE$25&gt;'RMCV.PB'!F104*0.3/$AE$25,'RMCV.PB'!F104*0.3/$AE$25,9/$AE$25)</f>
        <v>0</v>
      </c>
      <c r="AI104" s="484" t="e">
        <f t="shared" si="54"/>
        <v>#DIV/0!</v>
      </c>
      <c r="AJ104" s="485" t="e">
        <f t="shared" si="55"/>
        <v>#DIV/0!</v>
      </c>
      <c r="AK104" s="486">
        <f t="shared" si="56"/>
        <v>0</v>
      </c>
      <c r="AL104" s="486">
        <f t="shared" si="57"/>
        <v>0</v>
      </c>
      <c r="AM104" s="487" t="str">
        <f>IF(N104="PASA"," ",IF('CG. MPB'!E105="CONCRETO","F/DISEÑO",IF(AL104&gt;M104,"PASA","NO PASA")))</f>
        <v xml:space="preserve"> </v>
      </c>
    </row>
    <row r="105" spans="1:39">
      <c r="A105" s="684">
        <f>'CG. MPB'!A106</f>
        <v>26</v>
      </c>
      <c r="B105" s="576">
        <f>'RMCV.PB'!O105/1.3</f>
        <v>0</v>
      </c>
      <c r="C105" s="576">
        <f t="shared" si="43"/>
        <v>0</v>
      </c>
      <c r="D105" s="578">
        <f>IF('CG. MPB'!D106="NO CONFINADO",0.4,0.7)</f>
        <v>0.7</v>
      </c>
      <c r="E105" s="578">
        <f>IF('CG. MPB'!E106="CONCRETO",0.5*(0.8*250)^0.5,F105+G105+I105+J105+H105)</f>
        <v>0</v>
      </c>
      <c r="F105" s="578">
        <f>IF(AND('CG. MPB'!E106="TABIQUE",'CG. MPB'!F106="MACIZO"),IF('RMCV.PB'!$E$17="I",3.5,3),0)</f>
        <v>0</v>
      </c>
      <c r="G105" s="578">
        <f>IF(AND('CG. MPB'!E106="TABIQUE",'CG. MPB'!F106="HUECO"),IF('RMCV.PB'!$E$17="I",3,5.5),0)</f>
        <v>0</v>
      </c>
      <c r="H105" s="578">
        <f>IF('CG. MPB'!E106="ADOBE",0.3,0)</f>
        <v>0</v>
      </c>
      <c r="I105" s="578">
        <f>IF(AND('CG. MPB'!E106="TABICON",'CG. MPB'!F106="MACIZO"),IF('RMCV.PB'!$E$17="I",3,2),0)</f>
        <v>0</v>
      </c>
      <c r="J105" s="578">
        <f>IF(AND('CG. MPB'!E106="TABICON",'CG. MPB'!F106="HUECO"),IF('RMCV.PB'!$E$17="I",3.5,2.5),0)</f>
        <v>0</v>
      </c>
      <c r="K105" s="576">
        <f>'RMCV.PB'!N105</f>
        <v>0</v>
      </c>
      <c r="L105" s="918">
        <f>ABS('ELEM. MECA.'!F232)</f>
        <v>0</v>
      </c>
      <c r="M105" s="936">
        <f t="shared" si="44"/>
        <v>0</v>
      </c>
      <c r="N105" s="756" t="str">
        <f>IF('CG. MPB'!E106="CONCRETO","F/DISEÑO",IF(L105&gt;M105,IF(M105*1.05&gt;L105,"SE ACEPTA","NO PASA"),"PASA"))</f>
        <v>PASA</v>
      </c>
      <c r="O105" s="466" t="str">
        <f>IF(N105="pasa"," ",$O$24/('RMCV.PB'!C105*100))</f>
        <v xml:space="preserve"> </v>
      </c>
      <c r="P105" s="472" t="str">
        <f>IF(N105="pasa"," ",IF('CG. MPB'!E106="CONCRETO","F/DISEÑO",IF(AND(W105&gt;O105,O105&gt;X105),"BIEN","MAL")))</f>
        <v xml:space="preserve"> </v>
      </c>
      <c r="Q105" s="466">
        <f>IF('CG. MPB'!F106="MACIZO",12/'RMCS.PB'!$O$25,9/'RMCS.PB'!$O$25)</f>
        <v>2.3999999999999998E-3</v>
      </c>
      <c r="R105" s="466">
        <f t="shared" si="45"/>
        <v>0</v>
      </c>
      <c r="S105" s="466">
        <f>IF(G105=0,0,IF(AND(G105=2,'RMCV.PB'!E74="III"),30,40))</f>
        <v>0</v>
      </c>
      <c r="T105" s="466">
        <f>IF(I105=0,0,IF(AND(I105=3,'RMCV.PB'!$E$17="I"),20,15))</f>
        <v>0</v>
      </c>
      <c r="U105" s="466">
        <f>IF(J105=0,0,IF(AND(J105=3.5,'RMCV.PB'!$E$17="I"),20,15))</f>
        <v>0</v>
      </c>
      <c r="V105" s="466">
        <f t="shared" si="46"/>
        <v>0</v>
      </c>
      <c r="W105" s="466">
        <f t="shared" si="47"/>
        <v>0</v>
      </c>
      <c r="X105" s="466" t="e">
        <f>IF('CG. MPB'!E106="CONCRETO",0,IF(M105/(D105*$O$25*K105)&gt;3/$O$25,M105/(D105*$O$25*K105),3/$O$25))</f>
        <v>#DIV/0!</v>
      </c>
      <c r="Y105" s="765" t="e">
        <f t="shared" si="48"/>
        <v>#VALUE!</v>
      </c>
      <c r="Z105" s="466" t="e">
        <f t="shared" si="49"/>
        <v>#VALUE!</v>
      </c>
      <c r="AA105" s="766" t="e">
        <f t="shared" si="50"/>
        <v>#VALUE!</v>
      </c>
      <c r="AB105" s="943" t="str">
        <f t="shared" si="51"/>
        <v xml:space="preserve"> </v>
      </c>
      <c r="AC105" s="767" t="str">
        <f>IF(N105="pasa"," ",IF('CG. MPB'!E106="CONCRETO","F/DISEÑO",IF(AB105&gt;L105,"PASA","NO PASA")))</f>
        <v xml:space="preserve"> </v>
      </c>
      <c r="AD105" s="488" t="e">
        <f>$AD$23/($AD$27*'RMCV.PB'!C105)</f>
        <v>#DIV/0!</v>
      </c>
      <c r="AE105" s="482" t="e">
        <f t="shared" si="52"/>
        <v>#DIV/0!</v>
      </c>
      <c r="AF105" s="482">
        <f>IF(12/$AE$25&gt;'RMCV.PB'!F105*0.3/$AE$25,'RMCV.PB'!F105*0.3/$AE$25,12/$AE$25)</f>
        <v>0</v>
      </c>
      <c r="AG105" s="483" t="e">
        <f t="shared" si="53"/>
        <v>#DIV/0!</v>
      </c>
      <c r="AH105" s="482">
        <f>IF(9/$AE$25&gt;'RMCV.PB'!F105*0.3/$AE$25,'RMCV.PB'!F105*0.3/$AE$25,9/$AE$25)</f>
        <v>0</v>
      </c>
      <c r="AI105" s="484" t="e">
        <f t="shared" si="54"/>
        <v>#DIV/0!</v>
      </c>
      <c r="AJ105" s="485" t="e">
        <f t="shared" si="55"/>
        <v>#DIV/0!</v>
      </c>
      <c r="AK105" s="486">
        <f t="shared" si="56"/>
        <v>0</v>
      </c>
      <c r="AL105" s="486">
        <f t="shared" si="57"/>
        <v>0</v>
      </c>
      <c r="AM105" s="487" t="str">
        <f>IF(N105="PASA"," ",IF('CG. MPB'!E106="CONCRETO","F/DISEÑO",IF(AL105&gt;M105,"PASA","NO PASA")))</f>
        <v xml:space="preserve"> </v>
      </c>
    </row>
    <row r="106" spans="1:39">
      <c r="A106" s="684">
        <f>'CG. MPB'!A107</f>
        <v>27</v>
      </c>
      <c r="B106" s="576">
        <f>'RMCV.PB'!O106/1.3</f>
        <v>0</v>
      </c>
      <c r="C106" s="576">
        <f t="shared" si="43"/>
        <v>0</v>
      </c>
      <c r="D106" s="578">
        <f>IF('CG. MPB'!D107="NO CONFINADO",0.4,0.7)</f>
        <v>0.7</v>
      </c>
      <c r="E106" s="578">
        <f>IF('CG. MPB'!E107="CONCRETO",0.5*(0.8*250)^0.5,F106+G106+I106+J106+H106)</f>
        <v>0</v>
      </c>
      <c r="F106" s="578">
        <f>IF(AND('CG. MPB'!E107="TABIQUE",'CG. MPB'!F107="MACIZO"),IF('RMCV.PB'!$E$17="I",3.5,3),0)</f>
        <v>0</v>
      </c>
      <c r="G106" s="578">
        <f>IF(AND('CG. MPB'!E107="TABIQUE",'CG. MPB'!F107="HUECO"),IF('RMCV.PB'!$E$17="I",3,5.5),0)</f>
        <v>0</v>
      </c>
      <c r="H106" s="578">
        <f>IF('CG. MPB'!E107="ADOBE",0.3,0)</f>
        <v>0</v>
      </c>
      <c r="I106" s="578">
        <f>IF(AND('CG. MPB'!E107="TABICON",'CG. MPB'!F107="MACIZO"),IF('RMCV.PB'!$E$17="I",3,2),0)</f>
        <v>0</v>
      </c>
      <c r="J106" s="578">
        <f>IF(AND('CG. MPB'!E107="TABICON",'CG. MPB'!F107="HUECO"),IF('RMCV.PB'!$E$17="I",3.5,2.5),0)</f>
        <v>0</v>
      </c>
      <c r="K106" s="576">
        <f>'RMCV.PB'!N106</f>
        <v>0</v>
      </c>
      <c r="L106" s="918">
        <f>ABS('ELEM. MECA.'!F233)</f>
        <v>0</v>
      </c>
      <c r="M106" s="936">
        <f t="shared" si="44"/>
        <v>0</v>
      </c>
      <c r="N106" s="756" t="str">
        <f>IF('CG. MPB'!E107="CONCRETO","F/DISEÑO",IF(L106&gt;M106,IF(M106*1.05&gt;L106,"SE ACEPTA","NO PASA"),"PASA"))</f>
        <v>PASA</v>
      </c>
      <c r="O106" s="466" t="str">
        <f>IF(N106="pasa"," ",$O$24/('RMCV.PB'!C106*100))</f>
        <v xml:space="preserve"> </v>
      </c>
      <c r="P106" s="472" t="str">
        <f>IF(N106="pasa"," ",IF('CG. MPB'!E107="CONCRETO","F/DISEÑO",IF(AND(W106&gt;O106,O106&gt;X106),"BIEN","MAL")))</f>
        <v xml:space="preserve"> </v>
      </c>
      <c r="Q106" s="466">
        <f>IF('CG. MPB'!F107="MACIZO",12/'RMCS.PB'!$O$25,9/'RMCS.PB'!$O$25)</f>
        <v>2.3999999999999998E-3</v>
      </c>
      <c r="R106" s="466">
        <f t="shared" si="45"/>
        <v>0</v>
      </c>
      <c r="S106" s="466">
        <f>IF(G106=0,0,IF(AND(G106=2,'RMCV.PB'!E75="III"),30,40))</f>
        <v>0</v>
      </c>
      <c r="T106" s="466">
        <f>IF(I106=0,0,IF(AND(I106=3,'RMCV.PB'!$E$17="I"),20,15))</f>
        <v>0</v>
      </c>
      <c r="U106" s="466">
        <f>IF(J106=0,0,IF(AND(J106=3.5,'RMCV.PB'!$E$17="I"),20,15))</f>
        <v>0</v>
      </c>
      <c r="V106" s="466">
        <f t="shared" si="46"/>
        <v>0</v>
      </c>
      <c r="W106" s="466">
        <f t="shared" si="47"/>
        <v>0</v>
      </c>
      <c r="X106" s="466" t="e">
        <f>IF('CG. MPB'!E107="CONCRETO",0,IF(M106/(D106*$O$25*K106)&gt;3/$O$25,M106/(D106*$O$25*K106),3/$O$25))</f>
        <v>#DIV/0!</v>
      </c>
      <c r="Y106" s="765" t="e">
        <f t="shared" si="48"/>
        <v>#VALUE!</v>
      </c>
      <c r="Z106" s="466" t="e">
        <f t="shared" si="49"/>
        <v>#VALUE!</v>
      </c>
      <c r="AA106" s="766" t="e">
        <f t="shared" si="50"/>
        <v>#VALUE!</v>
      </c>
      <c r="AB106" s="943" t="str">
        <f t="shared" si="51"/>
        <v xml:space="preserve"> </v>
      </c>
      <c r="AC106" s="767" t="str">
        <f>IF(N106="pasa"," ",IF('CG. MPB'!E107="CONCRETO","F/DISEÑO",IF(AB106&gt;L106,"PASA","NO PASA")))</f>
        <v xml:space="preserve"> </v>
      </c>
      <c r="AD106" s="488" t="e">
        <f>$AD$23/($AD$27*'RMCV.PB'!C106)</f>
        <v>#DIV/0!</v>
      </c>
      <c r="AE106" s="482" t="e">
        <f t="shared" si="52"/>
        <v>#DIV/0!</v>
      </c>
      <c r="AF106" s="482">
        <f>IF(12/$AE$25&gt;'RMCV.PB'!F106*0.3/$AE$25,'RMCV.PB'!F106*0.3/$AE$25,12/$AE$25)</f>
        <v>0</v>
      </c>
      <c r="AG106" s="483" t="e">
        <f t="shared" si="53"/>
        <v>#DIV/0!</v>
      </c>
      <c r="AH106" s="482">
        <f>IF(9/$AE$25&gt;'RMCV.PB'!F106*0.3/$AE$25,'RMCV.PB'!F106*0.3/$AE$25,9/$AE$25)</f>
        <v>0</v>
      </c>
      <c r="AI106" s="484" t="e">
        <f t="shared" si="54"/>
        <v>#DIV/0!</v>
      </c>
      <c r="AJ106" s="485" t="e">
        <f t="shared" si="55"/>
        <v>#DIV/0!</v>
      </c>
      <c r="AK106" s="486">
        <f t="shared" si="56"/>
        <v>0</v>
      </c>
      <c r="AL106" s="486">
        <f t="shared" si="57"/>
        <v>0</v>
      </c>
      <c r="AM106" s="487" t="str">
        <f>IF(N106="PASA"," ",IF('CG. MPB'!E107="CONCRETO","F/DISEÑO",IF(AL106&gt;M106,"PASA","NO PASA")))</f>
        <v xml:space="preserve"> </v>
      </c>
    </row>
    <row r="107" spans="1:39">
      <c r="A107" s="684">
        <f>'CG. MPB'!A108</f>
        <v>28</v>
      </c>
      <c r="B107" s="576">
        <f>'RMCV.PB'!O107/1.3</f>
        <v>0</v>
      </c>
      <c r="C107" s="576">
        <f t="shared" si="43"/>
        <v>0</v>
      </c>
      <c r="D107" s="578">
        <f>IF('CG. MPB'!D108="NO CONFINADO",0.4,0.7)</f>
        <v>0.7</v>
      </c>
      <c r="E107" s="578">
        <f>IF('CG. MPB'!E108="CONCRETO",0.5*(0.8*250)^0.5,F107+G107+I107+J107+H107)</f>
        <v>0</v>
      </c>
      <c r="F107" s="578">
        <f>IF(AND('CG. MPB'!E108="TABIQUE",'CG. MPB'!F108="MACIZO"),IF('RMCV.PB'!$E$17="I",3.5,3),0)</f>
        <v>0</v>
      </c>
      <c r="G107" s="578">
        <f>IF(AND('CG. MPB'!E108="TABIQUE",'CG. MPB'!F108="HUECO"),IF('RMCV.PB'!$E$17="I",3,5.5),0)</f>
        <v>0</v>
      </c>
      <c r="H107" s="578">
        <f>IF('CG. MPB'!E108="ADOBE",0.3,0)</f>
        <v>0</v>
      </c>
      <c r="I107" s="578">
        <f>IF(AND('CG. MPB'!E108="TABICON",'CG. MPB'!F108="MACIZO"),IF('RMCV.PB'!$E$17="I",3,2),0)</f>
        <v>0</v>
      </c>
      <c r="J107" s="578">
        <f>IF(AND('CG. MPB'!E108="TABICON",'CG. MPB'!F108="HUECO"),IF('RMCV.PB'!$E$17="I",3.5,2.5),0)</f>
        <v>0</v>
      </c>
      <c r="K107" s="576">
        <f>'RMCV.PB'!N107</f>
        <v>0</v>
      </c>
      <c r="L107" s="918">
        <f>ABS('ELEM. MECA.'!F234)</f>
        <v>0</v>
      </c>
      <c r="M107" s="936">
        <f t="shared" si="44"/>
        <v>0</v>
      </c>
      <c r="N107" s="756" t="str">
        <f>IF('CG. MPB'!E108="CONCRETO","F/DISEÑO",IF(L107&gt;M107,IF(M107*1.05&gt;L107,"SE ACEPTA","NO PASA"),"PASA"))</f>
        <v>PASA</v>
      </c>
      <c r="O107" s="466" t="str">
        <f>IF(N107="pasa"," ",$O$24/('RMCV.PB'!C107*100))</f>
        <v xml:space="preserve"> </v>
      </c>
      <c r="P107" s="472" t="str">
        <f>IF(N107="pasa"," ",IF('CG. MPB'!E108="CONCRETO","F/DISEÑO",IF(AND(W107&gt;O107,O107&gt;X107),"BIEN","MAL")))</f>
        <v xml:space="preserve"> </v>
      </c>
      <c r="Q107" s="466">
        <f>IF('CG. MPB'!F108="MACIZO",12/'RMCS.PB'!$O$25,9/'RMCS.PB'!$O$25)</f>
        <v>2.3999999999999998E-3</v>
      </c>
      <c r="R107" s="466">
        <f t="shared" si="45"/>
        <v>0</v>
      </c>
      <c r="S107" s="466">
        <f>IF(G107=0,0,IF(AND(G107=2,'RMCV.PB'!E76="III"),30,40))</f>
        <v>0</v>
      </c>
      <c r="T107" s="466">
        <f>IF(I107=0,0,IF(AND(I107=3,'RMCV.PB'!$E$17="I"),20,15))</f>
        <v>0</v>
      </c>
      <c r="U107" s="466">
        <f>IF(J107=0,0,IF(AND(J107=3.5,'RMCV.PB'!$E$17="I"),20,15))</f>
        <v>0</v>
      </c>
      <c r="V107" s="466">
        <f t="shared" si="46"/>
        <v>0</v>
      </c>
      <c r="W107" s="466">
        <f t="shared" si="47"/>
        <v>0</v>
      </c>
      <c r="X107" s="466" t="e">
        <f>IF('CG. MPB'!E108="CONCRETO",0,IF(M107/(D107*$O$25*K107)&gt;3/$O$25,M107/(D107*$O$25*K107),3/$O$25))</f>
        <v>#DIV/0!</v>
      </c>
      <c r="Y107" s="765" t="e">
        <f t="shared" si="48"/>
        <v>#VALUE!</v>
      </c>
      <c r="Z107" s="466" t="e">
        <f t="shared" si="49"/>
        <v>#VALUE!</v>
      </c>
      <c r="AA107" s="766" t="e">
        <f t="shared" si="50"/>
        <v>#VALUE!</v>
      </c>
      <c r="AB107" s="943" t="str">
        <f t="shared" si="51"/>
        <v xml:space="preserve"> </v>
      </c>
      <c r="AC107" s="767" t="str">
        <f>IF(N107="pasa"," ",IF('CG. MPB'!E108="CONCRETO","F/DISEÑO",IF(AB107&gt;L107,"PASA","NO PASA")))</f>
        <v xml:space="preserve"> </v>
      </c>
      <c r="AD107" s="488" t="e">
        <f>$AD$23/($AD$27*'RMCV.PB'!C107)</f>
        <v>#DIV/0!</v>
      </c>
      <c r="AE107" s="482" t="e">
        <f t="shared" si="52"/>
        <v>#DIV/0!</v>
      </c>
      <c r="AF107" s="482">
        <f>IF(12/$AE$25&gt;'RMCV.PB'!F107*0.3/$AE$25,'RMCV.PB'!F107*0.3/$AE$25,12/$AE$25)</f>
        <v>0</v>
      </c>
      <c r="AG107" s="483" t="e">
        <f t="shared" si="53"/>
        <v>#DIV/0!</v>
      </c>
      <c r="AH107" s="482">
        <f>IF(9/$AE$25&gt;'RMCV.PB'!F107*0.3/$AE$25,'RMCV.PB'!F107*0.3/$AE$25,9/$AE$25)</f>
        <v>0</v>
      </c>
      <c r="AI107" s="484" t="e">
        <f t="shared" si="54"/>
        <v>#DIV/0!</v>
      </c>
      <c r="AJ107" s="485" t="e">
        <f t="shared" si="55"/>
        <v>#DIV/0!</v>
      </c>
      <c r="AK107" s="486">
        <f t="shared" si="56"/>
        <v>0</v>
      </c>
      <c r="AL107" s="486">
        <f t="shared" si="57"/>
        <v>0</v>
      </c>
      <c r="AM107" s="487" t="str">
        <f>IF(N107="PASA"," ",IF('CG. MPB'!E108="CONCRETO","F/DISEÑO",IF(AL107&gt;M107,"PASA","NO PASA")))</f>
        <v xml:space="preserve"> </v>
      </c>
    </row>
    <row r="108" spans="1:39">
      <c r="A108" s="684">
        <f>'CG. MPB'!A109</f>
        <v>29</v>
      </c>
      <c r="B108" s="576">
        <f>'RMCV.PB'!O108/1.3</f>
        <v>0</v>
      </c>
      <c r="C108" s="576">
        <f t="shared" si="43"/>
        <v>0</v>
      </c>
      <c r="D108" s="578">
        <f>IF('CG. MPB'!D109="NO CONFINADO",0.4,0.7)</f>
        <v>0.7</v>
      </c>
      <c r="E108" s="578">
        <f>IF('CG. MPB'!E109="CONCRETO",0.5*(0.8*250)^0.5,F108+G108+I108+J108+H108)</f>
        <v>0</v>
      </c>
      <c r="F108" s="578">
        <f>IF(AND('CG. MPB'!E109="TABIQUE",'CG. MPB'!F109="MACIZO"),IF('RMCV.PB'!$E$17="I",3.5,3),0)</f>
        <v>0</v>
      </c>
      <c r="G108" s="578">
        <f>IF(AND('CG. MPB'!E109="TABIQUE",'CG. MPB'!F109="HUECO"),IF('RMCV.PB'!$E$17="I",3,5.5),0)</f>
        <v>0</v>
      </c>
      <c r="H108" s="578">
        <f>IF('CG. MPB'!E109="ADOBE",0.3,0)</f>
        <v>0</v>
      </c>
      <c r="I108" s="578">
        <f>IF(AND('CG. MPB'!E109="TABICON",'CG. MPB'!F109="MACIZO"),IF('RMCV.PB'!$E$17="I",3,2),0)</f>
        <v>0</v>
      </c>
      <c r="J108" s="578">
        <f>IF(AND('CG. MPB'!E109="TABICON",'CG. MPB'!F109="HUECO"),IF('RMCV.PB'!$E$17="I",3.5,2.5),0)</f>
        <v>0</v>
      </c>
      <c r="K108" s="576">
        <f>'RMCV.PB'!N108</f>
        <v>0</v>
      </c>
      <c r="L108" s="918">
        <f>ABS('ELEM. MECA.'!F235)</f>
        <v>0</v>
      </c>
      <c r="M108" s="936">
        <f t="shared" si="44"/>
        <v>0</v>
      </c>
      <c r="N108" s="756" t="str">
        <f>IF('CG. MPB'!E109="CONCRETO","F/DISEÑO",IF(L108&gt;M108,IF(M108*1.05&gt;L108,"SE ACEPTA","NO PASA"),"PASA"))</f>
        <v>PASA</v>
      </c>
      <c r="O108" s="466" t="str">
        <f>IF(N108="pasa"," ",$O$24/('RMCV.PB'!C108*100))</f>
        <v xml:space="preserve"> </v>
      </c>
      <c r="P108" s="472" t="str">
        <f>IF(N108="pasa"," ",IF('CG. MPB'!E109="CONCRETO","F/DISEÑO",IF(AND(W108&gt;O108,O108&gt;X108),"BIEN","MAL")))</f>
        <v xml:space="preserve"> </v>
      </c>
      <c r="Q108" s="466">
        <f>IF('CG. MPB'!F109="MACIZO",12/'RMCS.PB'!$O$25,9/'RMCS.PB'!$O$25)</f>
        <v>2.3999999999999998E-3</v>
      </c>
      <c r="R108" s="466">
        <f t="shared" si="45"/>
        <v>0</v>
      </c>
      <c r="S108" s="466">
        <f>IF(G108=0,0,IF(AND(G108=2,'RMCV.PB'!E77="III"),30,40))</f>
        <v>0</v>
      </c>
      <c r="T108" s="466">
        <f>IF(I108=0,0,IF(AND(I108=3,'RMCV.PB'!$E$17="I"),20,15))</f>
        <v>0</v>
      </c>
      <c r="U108" s="466">
        <f>IF(J108=0,0,IF(AND(J108=3.5,'RMCV.PB'!$E$17="I"),20,15))</f>
        <v>0</v>
      </c>
      <c r="V108" s="466">
        <f t="shared" si="46"/>
        <v>0</v>
      </c>
      <c r="W108" s="466">
        <f t="shared" si="47"/>
        <v>0</v>
      </c>
      <c r="X108" s="466" t="e">
        <f>IF('CG. MPB'!E109="CONCRETO",0,IF(M108/(D108*$O$25*K108)&gt;3/$O$25,M108/(D108*$O$25*K108),3/$O$25))</f>
        <v>#DIV/0!</v>
      </c>
      <c r="Y108" s="765" t="e">
        <f t="shared" si="48"/>
        <v>#VALUE!</v>
      </c>
      <c r="Z108" s="466" t="e">
        <f t="shared" si="49"/>
        <v>#VALUE!</v>
      </c>
      <c r="AA108" s="766" t="e">
        <f t="shared" si="50"/>
        <v>#VALUE!</v>
      </c>
      <c r="AB108" s="943" t="str">
        <f t="shared" si="51"/>
        <v xml:space="preserve"> </v>
      </c>
      <c r="AC108" s="767" t="str">
        <f>IF(N108="pasa"," ",IF('CG. MPB'!E109="CONCRETO","F/DISEÑO",IF(AB108&gt;L108,"PASA","NO PASA")))</f>
        <v xml:space="preserve"> </v>
      </c>
      <c r="AD108" s="488" t="e">
        <f>$AD$23/($AD$27*'RMCV.PB'!C108)</f>
        <v>#DIV/0!</v>
      </c>
      <c r="AE108" s="482" t="e">
        <f t="shared" si="52"/>
        <v>#DIV/0!</v>
      </c>
      <c r="AF108" s="482">
        <f>IF(12/$AE$25&gt;'RMCV.PB'!F108*0.3/$AE$25,'RMCV.PB'!F108*0.3/$AE$25,12/$AE$25)</f>
        <v>0</v>
      </c>
      <c r="AG108" s="483" t="e">
        <f t="shared" si="53"/>
        <v>#DIV/0!</v>
      </c>
      <c r="AH108" s="482">
        <f>IF(9/$AE$25&gt;'RMCV.PB'!F108*0.3/$AE$25,'RMCV.PB'!F108*0.3/$AE$25,9/$AE$25)</f>
        <v>0</v>
      </c>
      <c r="AI108" s="484" t="e">
        <f t="shared" si="54"/>
        <v>#DIV/0!</v>
      </c>
      <c r="AJ108" s="485" t="e">
        <f t="shared" si="55"/>
        <v>#DIV/0!</v>
      </c>
      <c r="AK108" s="486">
        <f t="shared" si="56"/>
        <v>0</v>
      </c>
      <c r="AL108" s="486">
        <f t="shared" si="57"/>
        <v>0</v>
      </c>
      <c r="AM108" s="487" t="str">
        <f>IF(N108="PASA"," ",IF('CG. MPB'!E109="CONCRETO","F/DISEÑO",IF(AL108&gt;M108,"PASA","NO PASA")))</f>
        <v xml:space="preserve"> </v>
      </c>
    </row>
    <row r="109" spans="1:39">
      <c r="A109" s="684">
        <f>'CG. MPB'!A110</f>
        <v>30</v>
      </c>
      <c r="B109" s="576">
        <f>'RMCV.PB'!O109/1.3</f>
        <v>0</v>
      </c>
      <c r="C109" s="576">
        <f t="shared" si="43"/>
        <v>0</v>
      </c>
      <c r="D109" s="578">
        <f>IF('CG. MPB'!D110="NO CONFINADO",0.4,0.7)</f>
        <v>0.7</v>
      </c>
      <c r="E109" s="578">
        <f>IF('CG. MPB'!E110="CONCRETO",0.5*(0.8*250)^0.5,F109+G109+I109+J109+H109)</f>
        <v>0</v>
      </c>
      <c r="F109" s="578">
        <f>IF(AND('CG. MPB'!E110="TABIQUE",'CG. MPB'!F110="MACIZO"),IF('RMCV.PB'!$E$17="I",3.5,3),0)</f>
        <v>0</v>
      </c>
      <c r="G109" s="578">
        <f>IF(AND('CG. MPB'!E110="TABIQUE",'CG. MPB'!F110="HUECO"),IF('RMCV.PB'!$E$17="I",3,5.5),0)</f>
        <v>0</v>
      </c>
      <c r="H109" s="578">
        <f>IF('CG. MPB'!E110="ADOBE",0.3,0)</f>
        <v>0</v>
      </c>
      <c r="I109" s="578">
        <f>IF(AND('CG. MPB'!E110="TABICON",'CG. MPB'!F110="MACIZO"),IF('RMCV.PB'!$E$17="I",3,2),0)</f>
        <v>0</v>
      </c>
      <c r="J109" s="578">
        <f>IF(AND('CG. MPB'!E110="TABICON",'CG. MPB'!F110="HUECO"),IF('RMCV.PB'!$E$17="I",3.5,2.5),0)</f>
        <v>0</v>
      </c>
      <c r="K109" s="576">
        <f>'RMCV.PB'!N109</f>
        <v>0</v>
      </c>
      <c r="L109" s="918">
        <f>ABS('ELEM. MECA.'!F236)</f>
        <v>0</v>
      </c>
      <c r="M109" s="936">
        <f t="shared" si="44"/>
        <v>0</v>
      </c>
      <c r="N109" s="756" t="str">
        <f>IF('CG. MPB'!E110="CONCRETO","F/DISEÑO",IF(L109&gt;M109,IF(M109*1.05&gt;L109,"SE ACEPTA","NO PASA"),"PASA"))</f>
        <v>PASA</v>
      </c>
      <c r="O109" s="466" t="str">
        <f>IF(N109="pasa"," ",$O$24/('RMCV.PB'!C109*100))</f>
        <v xml:space="preserve"> </v>
      </c>
      <c r="P109" s="472" t="str">
        <f>IF(N109="pasa"," ",IF('CG. MPB'!E110="CONCRETO","F/DISEÑO",IF(AND(W109&gt;O109,O109&gt;X109),"BIEN","MAL")))</f>
        <v xml:space="preserve"> </v>
      </c>
      <c r="Q109" s="466">
        <f>IF('CG. MPB'!F110="MACIZO",12/'RMCS.PB'!$O$25,9/'RMCS.PB'!$O$25)</f>
        <v>2.3999999999999998E-3</v>
      </c>
      <c r="R109" s="466">
        <f t="shared" si="45"/>
        <v>0</v>
      </c>
      <c r="S109" s="466">
        <f>IF(G109=0,0,IF(AND(G109=2,'RMCV.PB'!E78="III"),30,40))</f>
        <v>0</v>
      </c>
      <c r="T109" s="466">
        <f>IF(I109=0,0,IF(AND(I109=3,'RMCV.PB'!$E$17="I"),20,15))</f>
        <v>0</v>
      </c>
      <c r="U109" s="466">
        <f>IF(J109=0,0,IF(AND(J109=3.5,'RMCV.PB'!$E$17="I"),20,15))</f>
        <v>0</v>
      </c>
      <c r="V109" s="466">
        <f t="shared" si="46"/>
        <v>0</v>
      </c>
      <c r="W109" s="466">
        <f t="shared" si="47"/>
        <v>0</v>
      </c>
      <c r="X109" s="466" t="e">
        <f>IF('CG. MPB'!E110="CONCRETO",0,IF(M109/(D109*$O$25*K109)&gt;3/$O$25,M109/(D109*$O$25*K109),3/$O$25))</f>
        <v>#DIV/0!</v>
      </c>
      <c r="Y109" s="765" t="e">
        <f t="shared" si="48"/>
        <v>#VALUE!</v>
      </c>
      <c r="Z109" s="466" t="e">
        <f t="shared" si="49"/>
        <v>#VALUE!</v>
      </c>
      <c r="AA109" s="766" t="e">
        <f t="shared" si="50"/>
        <v>#VALUE!</v>
      </c>
      <c r="AB109" s="943" t="str">
        <f t="shared" si="51"/>
        <v xml:space="preserve"> </v>
      </c>
      <c r="AC109" s="767" t="str">
        <f>IF(N109="pasa"," ",IF('CG. MPB'!E110="CONCRETO","F/DISEÑO",IF(AB109&gt;L109,"PASA","NO PASA")))</f>
        <v xml:space="preserve"> </v>
      </c>
      <c r="AD109" s="488" t="e">
        <f>$AD$23/($AD$27*'RMCV.PB'!C109)</f>
        <v>#DIV/0!</v>
      </c>
      <c r="AE109" s="482" t="e">
        <f t="shared" si="52"/>
        <v>#DIV/0!</v>
      </c>
      <c r="AF109" s="482">
        <f>IF(12/$AE$25&gt;'RMCV.PB'!F109*0.3/$AE$25,'RMCV.PB'!F109*0.3/$AE$25,12/$AE$25)</f>
        <v>0</v>
      </c>
      <c r="AG109" s="483" t="e">
        <f t="shared" si="53"/>
        <v>#DIV/0!</v>
      </c>
      <c r="AH109" s="482">
        <f>IF(9/$AE$25&gt;'RMCV.PB'!F109*0.3/$AE$25,'RMCV.PB'!F109*0.3/$AE$25,9/$AE$25)</f>
        <v>0</v>
      </c>
      <c r="AI109" s="484" t="e">
        <f t="shared" si="54"/>
        <v>#DIV/0!</v>
      </c>
      <c r="AJ109" s="485" t="e">
        <f t="shared" si="55"/>
        <v>#DIV/0!</v>
      </c>
      <c r="AK109" s="486">
        <f t="shared" si="56"/>
        <v>0</v>
      </c>
      <c r="AL109" s="486">
        <f t="shared" si="57"/>
        <v>0</v>
      </c>
      <c r="AM109" s="487" t="str">
        <f>IF(N109="PASA"," ",IF('CG. MPB'!E110="CONCRETO","F/DISEÑO",IF(AL109&gt;M109,"PASA","NO PASA")))</f>
        <v xml:space="preserve"> </v>
      </c>
    </row>
    <row r="110" spans="1:39">
      <c r="A110" s="684">
        <f>'CG. MPB'!A111</f>
        <v>31</v>
      </c>
      <c r="B110" s="576">
        <f>'RMCV.PB'!O110/1.3</f>
        <v>0</v>
      </c>
      <c r="C110" s="576">
        <f t="shared" si="43"/>
        <v>0</v>
      </c>
      <c r="D110" s="578">
        <f>IF('CG. MPB'!D111="NO CONFINADO",0.4,0.7)</f>
        <v>0.7</v>
      </c>
      <c r="E110" s="578">
        <f>IF('CG. MPB'!E111="CONCRETO",0.5*(0.8*250)^0.5,F110+G110+I110+J110+H110)</f>
        <v>0</v>
      </c>
      <c r="F110" s="578">
        <f>IF(AND('CG. MPB'!E111="TABIQUE",'CG. MPB'!F111="MACIZO"),IF('RMCV.PB'!$E$17="I",3.5,3),0)</f>
        <v>0</v>
      </c>
      <c r="G110" s="578">
        <f>IF(AND('CG. MPB'!E111="TABIQUE",'CG. MPB'!F111="HUECO"),IF('RMCV.PB'!$E$17="I",3,5.5),0)</f>
        <v>0</v>
      </c>
      <c r="H110" s="578">
        <f>IF('CG. MPB'!E111="ADOBE",0.3,0)</f>
        <v>0</v>
      </c>
      <c r="I110" s="578">
        <f>IF(AND('CG. MPB'!E111="TABICON",'CG. MPB'!F111="MACIZO"),IF('RMCV.PB'!$E$17="I",3,2),0)</f>
        <v>0</v>
      </c>
      <c r="J110" s="578">
        <f>IF(AND('CG. MPB'!E111="TABICON",'CG. MPB'!F111="HUECO"),IF('RMCV.PB'!$E$17="I",3.5,2.5),0)</f>
        <v>0</v>
      </c>
      <c r="K110" s="576">
        <f>'RMCV.PB'!N110</f>
        <v>0</v>
      </c>
      <c r="L110" s="918">
        <f>ABS('ELEM. MECA.'!F237)</f>
        <v>0</v>
      </c>
      <c r="M110" s="936">
        <f t="shared" si="44"/>
        <v>0</v>
      </c>
      <c r="N110" s="756" t="str">
        <f>IF('CG. MPB'!E111="CONCRETO","F/DISEÑO",IF(L110&gt;M110,IF(M110*1.05&gt;L110,"SE ACEPTA","NO PASA"),"PASA"))</f>
        <v>PASA</v>
      </c>
      <c r="O110" s="466" t="str">
        <f>IF(N110="pasa"," ",$O$24/('RMCV.PB'!C110*100))</f>
        <v xml:space="preserve"> </v>
      </c>
      <c r="P110" s="472" t="str">
        <f>IF(N110="pasa"," ",IF('CG. MPB'!E111="CONCRETO","F/DISEÑO",IF(AND(W110&gt;O110,O110&gt;X110),"BIEN","MAL")))</f>
        <v xml:space="preserve"> </v>
      </c>
      <c r="Q110" s="466">
        <f>IF('CG. MPB'!F111="MACIZO",12/'RMCS.PB'!$O$25,9/'RMCS.PB'!$O$25)</f>
        <v>2.3999999999999998E-3</v>
      </c>
      <c r="R110" s="466">
        <f t="shared" si="45"/>
        <v>0</v>
      </c>
      <c r="S110" s="466">
        <f>IF(G110=0,0,IF(AND(G110=2,'RMCV.PB'!E79="III"),30,40))</f>
        <v>0</v>
      </c>
      <c r="T110" s="466">
        <f>IF(I110=0,0,IF(AND(I110=3,'RMCV.PB'!$E$17="I"),20,15))</f>
        <v>0</v>
      </c>
      <c r="U110" s="466">
        <f>IF(J110=0,0,IF(AND(J110=3.5,'RMCV.PB'!$E$17="I"),20,15))</f>
        <v>0</v>
      </c>
      <c r="V110" s="466">
        <f t="shared" si="46"/>
        <v>0</v>
      </c>
      <c r="W110" s="466">
        <f t="shared" si="47"/>
        <v>0</v>
      </c>
      <c r="X110" s="466" t="e">
        <f>IF('CG. MPB'!E111="CONCRETO",0,IF(M110/(D110*$O$25*K110)&gt;3/$O$25,M110/(D110*$O$25*K110),3/$O$25))</f>
        <v>#DIV/0!</v>
      </c>
      <c r="Y110" s="765" t="e">
        <f t="shared" si="48"/>
        <v>#VALUE!</v>
      </c>
      <c r="Z110" s="466" t="e">
        <f t="shared" si="49"/>
        <v>#VALUE!</v>
      </c>
      <c r="AA110" s="766" t="e">
        <f t="shared" si="50"/>
        <v>#VALUE!</v>
      </c>
      <c r="AB110" s="943" t="str">
        <f t="shared" si="51"/>
        <v xml:space="preserve"> </v>
      </c>
      <c r="AC110" s="767" t="str">
        <f>IF(N110="pasa"," ",IF('CG. MPB'!E111="CONCRETO","F/DISEÑO",IF(AB110&gt;L110,"PASA","NO PASA")))</f>
        <v xml:space="preserve"> </v>
      </c>
      <c r="AD110" s="488" t="e">
        <f>$AD$23/($AD$27*'RMCV.PB'!C110)</f>
        <v>#DIV/0!</v>
      </c>
      <c r="AE110" s="482" t="e">
        <f t="shared" ref="AE110:AE127" si="76">IF(3/$AE$25&gt;M110/(D110*K110*$AE$25),3/$AE$25,M110/(D110*K110*$AE$25))</f>
        <v>#DIV/0!</v>
      </c>
      <c r="AF110" s="482">
        <f>IF(12/$AE$25&gt;'RMCV.PB'!F110*0.3/$AE$25,'RMCV.PB'!F110*0.3/$AE$25,12/$AE$25)</f>
        <v>0</v>
      </c>
      <c r="AG110" s="483" t="e">
        <f t="shared" ref="AG110:AG127" si="77">IF(AND(AD110&gt;AE110,AF110&gt;AD110),"BIEN","MAL")</f>
        <v>#DIV/0!</v>
      </c>
      <c r="AH110" s="482">
        <f>IF(9/$AE$25&gt;'RMCV.PB'!F110*0.3/$AE$25,'RMCV.PB'!F110*0.3/$AE$25,9/$AE$25)</f>
        <v>0</v>
      </c>
      <c r="AI110" s="484" t="e">
        <f t="shared" ref="AI110:AI127" si="78">IF(AND(AD110&gt;AE110,AH110&gt;AD110),"BIEN","MAL")</f>
        <v>#DIV/0!</v>
      </c>
      <c r="AJ110" s="485" t="e">
        <f t="shared" ref="AJ110:AJ127" si="79">IF(6&gt;AD110*$AE$25,0.6,IF(AD110*$AE$25&gt;9,0.2,0.6-(0.4*(AD110*$AE$25-6))/3))</f>
        <v>#DIV/0!</v>
      </c>
      <c r="AK110" s="486">
        <f t="shared" ref="AK110:AK127" si="80">IF(N110="PASA",0,D110*AJ110*AD110*$AE$25*K110)</f>
        <v>0</v>
      </c>
      <c r="AL110" s="486">
        <f t="shared" ref="AL110:AL127" si="81">AK110+M110</f>
        <v>0</v>
      </c>
      <c r="AM110" s="487" t="str">
        <f>IF(N110="PASA"," ",IF('CG. MPB'!E111="CONCRETO","F/DISEÑO",IF(AL110&gt;M110,"PASA","NO PASA")))</f>
        <v xml:space="preserve"> </v>
      </c>
    </row>
    <row r="111" spans="1:39">
      <c r="A111" s="684">
        <f>'CG. MPB'!A112</f>
        <v>32</v>
      </c>
      <c r="B111" s="576">
        <f>'RMCV.PB'!O111/1.3</f>
        <v>0</v>
      </c>
      <c r="C111" s="576">
        <f t="shared" si="43"/>
        <v>0</v>
      </c>
      <c r="D111" s="578">
        <f>IF('CG. MPB'!D112="NO CONFINADO",0.4,0.7)</f>
        <v>0.7</v>
      </c>
      <c r="E111" s="578">
        <f>IF('CG. MPB'!E112="CONCRETO",0.5*(0.8*250)^0.5,F111+G111+I111+J111+H111)</f>
        <v>0</v>
      </c>
      <c r="F111" s="578">
        <f>IF(AND('CG. MPB'!E112="TABIQUE",'CG. MPB'!F112="MACIZO"),IF('RMCV.PB'!$E$17="I",3.5,3),0)</f>
        <v>0</v>
      </c>
      <c r="G111" s="578">
        <f>IF(AND('CG. MPB'!E112="TABIQUE",'CG. MPB'!F112="HUECO"),IF('RMCV.PB'!$E$17="I",3,5.5),0)</f>
        <v>0</v>
      </c>
      <c r="H111" s="578">
        <f>IF('CG. MPB'!E112="ADOBE",0.3,0)</f>
        <v>0</v>
      </c>
      <c r="I111" s="578">
        <f>IF(AND('CG. MPB'!E112="TABICON",'CG. MPB'!F112="MACIZO"),IF('RMCV.PB'!$E$17="I",3,2),0)</f>
        <v>0</v>
      </c>
      <c r="J111" s="578">
        <f>IF(AND('CG. MPB'!E112="TABICON",'CG. MPB'!F112="HUECO"),IF('RMCV.PB'!$E$17="I",3.5,2.5),0)</f>
        <v>0</v>
      </c>
      <c r="K111" s="576">
        <f>'RMCV.PB'!N111</f>
        <v>0</v>
      </c>
      <c r="L111" s="918">
        <f>ABS('ELEM. MECA.'!F238)</f>
        <v>0</v>
      </c>
      <c r="M111" s="936">
        <f t="shared" si="44"/>
        <v>0</v>
      </c>
      <c r="N111" s="756" t="str">
        <f>IF('CG. MPB'!E112="CONCRETO","F/DISEÑO",IF(L111&gt;M111,IF(M111*1.05&gt;L111,"SE ACEPTA","NO PASA"),"PASA"))</f>
        <v>PASA</v>
      </c>
      <c r="O111" s="466" t="str">
        <f>IF(N111="pasa"," ",$O$24/('RMCV.PB'!C111*100))</f>
        <v xml:space="preserve"> </v>
      </c>
      <c r="P111" s="472" t="str">
        <f>IF(N111="pasa"," ",IF('CG. MPB'!E112="CONCRETO","F/DISEÑO",IF(AND(W111&gt;O111,O111&gt;X111),"BIEN","MAL")))</f>
        <v xml:space="preserve"> </v>
      </c>
      <c r="Q111" s="466">
        <f>IF('CG. MPB'!F112="MACIZO",12/'RMCS.PB'!$O$25,9/'RMCS.PB'!$O$25)</f>
        <v>2.3999999999999998E-3</v>
      </c>
      <c r="R111" s="466">
        <f t="shared" si="45"/>
        <v>0</v>
      </c>
      <c r="S111" s="466">
        <f>IF(G111=0,0,IF(AND(G111=2,'RMCV.PB'!E80="III"),30,40))</f>
        <v>0</v>
      </c>
      <c r="T111" s="466">
        <f>IF(I111=0,0,IF(AND(I111=3,'RMCV.PB'!$E$17="I"),20,15))</f>
        <v>0</v>
      </c>
      <c r="U111" s="466">
        <f>IF(J111=0,0,IF(AND(J111=3.5,'RMCV.PB'!$E$17="I"),20,15))</f>
        <v>0</v>
      </c>
      <c r="V111" s="466">
        <f t="shared" si="46"/>
        <v>0</v>
      </c>
      <c r="W111" s="466">
        <f t="shared" si="47"/>
        <v>0</v>
      </c>
      <c r="X111" s="466" t="e">
        <f>IF('CG. MPB'!E112="CONCRETO",0,IF(M111/(D111*$O$25*K111)&gt;3/$O$25,M111/(D111*$O$25*K111),3/$O$25))</f>
        <v>#DIV/0!</v>
      </c>
      <c r="Y111" s="765" t="e">
        <f t="shared" si="48"/>
        <v>#VALUE!</v>
      </c>
      <c r="Z111" s="466" t="e">
        <f t="shared" si="49"/>
        <v>#VALUE!</v>
      </c>
      <c r="AA111" s="766" t="e">
        <f t="shared" si="50"/>
        <v>#VALUE!</v>
      </c>
      <c r="AB111" s="943" t="str">
        <f t="shared" si="51"/>
        <v xml:space="preserve"> </v>
      </c>
      <c r="AC111" s="767" t="str">
        <f>IF(N111="pasa"," ",IF('CG. MPB'!E112="CONCRETO","F/DISEÑO",IF(AB111&gt;L111,"PASA","NO PASA")))</f>
        <v xml:space="preserve"> </v>
      </c>
      <c r="AD111" s="488" t="e">
        <f>$AD$23/($AD$27*'RMCV.PB'!C111)</f>
        <v>#DIV/0!</v>
      </c>
      <c r="AE111" s="482" t="e">
        <f t="shared" si="76"/>
        <v>#DIV/0!</v>
      </c>
      <c r="AF111" s="482">
        <f>IF(12/$AE$25&gt;'RMCV.PB'!F111*0.3/$AE$25,'RMCV.PB'!F111*0.3/$AE$25,12/$AE$25)</f>
        <v>0</v>
      </c>
      <c r="AG111" s="483" t="e">
        <f t="shared" si="77"/>
        <v>#DIV/0!</v>
      </c>
      <c r="AH111" s="482">
        <f>IF(9/$AE$25&gt;'RMCV.PB'!F111*0.3/$AE$25,'RMCV.PB'!F111*0.3/$AE$25,9/$AE$25)</f>
        <v>0</v>
      </c>
      <c r="AI111" s="484" t="e">
        <f t="shared" si="78"/>
        <v>#DIV/0!</v>
      </c>
      <c r="AJ111" s="485" t="e">
        <f t="shared" si="79"/>
        <v>#DIV/0!</v>
      </c>
      <c r="AK111" s="486">
        <f t="shared" si="80"/>
        <v>0</v>
      </c>
      <c r="AL111" s="486">
        <f t="shared" si="81"/>
        <v>0</v>
      </c>
      <c r="AM111" s="487" t="str">
        <f>IF(N111="PASA"," ",IF('CG. MPB'!E112="CONCRETO","F/DISEÑO",IF(AL111&gt;M111,"PASA","NO PASA")))</f>
        <v xml:space="preserve"> </v>
      </c>
    </row>
    <row r="112" spans="1:39">
      <c r="A112" s="684">
        <f>'CG. MPB'!A113</f>
        <v>33</v>
      </c>
      <c r="B112" s="576">
        <f>'RMCV.PB'!O112/1.3</f>
        <v>0</v>
      </c>
      <c r="C112" s="576">
        <f t="shared" si="43"/>
        <v>0</v>
      </c>
      <c r="D112" s="578">
        <f>IF('CG. MPB'!D113="NO CONFINADO",0.4,0.7)</f>
        <v>0.7</v>
      </c>
      <c r="E112" s="578">
        <f>IF('CG. MPB'!E113="CONCRETO",0.5*(0.8*250)^0.5,F112+G112+I112+J112+H112)</f>
        <v>0</v>
      </c>
      <c r="F112" s="578">
        <f>IF(AND('CG. MPB'!E113="TABIQUE",'CG. MPB'!F113="MACIZO"),IF('RMCV.PB'!$E$17="I",3.5,3),0)</f>
        <v>0</v>
      </c>
      <c r="G112" s="578">
        <f>IF(AND('CG. MPB'!E113="TABIQUE",'CG. MPB'!F113="HUECO"),IF('RMCV.PB'!$E$17="I",3,5.5),0)</f>
        <v>0</v>
      </c>
      <c r="H112" s="578">
        <f>IF('CG. MPB'!E113="ADOBE",0.3,0)</f>
        <v>0</v>
      </c>
      <c r="I112" s="578">
        <f>IF(AND('CG. MPB'!E113="TABICON",'CG. MPB'!F113="MACIZO"),IF('RMCV.PB'!$E$17="I",3,2),0)</f>
        <v>0</v>
      </c>
      <c r="J112" s="578">
        <f>IF(AND('CG. MPB'!E113="TABICON",'CG. MPB'!F113="HUECO"),IF('RMCV.PB'!$E$17="I",3.5,2.5),0)</f>
        <v>0</v>
      </c>
      <c r="K112" s="576">
        <f>'RMCV.PB'!N112</f>
        <v>0</v>
      </c>
      <c r="L112" s="918">
        <f>ABS('ELEM. MECA.'!F239)</f>
        <v>0</v>
      </c>
      <c r="M112" s="936">
        <f t="shared" si="44"/>
        <v>0</v>
      </c>
      <c r="N112" s="756" t="str">
        <f>IF('CG. MPB'!E113="CONCRETO","F/DISEÑO",IF(L112&gt;M112,IF(M112*1.05&gt;L112,"SE ACEPTA","NO PASA"),"PASA"))</f>
        <v>PASA</v>
      </c>
      <c r="O112" s="466" t="str">
        <f>IF(N112="pasa"," ",$O$24/('RMCV.PB'!C112*100))</f>
        <v xml:space="preserve"> </v>
      </c>
      <c r="P112" s="472" t="str">
        <f>IF(N112="pasa"," ",IF('CG. MPB'!E113="CONCRETO","F/DISEÑO",IF(AND(W112&gt;O112,O112&gt;X112),"BIEN","MAL")))</f>
        <v xml:space="preserve"> </v>
      </c>
      <c r="Q112" s="466">
        <f>IF('CG. MPB'!F113="MACIZO",12/'RMCS.PB'!$O$25,9/'RMCS.PB'!$O$25)</f>
        <v>2.3999999999999998E-3</v>
      </c>
      <c r="R112" s="466">
        <f t="shared" si="45"/>
        <v>0</v>
      </c>
      <c r="S112" s="466">
        <f>IF(G112=0,0,IF(AND(G112=2,'RMCV.PB'!E81="III"),30,40))</f>
        <v>0</v>
      </c>
      <c r="T112" s="466">
        <f>IF(I112=0,0,IF(AND(I112=3,'RMCV.PB'!$E$17="I"),20,15))</f>
        <v>0</v>
      </c>
      <c r="U112" s="466">
        <f>IF(J112=0,0,IF(AND(J112=3.5,'RMCV.PB'!$E$17="I"),20,15))</f>
        <v>0</v>
      </c>
      <c r="V112" s="466">
        <f t="shared" si="46"/>
        <v>0</v>
      </c>
      <c r="W112" s="466">
        <f t="shared" si="47"/>
        <v>0</v>
      </c>
      <c r="X112" s="466" t="e">
        <f>IF('CG. MPB'!E113="CONCRETO",0,IF(M112/(D112*$O$25*K112)&gt;3/$O$25,M112/(D112*$O$25*K112),3/$O$25))</f>
        <v>#DIV/0!</v>
      </c>
      <c r="Y112" s="765" t="e">
        <f t="shared" si="48"/>
        <v>#VALUE!</v>
      </c>
      <c r="Z112" s="466" t="e">
        <f t="shared" si="49"/>
        <v>#VALUE!</v>
      </c>
      <c r="AA112" s="766" t="e">
        <f t="shared" si="50"/>
        <v>#VALUE!</v>
      </c>
      <c r="AB112" s="943" t="str">
        <f t="shared" si="51"/>
        <v xml:space="preserve"> </v>
      </c>
      <c r="AC112" s="767" t="str">
        <f>IF(N112="pasa"," ",IF('CG. MPB'!E113="CONCRETO","F/DISEÑO",IF(AB112&gt;L112,"PASA","NO PASA")))</f>
        <v xml:space="preserve"> </v>
      </c>
      <c r="AD112" s="488" t="e">
        <f>$AD$23/($AD$27*'RMCV.PB'!C112)</f>
        <v>#DIV/0!</v>
      </c>
      <c r="AE112" s="482" t="e">
        <f t="shared" si="76"/>
        <v>#DIV/0!</v>
      </c>
      <c r="AF112" s="482">
        <f>IF(12/$AE$25&gt;'RMCV.PB'!F112*0.3/$AE$25,'RMCV.PB'!F112*0.3/$AE$25,12/$AE$25)</f>
        <v>0</v>
      </c>
      <c r="AG112" s="483" t="e">
        <f t="shared" si="77"/>
        <v>#DIV/0!</v>
      </c>
      <c r="AH112" s="482">
        <f>IF(9/$AE$25&gt;'RMCV.PB'!F112*0.3/$AE$25,'RMCV.PB'!F112*0.3/$AE$25,9/$AE$25)</f>
        <v>0</v>
      </c>
      <c r="AI112" s="484" t="e">
        <f t="shared" si="78"/>
        <v>#DIV/0!</v>
      </c>
      <c r="AJ112" s="485" t="e">
        <f t="shared" si="79"/>
        <v>#DIV/0!</v>
      </c>
      <c r="AK112" s="486">
        <f t="shared" si="80"/>
        <v>0</v>
      </c>
      <c r="AL112" s="486">
        <f t="shared" si="81"/>
        <v>0</v>
      </c>
      <c r="AM112" s="487" t="str">
        <f>IF(N112="PASA"," ",IF('CG. MPB'!E113="CONCRETO","F/DISEÑO",IF(AL112&gt;M112,"PASA","NO PASA")))</f>
        <v xml:space="preserve"> </v>
      </c>
    </row>
    <row r="113" spans="1:39">
      <c r="A113" s="684">
        <f>'CG. MPB'!A114</f>
        <v>34</v>
      </c>
      <c r="B113" s="576">
        <f>'RMCV.PB'!O113/1.3</f>
        <v>0</v>
      </c>
      <c r="C113" s="576">
        <f t="shared" si="43"/>
        <v>0</v>
      </c>
      <c r="D113" s="578">
        <f>IF('CG. MPB'!D114="NO CONFINADO",0.4,0.7)</f>
        <v>0.7</v>
      </c>
      <c r="E113" s="578">
        <f>IF('CG. MPB'!E114="CONCRETO",0.5*(0.8*250)^0.5,F113+G113+I113+J113+H113)</f>
        <v>0</v>
      </c>
      <c r="F113" s="578">
        <f>IF(AND('CG. MPB'!E114="TABIQUE",'CG. MPB'!F114="MACIZO"),IF('RMCV.PB'!$E$17="I",3.5,3),0)</f>
        <v>0</v>
      </c>
      <c r="G113" s="578">
        <f>IF(AND('CG. MPB'!E114="TABIQUE",'CG. MPB'!F114="HUECO"),IF('RMCV.PB'!$E$17="I",3,5.5),0)</f>
        <v>0</v>
      </c>
      <c r="H113" s="578">
        <f>IF('CG. MPB'!E114="ADOBE",0.3,0)</f>
        <v>0</v>
      </c>
      <c r="I113" s="578">
        <f>IF(AND('CG. MPB'!E114="TABICON",'CG. MPB'!F114="MACIZO"),IF('RMCV.PB'!$E$17="I",3,2),0)</f>
        <v>0</v>
      </c>
      <c r="J113" s="578">
        <f>IF(AND('CG. MPB'!E114="TABICON",'CG. MPB'!F114="HUECO"),IF('RMCV.PB'!$E$17="I",3.5,2.5),0)</f>
        <v>0</v>
      </c>
      <c r="K113" s="576">
        <f>'RMCV.PB'!N113</f>
        <v>0</v>
      </c>
      <c r="L113" s="918">
        <f>ABS('ELEM. MECA.'!F240)</f>
        <v>0</v>
      </c>
      <c r="M113" s="936">
        <f t="shared" si="44"/>
        <v>0</v>
      </c>
      <c r="N113" s="756" t="str">
        <f>IF('CG. MPB'!E114="CONCRETO","F/DISEÑO",IF(L113&gt;M113,IF(M113*1.05&gt;L113,"SE ACEPTA","NO PASA"),"PASA"))</f>
        <v>PASA</v>
      </c>
      <c r="O113" s="466" t="str">
        <f>IF(N113="pasa"," ",$O$24/('RMCV.PB'!C113*100))</f>
        <v xml:space="preserve"> </v>
      </c>
      <c r="P113" s="472" t="str">
        <f>IF(N113="pasa"," ",IF('CG. MPB'!E114="CONCRETO","F/DISEÑO",IF(AND(W113&gt;O113,O113&gt;X113),"BIEN","MAL")))</f>
        <v xml:space="preserve"> </v>
      </c>
      <c r="Q113" s="466">
        <f>IF('CG. MPB'!F114="MACIZO",12/'RMCS.PB'!$O$25,9/'RMCS.PB'!$O$25)</f>
        <v>2.3999999999999998E-3</v>
      </c>
      <c r="R113" s="466">
        <f t="shared" si="45"/>
        <v>0</v>
      </c>
      <c r="S113" s="466">
        <f>IF(G113=0,0,IF(AND(G113=2,'RMCV.PB'!E82="III"),30,40))</f>
        <v>0</v>
      </c>
      <c r="T113" s="466">
        <f>IF(I113=0,0,IF(AND(I113=3,'RMCV.PB'!$E$17="I"),20,15))</f>
        <v>0</v>
      </c>
      <c r="U113" s="466">
        <f>IF(J113=0,0,IF(AND(J113=3.5,'RMCV.PB'!$E$17="I"),20,15))</f>
        <v>0</v>
      </c>
      <c r="V113" s="466">
        <f t="shared" si="46"/>
        <v>0</v>
      </c>
      <c r="W113" s="466">
        <f t="shared" si="47"/>
        <v>0</v>
      </c>
      <c r="X113" s="466" t="e">
        <f>IF('CG. MPB'!E114="CONCRETO",0,IF(M113/(D113*$O$25*K113)&gt;3/$O$25,M113/(D113*$O$25*K113),3/$O$25))</f>
        <v>#DIV/0!</v>
      </c>
      <c r="Y113" s="765" t="e">
        <f t="shared" si="48"/>
        <v>#VALUE!</v>
      </c>
      <c r="Z113" s="466" t="e">
        <f t="shared" si="49"/>
        <v>#VALUE!</v>
      </c>
      <c r="AA113" s="766" t="e">
        <f t="shared" si="50"/>
        <v>#VALUE!</v>
      </c>
      <c r="AB113" s="943" t="str">
        <f t="shared" si="51"/>
        <v xml:space="preserve"> </v>
      </c>
      <c r="AC113" s="767" t="str">
        <f>IF(N113="pasa"," ",IF('CG. MPB'!E114="CONCRETO","F/DISEÑO",IF(AB113&gt;L113,"PASA","NO PASA")))</f>
        <v xml:space="preserve"> </v>
      </c>
      <c r="AD113" s="488" t="e">
        <f>$AD$23/($AD$27*'RMCV.PB'!C113)</f>
        <v>#DIV/0!</v>
      </c>
      <c r="AE113" s="482" t="e">
        <f t="shared" si="76"/>
        <v>#DIV/0!</v>
      </c>
      <c r="AF113" s="482">
        <f>IF(12/$AE$25&gt;'RMCV.PB'!F113*0.3/$AE$25,'RMCV.PB'!F113*0.3/$AE$25,12/$AE$25)</f>
        <v>0</v>
      </c>
      <c r="AG113" s="483" t="e">
        <f t="shared" si="77"/>
        <v>#DIV/0!</v>
      </c>
      <c r="AH113" s="482">
        <f>IF(9/$AE$25&gt;'RMCV.PB'!F113*0.3/$AE$25,'RMCV.PB'!F113*0.3/$AE$25,9/$AE$25)</f>
        <v>0</v>
      </c>
      <c r="AI113" s="484" t="e">
        <f t="shared" si="78"/>
        <v>#DIV/0!</v>
      </c>
      <c r="AJ113" s="485" t="e">
        <f t="shared" si="79"/>
        <v>#DIV/0!</v>
      </c>
      <c r="AK113" s="486">
        <f t="shared" si="80"/>
        <v>0</v>
      </c>
      <c r="AL113" s="486">
        <f t="shared" si="81"/>
        <v>0</v>
      </c>
      <c r="AM113" s="487" t="str">
        <f>IF(N113="PASA"," ",IF('CG. MPB'!E114="CONCRETO","F/DISEÑO",IF(AL113&gt;M113,"PASA","NO PASA")))</f>
        <v xml:space="preserve"> </v>
      </c>
    </row>
    <row r="114" spans="1:39">
      <c r="A114" s="684">
        <f>'CG. MPB'!A115</f>
        <v>35</v>
      </c>
      <c r="B114" s="576">
        <f>'RMCV.PB'!O114/1.3</f>
        <v>0</v>
      </c>
      <c r="C114" s="576">
        <f t="shared" si="43"/>
        <v>0</v>
      </c>
      <c r="D114" s="578">
        <f>IF('CG. MPB'!D115="NO CONFINADO",0.4,0.7)</f>
        <v>0.7</v>
      </c>
      <c r="E114" s="578">
        <f>IF('CG. MPB'!E115="CONCRETO",0.5*(0.8*250)^0.5,F114+G114+I114+J114+H114)</f>
        <v>0</v>
      </c>
      <c r="F114" s="578">
        <f>IF(AND('CG. MPB'!E115="TABIQUE",'CG. MPB'!F115="MACIZO"),IF('RMCV.PB'!$E$17="I",3.5,3),0)</f>
        <v>0</v>
      </c>
      <c r="G114" s="578">
        <f>IF(AND('CG. MPB'!E115="TABIQUE",'CG. MPB'!F115="HUECO"),IF('RMCV.PB'!$E$17="I",3,5.5),0)</f>
        <v>0</v>
      </c>
      <c r="H114" s="578">
        <f>IF('CG. MPB'!E115="ADOBE",0.3,0)</f>
        <v>0</v>
      </c>
      <c r="I114" s="578">
        <f>IF(AND('CG. MPB'!E115="TABICON",'CG. MPB'!F115="MACIZO"),IF('RMCV.PB'!$E$17="I",3,2),0)</f>
        <v>0</v>
      </c>
      <c r="J114" s="578">
        <f>IF(AND('CG. MPB'!E115="TABICON",'CG. MPB'!F115="HUECO"),IF('RMCV.PB'!$E$17="I",3.5,2.5),0)</f>
        <v>0</v>
      </c>
      <c r="K114" s="576">
        <f>'RMCV.PB'!N114</f>
        <v>0</v>
      </c>
      <c r="L114" s="918">
        <f>ABS('ELEM. MECA.'!F241)</f>
        <v>0</v>
      </c>
      <c r="M114" s="936">
        <f t="shared" si="44"/>
        <v>0</v>
      </c>
      <c r="N114" s="756" t="str">
        <f>IF('CG. MPB'!E115="CONCRETO","F/DISEÑO",IF(L114&gt;M114,IF(M114*1.05&gt;L114,"SE ACEPTA","NO PASA"),"PASA"))</f>
        <v>PASA</v>
      </c>
      <c r="O114" s="466" t="str">
        <f>IF(N114="pasa"," ",$O$24/('RMCV.PB'!C114*100))</f>
        <v xml:space="preserve"> </v>
      </c>
      <c r="P114" s="472" t="str">
        <f>IF(N114="pasa"," ",IF('CG. MPB'!E115="CONCRETO","F/DISEÑO",IF(AND(W114&gt;O114,O114&gt;X114),"BIEN","MAL")))</f>
        <v xml:space="preserve"> </v>
      </c>
      <c r="Q114" s="466">
        <f>IF('CG. MPB'!F115="MACIZO",12/'RMCS.PB'!$O$25,9/'RMCS.PB'!$O$25)</f>
        <v>2.3999999999999998E-3</v>
      </c>
      <c r="R114" s="466">
        <f t="shared" si="45"/>
        <v>0</v>
      </c>
      <c r="S114" s="466">
        <f>IF(G114=0,0,IF(AND(G114=2,'RMCV.PB'!E83="III"),30,40))</f>
        <v>0</v>
      </c>
      <c r="T114" s="466">
        <f>IF(I114=0,0,IF(AND(I114=3,'RMCV.PB'!$E$17="I"),20,15))</f>
        <v>0</v>
      </c>
      <c r="U114" s="466">
        <f>IF(J114=0,0,IF(AND(J114=3.5,'RMCV.PB'!$E$17="I"),20,15))</f>
        <v>0</v>
      </c>
      <c r="V114" s="466">
        <f t="shared" si="46"/>
        <v>0</v>
      </c>
      <c r="W114" s="466">
        <f t="shared" si="47"/>
        <v>0</v>
      </c>
      <c r="X114" s="466" t="e">
        <f>IF('CG. MPB'!E115="CONCRETO",0,IF(M114/(D114*$O$25*K114)&gt;3/$O$25,M114/(D114*$O$25*K114),3/$O$25))</f>
        <v>#DIV/0!</v>
      </c>
      <c r="Y114" s="765" t="e">
        <f t="shared" si="48"/>
        <v>#VALUE!</v>
      </c>
      <c r="Z114" s="466" t="e">
        <f t="shared" si="49"/>
        <v>#VALUE!</v>
      </c>
      <c r="AA114" s="766" t="e">
        <f t="shared" si="50"/>
        <v>#VALUE!</v>
      </c>
      <c r="AB114" s="943" t="str">
        <f t="shared" si="51"/>
        <v xml:space="preserve"> </v>
      </c>
      <c r="AC114" s="767" t="str">
        <f>IF(N114="pasa"," ",IF('CG. MPB'!E115="CONCRETO","F/DISEÑO",IF(AB114&gt;L114,"PASA","NO PASA")))</f>
        <v xml:space="preserve"> </v>
      </c>
      <c r="AD114" s="488" t="e">
        <f>$AD$23/($AD$27*'RMCV.PB'!C114)</f>
        <v>#DIV/0!</v>
      </c>
      <c r="AE114" s="482" t="e">
        <f t="shared" si="76"/>
        <v>#DIV/0!</v>
      </c>
      <c r="AF114" s="482">
        <f>IF(12/$AE$25&gt;'RMCV.PB'!F114*0.3/$AE$25,'RMCV.PB'!F114*0.3/$AE$25,12/$AE$25)</f>
        <v>0</v>
      </c>
      <c r="AG114" s="483" t="e">
        <f t="shared" si="77"/>
        <v>#DIV/0!</v>
      </c>
      <c r="AH114" s="482">
        <f>IF(9/$AE$25&gt;'RMCV.PB'!F114*0.3/$AE$25,'RMCV.PB'!F114*0.3/$AE$25,9/$AE$25)</f>
        <v>0</v>
      </c>
      <c r="AI114" s="484" t="e">
        <f t="shared" si="78"/>
        <v>#DIV/0!</v>
      </c>
      <c r="AJ114" s="485" t="e">
        <f t="shared" si="79"/>
        <v>#DIV/0!</v>
      </c>
      <c r="AK114" s="486">
        <f t="shared" si="80"/>
        <v>0</v>
      </c>
      <c r="AL114" s="486">
        <f t="shared" si="81"/>
        <v>0</v>
      </c>
      <c r="AM114" s="487" t="str">
        <f>IF(N114="PASA"," ",IF('CG. MPB'!E115="CONCRETO","F/DISEÑO",IF(AL114&gt;M114,"PASA","NO PASA")))</f>
        <v xml:space="preserve"> </v>
      </c>
    </row>
    <row r="115" spans="1:39">
      <c r="A115" s="684">
        <f>'CG. MPB'!A116</f>
        <v>36</v>
      </c>
      <c r="B115" s="576">
        <f>'RMCV.PB'!O115/1.3</f>
        <v>0</v>
      </c>
      <c r="C115" s="576">
        <f t="shared" si="43"/>
        <v>0</v>
      </c>
      <c r="D115" s="578">
        <f>IF('CG. MPB'!D116="NO CONFINADO",0.4,0.7)</f>
        <v>0.7</v>
      </c>
      <c r="E115" s="578">
        <f>IF('CG. MPB'!E116="CONCRETO",0.5*(0.8*250)^0.5,F115+G115+I115+J115+H115)</f>
        <v>0</v>
      </c>
      <c r="F115" s="578">
        <f>IF(AND('CG. MPB'!E116="TABIQUE",'CG. MPB'!F116="MACIZO"),IF('RMCV.PB'!$E$17="I",3.5,3),0)</f>
        <v>0</v>
      </c>
      <c r="G115" s="578">
        <f>IF(AND('CG. MPB'!E116="TABIQUE",'CG. MPB'!F116="HUECO"),IF('RMCV.PB'!$E$17="I",3,5.5),0)</f>
        <v>0</v>
      </c>
      <c r="H115" s="578">
        <f>IF('CG. MPB'!E116="ADOBE",0.3,0)</f>
        <v>0</v>
      </c>
      <c r="I115" s="578">
        <f>IF(AND('CG. MPB'!E116="TABICON",'CG. MPB'!F116="MACIZO"),IF('RMCV.PB'!$E$17="I",3,2),0)</f>
        <v>0</v>
      </c>
      <c r="J115" s="578">
        <f>IF(AND('CG. MPB'!E116="TABICON",'CG. MPB'!F116="HUECO"),IF('RMCV.PB'!$E$17="I",3.5,2.5),0)</f>
        <v>0</v>
      </c>
      <c r="K115" s="576">
        <f>'RMCV.PB'!N115</f>
        <v>0</v>
      </c>
      <c r="L115" s="918">
        <f>ABS('ELEM. MECA.'!F242)</f>
        <v>0</v>
      </c>
      <c r="M115" s="936">
        <f t="shared" si="44"/>
        <v>0</v>
      </c>
      <c r="N115" s="756" t="str">
        <f>IF('CG. MPB'!E116="CONCRETO","F/DISEÑO",IF(L115&gt;M115,IF(M115*1.05&gt;L115,"SE ACEPTA","NO PASA"),"PASA"))</f>
        <v>PASA</v>
      </c>
      <c r="O115" s="466" t="str">
        <f>IF(N115="pasa"," ",$O$24/('RMCV.PB'!C115*100))</f>
        <v xml:space="preserve"> </v>
      </c>
      <c r="P115" s="472" t="str">
        <f>IF(N115="pasa"," ",IF('CG. MPB'!E116="CONCRETO","F/DISEÑO",IF(AND(W115&gt;O115,O115&gt;X115),"BIEN","MAL")))</f>
        <v xml:space="preserve"> </v>
      </c>
      <c r="Q115" s="466">
        <f>IF('CG. MPB'!F116="MACIZO",12/'RMCS.PB'!$O$25,9/'RMCS.PB'!$O$25)</f>
        <v>2.3999999999999998E-3</v>
      </c>
      <c r="R115" s="466">
        <f t="shared" si="45"/>
        <v>0</v>
      </c>
      <c r="S115" s="466">
        <f>IF(G115=0,0,IF(AND(G115=2,'RMCV.PB'!E84="III"),30,40))</f>
        <v>0</v>
      </c>
      <c r="T115" s="466">
        <f>IF(I115=0,0,IF(AND(I115=3,'RMCV.PB'!$E$17="I"),20,15))</f>
        <v>0</v>
      </c>
      <c r="U115" s="466">
        <f>IF(J115=0,0,IF(AND(J115=3.5,'RMCV.PB'!$E$17="I"),20,15))</f>
        <v>0</v>
      </c>
      <c r="V115" s="466">
        <f t="shared" si="46"/>
        <v>0</v>
      </c>
      <c r="W115" s="466">
        <f t="shared" si="47"/>
        <v>0</v>
      </c>
      <c r="X115" s="466" t="e">
        <f>IF('CG. MPB'!E116="CONCRETO",0,IF(M115/(D115*$O$25*K115)&gt;3/$O$25,M115/(D115*$O$25*K115),3/$O$25))</f>
        <v>#DIV/0!</v>
      </c>
      <c r="Y115" s="765" t="e">
        <f t="shared" si="48"/>
        <v>#VALUE!</v>
      </c>
      <c r="Z115" s="466" t="e">
        <f t="shared" si="49"/>
        <v>#VALUE!</v>
      </c>
      <c r="AA115" s="766" t="e">
        <f t="shared" si="50"/>
        <v>#VALUE!</v>
      </c>
      <c r="AB115" s="943" t="str">
        <f t="shared" si="51"/>
        <v xml:space="preserve"> </v>
      </c>
      <c r="AC115" s="767" t="str">
        <f>IF(N115="pasa"," ",IF('CG. MPB'!E116="CONCRETO","F/DISEÑO",IF(AB115&gt;L115,"PASA","NO PASA")))</f>
        <v xml:space="preserve"> </v>
      </c>
      <c r="AD115" s="488" t="e">
        <f>$AD$23/($AD$27*'RMCV.PB'!C115)</f>
        <v>#DIV/0!</v>
      </c>
      <c r="AE115" s="482" t="e">
        <f t="shared" si="76"/>
        <v>#DIV/0!</v>
      </c>
      <c r="AF115" s="482">
        <f>IF(12/$AE$25&gt;'RMCV.PB'!F115*0.3/$AE$25,'RMCV.PB'!F115*0.3/$AE$25,12/$AE$25)</f>
        <v>0</v>
      </c>
      <c r="AG115" s="483" t="e">
        <f t="shared" si="77"/>
        <v>#DIV/0!</v>
      </c>
      <c r="AH115" s="482">
        <f>IF(9/$AE$25&gt;'RMCV.PB'!F115*0.3/$AE$25,'RMCV.PB'!F115*0.3/$AE$25,9/$AE$25)</f>
        <v>0</v>
      </c>
      <c r="AI115" s="484" t="e">
        <f t="shared" si="78"/>
        <v>#DIV/0!</v>
      </c>
      <c r="AJ115" s="485" t="e">
        <f t="shared" si="79"/>
        <v>#DIV/0!</v>
      </c>
      <c r="AK115" s="486">
        <f t="shared" si="80"/>
        <v>0</v>
      </c>
      <c r="AL115" s="486">
        <f t="shared" si="81"/>
        <v>0</v>
      </c>
      <c r="AM115" s="487" t="str">
        <f>IF(N115="PASA"," ",IF('CG. MPB'!E116="CONCRETO","F/DISEÑO",IF(AL115&gt;M115,"PASA","NO PASA")))</f>
        <v xml:space="preserve"> </v>
      </c>
    </row>
    <row r="116" spans="1:39">
      <c r="A116" s="684">
        <f>'CG. MPB'!A117</f>
        <v>37</v>
      </c>
      <c r="B116" s="576">
        <f>'RMCV.PB'!O116/1.3</f>
        <v>0</v>
      </c>
      <c r="C116" s="576">
        <f t="shared" si="43"/>
        <v>0</v>
      </c>
      <c r="D116" s="578">
        <f>IF('CG. MPB'!D117="NO CONFINADO",0.4,0.7)</f>
        <v>0.7</v>
      </c>
      <c r="E116" s="578">
        <f>IF('CG. MPB'!E117="CONCRETO",0.5*(0.8*250)^0.5,F116+G116+I116+J116+H116)</f>
        <v>0</v>
      </c>
      <c r="F116" s="578">
        <f>IF(AND('CG. MPB'!E117="TABIQUE",'CG. MPB'!F117="MACIZO"),IF('RMCV.PB'!$E$17="I",3.5,3),0)</f>
        <v>0</v>
      </c>
      <c r="G116" s="578">
        <f>IF(AND('CG. MPB'!E117="TABIQUE",'CG. MPB'!F117="HUECO"),IF('RMCV.PB'!$E$17="I",3,5.5),0)</f>
        <v>0</v>
      </c>
      <c r="H116" s="578">
        <f>IF('CG. MPB'!E117="ADOBE",0.3,0)</f>
        <v>0</v>
      </c>
      <c r="I116" s="578">
        <f>IF(AND('CG. MPB'!E117="TABICON",'CG. MPB'!F117="MACIZO"),IF('RMCV.PB'!$E$17="I",3,2),0)</f>
        <v>0</v>
      </c>
      <c r="J116" s="578">
        <f>IF(AND('CG. MPB'!E117="TABICON",'CG. MPB'!F117="HUECO"),IF('RMCV.PB'!$E$17="I",3.5,2.5),0)</f>
        <v>0</v>
      </c>
      <c r="K116" s="576">
        <f>'RMCV.PB'!N116</f>
        <v>0</v>
      </c>
      <c r="L116" s="918">
        <f>ABS('ELEM. MECA.'!F243)</f>
        <v>0</v>
      </c>
      <c r="M116" s="936">
        <f t="shared" si="44"/>
        <v>0</v>
      </c>
      <c r="N116" s="756" t="str">
        <f>IF('CG. MPB'!E117="CONCRETO","F/DISEÑO",IF(L116&gt;M116,IF(M116*1.05&gt;L116,"SE ACEPTA","NO PASA"),"PASA"))</f>
        <v>PASA</v>
      </c>
      <c r="O116" s="466" t="str">
        <f>IF(N116="pasa"," ",$O$24/('RMCV.PB'!C116*100))</f>
        <v xml:space="preserve"> </v>
      </c>
      <c r="P116" s="472" t="str">
        <f>IF(N116="pasa"," ",IF('CG. MPB'!E117="CONCRETO","F/DISEÑO",IF(AND(W116&gt;O116,O116&gt;X116),"BIEN","MAL")))</f>
        <v xml:space="preserve"> </v>
      </c>
      <c r="Q116" s="466">
        <f>IF('CG. MPB'!F117="MACIZO",12/'RMCS.PB'!$O$25,9/'RMCS.PB'!$O$25)</f>
        <v>2.3999999999999998E-3</v>
      </c>
      <c r="R116" s="466">
        <f t="shared" si="45"/>
        <v>0</v>
      </c>
      <c r="S116" s="466">
        <f>IF(G116=0,0,IF(AND(G116=2,'RMCV.PB'!E85="III"),30,40))</f>
        <v>0</v>
      </c>
      <c r="T116" s="466">
        <f>IF(I116=0,0,IF(AND(I116=3,'RMCV.PB'!$E$17="I"),20,15))</f>
        <v>0</v>
      </c>
      <c r="U116" s="466">
        <f>IF(J116=0,0,IF(AND(J116=3.5,'RMCV.PB'!$E$17="I"),20,15))</f>
        <v>0</v>
      </c>
      <c r="V116" s="466">
        <f t="shared" si="46"/>
        <v>0</v>
      </c>
      <c r="W116" s="466">
        <f t="shared" si="47"/>
        <v>0</v>
      </c>
      <c r="X116" s="466" t="e">
        <f>IF('CG. MPB'!E117="CONCRETO",0,IF(M116/(D116*$O$25*K116)&gt;3/$O$25,M116/(D116*$O$25*K116),3/$O$25))</f>
        <v>#DIV/0!</v>
      </c>
      <c r="Y116" s="765" t="e">
        <f t="shared" si="48"/>
        <v>#VALUE!</v>
      </c>
      <c r="Z116" s="466" t="e">
        <f t="shared" si="49"/>
        <v>#VALUE!</v>
      </c>
      <c r="AA116" s="766" t="e">
        <f t="shared" si="50"/>
        <v>#VALUE!</v>
      </c>
      <c r="AB116" s="943" t="str">
        <f t="shared" si="51"/>
        <v xml:space="preserve"> </v>
      </c>
      <c r="AC116" s="767" t="str">
        <f>IF(N116="pasa"," ",IF('CG. MPB'!E117="CONCRETO","F/DISEÑO",IF(AB116&gt;L116,"PASA","NO PASA")))</f>
        <v xml:space="preserve"> </v>
      </c>
      <c r="AD116" s="488" t="e">
        <f>$AD$23/($AD$27*'RMCV.PB'!C116)</f>
        <v>#DIV/0!</v>
      </c>
      <c r="AE116" s="482" t="e">
        <f t="shared" si="76"/>
        <v>#DIV/0!</v>
      </c>
      <c r="AF116" s="482">
        <f>IF(12/$AE$25&gt;'RMCV.PB'!F116*0.3/$AE$25,'RMCV.PB'!F116*0.3/$AE$25,12/$AE$25)</f>
        <v>0</v>
      </c>
      <c r="AG116" s="483" t="e">
        <f t="shared" si="77"/>
        <v>#DIV/0!</v>
      </c>
      <c r="AH116" s="482">
        <f>IF(9/$AE$25&gt;'RMCV.PB'!F116*0.3/$AE$25,'RMCV.PB'!F116*0.3/$AE$25,9/$AE$25)</f>
        <v>0</v>
      </c>
      <c r="AI116" s="484" t="e">
        <f t="shared" si="78"/>
        <v>#DIV/0!</v>
      </c>
      <c r="AJ116" s="485" t="e">
        <f t="shared" si="79"/>
        <v>#DIV/0!</v>
      </c>
      <c r="AK116" s="486">
        <f t="shared" si="80"/>
        <v>0</v>
      </c>
      <c r="AL116" s="486">
        <f t="shared" si="81"/>
        <v>0</v>
      </c>
      <c r="AM116" s="487" t="str">
        <f>IF(N116="PASA"," ",IF('CG. MPB'!E117="CONCRETO","F/DISEÑO",IF(AL116&gt;M116,"PASA","NO PASA")))</f>
        <v xml:space="preserve"> </v>
      </c>
    </row>
    <row r="117" spans="1:39">
      <c r="A117" s="684">
        <f>'CG. MPB'!A118</f>
        <v>38</v>
      </c>
      <c r="B117" s="576">
        <f>'RMCV.PB'!O117/1.3</f>
        <v>0</v>
      </c>
      <c r="C117" s="576">
        <f t="shared" si="43"/>
        <v>0</v>
      </c>
      <c r="D117" s="578">
        <f>IF('CG. MPB'!D118="NO CONFINADO",0.4,0.7)</f>
        <v>0.7</v>
      </c>
      <c r="E117" s="578">
        <f>IF('CG. MPB'!E118="CONCRETO",0.5*(0.8*250)^0.5,F117+G117+I117+J117+H117)</f>
        <v>0</v>
      </c>
      <c r="F117" s="578">
        <f>IF(AND('CG. MPB'!E118="TABIQUE",'CG. MPB'!F118="MACIZO"),IF('RMCV.PB'!$E$17="I",3.5,3),0)</f>
        <v>0</v>
      </c>
      <c r="G117" s="578">
        <f>IF(AND('CG. MPB'!E118="TABIQUE",'CG. MPB'!F118="HUECO"),IF('RMCV.PB'!$E$17="I",3,5.5),0)</f>
        <v>0</v>
      </c>
      <c r="H117" s="578">
        <f>IF('CG. MPB'!E118="ADOBE",0.3,0)</f>
        <v>0</v>
      </c>
      <c r="I117" s="578">
        <f>IF(AND('CG. MPB'!E118="TABICON",'CG. MPB'!F118="MACIZO"),IF('RMCV.PB'!$E$17="I",3,2),0)</f>
        <v>0</v>
      </c>
      <c r="J117" s="578">
        <f>IF(AND('CG. MPB'!E118="TABICON",'CG. MPB'!F118="HUECO"),IF('RMCV.PB'!$E$17="I",3.5,2.5),0)</f>
        <v>0</v>
      </c>
      <c r="K117" s="576">
        <f>'RMCV.PB'!N117</f>
        <v>0</v>
      </c>
      <c r="L117" s="918">
        <f>ABS('ELEM. MECA.'!F244)</f>
        <v>0</v>
      </c>
      <c r="M117" s="936">
        <f t="shared" si="44"/>
        <v>0</v>
      </c>
      <c r="N117" s="756" t="str">
        <f>IF('CG. MPB'!E118="CONCRETO","F/DISEÑO",IF(L117&gt;M117,IF(M117*1.05&gt;L117,"SE ACEPTA","NO PASA"),"PASA"))</f>
        <v>PASA</v>
      </c>
      <c r="O117" s="466" t="str">
        <f>IF(N117="pasa"," ",$O$24/('RMCV.PB'!C117*100))</f>
        <v xml:space="preserve"> </v>
      </c>
      <c r="P117" s="472" t="str">
        <f>IF(N117="pasa"," ",IF('CG. MPB'!E118="CONCRETO","F/DISEÑO",IF(AND(W117&gt;O117,O117&gt;X117),"BIEN","MAL")))</f>
        <v xml:space="preserve"> </v>
      </c>
      <c r="Q117" s="466">
        <f>IF('CG. MPB'!F118="MACIZO",12/'RMCS.PB'!$O$25,9/'RMCS.PB'!$O$25)</f>
        <v>2.3999999999999998E-3</v>
      </c>
      <c r="R117" s="466">
        <f t="shared" si="45"/>
        <v>0</v>
      </c>
      <c r="S117" s="466">
        <f>IF(G117=0,0,IF(AND(G117=2,'RMCV.PB'!E86="III"),30,40))</f>
        <v>0</v>
      </c>
      <c r="T117" s="466">
        <f>IF(I117=0,0,IF(AND(I117=3,'RMCV.PB'!$E$17="I"),20,15))</f>
        <v>0</v>
      </c>
      <c r="U117" s="466">
        <f>IF(J117=0,0,IF(AND(J117=3.5,'RMCV.PB'!$E$17="I"),20,15))</f>
        <v>0</v>
      </c>
      <c r="V117" s="466">
        <f t="shared" si="46"/>
        <v>0</v>
      </c>
      <c r="W117" s="466">
        <f t="shared" si="47"/>
        <v>0</v>
      </c>
      <c r="X117" s="466" t="e">
        <f>IF('CG. MPB'!E118="CONCRETO",0,IF(M117/(D117*$O$25*K117)&gt;3/$O$25,M117/(D117*$O$25*K117),3/$O$25))</f>
        <v>#DIV/0!</v>
      </c>
      <c r="Y117" s="765" t="e">
        <f t="shared" si="48"/>
        <v>#VALUE!</v>
      </c>
      <c r="Z117" s="466" t="e">
        <f t="shared" si="49"/>
        <v>#VALUE!</v>
      </c>
      <c r="AA117" s="766" t="e">
        <f t="shared" si="50"/>
        <v>#VALUE!</v>
      </c>
      <c r="AB117" s="943" t="str">
        <f t="shared" si="51"/>
        <v xml:space="preserve"> </v>
      </c>
      <c r="AC117" s="767" t="str">
        <f>IF(N117="pasa"," ",IF('CG. MPB'!E118="CONCRETO","F/DISEÑO",IF(AB117&gt;L117,"PASA","NO PASA")))</f>
        <v xml:space="preserve"> </v>
      </c>
      <c r="AD117" s="488" t="e">
        <f>$AD$23/($AD$27*'RMCV.PB'!C117)</f>
        <v>#DIV/0!</v>
      </c>
      <c r="AE117" s="482" t="e">
        <f t="shared" si="76"/>
        <v>#DIV/0!</v>
      </c>
      <c r="AF117" s="482">
        <f>IF(12/$AE$25&gt;'RMCV.PB'!F117*0.3/$AE$25,'RMCV.PB'!F117*0.3/$AE$25,12/$AE$25)</f>
        <v>0</v>
      </c>
      <c r="AG117" s="483" t="e">
        <f t="shared" si="77"/>
        <v>#DIV/0!</v>
      </c>
      <c r="AH117" s="482">
        <f>IF(9/$AE$25&gt;'RMCV.PB'!F117*0.3/$AE$25,'RMCV.PB'!F117*0.3/$AE$25,9/$AE$25)</f>
        <v>0</v>
      </c>
      <c r="AI117" s="484" t="e">
        <f t="shared" si="78"/>
        <v>#DIV/0!</v>
      </c>
      <c r="AJ117" s="485" t="e">
        <f t="shared" si="79"/>
        <v>#DIV/0!</v>
      </c>
      <c r="AK117" s="486">
        <f t="shared" si="80"/>
        <v>0</v>
      </c>
      <c r="AL117" s="486">
        <f t="shared" si="81"/>
        <v>0</v>
      </c>
      <c r="AM117" s="487" t="str">
        <f>IF(N117="PASA"," ",IF('CG. MPB'!E118="CONCRETO","F/DISEÑO",IF(AL117&gt;M117,"PASA","NO PASA")))</f>
        <v xml:space="preserve"> </v>
      </c>
    </row>
    <row r="118" spans="1:39">
      <c r="A118" s="684">
        <f>'CG. MPB'!A119</f>
        <v>39</v>
      </c>
      <c r="B118" s="576">
        <f>'RMCV.PB'!O118/1.3</f>
        <v>0</v>
      </c>
      <c r="C118" s="576">
        <f t="shared" si="43"/>
        <v>0</v>
      </c>
      <c r="D118" s="578">
        <f>IF('CG. MPB'!D119="NO CONFINADO",0.4,0.7)</f>
        <v>0.7</v>
      </c>
      <c r="E118" s="578">
        <f>IF('CG. MPB'!E119="CONCRETO",0.5*(0.8*250)^0.5,F118+G118+I118+J118+H118)</f>
        <v>0</v>
      </c>
      <c r="F118" s="578">
        <f>IF(AND('CG. MPB'!E119="TABIQUE",'CG. MPB'!F119="MACIZO"),IF('RMCV.PB'!$E$17="I",3.5,3),0)</f>
        <v>0</v>
      </c>
      <c r="G118" s="578">
        <f>IF(AND('CG. MPB'!E119="TABIQUE",'CG. MPB'!F119="HUECO"),IF('RMCV.PB'!$E$17="I",3,5.5),0)</f>
        <v>0</v>
      </c>
      <c r="H118" s="578">
        <f>IF('CG. MPB'!E119="ADOBE",0.3,0)</f>
        <v>0</v>
      </c>
      <c r="I118" s="578">
        <f>IF(AND('CG. MPB'!E119="TABICON",'CG. MPB'!F119="MACIZO"),IF('RMCV.PB'!$E$17="I",3,2),0)</f>
        <v>0</v>
      </c>
      <c r="J118" s="578">
        <f>IF(AND('CG. MPB'!E119="TABICON",'CG. MPB'!F119="HUECO"),IF('RMCV.PB'!$E$17="I",3.5,2.5),0)</f>
        <v>0</v>
      </c>
      <c r="K118" s="576">
        <f>'RMCV.PB'!N118</f>
        <v>0</v>
      </c>
      <c r="L118" s="918">
        <f>ABS('ELEM. MECA.'!F245)</f>
        <v>0</v>
      </c>
      <c r="M118" s="936">
        <f t="shared" si="44"/>
        <v>0</v>
      </c>
      <c r="N118" s="756" t="str">
        <f>IF('CG. MPB'!E119="CONCRETO","F/DISEÑO",IF(L118&gt;M118,IF(M118*1.05&gt;L118,"SE ACEPTA","NO PASA"),"PASA"))</f>
        <v>PASA</v>
      </c>
      <c r="O118" s="466" t="str">
        <f>IF(N118="pasa"," ",$O$24/('RMCV.PB'!C118*100))</f>
        <v xml:space="preserve"> </v>
      </c>
      <c r="P118" s="472" t="str">
        <f>IF(N118="pasa"," ",IF('CG. MPB'!E119="CONCRETO","F/DISEÑO",IF(AND(W118&gt;O118,O118&gt;X118),"BIEN","MAL")))</f>
        <v xml:space="preserve"> </v>
      </c>
      <c r="Q118" s="466">
        <f>IF('CG. MPB'!F119="MACIZO",12/'RMCS.PB'!$O$25,9/'RMCS.PB'!$O$25)</f>
        <v>2.3999999999999998E-3</v>
      </c>
      <c r="R118" s="466">
        <f t="shared" si="45"/>
        <v>0</v>
      </c>
      <c r="S118" s="466">
        <f>IF(G118=0,0,IF(AND(G118=2,'RMCV.PB'!E87="III"),30,40))</f>
        <v>0</v>
      </c>
      <c r="T118" s="466">
        <f>IF(I118=0,0,IF(AND(I118=3,'RMCV.PB'!$E$17="I"),20,15))</f>
        <v>0</v>
      </c>
      <c r="U118" s="466">
        <f>IF(J118=0,0,IF(AND(J118=3.5,'RMCV.PB'!$E$17="I"),20,15))</f>
        <v>0</v>
      </c>
      <c r="V118" s="466">
        <f t="shared" si="46"/>
        <v>0</v>
      </c>
      <c r="W118" s="466">
        <f t="shared" si="47"/>
        <v>0</v>
      </c>
      <c r="X118" s="466" t="e">
        <f>IF('CG. MPB'!E119="CONCRETO",0,IF(M118/(D118*$O$25*K118)&gt;3/$O$25,M118/(D118*$O$25*K118),3/$O$25))</f>
        <v>#DIV/0!</v>
      </c>
      <c r="Y118" s="765" t="e">
        <f t="shared" si="48"/>
        <v>#VALUE!</v>
      </c>
      <c r="Z118" s="466" t="e">
        <f t="shared" si="49"/>
        <v>#VALUE!</v>
      </c>
      <c r="AA118" s="766" t="e">
        <f t="shared" si="50"/>
        <v>#VALUE!</v>
      </c>
      <c r="AB118" s="943" t="str">
        <f t="shared" si="51"/>
        <v xml:space="preserve"> </v>
      </c>
      <c r="AC118" s="767" t="str">
        <f>IF(N118="pasa"," ",IF('CG. MPB'!E119="CONCRETO","F/DISEÑO",IF(AB118&gt;L118,"PASA","NO PASA")))</f>
        <v xml:space="preserve"> </v>
      </c>
      <c r="AD118" s="488" t="e">
        <f>$AD$23/($AD$27*'RMCV.PB'!C118)</f>
        <v>#DIV/0!</v>
      </c>
      <c r="AE118" s="482" t="e">
        <f t="shared" si="76"/>
        <v>#DIV/0!</v>
      </c>
      <c r="AF118" s="482">
        <f>IF(12/$AE$25&gt;'RMCV.PB'!F118*0.3/$AE$25,'RMCV.PB'!F118*0.3/$AE$25,12/$AE$25)</f>
        <v>0</v>
      </c>
      <c r="AG118" s="483" t="e">
        <f t="shared" si="77"/>
        <v>#DIV/0!</v>
      </c>
      <c r="AH118" s="482">
        <f>IF(9/$AE$25&gt;'RMCV.PB'!F118*0.3/$AE$25,'RMCV.PB'!F118*0.3/$AE$25,9/$AE$25)</f>
        <v>0</v>
      </c>
      <c r="AI118" s="484" t="e">
        <f t="shared" si="78"/>
        <v>#DIV/0!</v>
      </c>
      <c r="AJ118" s="485" t="e">
        <f t="shared" si="79"/>
        <v>#DIV/0!</v>
      </c>
      <c r="AK118" s="486">
        <f t="shared" si="80"/>
        <v>0</v>
      </c>
      <c r="AL118" s="486">
        <f t="shared" si="81"/>
        <v>0</v>
      </c>
      <c r="AM118" s="487" t="str">
        <f>IF(N118="PASA"," ",IF('CG. MPB'!E119="CONCRETO","F/DISEÑO",IF(AL118&gt;M118,"PASA","NO PASA")))</f>
        <v xml:space="preserve"> </v>
      </c>
    </row>
    <row r="119" spans="1:39">
      <c r="A119" s="684">
        <f>'CG. MPB'!A120</f>
        <v>40</v>
      </c>
      <c r="B119" s="576">
        <f>'RMCV.PB'!O119/1.3</f>
        <v>0</v>
      </c>
      <c r="C119" s="576">
        <f t="shared" si="43"/>
        <v>0</v>
      </c>
      <c r="D119" s="578">
        <f>IF('CG. MPB'!D120="NO CONFINADO",0.4,0.7)</f>
        <v>0.7</v>
      </c>
      <c r="E119" s="578">
        <f>IF('CG. MPB'!E120="CONCRETO",0.5*(0.8*250)^0.5,F119+G119+I119+J119+H119)</f>
        <v>0</v>
      </c>
      <c r="F119" s="578">
        <f>IF(AND('CG. MPB'!E120="TABIQUE",'CG. MPB'!F120="MACIZO"),IF('RMCV.PB'!$E$17="I",3.5,3),0)</f>
        <v>0</v>
      </c>
      <c r="G119" s="578">
        <f>IF(AND('CG. MPB'!E120="TABIQUE",'CG. MPB'!F120="HUECO"),IF('RMCV.PB'!$E$17="I",3,5.5),0)</f>
        <v>0</v>
      </c>
      <c r="H119" s="578">
        <f>IF('CG. MPB'!E120="ADOBE",0.3,0)</f>
        <v>0</v>
      </c>
      <c r="I119" s="578">
        <f>IF(AND('CG. MPB'!E120="TABICON",'CG. MPB'!F120="MACIZO"),IF('RMCV.PB'!$E$17="I",3,2),0)</f>
        <v>0</v>
      </c>
      <c r="J119" s="578">
        <f>IF(AND('CG. MPB'!E120="TABICON",'CG. MPB'!F120="HUECO"),IF('RMCV.PB'!$E$17="I",3.5,2.5),0)</f>
        <v>0</v>
      </c>
      <c r="K119" s="576">
        <f>'RMCV.PB'!N119</f>
        <v>0</v>
      </c>
      <c r="L119" s="918">
        <f>ABS('ELEM. MECA.'!F246)</f>
        <v>0</v>
      </c>
      <c r="M119" s="936">
        <f t="shared" si="44"/>
        <v>0</v>
      </c>
      <c r="N119" s="756" t="str">
        <f>IF('CG. MPB'!E120="CONCRETO","F/DISEÑO",IF(L119&gt;M119,IF(M119*1.05&gt;L119,"SE ACEPTA","NO PASA"),"PASA"))</f>
        <v>PASA</v>
      </c>
      <c r="O119" s="466" t="str">
        <f>IF(N119="pasa"," ",$O$24/('RMCV.PB'!C119*100))</f>
        <v xml:space="preserve"> </v>
      </c>
      <c r="P119" s="472" t="str">
        <f>IF(N119="pasa"," ",IF('CG. MPB'!E120="CONCRETO","F/DISEÑO",IF(AND(W119&gt;O119,O119&gt;X119),"BIEN","MAL")))</f>
        <v xml:space="preserve"> </v>
      </c>
      <c r="Q119" s="466">
        <f>IF('CG. MPB'!F120="MACIZO",12/'RMCS.PB'!$O$25,9/'RMCS.PB'!$O$25)</f>
        <v>2.3999999999999998E-3</v>
      </c>
      <c r="R119" s="466">
        <f t="shared" si="45"/>
        <v>0</v>
      </c>
      <c r="S119" s="466">
        <f>IF(G119=0,0,IF(AND(G119=2,'RMCV.PB'!E88="III"),30,40))</f>
        <v>0</v>
      </c>
      <c r="T119" s="466">
        <f>IF(I119=0,0,IF(AND(I119=3,'RMCV.PB'!$E$17="I"),20,15))</f>
        <v>0</v>
      </c>
      <c r="U119" s="466">
        <f>IF(J119=0,0,IF(AND(J119=3.5,'RMCV.PB'!$E$17="I"),20,15))</f>
        <v>0</v>
      </c>
      <c r="V119" s="466">
        <f t="shared" si="46"/>
        <v>0</v>
      </c>
      <c r="W119" s="466">
        <f t="shared" si="47"/>
        <v>0</v>
      </c>
      <c r="X119" s="466" t="e">
        <f>IF('CG. MPB'!E120="CONCRETO",0,IF(M119/(D119*$O$25*K119)&gt;3/$O$25,M119/(D119*$O$25*K119),3/$O$25))</f>
        <v>#DIV/0!</v>
      </c>
      <c r="Y119" s="765" t="e">
        <f t="shared" si="48"/>
        <v>#VALUE!</v>
      </c>
      <c r="Z119" s="466" t="e">
        <f t="shared" si="49"/>
        <v>#VALUE!</v>
      </c>
      <c r="AA119" s="766" t="e">
        <f t="shared" si="50"/>
        <v>#VALUE!</v>
      </c>
      <c r="AB119" s="943" t="str">
        <f t="shared" si="51"/>
        <v xml:space="preserve"> </v>
      </c>
      <c r="AC119" s="767" t="str">
        <f>IF(N119="pasa"," ",IF('CG. MPB'!E120="CONCRETO","F/DISEÑO",IF(AB119&gt;L119,"PASA","NO PASA")))</f>
        <v xml:space="preserve"> </v>
      </c>
      <c r="AD119" s="488" t="e">
        <f>$AD$23/($AD$27*'RMCV.PB'!C119)</f>
        <v>#DIV/0!</v>
      </c>
      <c r="AE119" s="482" t="e">
        <f t="shared" si="76"/>
        <v>#DIV/0!</v>
      </c>
      <c r="AF119" s="482">
        <f>IF(12/$AE$25&gt;'RMCV.PB'!F119*0.3/$AE$25,'RMCV.PB'!F119*0.3/$AE$25,12/$AE$25)</f>
        <v>0</v>
      </c>
      <c r="AG119" s="483" t="e">
        <f t="shared" si="77"/>
        <v>#DIV/0!</v>
      </c>
      <c r="AH119" s="482">
        <f>IF(9/$AE$25&gt;'RMCV.PB'!F119*0.3/$AE$25,'RMCV.PB'!F119*0.3/$AE$25,9/$AE$25)</f>
        <v>0</v>
      </c>
      <c r="AI119" s="484" t="e">
        <f t="shared" si="78"/>
        <v>#DIV/0!</v>
      </c>
      <c r="AJ119" s="485" t="e">
        <f t="shared" si="79"/>
        <v>#DIV/0!</v>
      </c>
      <c r="AK119" s="486">
        <f t="shared" si="80"/>
        <v>0</v>
      </c>
      <c r="AL119" s="486">
        <f t="shared" si="81"/>
        <v>0</v>
      </c>
      <c r="AM119" s="487" t="str">
        <f>IF(N119="PASA"," ",IF('CG. MPB'!E120="CONCRETO","F/DISEÑO",IF(AL119&gt;M119,"PASA","NO PASA")))</f>
        <v xml:space="preserve"> </v>
      </c>
    </row>
    <row r="120" spans="1:39">
      <c r="A120" s="684">
        <f>'CG. MPB'!A121</f>
        <v>41</v>
      </c>
      <c r="B120" s="576">
        <f>'RMCV.PB'!O120/1.3</f>
        <v>0</v>
      </c>
      <c r="C120" s="576">
        <f t="shared" si="43"/>
        <v>0</v>
      </c>
      <c r="D120" s="578">
        <f>IF('CG. MPB'!D121="NO CONFINADO",0.4,0.7)</f>
        <v>0.7</v>
      </c>
      <c r="E120" s="578">
        <f>IF('CG. MPB'!E121="CONCRETO",0.5*(0.8*250)^0.5,F120+G120+I120+J120+H120)</f>
        <v>0</v>
      </c>
      <c r="F120" s="578">
        <f>IF(AND('CG. MPB'!E121="TABIQUE",'CG. MPB'!F121="MACIZO"),IF('RMCV.PB'!$E$17="I",3.5,3),0)</f>
        <v>0</v>
      </c>
      <c r="G120" s="578">
        <f>IF(AND('CG. MPB'!E121="TABIQUE",'CG. MPB'!F121="HUECO"),IF('RMCV.PB'!$E$17="I",3,5.5),0)</f>
        <v>0</v>
      </c>
      <c r="H120" s="578">
        <f>IF('CG. MPB'!E121="ADOBE",0.3,0)</f>
        <v>0</v>
      </c>
      <c r="I120" s="578">
        <f>IF(AND('CG. MPB'!E121="TABICON",'CG. MPB'!F121="MACIZO"),IF('RMCV.PB'!$E$17="I",3,2),0)</f>
        <v>0</v>
      </c>
      <c r="J120" s="578">
        <f>IF(AND('CG. MPB'!E121="TABICON",'CG. MPB'!F121="HUECO"),IF('RMCV.PB'!$E$17="I",3.5,2.5),0)</f>
        <v>0</v>
      </c>
      <c r="K120" s="576">
        <f>'RMCV.PB'!N120</f>
        <v>0</v>
      </c>
      <c r="L120" s="918">
        <f>ABS('ELEM. MECA.'!F247)</f>
        <v>0</v>
      </c>
      <c r="M120" s="936">
        <f t="shared" si="44"/>
        <v>0</v>
      </c>
      <c r="N120" s="756" t="str">
        <f>IF('CG. MPB'!E121="CONCRETO","F/DISEÑO",IF(L120&gt;M120,IF(M120*1.05&gt;L120,"SE ACEPTA","NO PASA"),"PASA"))</f>
        <v>PASA</v>
      </c>
      <c r="O120" s="466" t="str">
        <f>IF(N120="pasa"," ",$O$24/('RMCV.PB'!C120*100))</f>
        <v xml:space="preserve"> </v>
      </c>
      <c r="P120" s="472" t="str">
        <f>IF(N120="pasa"," ",IF('CG. MPB'!E121="CONCRETO","F/DISEÑO",IF(AND(W120&gt;O120,O120&gt;X120),"BIEN","MAL")))</f>
        <v xml:space="preserve"> </v>
      </c>
      <c r="Q120" s="466">
        <f>IF('CG. MPB'!F121="MACIZO",12/'RMCS.PB'!$O$25,9/'RMCS.PB'!$O$25)</f>
        <v>2.3999999999999998E-3</v>
      </c>
      <c r="R120" s="466">
        <f t="shared" si="45"/>
        <v>0</v>
      </c>
      <c r="S120" s="466">
        <f>IF(G120=0,0,IF(AND(G120=2,'RMCV.PB'!E89="III"),30,40))</f>
        <v>0</v>
      </c>
      <c r="T120" s="466">
        <f>IF(I120=0,0,IF(AND(I120=3,'RMCV.PB'!$E$17="I"),20,15))</f>
        <v>0</v>
      </c>
      <c r="U120" s="466">
        <f>IF(J120=0,0,IF(AND(J120=3.5,'RMCV.PB'!$E$17="I"),20,15))</f>
        <v>0</v>
      </c>
      <c r="V120" s="466">
        <f t="shared" si="46"/>
        <v>0</v>
      </c>
      <c r="W120" s="466">
        <f t="shared" si="47"/>
        <v>0</v>
      </c>
      <c r="X120" s="466" t="e">
        <f>IF('CG. MPB'!E121="CONCRETO",0,IF(M120/(D120*$O$25*K120)&gt;3/$O$25,M120/(D120*$O$25*K120),3/$O$25))</f>
        <v>#DIV/0!</v>
      </c>
      <c r="Y120" s="765" t="e">
        <f t="shared" si="48"/>
        <v>#VALUE!</v>
      </c>
      <c r="Z120" s="466" t="e">
        <f t="shared" si="49"/>
        <v>#VALUE!</v>
      </c>
      <c r="AA120" s="766" t="e">
        <f t="shared" si="50"/>
        <v>#VALUE!</v>
      </c>
      <c r="AB120" s="943" t="str">
        <f t="shared" si="51"/>
        <v xml:space="preserve"> </v>
      </c>
      <c r="AC120" s="767" t="str">
        <f>IF(N120="pasa"," ",IF('CG. MPB'!E121="CONCRETO","F/DISEÑO",IF(AB120&gt;L120,"PASA","NO PASA")))</f>
        <v xml:space="preserve"> </v>
      </c>
      <c r="AD120" s="488" t="e">
        <f>$AD$23/($AD$27*'RMCV.PB'!C120)</f>
        <v>#DIV/0!</v>
      </c>
      <c r="AE120" s="482" t="e">
        <f t="shared" si="76"/>
        <v>#DIV/0!</v>
      </c>
      <c r="AF120" s="482">
        <f>IF(12/$AE$25&gt;'RMCV.PB'!F120*0.3/$AE$25,'RMCV.PB'!F120*0.3/$AE$25,12/$AE$25)</f>
        <v>0</v>
      </c>
      <c r="AG120" s="483" t="e">
        <f t="shared" si="77"/>
        <v>#DIV/0!</v>
      </c>
      <c r="AH120" s="482">
        <f>IF(9/$AE$25&gt;'RMCV.PB'!F120*0.3/$AE$25,'RMCV.PB'!F120*0.3/$AE$25,9/$AE$25)</f>
        <v>0</v>
      </c>
      <c r="AI120" s="484" t="e">
        <f t="shared" si="78"/>
        <v>#DIV/0!</v>
      </c>
      <c r="AJ120" s="485" t="e">
        <f t="shared" si="79"/>
        <v>#DIV/0!</v>
      </c>
      <c r="AK120" s="486">
        <f t="shared" si="80"/>
        <v>0</v>
      </c>
      <c r="AL120" s="486">
        <f t="shared" si="81"/>
        <v>0</v>
      </c>
      <c r="AM120" s="487" t="str">
        <f>IF(N120="PASA"," ",IF('CG. MPB'!E121="CONCRETO","F/DISEÑO",IF(AL120&gt;M120,"PASA","NO PASA")))</f>
        <v xml:space="preserve"> </v>
      </c>
    </row>
    <row r="121" spans="1:39">
      <c r="A121" s="684">
        <f>'CG. MPB'!A122</f>
        <v>42</v>
      </c>
      <c r="B121" s="576">
        <f>'RMCV.PB'!O121/1.3</f>
        <v>0</v>
      </c>
      <c r="C121" s="576">
        <f t="shared" si="43"/>
        <v>0</v>
      </c>
      <c r="D121" s="578">
        <f>IF('CG. MPB'!D122="NO CONFINADO",0.4,0.7)</f>
        <v>0.7</v>
      </c>
      <c r="E121" s="578">
        <f>IF('CG. MPB'!E122="CONCRETO",0.5*(0.8*250)^0.5,F121+G121+I121+J121+H121)</f>
        <v>0</v>
      </c>
      <c r="F121" s="578">
        <f>IF(AND('CG. MPB'!E122="TABIQUE",'CG. MPB'!F122="MACIZO"),IF('RMCV.PB'!$E$17="I",3.5,3),0)</f>
        <v>0</v>
      </c>
      <c r="G121" s="578">
        <f>IF(AND('CG. MPB'!E122="TABIQUE",'CG. MPB'!F122="HUECO"),IF('RMCV.PB'!$E$17="I",3,5.5),0)</f>
        <v>0</v>
      </c>
      <c r="H121" s="578">
        <f>IF('CG. MPB'!E122="ADOBE",0.3,0)</f>
        <v>0</v>
      </c>
      <c r="I121" s="578">
        <f>IF(AND('CG. MPB'!E122="TABICON",'CG. MPB'!F122="MACIZO"),IF('RMCV.PB'!$E$17="I",3,2),0)</f>
        <v>0</v>
      </c>
      <c r="J121" s="578">
        <f>IF(AND('CG. MPB'!E122="TABICON",'CG. MPB'!F122="HUECO"),IF('RMCV.PB'!$E$17="I",3.5,2.5),0)</f>
        <v>0</v>
      </c>
      <c r="K121" s="576">
        <f>'RMCV.PB'!N121</f>
        <v>0</v>
      </c>
      <c r="L121" s="918">
        <f>ABS('ELEM. MECA.'!F248)</f>
        <v>0</v>
      </c>
      <c r="M121" s="936">
        <f t="shared" si="44"/>
        <v>0</v>
      </c>
      <c r="N121" s="756" t="str">
        <f>IF('CG. MPB'!E122="CONCRETO","F/DISEÑO",IF(L121&gt;M121,IF(M121*1.05&gt;L121,"SE ACEPTA","NO PASA"),"PASA"))</f>
        <v>PASA</v>
      </c>
      <c r="O121" s="466" t="str">
        <f>IF(N121="pasa"," ",$O$24/('RMCV.PB'!C121*100))</f>
        <v xml:space="preserve"> </v>
      </c>
      <c r="P121" s="472" t="str">
        <f>IF(N121="pasa"," ",IF('CG. MPB'!E122="CONCRETO","F/DISEÑO",IF(AND(W121&gt;O121,O121&gt;X121),"BIEN","MAL")))</f>
        <v xml:space="preserve"> </v>
      </c>
      <c r="Q121" s="466">
        <f>IF('CG. MPB'!F122="MACIZO",12/'RMCS.PB'!$O$25,9/'RMCS.PB'!$O$25)</f>
        <v>2.3999999999999998E-3</v>
      </c>
      <c r="R121" s="466">
        <f t="shared" si="45"/>
        <v>0</v>
      </c>
      <c r="S121" s="466">
        <f>IF(G121=0,0,IF(AND(G121=2,'RMCV.PB'!E90="III"),30,40))</f>
        <v>0</v>
      </c>
      <c r="T121" s="466">
        <f>IF(I121=0,0,IF(AND(I121=3,'RMCV.PB'!$E$17="I"),20,15))</f>
        <v>0</v>
      </c>
      <c r="U121" s="466">
        <f>IF(J121=0,0,IF(AND(J121=3.5,'RMCV.PB'!$E$17="I"),20,15))</f>
        <v>0</v>
      </c>
      <c r="V121" s="466">
        <f t="shared" si="46"/>
        <v>0</v>
      </c>
      <c r="W121" s="466">
        <f t="shared" si="47"/>
        <v>0</v>
      </c>
      <c r="X121" s="466" t="e">
        <f>IF('CG. MPB'!E122="CONCRETO",0,IF(M121/(D121*$O$25*K121)&gt;3/$O$25,M121/(D121*$O$25*K121),3/$O$25))</f>
        <v>#DIV/0!</v>
      </c>
      <c r="Y121" s="765" t="e">
        <f t="shared" si="48"/>
        <v>#VALUE!</v>
      </c>
      <c r="Z121" s="466" t="e">
        <f t="shared" si="49"/>
        <v>#VALUE!</v>
      </c>
      <c r="AA121" s="766" t="e">
        <f t="shared" si="50"/>
        <v>#VALUE!</v>
      </c>
      <c r="AB121" s="943" t="str">
        <f t="shared" si="51"/>
        <v xml:space="preserve"> </v>
      </c>
      <c r="AC121" s="767" t="str">
        <f>IF(N121="pasa"," ",IF('CG. MPB'!E122="CONCRETO","F/DISEÑO",IF(AB121&gt;L121,"PASA","NO PASA")))</f>
        <v xml:space="preserve"> </v>
      </c>
      <c r="AD121" s="488" t="e">
        <f>$AD$23/($AD$27*'RMCV.PB'!C121)</f>
        <v>#DIV/0!</v>
      </c>
      <c r="AE121" s="482" t="e">
        <f t="shared" si="76"/>
        <v>#DIV/0!</v>
      </c>
      <c r="AF121" s="482">
        <f>IF(12/$AE$25&gt;'RMCV.PB'!F121*0.3/$AE$25,'RMCV.PB'!F121*0.3/$AE$25,12/$AE$25)</f>
        <v>0</v>
      </c>
      <c r="AG121" s="483" t="e">
        <f t="shared" si="77"/>
        <v>#DIV/0!</v>
      </c>
      <c r="AH121" s="482">
        <f>IF(9/$AE$25&gt;'RMCV.PB'!F121*0.3/$AE$25,'RMCV.PB'!F121*0.3/$AE$25,9/$AE$25)</f>
        <v>0</v>
      </c>
      <c r="AI121" s="484" t="e">
        <f t="shared" si="78"/>
        <v>#DIV/0!</v>
      </c>
      <c r="AJ121" s="485" t="e">
        <f t="shared" si="79"/>
        <v>#DIV/0!</v>
      </c>
      <c r="AK121" s="486">
        <f t="shared" si="80"/>
        <v>0</v>
      </c>
      <c r="AL121" s="486">
        <f t="shared" si="81"/>
        <v>0</v>
      </c>
      <c r="AM121" s="487" t="str">
        <f>IF(N121="PASA"," ",IF('CG. MPB'!E122="CONCRETO","F/DISEÑO",IF(AL121&gt;M121,"PASA","NO PASA")))</f>
        <v xml:space="preserve"> </v>
      </c>
    </row>
    <row r="122" spans="1:39">
      <c r="A122" s="684">
        <f>'CG. MPB'!A123</f>
        <v>43</v>
      </c>
      <c r="B122" s="576">
        <f>'RMCV.PB'!O122/1.3</f>
        <v>0</v>
      </c>
      <c r="C122" s="576">
        <f t="shared" si="43"/>
        <v>0</v>
      </c>
      <c r="D122" s="578">
        <f>IF('CG. MPB'!D123="NO CONFINADO",0.4,0.7)</f>
        <v>0.7</v>
      </c>
      <c r="E122" s="578">
        <f>IF('CG. MPB'!E123="CONCRETO",0.5*(0.8*250)^0.5,F122+G122+I122+J122+H122)</f>
        <v>0</v>
      </c>
      <c r="F122" s="578">
        <f>IF(AND('CG. MPB'!E123="TABIQUE",'CG. MPB'!F123="MACIZO"),IF('RMCV.PB'!$E$17="I",3.5,3),0)</f>
        <v>0</v>
      </c>
      <c r="G122" s="578">
        <f>IF(AND('CG. MPB'!E123="TABIQUE",'CG. MPB'!F123="HUECO"),IF('RMCV.PB'!$E$17="I",3,5.5),0)</f>
        <v>0</v>
      </c>
      <c r="H122" s="578">
        <f>IF('CG. MPB'!E123="ADOBE",0.3,0)</f>
        <v>0</v>
      </c>
      <c r="I122" s="578">
        <f>IF(AND('CG. MPB'!E123="TABICON",'CG. MPB'!F123="MACIZO"),IF('RMCV.PB'!$E$17="I",3,2),0)</f>
        <v>0</v>
      </c>
      <c r="J122" s="578">
        <f>IF(AND('CG. MPB'!E123="TABICON",'CG. MPB'!F123="HUECO"),IF('RMCV.PB'!$E$17="I",3.5,2.5),0)</f>
        <v>0</v>
      </c>
      <c r="K122" s="576">
        <f>'RMCV.PB'!N122</f>
        <v>0</v>
      </c>
      <c r="L122" s="918">
        <f>ABS('ELEM. MECA.'!F249)</f>
        <v>0</v>
      </c>
      <c r="M122" s="936">
        <f t="shared" si="44"/>
        <v>0</v>
      </c>
      <c r="N122" s="756" t="str">
        <f>IF('CG. MPB'!E123="CONCRETO","F/DISEÑO",IF(L122&gt;M122,IF(M122*1.05&gt;L122,"SE ACEPTA","NO PASA"),"PASA"))</f>
        <v>PASA</v>
      </c>
      <c r="O122" s="466" t="str">
        <f>IF(N122="pasa"," ",$O$24/('RMCV.PB'!C122*100))</f>
        <v xml:space="preserve"> </v>
      </c>
      <c r="P122" s="472" t="str">
        <f>IF(N122="pasa"," ",IF('CG. MPB'!E123="CONCRETO","F/DISEÑO",IF(AND(W122&gt;O122,O122&gt;X122),"BIEN","MAL")))</f>
        <v xml:space="preserve"> </v>
      </c>
      <c r="Q122" s="466">
        <f>IF('CG. MPB'!F123="MACIZO",12/'RMCS.PB'!$O$25,9/'RMCS.PB'!$O$25)</f>
        <v>2.3999999999999998E-3</v>
      </c>
      <c r="R122" s="466">
        <f t="shared" si="45"/>
        <v>0</v>
      </c>
      <c r="S122" s="466">
        <f>IF(G122=0,0,IF(AND(G122=2,'RMCV.PB'!E91="III"),30,40))</f>
        <v>0</v>
      </c>
      <c r="T122" s="466">
        <f>IF(I122=0,0,IF(AND(I122=3,'RMCV.PB'!$E$17="I"),20,15))</f>
        <v>0</v>
      </c>
      <c r="U122" s="466">
        <f>IF(J122=0,0,IF(AND(J122=3.5,'RMCV.PB'!$E$17="I"),20,15))</f>
        <v>0</v>
      </c>
      <c r="V122" s="466">
        <f t="shared" si="46"/>
        <v>0</v>
      </c>
      <c r="W122" s="466">
        <f t="shared" si="47"/>
        <v>0</v>
      </c>
      <c r="X122" s="466" t="e">
        <f>IF('CG. MPB'!E123="CONCRETO",0,IF(M122/(D122*$O$25*K122)&gt;3/$O$25,M122/(D122*$O$25*K122),3/$O$25))</f>
        <v>#DIV/0!</v>
      </c>
      <c r="Y122" s="765" t="e">
        <f t="shared" si="48"/>
        <v>#VALUE!</v>
      </c>
      <c r="Z122" s="466" t="e">
        <f t="shared" si="49"/>
        <v>#VALUE!</v>
      </c>
      <c r="AA122" s="766" t="e">
        <f t="shared" si="50"/>
        <v>#VALUE!</v>
      </c>
      <c r="AB122" s="943" t="str">
        <f t="shared" si="51"/>
        <v xml:space="preserve"> </v>
      </c>
      <c r="AC122" s="767" t="str">
        <f>IF(N122="pasa"," ",IF('CG. MPB'!E123="CONCRETO","F/DISEÑO",IF(AB122&gt;L122,"PASA","NO PASA")))</f>
        <v xml:space="preserve"> </v>
      </c>
      <c r="AD122" s="488" t="e">
        <f>$AD$23/($AD$27*'RMCV.PB'!C122)</f>
        <v>#DIV/0!</v>
      </c>
      <c r="AE122" s="482" t="e">
        <f t="shared" si="76"/>
        <v>#DIV/0!</v>
      </c>
      <c r="AF122" s="482">
        <f>IF(12/$AE$25&gt;'RMCV.PB'!F122*0.3/$AE$25,'RMCV.PB'!F122*0.3/$AE$25,12/$AE$25)</f>
        <v>0</v>
      </c>
      <c r="AG122" s="483" t="e">
        <f t="shared" si="77"/>
        <v>#DIV/0!</v>
      </c>
      <c r="AH122" s="482">
        <f>IF(9/$AE$25&gt;'RMCV.PB'!F122*0.3/$AE$25,'RMCV.PB'!F122*0.3/$AE$25,9/$AE$25)</f>
        <v>0</v>
      </c>
      <c r="AI122" s="484" t="e">
        <f t="shared" si="78"/>
        <v>#DIV/0!</v>
      </c>
      <c r="AJ122" s="485" t="e">
        <f t="shared" si="79"/>
        <v>#DIV/0!</v>
      </c>
      <c r="AK122" s="486">
        <f t="shared" si="80"/>
        <v>0</v>
      </c>
      <c r="AL122" s="486">
        <f t="shared" si="81"/>
        <v>0</v>
      </c>
      <c r="AM122" s="487" t="str">
        <f>IF(N122="PASA"," ",IF('CG. MPB'!E123="CONCRETO","F/DISEÑO",IF(AL122&gt;M122,"PASA","NO PASA")))</f>
        <v xml:space="preserve"> </v>
      </c>
    </row>
    <row r="123" spans="1:39">
      <c r="A123" s="684">
        <f>'CG. MPB'!A124</f>
        <v>44</v>
      </c>
      <c r="B123" s="576">
        <f>'RMCV.PB'!O123/1.3</f>
        <v>0</v>
      </c>
      <c r="C123" s="576">
        <f t="shared" si="43"/>
        <v>0</v>
      </c>
      <c r="D123" s="578">
        <f>IF('CG. MPB'!D124="NO CONFINADO",0.4,0.7)</f>
        <v>0.7</v>
      </c>
      <c r="E123" s="578">
        <f>IF('CG. MPB'!E124="CONCRETO",0.5*(0.8*250)^0.5,F123+G123+I123+J123+H123)</f>
        <v>0</v>
      </c>
      <c r="F123" s="578">
        <f>IF(AND('CG. MPB'!E124="TABIQUE",'CG. MPB'!F124="MACIZO"),IF('RMCV.PB'!$E$17="I",3.5,3),0)</f>
        <v>0</v>
      </c>
      <c r="G123" s="578">
        <f>IF(AND('CG. MPB'!E124="TABIQUE",'CG. MPB'!F124="HUECO"),IF('RMCV.PB'!$E$17="I",3,5.5),0)</f>
        <v>0</v>
      </c>
      <c r="H123" s="578">
        <f>IF('CG. MPB'!E124="ADOBE",0.3,0)</f>
        <v>0</v>
      </c>
      <c r="I123" s="578">
        <f>IF(AND('CG. MPB'!E124="TABICON",'CG. MPB'!F124="MACIZO"),IF('RMCV.PB'!$E$17="I",3,2),0)</f>
        <v>0</v>
      </c>
      <c r="J123" s="578">
        <f>IF(AND('CG. MPB'!E124="TABICON",'CG. MPB'!F124="HUECO"),IF('RMCV.PB'!$E$17="I",3.5,2.5),0)</f>
        <v>0</v>
      </c>
      <c r="K123" s="576">
        <f>'RMCV.PB'!N123</f>
        <v>0</v>
      </c>
      <c r="L123" s="918">
        <f>ABS('ELEM. MECA.'!F250)</f>
        <v>0</v>
      </c>
      <c r="M123" s="936">
        <f t="shared" si="44"/>
        <v>0</v>
      </c>
      <c r="N123" s="756" t="str">
        <f>IF('CG. MPB'!E124="CONCRETO","F/DISEÑO",IF(L123&gt;M123,IF(M123*1.05&gt;L123,"SE ACEPTA","NO PASA"),"PASA"))</f>
        <v>PASA</v>
      </c>
      <c r="O123" s="466" t="str">
        <f>IF(N123="pasa"," ",$O$24/('RMCV.PB'!C123*100))</f>
        <v xml:space="preserve"> </v>
      </c>
      <c r="P123" s="472" t="str">
        <f>IF(N123="pasa"," ",IF('CG. MPB'!E124="CONCRETO","F/DISEÑO",IF(AND(W123&gt;O123,O123&gt;X123),"BIEN","MAL")))</f>
        <v xml:space="preserve"> </v>
      </c>
      <c r="Q123" s="466">
        <f>IF('CG. MPB'!F124="MACIZO",12/'RMCS.PB'!$O$25,9/'RMCS.PB'!$O$25)</f>
        <v>2.3999999999999998E-3</v>
      </c>
      <c r="R123" s="466">
        <f t="shared" si="45"/>
        <v>0</v>
      </c>
      <c r="S123" s="466">
        <f>IF(G123=0,0,IF(AND(G123=2,'RMCV.PB'!E92="III"),30,40))</f>
        <v>0</v>
      </c>
      <c r="T123" s="466">
        <f>IF(I123=0,0,IF(AND(I123=3,'RMCV.PB'!$E$17="I"),20,15))</f>
        <v>0</v>
      </c>
      <c r="U123" s="466">
        <f>IF(J123=0,0,IF(AND(J123=3.5,'RMCV.PB'!$E$17="I"),20,15))</f>
        <v>0</v>
      </c>
      <c r="V123" s="466">
        <f t="shared" si="46"/>
        <v>0</v>
      </c>
      <c r="W123" s="466">
        <f t="shared" si="47"/>
        <v>0</v>
      </c>
      <c r="X123" s="466" t="e">
        <f>IF('CG. MPB'!E124="CONCRETO",0,IF(M123/(D123*$O$25*K123)&gt;3/$O$25,M123/(D123*$O$25*K123),3/$O$25))</f>
        <v>#DIV/0!</v>
      </c>
      <c r="Y123" s="765" t="e">
        <f t="shared" si="48"/>
        <v>#VALUE!</v>
      </c>
      <c r="Z123" s="466" t="e">
        <f t="shared" si="49"/>
        <v>#VALUE!</v>
      </c>
      <c r="AA123" s="766" t="e">
        <f t="shared" si="50"/>
        <v>#VALUE!</v>
      </c>
      <c r="AB123" s="943" t="str">
        <f t="shared" si="51"/>
        <v xml:space="preserve"> </v>
      </c>
      <c r="AC123" s="767" t="str">
        <f>IF(N123="pasa"," ",IF('CG. MPB'!E124="CONCRETO","F/DISEÑO",IF(AB123&gt;L123,"PASA","NO PASA")))</f>
        <v xml:space="preserve"> </v>
      </c>
      <c r="AD123" s="488" t="e">
        <f>$AD$23/($AD$27*'RMCV.PB'!C123)</f>
        <v>#DIV/0!</v>
      </c>
      <c r="AE123" s="482" t="e">
        <f t="shared" si="76"/>
        <v>#DIV/0!</v>
      </c>
      <c r="AF123" s="482">
        <f>IF(12/$AE$25&gt;'RMCV.PB'!F123*0.3/$AE$25,'RMCV.PB'!F123*0.3/$AE$25,12/$AE$25)</f>
        <v>0</v>
      </c>
      <c r="AG123" s="483" t="e">
        <f t="shared" si="77"/>
        <v>#DIV/0!</v>
      </c>
      <c r="AH123" s="482">
        <f>IF(9/$AE$25&gt;'RMCV.PB'!F123*0.3/$AE$25,'RMCV.PB'!F123*0.3/$AE$25,9/$AE$25)</f>
        <v>0</v>
      </c>
      <c r="AI123" s="484" t="e">
        <f t="shared" si="78"/>
        <v>#DIV/0!</v>
      </c>
      <c r="AJ123" s="485" t="e">
        <f t="shared" si="79"/>
        <v>#DIV/0!</v>
      </c>
      <c r="AK123" s="486">
        <f t="shared" si="80"/>
        <v>0</v>
      </c>
      <c r="AL123" s="486">
        <f t="shared" si="81"/>
        <v>0</v>
      </c>
      <c r="AM123" s="487" t="str">
        <f>IF(N123="PASA"," ",IF('CG. MPB'!E124="CONCRETO","F/DISEÑO",IF(AL123&gt;M123,"PASA","NO PASA")))</f>
        <v xml:space="preserve"> </v>
      </c>
    </row>
    <row r="124" spans="1:39">
      <c r="A124" s="684">
        <f>'CG. MPB'!A125</f>
        <v>45</v>
      </c>
      <c r="B124" s="576">
        <f>'RMCV.PB'!O124/1.3</f>
        <v>0</v>
      </c>
      <c r="C124" s="576">
        <f t="shared" si="43"/>
        <v>0</v>
      </c>
      <c r="D124" s="578">
        <f>IF('CG. MPB'!D125="NO CONFINADO",0.4,0.7)</f>
        <v>0.7</v>
      </c>
      <c r="E124" s="578">
        <f>IF('CG. MPB'!E125="CONCRETO",0.5*(0.8*250)^0.5,F124+G124+I124+J124+H124)</f>
        <v>0</v>
      </c>
      <c r="F124" s="578">
        <f>IF(AND('CG. MPB'!E125="TABIQUE",'CG. MPB'!F125="MACIZO"),IF('RMCV.PB'!$E$17="I",3.5,3),0)</f>
        <v>0</v>
      </c>
      <c r="G124" s="578">
        <f>IF(AND('CG. MPB'!E125="TABIQUE",'CG. MPB'!F125="HUECO"),IF('RMCV.PB'!$E$17="I",3,5.5),0)</f>
        <v>0</v>
      </c>
      <c r="H124" s="578">
        <f>IF('CG. MPB'!E125="ADOBE",0.3,0)</f>
        <v>0</v>
      </c>
      <c r="I124" s="578">
        <f>IF(AND('CG. MPB'!E125="TABICON",'CG. MPB'!F125="MACIZO"),IF('RMCV.PB'!$E$17="I",3,2),0)</f>
        <v>0</v>
      </c>
      <c r="J124" s="578">
        <f>IF(AND('CG. MPB'!E125="TABICON",'CG. MPB'!F125="HUECO"),IF('RMCV.PB'!$E$17="I",3.5,2.5),0)</f>
        <v>0</v>
      </c>
      <c r="K124" s="576">
        <f>'RMCV.PB'!N124</f>
        <v>0</v>
      </c>
      <c r="L124" s="918">
        <f>ABS('ELEM. MECA.'!F251)</f>
        <v>0</v>
      </c>
      <c r="M124" s="936">
        <f t="shared" si="44"/>
        <v>0</v>
      </c>
      <c r="N124" s="756" t="str">
        <f>IF('CG. MPB'!E125="CONCRETO","F/DISEÑO",IF(L124&gt;M124,IF(M124*1.05&gt;L124,"SE ACEPTA","NO PASA"),"PASA"))</f>
        <v>PASA</v>
      </c>
      <c r="O124" s="466" t="str">
        <f>IF(N124="pasa"," ",$O$24/('RMCV.PB'!C124*100))</f>
        <v xml:space="preserve"> </v>
      </c>
      <c r="P124" s="472" t="str">
        <f>IF(N124="pasa"," ",IF('CG. MPB'!E125="CONCRETO","F/DISEÑO",IF(AND(W124&gt;O124,O124&gt;X124),"BIEN","MAL")))</f>
        <v xml:space="preserve"> </v>
      </c>
      <c r="Q124" s="466">
        <f>IF('CG. MPB'!F125="MACIZO",12/'RMCS.PB'!$O$25,9/'RMCS.PB'!$O$25)</f>
        <v>2.3999999999999998E-3</v>
      </c>
      <c r="R124" s="466">
        <f t="shared" si="45"/>
        <v>0</v>
      </c>
      <c r="S124" s="466">
        <f>IF(G124=0,0,IF(AND(G124=2,'RMCV.PB'!E93="III"),30,40))</f>
        <v>0</v>
      </c>
      <c r="T124" s="466">
        <f>IF(I124=0,0,IF(AND(I124=3,'RMCV.PB'!$E$17="I"),20,15))</f>
        <v>0</v>
      </c>
      <c r="U124" s="466">
        <f>IF(J124=0,0,IF(AND(J124=3.5,'RMCV.PB'!$E$17="I"),20,15))</f>
        <v>0</v>
      </c>
      <c r="V124" s="466">
        <f t="shared" si="46"/>
        <v>0</v>
      </c>
      <c r="W124" s="466">
        <f t="shared" si="47"/>
        <v>0</v>
      </c>
      <c r="X124" s="466" t="e">
        <f>IF('CG. MPB'!E125="CONCRETO",0,IF(M124/(D124*$O$25*K124)&gt;3/$O$25,M124/(D124*$O$25*K124),3/$O$25))</f>
        <v>#DIV/0!</v>
      </c>
      <c r="Y124" s="765" t="e">
        <f t="shared" si="48"/>
        <v>#VALUE!</v>
      </c>
      <c r="Z124" s="466" t="e">
        <f t="shared" si="49"/>
        <v>#VALUE!</v>
      </c>
      <c r="AA124" s="766" t="e">
        <f t="shared" si="50"/>
        <v>#VALUE!</v>
      </c>
      <c r="AB124" s="943" t="str">
        <f t="shared" si="51"/>
        <v xml:space="preserve"> </v>
      </c>
      <c r="AC124" s="767" t="str">
        <f>IF(N124="pasa"," ",IF('CG. MPB'!E125="CONCRETO","F/DISEÑO",IF(AB124&gt;L124,"PASA","NO PASA")))</f>
        <v xml:space="preserve"> </v>
      </c>
      <c r="AD124" s="488" t="e">
        <f>$AD$23/($AD$27*'RMCV.PB'!C124)</f>
        <v>#DIV/0!</v>
      </c>
      <c r="AE124" s="482" t="e">
        <f t="shared" si="76"/>
        <v>#DIV/0!</v>
      </c>
      <c r="AF124" s="482">
        <f>IF(12/$AE$25&gt;'RMCV.PB'!F124*0.3/$AE$25,'RMCV.PB'!F124*0.3/$AE$25,12/$AE$25)</f>
        <v>0</v>
      </c>
      <c r="AG124" s="483" t="e">
        <f t="shared" si="77"/>
        <v>#DIV/0!</v>
      </c>
      <c r="AH124" s="482">
        <f>IF(9/$AE$25&gt;'RMCV.PB'!F124*0.3/$AE$25,'RMCV.PB'!F124*0.3/$AE$25,9/$AE$25)</f>
        <v>0</v>
      </c>
      <c r="AI124" s="484" t="e">
        <f t="shared" si="78"/>
        <v>#DIV/0!</v>
      </c>
      <c r="AJ124" s="485" t="e">
        <f t="shared" si="79"/>
        <v>#DIV/0!</v>
      </c>
      <c r="AK124" s="486">
        <f t="shared" si="80"/>
        <v>0</v>
      </c>
      <c r="AL124" s="486">
        <f t="shared" si="81"/>
        <v>0</v>
      </c>
      <c r="AM124" s="487" t="str">
        <f>IF(N124="PASA"," ",IF('CG. MPB'!E125="CONCRETO","F/DISEÑO",IF(AL124&gt;M124,"PASA","NO PASA")))</f>
        <v xml:space="preserve"> </v>
      </c>
    </row>
    <row r="125" spans="1:39">
      <c r="A125" s="684">
        <f>'CG. MPB'!A126</f>
        <v>46</v>
      </c>
      <c r="B125" s="576">
        <f>'RMCV.PB'!O125/1.3</f>
        <v>0</v>
      </c>
      <c r="C125" s="576">
        <f t="shared" si="43"/>
        <v>0</v>
      </c>
      <c r="D125" s="578">
        <f>IF('CG. MPB'!D126="NO CONFINADO",0.4,0.7)</f>
        <v>0.7</v>
      </c>
      <c r="E125" s="578">
        <f>IF('CG. MPB'!E126="CONCRETO",0.5*(0.8*250)^0.5,F125+G125+I125+J125+H125)</f>
        <v>0</v>
      </c>
      <c r="F125" s="578">
        <f>IF(AND('CG. MPB'!E126="TABIQUE",'CG. MPB'!F126="MACIZO"),IF('RMCV.PB'!$E$17="I",3.5,3),0)</f>
        <v>0</v>
      </c>
      <c r="G125" s="578">
        <f>IF(AND('CG. MPB'!E126="TABIQUE",'CG. MPB'!F126="HUECO"),IF('RMCV.PB'!$E$17="I",3,5.5),0)</f>
        <v>0</v>
      </c>
      <c r="H125" s="578">
        <f>IF('CG. MPB'!E126="ADOBE",0.3,0)</f>
        <v>0</v>
      </c>
      <c r="I125" s="578">
        <f>IF(AND('CG. MPB'!E126="TABICON",'CG. MPB'!F126="MACIZO"),IF('RMCV.PB'!$E$17="I",3,2),0)</f>
        <v>0</v>
      </c>
      <c r="J125" s="578">
        <f>IF(AND('CG. MPB'!E126="TABICON",'CG. MPB'!F126="HUECO"),IF('RMCV.PB'!$E$17="I",3.5,2.5),0)</f>
        <v>0</v>
      </c>
      <c r="K125" s="576">
        <f>'RMCV.PB'!N125</f>
        <v>0</v>
      </c>
      <c r="L125" s="918">
        <f>ABS('ELEM. MECA.'!F252)</f>
        <v>0</v>
      </c>
      <c r="M125" s="936">
        <f t="shared" si="44"/>
        <v>0</v>
      </c>
      <c r="N125" s="756" t="str">
        <f>IF('CG. MPB'!E126="CONCRETO","F/DISEÑO",IF(L125&gt;M125,IF(M125*1.05&gt;L125,"SE ACEPTA","NO PASA"),"PASA"))</f>
        <v>PASA</v>
      </c>
      <c r="O125" s="466" t="str">
        <f>IF(N125="pasa"," ",$O$24/('RMCV.PB'!C125*100))</f>
        <v xml:space="preserve"> </v>
      </c>
      <c r="P125" s="472" t="str">
        <f>IF(N125="pasa"," ",IF('CG. MPB'!E126="CONCRETO","F/DISEÑO",IF(AND(W125&gt;O125,O125&gt;X125),"BIEN","MAL")))</f>
        <v xml:space="preserve"> </v>
      </c>
      <c r="Q125" s="466">
        <f>IF('CG. MPB'!F126="MACIZO",12/'RMCS.PB'!$O$25,9/'RMCS.PB'!$O$25)</f>
        <v>2.3999999999999998E-3</v>
      </c>
      <c r="R125" s="466">
        <f t="shared" si="45"/>
        <v>0</v>
      </c>
      <c r="S125" s="466">
        <f>IF(G125=0,0,IF(AND(G125=2,'RMCV.PB'!E94="III"),30,40))</f>
        <v>0</v>
      </c>
      <c r="T125" s="466">
        <f>IF(I125=0,0,IF(AND(I125=3,'RMCV.PB'!$E$17="I"),20,15))</f>
        <v>0</v>
      </c>
      <c r="U125" s="466">
        <f>IF(J125=0,0,IF(AND(J125=3.5,'RMCV.PB'!$E$17="I"),20,15))</f>
        <v>0</v>
      </c>
      <c r="V125" s="466">
        <f t="shared" si="46"/>
        <v>0</v>
      </c>
      <c r="W125" s="466">
        <f t="shared" si="47"/>
        <v>0</v>
      </c>
      <c r="X125" s="466" t="e">
        <f>IF('CG. MPB'!E126="CONCRETO",0,IF(M125/(D125*$O$25*K125)&gt;3/$O$25,M125/(D125*$O$25*K125),3/$O$25))</f>
        <v>#DIV/0!</v>
      </c>
      <c r="Y125" s="765" t="e">
        <f t="shared" si="48"/>
        <v>#VALUE!</v>
      </c>
      <c r="Z125" s="466" t="e">
        <f t="shared" si="49"/>
        <v>#VALUE!</v>
      </c>
      <c r="AA125" s="766" t="e">
        <f t="shared" si="50"/>
        <v>#VALUE!</v>
      </c>
      <c r="AB125" s="943" t="str">
        <f t="shared" si="51"/>
        <v xml:space="preserve"> </v>
      </c>
      <c r="AC125" s="767" t="str">
        <f>IF(N125="pasa"," ",IF('CG. MPB'!E126="CONCRETO","F/DISEÑO",IF(AB125&gt;L125,"PASA","NO PASA")))</f>
        <v xml:space="preserve"> </v>
      </c>
      <c r="AD125" s="488" t="e">
        <f>$AD$23/($AD$27*'RMCV.PB'!C125)</f>
        <v>#DIV/0!</v>
      </c>
      <c r="AE125" s="482" t="e">
        <f t="shared" si="76"/>
        <v>#DIV/0!</v>
      </c>
      <c r="AF125" s="482">
        <f>IF(12/$AE$25&gt;'RMCV.PB'!F125*0.3/$AE$25,'RMCV.PB'!F125*0.3/$AE$25,12/$AE$25)</f>
        <v>0</v>
      </c>
      <c r="AG125" s="483" t="e">
        <f t="shared" si="77"/>
        <v>#DIV/0!</v>
      </c>
      <c r="AH125" s="482">
        <f>IF(9/$AE$25&gt;'RMCV.PB'!F125*0.3/$AE$25,'RMCV.PB'!F125*0.3/$AE$25,9/$AE$25)</f>
        <v>0</v>
      </c>
      <c r="AI125" s="484" t="e">
        <f t="shared" si="78"/>
        <v>#DIV/0!</v>
      </c>
      <c r="AJ125" s="485" t="e">
        <f t="shared" si="79"/>
        <v>#DIV/0!</v>
      </c>
      <c r="AK125" s="486">
        <f t="shared" si="80"/>
        <v>0</v>
      </c>
      <c r="AL125" s="486">
        <f t="shared" si="81"/>
        <v>0</v>
      </c>
      <c r="AM125" s="487" t="str">
        <f>IF(N125="PASA"," ",IF('CG. MPB'!E126="CONCRETO","F/DISEÑO",IF(AL125&gt;M125,"PASA","NO PASA")))</f>
        <v xml:space="preserve"> </v>
      </c>
    </row>
    <row r="126" spans="1:39">
      <c r="A126" s="684">
        <f>'CG. MPB'!A127</f>
        <v>47</v>
      </c>
      <c r="B126" s="576">
        <f>'RMCV.PB'!O126/1.3</f>
        <v>0</v>
      </c>
      <c r="C126" s="576">
        <f t="shared" si="43"/>
        <v>0</v>
      </c>
      <c r="D126" s="578">
        <f>IF('CG. MPB'!D127="NO CONFINADO",0.4,0.7)</f>
        <v>0.7</v>
      </c>
      <c r="E126" s="578">
        <f>IF('CG. MPB'!E127="CONCRETO",0.5*(0.8*250)^0.5,F126+G126+I126+J126+H126)</f>
        <v>0</v>
      </c>
      <c r="F126" s="578">
        <f>IF(AND('CG. MPB'!E127="TABIQUE",'CG. MPB'!F127="MACIZO"),IF('RMCV.PB'!$E$17="I",3.5,3),0)</f>
        <v>0</v>
      </c>
      <c r="G126" s="578">
        <f>IF(AND('CG. MPB'!E127="TABIQUE",'CG. MPB'!F127="HUECO"),IF('RMCV.PB'!$E$17="I",3,5.5),0)</f>
        <v>0</v>
      </c>
      <c r="H126" s="578">
        <f>IF('CG. MPB'!E127="ADOBE",0.3,0)</f>
        <v>0</v>
      </c>
      <c r="I126" s="578">
        <f>IF(AND('CG. MPB'!E127="TABICON",'CG. MPB'!F127="MACIZO"),IF('RMCV.PB'!$E$17="I",3,2),0)</f>
        <v>0</v>
      </c>
      <c r="J126" s="578">
        <f>IF(AND('CG. MPB'!E127="TABICON",'CG. MPB'!F127="HUECO"),IF('RMCV.PB'!$E$17="I",3.5,2.5),0)</f>
        <v>0</v>
      </c>
      <c r="K126" s="576">
        <f>'RMCV.PB'!N126</f>
        <v>0</v>
      </c>
      <c r="L126" s="918">
        <f>ABS('ELEM. MECA.'!F253)</f>
        <v>0</v>
      </c>
      <c r="M126" s="936">
        <f t="shared" si="44"/>
        <v>0</v>
      </c>
      <c r="N126" s="756" t="str">
        <f>IF('CG. MPB'!E127="CONCRETO","F/DISEÑO",IF(L126&gt;M126,IF(M126*1.05&gt;L126,"SE ACEPTA","NO PASA"),"PASA"))</f>
        <v>PASA</v>
      </c>
      <c r="O126" s="466" t="str">
        <f>IF(N126="pasa"," ",$O$24/('RMCV.PB'!C126*100))</f>
        <v xml:space="preserve"> </v>
      </c>
      <c r="P126" s="472" t="str">
        <f>IF(N126="pasa"," ",IF('CG. MPB'!E127="CONCRETO","F/DISEÑO",IF(AND(W126&gt;O126,O126&gt;X126),"BIEN","MAL")))</f>
        <v xml:space="preserve"> </v>
      </c>
      <c r="Q126" s="466">
        <f>IF('CG. MPB'!F127="MACIZO",12/'RMCS.PB'!$O$25,9/'RMCS.PB'!$O$25)</f>
        <v>2.3999999999999998E-3</v>
      </c>
      <c r="R126" s="466">
        <f t="shared" si="45"/>
        <v>0</v>
      </c>
      <c r="S126" s="466">
        <f>IF(G126=0,0,IF(AND(G126=2,'RMCV.PB'!E95="III"),30,40))</f>
        <v>0</v>
      </c>
      <c r="T126" s="466">
        <f>IF(I126=0,0,IF(AND(I126=3,'RMCV.PB'!$E$17="I"),20,15))</f>
        <v>0</v>
      </c>
      <c r="U126" s="466">
        <f>IF(J126=0,0,IF(AND(J126=3.5,'RMCV.PB'!$E$17="I"),20,15))</f>
        <v>0</v>
      </c>
      <c r="V126" s="466">
        <f t="shared" si="46"/>
        <v>0</v>
      </c>
      <c r="W126" s="466">
        <f t="shared" si="47"/>
        <v>0</v>
      </c>
      <c r="X126" s="466" t="e">
        <f>IF('CG. MPB'!E127="CONCRETO",0,IF(M126/(D126*$O$25*K126)&gt;3/$O$25,M126/(D126*$O$25*K126),3/$O$25))</f>
        <v>#DIV/0!</v>
      </c>
      <c r="Y126" s="765" t="e">
        <f t="shared" si="48"/>
        <v>#VALUE!</v>
      </c>
      <c r="Z126" s="466" t="e">
        <f t="shared" si="49"/>
        <v>#VALUE!</v>
      </c>
      <c r="AA126" s="766" t="e">
        <f t="shared" si="50"/>
        <v>#VALUE!</v>
      </c>
      <c r="AB126" s="943" t="str">
        <f t="shared" si="51"/>
        <v xml:space="preserve"> </v>
      </c>
      <c r="AC126" s="767" t="str">
        <f>IF(N126="pasa"," ",IF('CG. MPB'!E127="CONCRETO","F/DISEÑO",IF(AB126&gt;L126,"PASA","NO PASA")))</f>
        <v xml:space="preserve"> </v>
      </c>
      <c r="AD126" s="488" t="e">
        <f>$AD$23/($AD$27*'RMCV.PB'!C126)</f>
        <v>#DIV/0!</v>
      </c>
      <c r="AE126" s="482" t="e">
        <f t="shared" si="76"/>
        <v>#DIV/0!</v>
      </c>
      <c r="AF126" s="482">
        <f>IF(12/$AE$25&gt;'RMCV.PB'!F126*0.3/$AE$25,'RMCV.PB'!F126*0.3/$AE$25,12/$AE$25)</f>
        <v>0</v>
      </c>
      <c r="AG126" s="483" t="e">
        <f t="shared" si="77"/>
        <v>#DIV/0!</v>
      </c>
      <c r="AH126" s="482">
        <f>IF(9/$AE$25&gt;'RMCV.PB'!F126*0.3/$AE$25,'RMCV.PB'!F126*0.3/$AE$25,9/$AE$25)</f>
        <v>0</v>
      </c>
      <c r="AI126" s="484" t="e">
        <f t="shared" si="78"/>
        <v>#DIV/0!</v>
      </c>
      <c r="AJ126" s="485" t="e">
        <f t="shared" si="79"/>
        <v>#DIV/0!</v>
      </c>
      <c r="AK126" s="486">
        <f t="shared" si="80"/>
        <v>0</v>
      </c>
      <c r="AL126" s="486">
        <f t="shared" si="81"/>
        <v>0</v>
      </c>
      <c r="AM126" s="487" t="str">
        <f>IF(N126="PASA"," ",IF('CG. MPB'!E127="CONCRETO","F/DISEÑO",IF(AL126&gt;M126,"PASA","NO PASA")))</f>
        <v xml:space="preserve"> </v>
      </c>
    </row>
    <row r="127" spans="1:39">
      <c r="A127" s="684">
        <f>'CG. MPB'!A128</f>
        <v>48</v>
      </c>
      <c r="B127" s="576">
        <f>'RMCV.PB'!O127/1.3</f>
        <v>0</v>
      </c>
      <c r="C127" s="576">
        <f t="shared" si="43"/>
        <v>0</v>
      </c>
      <c r="D127" s="578">
        <f>IF('CG. MPB'!D128="NO CONFINADO",0.4,0.7)</f>
        <v>0.7</v>
      </c>
      <c r="E127" s="578">
        <f>IF('CG. MPB'!E128="CONCRETO",0.5*(0.8*250)^0.5,F127+G127+I127+J127+H127)</f>
        <v>0</v>
      </c>
      <c r="F127" s="578">
        <f>IF(AND('CG. MPB'!E128="TABIQUE",'CG. MPB'!F128="MACIZO"),IF('RMCV.PB'!$E$17="I",3.5,3),0)</f>
        <v>0</v>
      </c>
      <c r="G127" s="578">
        <f>IF(AND('CG. MPB'!E128="TABIQUE",'CG. MPB'!F128="HUECO"),IF('RMCV.PB'!$E$17="I",3,5.5),0)</f>
        <v>0</v>
      </c>
      <c r="H127" s="578">
        <f>IF('CG. MPB'!E128="ADOBE",0.3,0)</f>
        <v>0</v>
      </c>
      <c r="I127" s="578">
        <f>IF(AND('CG. MPB'!E128="TABICON",'CG. MPB'!F128="MACIZO"),IF('RMCV.PB'!$E$17="I",3,2),0)</f>
        <v>0</v>
      </c>
      <c r="J127" s="578">
        <f>IF(AND('CG. MPB'!E128="TABICON",'CG. MPB'!F128="HUECO"),IF('RMCV.PB'!$E$17="I",3.5,2.5),0)</f>
        <v>0</v>
      </c>
      <c r="K127" s="576">
        <f>'RMCV.PB'!N127</f>
        <v>0</v>
      </c>
      <c r="L127" s="918">
        <f>ABS('ELEM. MECA.'!F254)</f>
        <v>0</v>
      </c>
      <c r="M127" s="936">
        <f t="shared" si="44"/>
        <v>0</v>
      </c>
      <c r="N127" s="756" t="str">
        <f>IF('CG. MPB'!E128="CONCRETO","F/DISEÑO",IF(L127&gt;M127,IF(M127*1.05&gt;L127,"SE ACEPTA","NO PASA"),"PASA"))</f>
        <v>PASA</v>
      </c>
      <c r="O127" s="466" t="str">
        <f>IF(N127="pasa"," ",$O$24/('RMCV.PB'!C127*100))</f>
        <v xml:space="preserve"> </v>
      </c>
      <c r="P127" s="472" t="str">
        <f>IF(N127="pasa"," ",IF('CG. MPB'!E128="CONCRETO","F/DISEÑO",IF(AND(W127&gt;O127,O127&gt;X127),"BIEN","MAL")))</f>
        <v xml:space="preserve"> </v>
      </c>
      <c r="Q127" s="466">
        <f>IF('CG. MPB'!F128="MACIZO",12/'RMCS.PB'!$O$25,9/'RMCS.PB'!$O$25)</f>
        <v>2.3999999999999998E-3</v>
      </c>
      <c r="R127" s="466">
        <f t="shared" si="45"/>
        <v>0</v>
      </c>
      <c r="S127" s="466">
        <f>IF(G127=0,0,IF(AND(G127=2,'RMCV.PB'!E96="III"),30,40))</f>
        <v>0</v>
      </c>
      <c r="T127" s="466">
        <f>IF(I127=0,0,IF(AND(I127=3,'RMCV.PB'!$E$17="I"),20,15))</f>
        <v>0</v>
      </c>
      <c r="U127" s="466">
        <f>IF(J127=0,0,IF(AND(J127=3.5,'RMCV.PB'!$E$17="I"),20,15))</f>
        <v>0</v>
      </c>
      <c r="V127" s="466">
        <f t="shared" si="46"/>
        <v>0</v>
      </c>
      <c r="W127" s="466">
        <f t="shared" si="47"/>
        <v>0</v>
      </c>
      <c r="X127" s="466" t="e">
        <f>IF('CG. MPB'!E128="CONCRETO",0,IF(M127/(D127*$O$25*K127)&gt;3/$O$25,M127/(D127*$O$25*K127),3/$O$25))</f>
        <v>#DIV/0!</v>
      </c>
      <c r="Y127" s="765" t="e">
        <f t="shared" si="48"/>
        <v>#VALUE!</v>
      </c>
      <c r="Z127" s="466" t="e">
        <f t="shared" si="49"/>
        <v>#VALUE!</v>
      </c>
      <c r="AA127" s="766" t="e">
        <f t="shared" si="50"/>
        <v>#VALUE!</v>
      </c>
      <c r="AB127" s="943" t="str">
        <f t="shared" si="51"/>
        <v xml:space="preserve"> </v>
      </c>
      <c r="AC127" s="767" t="str">
        <f>IF(N127="pasa"," ",IF('CG. MPB'!E128="CONCRETO","F/DISEÑO",IF(AB127&gt;L127,"PASA","NO PASA")))</f>
        <v xml:space="preserve"> </v>
      </c>
      <c r="AD127" s="488" t="e">
        <f>$AD$23/($AD$27*'RMCV.PB'!C127)</f>
        <v>#DIV/0!</v>
      </c>
      <c r="AE127" s="482" t="e">
        <f t="shared" si="76"/>
        <v>#DIV/0!</v>
      </c>
      <c r="AF127" s="482">
        <f>IF(12/$AE$25&gt;'RMCV.PB'!F127*0.3/$AE$25,'RMCV.PB'!F127*0.3/$AE$25,12/$AE$25)</f>
        <v>0</v>
      </c>
      <c r="AG127" s="483" t="e">
        <f t="shared" si="77"/>
        <v>#DIV/0!</v>
      </c>
      <c r="AH127" s="482">
        <f>IF(9/$AE$25&gt;'RMCV.PB'!F127*0.3/$AE$25,'RMCV.PB'!F127*0.3/$AE$25,9/$AE$25)</f>
        <v>0</v>
      </c>
      <c r="AI127" s="484" t="e">
        <f t="shared" si="78"/>
        <v>#DIV/0!</v>
      </c>
      <c r="AJ127" s="485" t="e">
        <f t="shared" si="79"/>
        <v>#DIV/0!</v>
      </c>
      <c r="AK127" s="486">
        <f t="shared" si="80"/>
        <v>0</v>
      </c>
      <c r="AL127" s="486">
        <f t="shared" si="81"/>
        <v>0</v>
      </c>
      <c r="AM127" s="487" t="str">
        <f>IF(N127="PASA"," ",IF('CG. MPB'!E128="CONCRETO","F/DISEÑO",IF(AL127&gt;M127,"PASA","NO PASA")))</f>
        <v xml:space="preserve"> </v>
      </c>
    </row>
    <row r="128" spans="1:39">
      <c r="A128" s="684">
        <f>'CG. MPB'!A129</f>
        <v>49</v>
      </c>
      <c r="B128" s="576">
        <f>'RMCV.PB'!O128/1.3</f>
        <v>0</v>
      </c>
      <c r="C128" s="576">
        <f t="shared" si="43"/>
        <v>0</v>
      </c>
      <c r="D128" s="578">
        <f>IF('CG. MPB'!D129="NO CONFINADO",0.4,0.7)</f>
        <v>0.7</v>
      </c>
      <c r="E128" s="578">
        <f>IF('CG. MPB'!E129="CONCRETO",0.5*(0.8*250)^0.5,F128+G128+I128+J128+H128)</f>
        <v>0</v>
      </c>
      <c r="F128" s="578">
        <f>IF(AND('CG. MPB'!E129="TABIQUE",'CG. MPB'!F129="MACIZO"),IF('RMCV.PB'!$E$17="I",3.5,3),0)</f>
        <v>0</v>
      </c>
      <c r="G128" s="578">
        <f>IF(AND('CG. MPB'!E129="TABIQUE",'CG. MPB'!F129="HUECO"),IF('RMCV.PB'!$E$17="I",3,5.5),0)</f>
        <v>0</v>
      </c>
      <c r="H128" s="578">
        <f>IF('CG. MPB'!E129="ADOBE",0.3,0)</f>
        <v>0</v>
      </c>
      <c r="I128" s="578">
        <f>IF(AND('CG. MPB'!E129="TABICON",'CG. MPB'!F129="MACIZO"),IF('RMCV.PB'!$E$17="I",3,2),0)</f>
        <v>0</v>
      </c>
      <c r="J128" s="578">
        <f>IF(AND('CG. MPB'!E129="TABICON",'CG. MPB'!F129="HUECO"),IF('RMCV.PB'!$E$17="I",3.5,2.5),0)</f>
        <v>0</v>
      </c>
      <c r="K128" s="576">
        <f>'RMCV.PB'!N128</f>
        <v>0</v>
      </c>
      <c r="L128" s="918">
        <f>ABS('ELEM. MECA.'!F255)</f>
        <v>0</v>
      </c>
      <c r="M128" s="936">
        <f t="shared" si="44"/>
        <v>0</v>
      </c>
      <c r="N128" s="756" t="str">
        <f>IF('CG. MPB'!E129="CONCRETO","F/DISEÑO",IF(L128&gt;M128,IF(M128*1.05&gt;L128,"SE ACEPTA","NO PASA"),"PASA"))</f>
        <v>PASA</v>
      </c>
      <c r="O128" s="466" t="str">
        <f>IF(N128="pasa"," ",$O$24/('RMCV.PB'!C128*100))</f>
        <v xml:space="preserve"> </v>
      </c>
      <c r="P128" s="472" t="str">
        <f>IF(N128="pasa"," ",IF('CG. MPB'!E129="CONCRETO","F/DISEÑO",IF(AND(W128&gt;O128,O128&gt;X128),"BIEN","MAL")))</f>
        <v xml:space="preserve"> </v>
      </c>
      <c r="Q128" s="466">
        <f>IF('CG. MPB'!F129="MACIZO",12/'RMCS.PB'!$O$25,9/'RMCS.PB'!$O$25)</f>
        <v>2.3999999999999998E-3</v>
      </c>
      <c r="R128" s="466">
        <f t="shared" si="45"/>
        <v>0</v>
      </c>
      <c r="S128" s="466">
        <f>IF(G128=0,0,IF(AND(G128=2,'RMCV.PB'!E97="III"),30,40))</f>
        <v>0</v>
      </c>
      <c r="T128" s="466">
        <f>IF(I128=0,0,IF(AND(I128=3,'RMCV.PB'!$E$17="I"),20,15))</f>
        <v>0</v>
      </c>
      <c r="U128" s="466">
        <f>IF(J128=0,0,IF(AND(J128=3.5,'RMCV.PB'!$E$17="I"),20,15))</f>
        <v>0</v>
      </c>
      <c r="V128" s="466">
        <f t="shared" si="46"/>
        <v>0</v>
      </c>
      <c r="W128" s="466">
        <f t="shared" si="47"/>
        <v>0</v>
      </c>
      <c r="X128" s="466" t="e">
        <f>IF('CG. MPB'!E129="CONCRETO",0,IF(M128/(D128*$O$25*K128)&gt;3/$O$25,M128/(D128*$O$25*K128),3/$O$25))</f>
        <v>#DIV/0!</v>
      </c>
      <c r="Y128" s="765" t="e">
        <f t="shared" si="48"/>
        <v>#VALUE!</v>
      </c>
      <c r="Z128" s="466" t="e">
        <f t="shared" si="49"/>
        <v>#VALUE!</v>
      </c>
      <c r="AA128" s="766" t="e">
        <f t="shared" si="50"/>
        <v>#VALUE!</v>
      </c>
      <c r="AB128" s="943" t="str">
        <f t="shared" si="51"/>
        <v xml:space="preserve"> </v>
      </c>
      <c r="AC128" s="767" t="str">
        <f>IF(N128="pasa"," ",IF('CG. MPB'!E129="CONCRETO","F/DISEÑO",IF(AB128&gt;L128,"PASA","NO PASA")))</f>
        <v xml:space="preserve"> </v>
      </c>
    </row>
    <row r="129" spans="1:29" ht="15.75" thickBot="1">
      <c r="A129" s="686">
        <f>'CG. MPB'!A130</f>
        <v>50</v>
      </c>
      <c r="B129" s="687">
        <f>'RMCV.PB'!O129/1.3</f>
        <v>0</v>
      </c>
      <c r="C129" s="687">
        <f>0.3*B129</f>
        <v>0</v>
      </c>
      <c r="D129" s="877">
        <f>IF('CG. MPB'!D130="NO CONFINADO",0.4,0.7)</f>
        <v>0.7</v>
      </c>
      <c r="E129" s="877">
        <f>IF('CG. MPB'!E130="CONCRETO",0.5*(0.8*250)^0.5,F129+G129+I129+J129+H129)</f>
        <v>0</v>
      </c>
      <c r="F129" s="877">
        <f>IF(AND('CG. MPB'!E130="TABIQUE",'CG. MPB'!F130="MACIZO"),IF('RMCV.PB'!$E$17="I",3.5,3),0)</f>
        <v>0</v>
      </c>
      <c r="G129" s="877">
        <f>IF(AND('CG. MPB'!E130="TABIQUE",'CG. MPB'!F130="HUECO"),IF('RMCV.PB'!$E$17="I",3,5.5),0)</f>
        <v>0</v>
      </c>
      <c r="H129" s="877">
        <f>IF('CG. MPB'!E130="ADOBE",0.3,0)</f>
        <v>0</v>
      </c>
      <c r="I129" s="877">
        <f>IF(AND('CG. MPB'!E130="TABICON",'CG. MPB'!F130="MACIZO"),IF('RMCV.PB'!$E$17="I",3,2),0)</f>
        <v>0</v>
      </c>
      <c r="J129" s="877">
        <f>IF(AND('CG. MPB'!E130="TABICON",'CG. MPB'!F130="HUECO"),IF('RMCV.PB'!$E$17="I",3.5,2.5),0)</f>
        <v>0</v>
      </c>
      <c r="K129" s="687">
        <f>'RMCV.PB'!N129</f>
        <v>0</v>
      </c>
      <c r="L129" s="948">
        <f>ABS('ELEM. MECA.'!F256)</f>
        <v>0</v>
      </c>
      <c r="M129" s="945">
        <f>IF(((D129*E129*K129*0.5)+(D129*C129))&lt;(D129*E129*K129*1.5),((D129*E129*K129*0.5)+(D129*C129)),(D129*E129*K129*1.5))</f>
        <v>0</v>
      </c>
      <c r="N129" s="884" t="str">
        <f>IF('CG. MPB'!E130="CONCRETO","F/DISEÑO",IF(L129&gt;M129,IF(M129*1.05&gt;L129,"SE ACEPTA","NO PASA"),"PASA"))</f>
        <v>PASA</v>
      </c>
      <c r="O129" s="946" t="str">
        <f>IF(N129="pasa"," ",$O$24/('RMCV.PB'!C129*100))</f>
        <v xml:space="preserve"> </v>
      </c>
      <c r="P129" s="880" t="str">
        <f>IF(N129="pasa"," ",IF('CG. MPB'!E130="CONCRETO","F/DISEÑO",IF(AND(W129&gt;O129,O129&gt;X129),"BIEN","MAL")))</f>
        <v xml:space="preserve"> </v>
      </c>
      <c r="Q129" s="946">
        <f>IF('CG. MPB'!F130="MACIZO",12/'RMCS.PB'!$O$25,9/'RMCS.PB'!$O$25)</f>
        <v>2.3999999999999998E-3</v>
      </c>
      <c r="R129" s="946">
        <f>IF(F129&gt;0,15,0)</f>
        <v>0</v>
      </c>
      <c r="S129" s="946">
        <f>IF(G129=0,0,IF(AND(G129=2,'RMCV.PB'!E98="III"),30,40))</f>
        <v>0</v>
      </c>
      <c r="T129" s="946">
        <f>IF(I129=0,0,IF(AND(I129=3,'RMCV.PB'!$E$17="I"),20,15))</f>
        <v>0</v>
      </c>
      <c r="U129" s="946">
        <f>IF(J129=0,0,IF(AND(J129=3.5,'RMCV.PB'!$E$17="I"),20,15))</f>
        <v>0</v>
      </c>
      <c r="V129" s="946">
        <f>(R129+S129+T129+U129)*0.3/$O$25</f>
        <v>0</v>
      </c>
      <c r="W129" s="946">
        <f>IF(Q129&gt;V129,V129,Q129)</f>
        <v>0</v>
      </c>
      <c r="X129" s="946" t="e">
        <f>IF('CG. MPB'!E130="CONCRETO",0,IF(M129/(D129*$O$25*K129)&gt;3/$O$25,M129/(D129*$O$25*K129),3/$O$25))</f>
        <v>#DIV/0!</v>
      </c>
      <c r="Y129" s="881" t="e">
        <f>O129*$O$25</f>
        <v>#VALUE!</v>
      </c>
      <c r="Z129" s="946" t="e">
        <f>IF(6&gt;Y129,0.6,IF(Y129&gt;9,0.2,(0.4*(9-Y129)/3)+0.2))</f>
        <v>#VALUE!</v>
      </c>
      <c r="AA129" s="882" t="e">
        <f>D129*Z129*O129*$O$25*K129</f>
        <v>#VALUE!</v>
      </c>
      <c r="AB129" s="947" t="str">
        <f>IF(N129="pasa"," ",AA129+M129)</f>
        <v xml:space="preserve"> </v>
      </c>
      <c r="AC129" s="883" t="str">
        <f>IF(N129="pasa"," ",IF('CG. MPB'!E130="CONCRETO","F/DISEÑO",IF(AB129&gt;L129,"PASA","NO PASA")))</f>
        <v xml:space="preserve"> </v>
      </c>
    </row>
  </sheetData>
  <mergeCells count="7">
    <mergeCell ref="E24:E25"/>
    <mergeCell ref="O21:AC21"/>
    <mergeCell ref="AE21:AM21"/>
    <mergeCell ref="A14:N14"/>
    <mergeCell ref="F22:G22"/>
    <mergeCell ref="I22:J22"/>
    <mergeCell ref="A16:N16"/>
  </mergeCells>
  <phoneticPr fontId="0" type="noConversion"/>
  <conditionalFormatting sqref="N1:N1048576">
    <cfRule type="containsText" dxfId="19" priority="3" operator="containsText" text="NO PASA">
      <formula>NOT(ISERROR(SEARCH("NO PASA",N1)))</formula>
    </cfRule>
    <cfRule type="containsText" dxfId="18" priority="4" operator="containsText" text="SE ACEPTA">
      <formula>NOT(ISERROR(SEARCH("SE ACEPTA",N1)))</formula>
    </cfRule>
    <cfRule type="containsText" dxfId="17" priority="5" operator="containsText" text="PASA">
      <formula>NOT(ISERROR(SEARCH("PASA",N1)))</formula>
    </cfRule>
  </conditionalFormatting>
  <conditionalFormatting sqref="AC1:AC1048576">
    <cfRule type="containsText" dxfId="16" priority="1" operator="containsText" text="NO PASA">
      <formula>NOT(ISERROR(SEARCH("NO PASA",AC1)))</formula>
    </cfRule>
    <cfRule type="containsText" dxfId="15" priority="2" operator="containsText" text="PASA">
      <formula>NOT(ISERROR(SEARCH("PASA",AC1)))</formula>
    </cfRule>
  </conditionalFormatting>
  <pageMargins left="0.59055118110236227" right="0.39370078740157483" top="0.39370078740157483" bottom="0.39370078740157483" header="0" footer="0"/>
  <pageSetup scale="60" orientation="portrait" horizontalDpi="300" verticalDpi="300" r:id="rId1"/>
  <headerFooter alignWithMargins="0">
    <oddFooter>&amp;L&amp;"Arial,Normal"TEL (FAX) 01 951 51 4 28 30&amp;C______________________________________________________________________________________________________________________________________________________
.&amp;R&amp;"Arial,Normal"CED. PROF. 1718634</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6FD1-6491-4749-AA85-F739A07AC6B2}">
  <sheetPr codeName="Hoja11">
    <tabColor rgb="FFC00000"/>
  </sheetPr>
  <dimension ref="A1:BC128"/>
  <sheetViews>
    <sheetView showGridLines="0" zoomScale="115" zoomScaleNormal="115" workbookViewId="0">
      <selection activeCell="A13" sqref="A13:AD85"/>
    </sheetView>
  </sheetViews>
  <sheetFormatPr baseColWidth="10" defaultColWidth="11" defaultRowHeight="15"/>
  <cols>
    <col min="1" max="1" width="7.875" style="4" customWidth="1"/>
    <col min="2" max="2" width="8.25" style="4" customWidth="1"/>
    <col min="3" max="3" width="7.375" style="4" customWidth="1"/>
    <col min="4" max="4" width="5.625" style="4" customWidth="1"/>
    <col min="5" max="5" width="8.25" style="4" customWidth="1"/>
    <col min="6" max="6" width="9" style="4" hidden="1" customWidth="1"/>
    <col min="7" max="9" width="7.875" style="4" hidden="1" customWidth="1"/>
    <col min="10" max="10" width="7.75" style="4" hidden="1" customWidth="1"/>
    <col min="11" max="11" width="8.125" style="4" hidden="1" customWidth="1"/>
    <col min="12" max="12" width="11.625" style="4" bestFit="1" customWidth="1"/>
    <col min="13" max="13" width="12.375" style="909" bestFit="1" customWidth="1"/>
    <col min="14" max="14" width="11.625" style="909" bestFit="1" customWidth="1"/>
    <col min="15" max="15" width="12" style="4" customWidth="1"/>
    <col min="16" max="16" width="13" style="4" customWidth="1"/>
    <col min="17" max="17" width="9" style="4" hidden="1" customWidth="1"/>
    <col min="18" max="18" width="11" style="4" hidden="1" customWidth="1"/>
    <col min="19" max="24" width="13.375" style="4" hidden="1" customWidth="1"/>
    <col min="25" max="28" width="11" style="4" hidden="1" customWidth="1"/>
    <col min="29" max="29" width="10.25" style="4" customWidth="1"/>
    <col min="30" max="30" width="13.625" style="4" customWidth="1"/>
    <col min="31" max="38" width="11" style="4" hidden="1" customWidth="1"/>
    <col min="39" max="39" width="11" style="909" hidden="1" customWidth="1"/>
    <col min="40" max="40" width="11" style="4" hidden="1" customWidth="1"/>
    <col min="41" max="41" width="11" style="44" customWidth="1"/>
    <col min="42" max="43" width="11" style="4" customWidth="1"/>
    <col min="44" max="16384" width="11" style="4"/>
  </cols>
  <sheetData>
    <row r="1" spans="1:41" customFormat="1" ht="12.75">
      <c r="A1" s="518"/>
      <c r="M1" s="907"/>
      <c r="N1" s="907"/>
      <c r="AO1" s="564"/>
    </row>
    <row r="2" spans="1:41" customFormat="1" ht="12.75">
      <c r="A2" s="518"/>
      <c r="M2" s="907"/>
      <c r="N2" s="907"/>
      <c r="AO2" s="564"/>
    </row>
    <row r="3" spans="1:41" customFormat="1" ht="12.75">
      <c r="A3" s="518"/>
      <c r="M3" s="907"/>
      <c r="N3" s="907"/>
      <c r="AO3" s="564"/>
    </row>
    <row r="4" spans="1:41" customFormat="1" ht="12.75">
      <c r="A4" s="518"/>
      <c r="M4" s="907"/>
      <c r="N4" s="907"/>
      <c r="AO4" s="564"/>
    </row>
    <row r="5" spans="1:41" customFormat="1" ht="12.75">
      <c r="A5" s="518"/>
      <c r="M5" s="907"/>
      <c r="N5" s="907"/>
      <c r="AO5" s="564"/>
    </row>
    <row r="6" spans="1:41" customFormat="1" ht="12.75">
      <c r="A6" s="518"/>
      <c r="M6" s="907"/>
      <c r="N6" s="907"/>
      <c r="AO6" s="564"/>
    </row>
    <row r="7" spans="1:41">
      <c r="A7" s="4" t="str">
        <f>'CG. MPB'!A7</f>
        <v>PROPIETARIO   : ING. ROLANDO ORTIZ RAMOS</v>
      </c>
      <c r="AM7" s="4"/>
    </row>
    <row r="8" spans="1:41">
      <c r="A8" s="4" t="str">
        <f>'CG. MPB'!A8</f>
        <v xml:space="preserve">OBRA                   : </v>
      </c>
      <c r="AM8" s="4"/>
    </row>
    <row r="9" spans="1:41">
      <c r="A9" s="4" t="str">
        <f>'CG. MPB'!A9</f>
        <v>LOCALIZACION : 1ª PRIVADA 13 DE SEPTIEMBRE, COL. VICENTE SUAREZ</v>
      </c>
      <c r="AM9" s="4"/>
    </row>
    <row r="10" spans="1:41" hidden="1">
      <c r="A10" s="4">
        <f>'CG. MPB'!A10</f>
        <v>0</v>
      </c>
      <c r="AM10" s="4"/>
    </row>
    <row r="11" spans="1:41" hidden="1">
      <c r="A11" s="4" t="str">
        <f>'CG. MPB'!A11</f>
        <v>TABLA No. 1</v>
      </c>
      <c r="AM11" s="4"/>
    </row>
    <row r="12" spans="1:41" ht="15.75" thickBot="1">
      <c r="AM12" s="4"/>
    </row>
    <row r="13" spans="1:41" ht="15.75">
      <c r="A13" s="670"/>
      <c r="B13" s="671"/>
      <c r="C13" s="671"/>
      <c r="D13" s="671"/>
      <c r="E13" s="671"/>
      <c r="F13" s="671"/>
      <c r="G13" s="671"/>
      <c r="H13" s="671"/>
      <c r="I13" s="671"/>
      <c r="J13" s="671"/>
      <c r="K13" s="671"/>
      <c r="L13" s="671"/>
      <c r="M13" s="910"/>
      <c r="N13" s="910"/>
      <c r="O13" s="672"/>
      <c r="P13" s="14"/>
      <c r="Q13" s="14"/>
      <c r="R13" s="14"/>
      <c r="S13" s="14"/>
      <c r="T13" s="14"/>
      <c r="U13" s="14"/>
      <c r="V13" s="14"/>
      <c r="W13" s="14"/>
      <c r="X13" s="14"/>
      <c r="Y13" s="14"/>
      <c r="Z13" s="14"/>
      <c r="AA13" s="14"/>
      <c r="AB13" s="14"/>
      <c r="AC13" s="14"/>
      <c r="AD13" s="65"/>
      <c r="AM13" s="4"/>
    </row>
    <row r="14" spans="1:41" ht="20.25">
      <c r="A14" s="673" t="s">
        <v>132</v>
      </c>
      <c r="B14" s="9"/>
      <c r="C14" s="9"/>
      <c r="D14" s="9"/>
      <c r="E14" s="9"/>
      <c r="F14" s="9"/>
      <c r="G14" s="9"/>
      <c r="H14" s="9"/>
      <c r="I14" s="9"/>
      <c r="J14" s="9"/>
      <c r="K14" s="9"/>
      <c r="L14" s="9"/>
      <c r="M14" s="911"/>
      <c r="N14" s="911"/>
      <c r="O14" s="674"/>
      <c r="AD14" s="210"/>
      <c r="AM14" s="4"/>
    </row>
    <row r="15" spans="1:41" ht="15.75">
      <c r="A15" s="646"/>
      <c r="B15" s="9"/>
      <c r="C15" s="9"/>
      <c r="D15" s="9"/>
      <c r="E15" s="9"/>
      <c r="F15" s="9"/>
      <c r="G15" s="9"/>
      <c r="H15" s="9"/>
      <c r="I15" s="9"/>
      <c r="J15" s="9"/>
      <c r="K15" s="9"/>
      <c r="L15" s="9"/>
      <c r="M15" s="911"/>
      <c r="N15" s="911"/>
      <c r="O15" s="674"/>
      <c r="AD15" s="210"/>
      <c r="AM15" s="4"/>
    </row>
    <row r="16" spans="1:41" ht="15.75">
      <c r="A16" s="646" t="str">
        <f>'CG. MPA'!A15:F15</f>
        <v>PRIMER NIVEL</v>
      </c>
      <c r="B16" s="9"/>
      <c r="C16" s="9"/>
      <c r="D16" s="9"/>
      <c r="E16" s="9"/>
      <c r="F16" s="9"/>
      <c r="G16" s="9"/>
      <c r="H16" s="9"/>
      <c r="I16" s="9"/>
      <c r="J16" s="9"/>
      <c r="K16" s="9"/>
      <c r="L16" s="9"/>
      <c r="M16" s="911"/>
      <c r="N16" s="911"/>
      <c r="O16" s="674"/>
      <c r="AD16" s="210"/>
      <c r="AM16" s="4"/>
    </row>
    <row r="17" spans="1:47" ht="16.5" thickBot="1">
      <c r="A17" s="675"/>
      <c r="B17" s="12"/>
      <c r="C17" s="12"/>
      <c r="D17" s="12"/>
      <c r="E17" s="12"/>
      <c r="F17" s="12"/>
      <c r="G17" s="12"/>
      <c r="H17" s="12"/>
      <c r="I17" s="12"/>
      <c r="J17" s="12"/>
      <c r="K17" s="12"/>
      <c r="L17" s="12"/>
      <c r="M17" s="912"/>
      <c r="N17" s="912"/>
      <c r="O17" s="676"/>
      <c r="AD17" s="210"/>
      <c r="AM17" s="4"/>
      <c r="AQ17" s="904"/>
      <c r="AR17" s="904"/>
      <c r="AS17" s="904"/>
      <c r="AT17" s="904"/>
      <c r="AU17" s="904"/>
    </row>
    <row r="18" spans="1:47" ht="16.5" hidden="1" thickTop="1">
      <c r="A18" s="646"/>
      <c r="B18" s="9"/>
      <c r="C18" s="9"/>
      <c r="D18" s="9"/>
      <c r="E18" s="9"/>
      <c r="F18" s="9"/>
      <c r="G18" s="9"/>
      <c r="H18" s="9"/>
      <c r="I18" s="9"/>
      <c r="J18" s="9"/>
      <c r="K18" s="9"/>
      <c r="L18" s="9"/>
      <c r="M18" s="911"/>
      <c r="N18" s="911"/>
      <c r="O18" s="674"/>
      <c r="AD18" s="210"/>
      <c r="AM18" s="4"/>
      <c r="AQ18" s="904"/>
      <c r="AR18" s="904"/>
      <c r="AS18" s="904"/>
      <c r="AT18" s="904"/>
      <c r="AU18" s="904"/>
    </row>
    <row r="19" spans="1:47" ht="16.5" hidden="1" thickTop="1">
      <c r="A19" s="588" t="s">
        <v>91</v>
      </c>
      <c r="B19" s="26" t="s">
        <v>99</v>
      </c>
      <c r="C19" s="26" t="s">
        <v>100</v>
      </c>
      <c r="D19" s="26" t="s">
        <v>101</v>
      </c>
      <c r="E19" s="26" t="s">
        <v>102</v>
      </c>
      <c r="F19" s="26"/>
      <c r="G19" s="26"/>
      <c r="H19" s="26"/>
      <c r="I19" s="26"/>
      <c r="J19" s="26"/>
      <c r="K19" s="26"/>
      <c r="L19" s="26" t="s">
        <v>103</v>
      </c>
      <c r="M19" s="913" t="s">
        <v>105</v>
      </c>
      <c r="N19" s="913" t="s">
        <v>106</v>
      </c>
      <c r="O19" s="589" t="s">
        <v>107</v>
      </c>
      <c r="AD19" s="210"/>
      <c r="AM19" s="4"/>
      <c r="AQ19" s="904"/>
      <c r="AR19" s="904"/>
      <c r="AS19" s="904"/>
      <c r="AT19" s="904"/>
      <c r="AU19" s="904"/>
    </row>
    <row r="20" spans="1:47" ht="15.75" hidden="1" thickTop="1">
      <c r="A20" s="698"/>
      <c r="O20" s="210"/>
      <c r="AD20" s="210"/>
      <c r="AM20" s="4"/>
      <c r="AQ20" s="904"/>
      <c r="AR20" s="904"/>
      <c r="AS20" s="904"/>
      <c r="AT20" s="904"/>
      <c r="AU20" s="904"/>
    </row>
    <row r="21" spans="1:47" ht="16.5" thickTop="1">
      <c r="A21" s="678"/>
      <c r="B21" s="64"/>
      <c r="C21" s="23"/>
      <c r="D21" s="64"/>
      <c r="E21" s="64"/>
      <c r="F21" s="22"/>
      <c r="G21" s="46"/>
      <c r="H21" s="23"/>
      <c r="I21" s="23"/>
      <c r="J21" s="22"/>
      <c r="K21" s="46"/>
      <c r="L21" s="64"/>
      <c r="M21" s="927"/>
      <c r="N21" s="931"/>
      <c r="O21" s="699"/>
      <c r="P21" s="1139" t="s">
        <v>384</v>
      </c>
      <c r="Q21" s="1139"/>
      <c r="R21" s="1139"/>
      <c r="S21" s="1139"/>
      <c r="T21" s="1139"/>
      <c r="U21" s="1139"/>
      <c r="V21" s="1139"/>
      <c r="W21" s="1139"/>
      <c r="X21" s="1139"/>
      <c r="Y21" s="1139"/>
      <c r="Z21" s="1139"/>
      <c r="AA21" s="1139"/>
      <c r="AB21" s="1139"/>
      <c r="AC21" s="1139"/>
      <c r="AD21" s="1140"/>
      <c r="AE21" s="977" t="s">
        <v>305</v>
      </c>
      <c r="AF21" s="1136" t="s">
        <v>385</v>
      </c>
      <c r="AG21" s="1137"/>
      <c r="AH21" s="1137"/>
      <c r="AI21" s="1137"/>
      <c r="AJ21" s="1137"/>
      <c r="AK21" s="1137"/>
      <c r="AL21" s="1137"/>
      <c r="AM21" s="1137"/>
      <c r="AN21" s="1138"/>
      <c r="AQ21" s="904"/>
      <c r="AR21" s="904" t="s">
        <v>466</v>
      </c>
      <c r="AS21" s="904" t="s">
        <v>336</v>
      </c>
      <c r="AT21" s="904"/>
      <c r="AU21" s="904"/>
    </row>
    <row r="22" spans="1:47" ht="15.75">
      <c r="A22" s="588"/>
      <c r="B22" s="52" t="s">
        <v>108</v>
      </c>
      <c r="C22" s="26"/>
      <c r="D22" s="52"/>
      <c r="E22" s="52"/>
      <c r="F22" s="1134" t="s">
        <v>184</v>
      </c>
      <c r="G22" s="1135"/>
      <c r="H22" s="29" t="s">
        <v>405</v>
      </c>
      <c r="I22" s="29" t="s">
        <v>406</v>
      </c>
      <c r="J22" s="1134" t="s">
        <v>186</v>
      </c>
      <c r="K22" s="1135"/>
      <c r="L22" s="52"/>
      <c r="M22" s="932" t="s">
        <v>7</v>
      </c>
      <c r="N22" s="913" t="s">
        <v>123</v>
      </c>
      <c r="O22" s="652"/>
      <c r="P22" s="466" t="s">
        <v>336</v>
      </c>
      <c r="Q22" s="462"/>
      <c r="R22" s="463"/>
      <c r="S22" s="463"/>
      <c r="T22" s="463"/>
      <c r="U22" s="463"/>
      <c r="V22" s="463"/>
      <c r="W22" s="463"/>
      <c r="X22" s="463"/>
      <c r="Y22" s="463"/>
      <c r="Z22" s="463"/>
      <c r="AA22" s="463"/>
      <c r="AB22" s="463"/>
      <c r="AC22" s="463" t="s">
        <v>341</v>
      </c>
      <c r="AD22" s="761"/>
      <c r="AE22" s="978">
        <v>2</v>
      </c>
      <c r="AF22" s="898"/>
      <c r="AG22" s="898" t="s">
        <v>379</v>
      </c>
      <c r="AH22" s="898"/>
      <c r="AI22" s="898" t="s">
        <v>380</v>
      </c>
      <c r="AJ22" s="898"/>
      <c r="AK22" s="898"/>
      <c r="AL22" s="898"/>
      <c r="AM22" s="898"/>
      <c r="AN22" s="979"/>
      <c r="AQ22" s="904"/>
      <c r="AR22" s="904">
        <v>2.29</v>
      </c>
      <c r="AS22" s="904" t="s">
        <v>460</v>
      </c>
      <c r="AT22" s="904"/>
      <c r="AU22" s="904"/>
    </row>
    <row r="23" spans="1:47" ht="15.75">
      <c r="A23" s="588" t="s">
        <v>79</v>
      </c>
      <c r="B23" s="52" t="s">
        <v>112</v>
      </c>
      <c r="C23" s="26" t="s">
        <v>124</v>
      </c>
      <c r="D23" s="52" t="s">
        <v>119</v>
      </c>
      <c r="E23" s="52" t="s">
        <v>120</v>
      </c>
      <c r="F23" s="26"/>
      <c r="G23" s="64"/>
      <c r="H23" s="26"/>
      <c r="I23" s="26"/>
      <c r="J23" s="26"/>
      <c r="K23" s="92"/>
      <c r="L23" s="52" t="s">
        <v>114</v>
      </c>
      <c r="M23" s="932" t="s">
        <v>115</v>
      </c>
      <c r="N23" s="913" t="s">
        <v>116</v>
      </c>
      <c r="O23" s="652" t="s">
        <v>121</v>
      </c>
      <c r="P23" s="466" t="str">
        <f>VLOOKUP(P24,AR21:AS27,2,FALSE)</f>
        <v>6X6 - 6/6</v>
      </c>
      <c r="Q23" s="462"/>
      <c r="R23" s="463"/>
      <c r="S23" s="463"/>
      <c r="T23" s="463"/>
      <c r="U23" s="463"/>
      <c r="V23" s="463"/>
      <c r="W23" s="463"/>
      <c r="X23" s="463"/>
      <c r="Y23" s="463"/>
      <c r="Z23" s="463"/>
      <c r="AA23" s="463"/>
      <c r="AB23" s="463"/>
      <c r="AC23" s="463" t="s">
        <v>112</v>
      </c>
      <c r="AD23" s="761"/>
      <c r="AE23" s="978">
        <v>0.49</v>
      </c>
      <c r="AF23" s="898" t="s">
        <v>377</v>
      </c>
      <c r="AG23" s="898" t="s">
        <v>378</v>
      </c>
      <c r="AH23" s="898"/>
      <c r="AI23" s="898" t="s">
        <v>378</v>
      </c>
      <c r="AJ23" s="898"/>
      <c r="AK23" s="898"/>
      <c r="AL23" s="898" t="s">
        <v>341</v>
      </c>
      <c r="AM23" s="898" t="s">
        <v>341</v>
      </c>
      <c r="AN23" s="979"/>
      <c r="AQ23" s="904"/>
      <c r="AR23" s="904">
        <v>1.97</v>
      </c>
      <c r="AS23" s="904" t="s">
        <v>461</v>
      </c>
      <c r="AT23" s="904"/>
      <c r="AU23" s="904"/>
    </row>
    <row r="24" spans="1:47" ht="18.75">
      <c r="A24" s="588"/>
      <c r="B24" s="52" t="s">
        <v>85</v>
      </c>
      <c r="C24" s="26" t="s">
        <v>85</v>
      </c>
      <c r="D24" s="52"/>
      <c r="E24" s="52" t="s">
        <v>194</v>
      </c>
      <c r="F24" s="26" t="s">
        <v>191</v>
      </c>
      <c r="G24" s="52" t="s">
        <v>188</v>
      </c>
      <c r="H24" s="26"/>
      <c r="I24" s="26"/>
      <c r="J24" s="26" t="s">
        <v>191</v>
      </c>
      <c r="K24" s="52" t="s">
        <v>188</v>
      </c>
      <c r="L24" s="52" t="s">
        <v>193</v>
      </c>
      <c r="M24" s="932" t="s">
        <v>85</v>
      </c>
      <c r="N24" s="913" t="s">
        <v>85</v>
      </c>
      <c r="O24" s="652"/>
      <c r="P24" s="695">
        <v>1.22</v>
      </c>
      <c r="Q24" s="465"/>
      <c r="R24" s="463" t="s">
        <v>338</v>
      </c>
      <c r="S24" s="463"/>
      <c r="T24" s="463"/>
      <c r="U24" s="463"/>
      <c r="V24" s="463"/>
      <c r="W24" s="463"/>
      <c r="X24" s="466" t="s">
        <v>338</v>
      </c>
      <c r="Y24" s="466" t="s">
        <v>337</v>
      </c>
      <c r="Z24" s="467" t="s">
        <v>340</v>
      </c>
      <c r="AA24" s="467" t="s">
        <v>340</v>
      </c>
      <c r="AB24" s="466" t="s">
        <v>339</v>
      </c>
      <c r="AC24" s="463">
        <f>P24*2</f>
        <v>2.44</v>
      </c>
      <c r="AD24" s="761"/>
      <c r="AE24" s="980" t="s">
        <v>381</v>
      </c>
      <c r="AF24" s="898"/>
      <c r="AG24" s="898"/>
      <c r="AH24" s="898"/>
      <c r="AI24" s="898"/>
      <c r="AJ24" s="898"/>
      <c r="AK24" s="899" t="s">
        <v>383</v>
      </c>
      <c r="AL24" s="898" t="s">
        <v>382</v>
      </c>
      <c r="AM24" s="898" t="s">
        <v>112</v>
      </c>
      <c r="AN24" s="979"/>
      <c r="AQ24" s="904"/>
      <c r="AR24" s="904">
        <v>1.68</v>
      </c>
      <c r="AS24" s="904" t="s">
        <v>462</v>
      </c>
      <c r="AT24" s="904"/>
      <c r="AU24" s="904"/>
    </row>
    <row r="25" spans="1:47" ht="15.75">
      <c r="A25" s="680"/>
      <c r="B25" s="56"/>
      <c r="C25" s="29"/>
      <c r="D25" s="56"/>
      <c r="E25" s="56"/>
      <c r="F25" s="29"/>
      <c r="G25" s="56"/>
      <c r="H25" s="29"/>
      <c r="I25" s="29"/>
      <c r="J25" s="29"/>
      <c r="K25" s="56"/>
      <c r="L25" s="56"/>
      <c r="M25" s="915"/>
      <c r="N25" s="933"/>
      <c r="O25" s="654"/>
      <c r="P25" s="696">
        <v>5000</v>
      </c>
      <c r="Q25" s="468"/>
      <c r="R25" s="469"/>
      <c r="S25" s="469"/>
      <c r="T25" s="469"/>
      <c r="U25" s="469"/>
      <c r="V25" s="469"/>
      <c r="W25" s="469"/>
      <c r="X25" s="469"/>
      <c r="Y25" s="469"/>
      <c r="Z25" s="469"/>
      <c r="AA25" s="469"/>
      <c r="AB25" s="469"/>
      <c r="AC25" s="469"/>
      <c r="AD25" s="762"/>
      <c r="AE25" s="899">
        <f>IF(AE22*6&gt;60,60,6*AE22)</f>
        <v>12</v>
      </c>
      <c r="AF25" s="978">
        <v>6000</v>
      </c>
      <c r="AG25" s="898"/>
      <c r="AH25" s="898"/>
      <c r="AI25" s="898"/>
      <c r="AJ25" s="898"/>
      <c r="AK25" s="898"/>
      <c r="AL25" s="898"/>
      <c r="AM25" s="898"/>
      <c r="AN25" s="979"/>
      <c r="AQ25" s="904"/>
      <c r="AR25" s="904">
        <v>1.22</v>
      </c>
      <c r="AS25" s="904" t="s">
        <v>463</v>
      </c>
      <c r="AT25" s="904"/>
      <c r="AU25" s="904"/>
    </row>
    <row r="26" spans="1:47" ht="15.75">
      <c r="A26" s="649"/>
      <c r="B26" s="46"/>
      <c r="C26" s="46"/>
      <c r="D26" s="46"/>
      <c r="E26" s="46"/>
      <c r="F26" s="46"/>
      <c r="G26" s="46"/>
      <c r="H26" s="46"/>
      <c r="I26" s="46"/>
      <c r="J26" s="46"/>
      <c r="K26" s="46"/>
      <c r="L26" s="46"/>
      <c r="M26" s="956"/>
      <c r="N26" s="956"/>
      <c r="O26" s="679"/>
      <c r="P26" s="697"/>
      <c r="Q26" s="471"/>
      <c r="R26" s="463"/>
      <c r="S26" s="463"/>
      <c r="T26" s="463"/>
      <c r="U26" s="463"/>
      <c r="V26" s="463"/>
      <c r="W26" s="463"/>
      <c r="X26" s="463"/>
      <c r="Y26" s="463"/>
      <c r="Z26" s="463"/>
      <c r="AA26" s="463"/>
      <c r="AB26" s="463"/>
      <c r="AC26" s="470"/>
      <c r="AD26" s="763"/>
      <c r="AE26" s="981">
        <v>14</v>
      </c>
      <c r="AF26" s="982"/>
      <c r="AG26" s="982"/>
      <c r="AH26" s="982"/>
      <c r="AI26" s="982"/>
      <c r="AJ26" s="982"/>
      <c r="AK26" s="982"/>
      <c r="AL26" s="982"/>
      <c r="AM26" s="982"/>
      <c r="AN26" s="983"/>
      <c r="AQ26" s="904"/>
      <c r="AR26" s="904">
        <v>0.87</v>
      </c>
      <c r="AS26" s="904" t="s">
        <v>464</v>
      </c>
      <c r="AT26" s="904"/>
      <c r="AU26" s="904" t="s">
        <v>468</v>
      </c>
    </row>
    <row r="27" spans="1:47" ht="15.75">
      <c r="A27" s="657" t="s">
        <v>87</v>
      </c>
      <c r="B27" s="89"/>
      <c r="C27" s="89"/>
      <c r="D27" s="39"/>
      <c r="E27" s="39"/>
      <c r="F27" s="39"/>
      <c r="G27" s="39"/>
      <c r="H27" s="39"/>
      <c r="I27" s="39"/>
      <c r="J27" s="39"/>
      <c r="K27" s="39"/>
      <c r="L27" s="39"/>
      <c r="M27" s="934"/>
      <c r="N27" s="934"/>
      <c r="O27" s="589"/>
      <c r="P27" s="466"/>
      <c r="Q27" s="462"/>
      <c r="R27" s="466"/>
      <c r="S27" s="466"/>
      <c r="T27" s="466"/>
      <c r="U27" s="466"/>
      <c r="V27" s="466"/>
      <c r="W27" s="466"/>
      <c r="X27" s="466"/>
      <c r="Y27" s="466"/>
      <c r="Z27" s="466"/>
      <c r="AA27" s="466"/>
      <c r="AB27" s="466"/>
      <c r="AC27" s="461"/>
      <c r="AD27" s="764"/>
      <c r="AE27" s="977"/>
      <c r="AF27" s="977"/>
      <c r="AG27" s="977"/>
      <c r="AH27" s="977"/>
      <c r="AI27" s="977"/>
      <c r="AJ27" s="977"/>
      <c r="AK27" s="977"/>
      <c r="AL27" s="977"/>
      <c r="AM27" s="977"/>
      <c r="AN27" s="984"/>
      <c r="AQ27" s="904"/>
      <c r="AR27" s="904">
        <v>0.6</v>
      </c>
      <c r="AS27" s="904" t="s">
        <v>465</v>
      </c>
      <c r="AT27" s="904"/>
      <c r="AU27" s="904"/>
    </row>
    <row r="28" spans="1:47">
      <c r="A28" s="684">
        <f>'CG. MPA'!A29</f>
        <v>1</v>
      </c>
      <c r="B28" s="576">
        <f>'RMCV.PA'!N29/1.3</f>
        <v>902.33919679065866</v>
      </c>
      <c r="C28" s="576">
        <f t="shared" ref="C28:C42" si="0">(0.3*B28)</f>
        <v>270.70175903719758</v>
      </c>
      <c r="D28" s="578">
        <f>IF('CG. MPA'!D29="NO CONFINADO",0.4,0.7)</f>
        <v>0.7</v>
      </c>
      <c r="E28" s="578">
        <f>IF('CG. MPA'!E29="CONCRETO",0.5*(0.8*250)^0.5,F28+G28+J28+K28)</f>
        <v>3</v>
      </c>
      <c r="F28" s="578">
        <f>IF(AND('CG. MPA'!E29="TABIQUE",'CG. MPA'!F29="MACIZO"),IF('RMCV.PA'!$E$17="I",3.5,3),0)</f>
        <v>0</v>
      </c>
      <c r="G28" s="578">
        <f>IF(AND('CG. MPA'!E29="TABIQUE",'CG. MPA'!F29="HUECO"),IF('RMCV.PA'!$E$17="I",3,5.5),0)</f>
        <v>0</v>
      </c>
      <c r="H28" s="578">
        <f>IF('CG. MPA'!E29="ADOBE",0.3,0)</f>
        <v>0</v>
      </c>
      <c r="I28" s="578">
        <f>IF('CG. MPA'!E29="LIGERO",0.5,0)</f>
        <v>0</v>
      </c>
      <c r="J28" s="578">
        <f>IF(AND('CG. MPA'!E29="TABICON",'CG. MPA'!F29="MACIZO"),IF('RMCV.PA'!$E$17="I",3,2),0)</f>
        <v>3</v>
      </c>
      <c r="K28" s="578">
        <f>IF(AND('CG. MPA'!E29="TABICON",'CG. MPA'!F29="HUECO"),IF('RMCV.PA'!$E$17="I",3.5,2.5),0)</f>
        <v>0</v>
      </c>
      <c r="L28" s="38">
        <f>'RMCV.PA'!M29</f>
        <v>1380</v>
      </c>
      <c r="M28" s="918">
        <f>ABS('ELEM. MECA.'!O6)</f>
        <v>1928.687967517654</v>
      </c>
      <c r="N28" s="936">
        <f t="shared" ref="N28:N67" si="1">IF(((D28*E28*L28*0.5)+(D28*C28))&lt;(D28*E28*L28*1.5),((D28*E28*L28*0.5)+(D28*C28)),(D28*E28*L28*1.5))</f>
        <v>1638.4912313260381</v>
      </c>
      <c r="O28" s="685" t="str">
        <f>IF('CG. MPA'!E29="CONCRETO","F/DISEÑO",IF(M28&gt;N28,"NO PASA","PASA"))</f>
        <v>NO PASA</v>
      </c>
      <c r="P28" s="466">
        <f>IF(O28="pasa"," ",$P$24/('RMCV.PA'!C29*100))</f>
        <v>8.1333333333333333E-4</v>
      </c>
      <c r="Q28" s="472" t="str">
        <f>IF(O28="pasa"," ",IF('CG. MPA'!E29="CONCRETO","F/DISEÑO",IF(AND(X28&gt;P28,P28&gt;Y28),"BIEN","MAL")))</f>
        <v>BIEN</v>
      </c>
      <c r="R28" s="466">
        <f>IF('CG. MPA'!F29="MACIZO",12/'RMCS.PA'!$P$25,9/'RMCS.PA'!$P$25)</f>
        <v>2.3999999999999998E-3</v>
      </c>
      <c r="S28" s="466">
        <f>IF(F28&gt;0,15,0)</f>
        <v>0</v>
      </c>
      <c r="T28" s="466">
        <f>IF(G28=0,0,IF(AND(G28=2,'RMCV.PA'!$E$17="III"),30,40))</f>
        <v>0</v>
      </c>
      <c r="U28" s="466">
        <f>IF(J28=0,0,IF(AND(J28=3,'RMCV.PA'!$E$17="I"),20,15))</f>
        <v>20</v>
      </c>
      <c r="V28" s="466">
        <f>IF(K28=0,0,IF(AND(K28=3.5,'RMCV.PA'!$E$17="I"),20,15))</f>
        <v>0</v>
      </c>
      <c r="W28" s="466">
        <f>(S28+T28+U28+V28)*0.3/$P$25</f>
        <v>1.1999999999999999E-3</v>
      </c>
      <c r="X28" s="466">
        <f>IF(R28&gt;W28,W28,R28)</f>
        <v>1.1999999999999999E-3</v>
      </c>
      <c r="Y28" s="466">
        <f>IF('CG. MPA'!E29="CONCRETO",0,IF(N28/(D28*$P$25*L28)&gt;3/$P$25,N28/(D28*$P$25*L28),3/$P$25))</f>
        <v>5.9999999999999995E-4</v>
      </c>
      <c r="Z28" s="765">
        <f>P28*$P$25</f>
        <v>4.0666666666666664</v>
      </c>
      <c r="AA28" s="466">
        <f>IF(6&gt;Z28,0.6,IF(Z28&gt;9,0.2,(0.4*(9-Z28)/3)+0.2))</f>
        <v>0.6</v>
      </c>
      <c r="AB28" s="766">
        <f>D28*AA28*P28*$P$25*L28</f>
        <v>2357.04</v>
      </c>
      <c r="AC28" s="473">
        <f t="shared" ref="AC28:AC77" si="2">IF(O28="pasa"," ",AB28+N28)</f>
        <v>3995.5312313260383</v>
      </c>
      <c r="AD28" s="767" t="str">
        <f>IF(O28="pasa"," ",IF('CG. MPA'!E29="CONCRETO","F/DISEÑO",IF(AC28&gt;M28,"PASA","NO PASA")))</f>
        <v>PASA</v>
      </c>
      <c r="AE28" s="985">
        <f>$AE$23/($AE$26*'RMCV.PA'!C29)</f>
        <v>2.3333333333333331E-3</v>
      </c>
      <c r="AF28" s="985">
        <f>IF(3/$AF$25&gt;N28/(D28*L28*$AF$25),3/$AF$25,N28/(D28*L28*$AF$25))</f>
        <v>5.0000000000000001E-4</v>
      </c>
      <c r="AG28" s="986">
        <f>IF(12/$AF$25&gt;'RMCV.PA'!F29*0.3/$AF$25,'RMCV.PA'!F29*0.3/$AF$25,12/$AF$25)</f>
        <v>1E-3</v>
      </c>
      <c r="AH28" s="987" t="str">
        <f>IF(AND(AE28&gt;AF28,AG28&gt;AE28),"BIEN","MAL")</f>
        <v>MAL</v>
      </c>
      <c r="AI28" s="986">
        <f>IF(9/$AF$25&gt;'RMCV.PA'!F29*0.3/$AF$25,'RMCV.PA'!F29*0.3/$AF$25,9/$AF$25)</f>
        <v>1E-3</v>
      </c>
      <c r="AJ28" s="988" t="str">
        <f>IF(AND(AE28&gt;AF28,AI28&gt;AE28),"BIEN","MAL")</f>
        <v>MAL</v>
      </c>
      <c r="AK28" s="989">
        <f>IF(6&gt;AE28*$AF$25,0.6,IF(AE28*$AF$25&gt;9,0.2,0.6-(0.4*(AE28*$AF$25-6))/3))</f>
        <v>0.2</v>
      </c>
      <c r="AL28" s="990">
        <f>IF(O28="PASA",0,D28*AK28*AE28*$AF$25*L28)</f>
        <v>2704.7999999999997</v>
      </c>
      <c r="AM28" s="1002">
        <f>AL28+N28</f>
        <v>4343.2912313260376</v>
      </c>
      <c r="AN28" s="991" t="str">
        <f>IF(O28="PASA"," ",IF('CG. MPA'!E29="CONCRETO","F/DISEÑO",IF(AM28&gt;M28,"PASA","NO PASA")))</f>
        <v>PASA</v>
      </c>
      <c r="AO28" s="1110">
        <f>IF(M28/AC28&gt;0,M28/AC28,"")</f>
        <v>0.48271127313340018</v>
      </c>
      <c r="AQ28" s="904"/>
      <c r="AR28" s="904"/>
      <c r="AS28" s="904"/>
      <c r="AT28" s="904"/>
      <c r="AU28" s="904"/>
    </row>
    <row r="29" spans="1:47">
      <c r="A29" s="684">
        <f>'CG. MPA'!A30</f>
        <v>2</v>
      </c>
      <c r="B29" s="576">
        <f>'RMCV.PA'!N30/1.3</f>
        <v>11919.483313284536</v>
      </c>
      <c r="C29" s="576">
        <f t="shared" si="0"/>
        <v>3575.8449939853608</v>
      </c>
      <c r="D29" s="578">
        <f>IF('CG. MPA'!D30="NO CONFINADO",0.4,0.7)</f>
        <v>0.7</v>
      </c>
      <c r="E29" s="578">
        <f>IF('CG. MPA'!E30="CONCRETO",0.5*(0.8*250)^0.5,F29+G29+J29+K29)</f>
        <v>7.0710678118654755</v>
      </c>
      <c r="F29" s="578">
        <f>IF(AND('CG. MPA'!E30="TABIQUE",'CG. MPA'!F30="MACIZO"),IF('RMCV.PA'!$E$17="I",3.5,3),0)</f>
        <v>0</v>
      </c>
      <c r="G29" s="578">
        <f>IF(AND('CG. MPA'!E30="TABIQUE",'CG. MPA'!F30="HUECO"),IF('RMCV.PA'!$E$17="I",3,5.5),0)</f>
        <v>0</v>
      </c>
      <c r="H29" s="578">
        <f>IF('CG. MPA'!E30="ADOBE",0.3,0)</f>
        <v>0</v>
      </c>
      <c r="I29" s="578">
        <f>IF('CG. MPA'!E30="LIGERO",0.5,0)</f>
        <v>0</v>
      </c>
      <c r="J29" s="578">
        <f>IF(AND('CG. MPA'!E30="TABICON",'CG. MPA'!F30="MACIZO"),IF('RMCV.PA'!$E$17="I",3,2),0)</f>
        <v>0</v>
      </c>
      <c r="K29" s="578">
        <f>IF(AND('CG. MPA'!E30="TABICON",'CG. MPA'!F30="HUECO"),IF('RMCV.PA'!$E$17="I",3.5,2.5),0)</f>
        <v>0</v>
      </c>
      <c r="L29" s="38">
        <f>'RMCV.PA'!M30</f>
        <v>1799.9999999999989</v>
      </c>
      <c r="M29" s="918">
        <f>ABS('ELEM. MECA.'!O7)</f>
        <v>17038.037517748609</v>
      </c>
      <c r="N29" s="936">
        <f t="shared" si="1"/>
        <v>6957.8642172649998</v>
      </c>
      <c r="O29" s="685" t="str">
        <f>IF('CG. MPA'!E30="CONCRETO","F/DISEÑO",IF(M29&gt;N29,"NO PASA","PASA"))</f>
        <v>F/DISEÑO</v>
      </c>
      <c r="P29" s="466">
        <f>IF(O29="pasa"," ",$P$24/('RMCV.PA'!C30*100))</f>
        <v>8.1333333333333333E-4</v>
      </c>
      <c r="Q29" s="472" t="str">
        <f>IF(O29="pasa"," ",IF('CG. MPA'!E30="CONCRETO","F/DISEÑO",IF(AND(X29&gt;P29,P29&gt;Y29),"BIEN","MAL")))</f>
        <v>F/DISEÑO</v>
      </c>
      <c r="R29" s="466">
        <f>IF('CG. MPA'!F30="MACIZO",12/'RMCS.PA'!$P$25,9/'RMCS.PA'!$P$25)</f>
        <v>2.3999999999999998E-3</v>
      </c>
      <c r="S29" s="466">
        <f t="shared" ref="S29:S67" si="3">IF(F29&gt;0,15,0)</f>
        <v>0</v>
      </c>
      <c r="T29" s="466">
        <f>IF(G29=0,0,IF(AND(G29=2,'RMCV.PA'!$E$17="III"),30,40))</f>
        <v>0</v>
      </c>
      <c r="U29" s="466">
        <f>IF(J29=0,0,IF(AND(J29=3,'RMCV.PA'!$E$17="I"),20,15))</f>
        <v>0</v>
      </c>
      <c r="V29" s="466">
        <f>IF(K29=0,0,IF(AND(K29=3.5,'RMCV.PA'!$E$17="I"),20,15))</f>
        <v>0</v>
      </c>
      <c r="W29" s="466">
        <f t="shared" ref="W29:W67" si="4">(S29+T29+U29+V29)*0.3/$P$25</f>
        <v>0</v>
      </c>
      <c r="X29" s="466">
        <f t="shared" ref="X29:X67" si="5">IF(R29&gt;W29,W29,R29)</f>
        <v>0</v>
      </c>
      <c r="Y29" s="466">
        <f>IF('CG. MPA'!E30="CONCRETO",0,IF(N29/(D29*$P$25*L29)&gt;3/$P$25,N29/(D29*$P$25*L29),3/$P$25))</f>
        <v>0</v>
      </c>
      <c r="Z29" s="765">
        <f t="shared" ref="Z29:Z67" si="6">P29*$P$25</f>
        <v>4.0666666666666664</v>
      </c>
      <c r="AA29" s="466">
        <f t="shared" ref="AA29:AA67" si="7">IF(6&gt;Z29,0.6,IF(Z29&gt;9,0.2,(0.4*(9-Z29)/3)+0.2))</f>
        <v>0.6</v>
      </c>
      <c r="AB29" s="766">
        <f t="shared" ref="AB29:AB67" si="8">D29*AA29*P29*$P$25*L29</f>
        <v>3074.3999999999978</v>
      </c>
      <c r="AC29" s="473">
        <f t="shared" si="2"/>
        <v>10032.264217264998</v>
      </c>
      <c r="AD29" s="767" t="str">
        <f>IF(O29="pasa"," ",IF('CG. MPA'!E30="CONCRETO","F/DISEÑO",IF(AC29&gt;M29,"PASA","NO PASA")))</f>
        <v>F/DISEÑO</v>
      </c>
      <c r="AE29" s="985">
        <f>$AE$23/($AE$26*'RMCV.PA'!C30)</f>
        <v>2.3333333333333331E-3</v>
      </c>
      <c r="AF29" s="985">
        <f t="shared" ref="AF29:AF68" si="9">IF(3/$AF$25&gt;N29/(D29*L29*$AF$25),3/$AF$25,N29/(D29*L29*$AF$25))</f>
        <v>9.2035240969113826E-4</v>
      </c>
      <c r="AG29" s="986">
        <f>IF(12/$AF$25&gt;'RMCV.PA'!F30*0.3/$AF$25,'RMCV.PA'!F30*0.3/$AF$25,12/$AF$25)</f>
        <v>2E-3</v>
      </c>
      <c r="AH29" s="987" t="str">
        <f>IF(AND(AE29&gt;AF29,AG29&gt;AE29),"BIEN","MAL")</f>
        <v>MAL</v>
      </c>
      <c r="AI29" s="986">
        <f>IF(9/$AF$25&gt;'RMCV.PA'!F30*0.3/$AF$25,'RMCV.PA'!F30*0.3/$AF$25,9/$AF$25)</f>
        <v>1.5E-3</v>
      </c>
      <c r="AJ29" s="988" t="str">
        <f t="shared" ref="AJ29:AJ68" si="10">IF(AND(AE29&gt;AF29,AI29&gt;AE29),"BIEN","MAL")</f>
        <v>MAL</v>
      </c>
      <c r="AK29" s="989">
        <f t="shared" ref="AK29:AK68" si="11">IF(6&gt;AE29*$AF$25,0.6,IF(AE29*$AF$25&gt;9,0.2,0.6-(0.4*(AE29*$AF$25-6))/3))</f>
        <v>0.2</v>
      </c>
      <c r="AL29" s="990">
        <f t="shared" ref="AL29:AL68" si="12">IF(O29="PASA",0,D29*AK29*AE29*$AF$25*L29)</f>
        <v>3527.9999999999973</v>
      </c>
      <c r="AM29" s="1002">
        <f t="shared" ref="AM29:AM68" si="13">AL29+N29</f>
        <v>10485.864217264996</v>
      </c>
      <c r="AN29" s="991" t="str">
        <f>IF(O29="PASA"," ",IF('CG. MPA'!E30="CONCRETO","F/DISEÑO",IF(AM29&gt;M29,"PASA","NO PASA")))</f>
        <v>F/DISEÑO</v>
      </c>
      <c r="AO29" s="1110">
        <f t="shared" ref="AO29:AO92" si="14">IF(M29/AC29&gt;0,M29/AC29,"")</f>
        <v>1.6983242415433044</v>
      </c>
      <c r="AQ29" s="904"/>
      <c r="AR29" s="904"/>
      <c r="AS29" s="904"/>
      <c r="AT29" s="904"/>
      <c r="AU29" s="904"/>
    </row>
    <row r="30" spans="1:47">
      <c r="A30" s="684">
        <f>'CG. MPA'!A31</f>
        <v>3</v>
      </c>
      <c r="B30" s="576">
        <f>'RMCV.PA'!N31/1.3</f>
        <v>1148.9222235888765</v>
      </c>
      <c r="C30" s="576">
        <f t="shared" si="0"/>
        <v>344.67666707666291</v>
      </c>
      <c r="D30" s="578">
        <f>IF('CG. MPA'!D31="NO CONFINADO",0.4,0.7)</f>
        <v>0.7</v>
      </c>
      <c r="E30" s="578">
        <f>IF('CG. MPA'!E31="CONCRETO",0.5*(0.8*250)^0.5,F30+G30+J30+K30)</f>
        <v>3</v>
      </c>
      <c r="F30" s="578">
        <f>IF(AND('CG. MPA'!E31="TABIQUE",'CG. MPA'!F31="MACIZO"),IF('RMCV.PA'!$E$17="I",3.5,3),0)</f>
        <v>0</v>
      </c>
      <c r="G30" s="578">
        <f>IF(AND('CG. MPA'!E31="TABIQUE",'CG. MPA'!F31="HUECO"),IF('RMCV.PA'!$E$17="I",3,5.5),0)</f>
        <v>0</v>
      </c>
      <c r="H30" s="578">
        <f>IF('CG. MPA'!E31="ADOBE",0.3,0)</f>
        <v>0</v>
      </c>
      <c r="I30" s="578">
        <f>IF('CG. MPA'!E31="LIGERO",0.5,0)</f>
        <v>0</v>
      </c>
      <c r="J30" s="578">
        <f>IF(AND('CG. MPA'!E31="TABICON",'CG. MPA'!F31="MACIZO"),IF('RMCV.PA'!$E$17="I",3,2),0)</f>
        <v>3</v>
      </c>
      <c r="K30" s="578">
        <f>IF(AND('CG. MPA'!E31="TABICON",'CG. MPA'!F31="HUECO"),IF('RMCV.PA'!$E$17="I",3.5,2.5),0)</f>
        <v>0</v>
      </c>
      <c r="L30" s="38">
        <f>'RMCV.PA'!M31</f>
        <v>1717.4999999999993</v>
      </c>
      <c r="M30" s="918">
        <f>ABS('ELEM. MECA.'!O8)</f>
        <v>3207.8511679491303</v>
      </c>
      <c r="N30" s="936">
        <f t="shared" si="1"/>
        <v>2044.648666953663</v>
      </c>
      <c r="O30" s="685" t="str">
        <f>IF('CG. MPA'!E31="CONCRETO","F/DISEÑO",IF(M30&gt;N30,"NO PASA","PASA"))</f>
        <v>NO PASA</v>
      </c>
      <c r="P30" s="466">
        <f>IF(O30="pasa"," ",$P$24/('RMCV.PA'!C31*100))</f>
        <v>8.1333333333333333E-4</v>
      </c>
      <c r="Q30" s="861" t="str">
        <f>IF(O30="pasa"," ",IF('CG. MPA'!E31="CONCRETO","F/DISEÑO",IF(AND(X30&gt;P30,P30&gt;Y30),"BIEN","MAL")))</f>
        <v>BIEN</v>
      </c>
      <c r="R30" s="860">
        <f>IF('CG. MPA'!F31="MACIZO",12/'RMCS.PA'!$P$25,9/'RMCS.PA'!$P$25)</f>
        <v>2.3999999999999998E-3</v>
      </c>
      <c r="S30" s="860">
        <f t="shared" si="3"/>
        <v>0</v>
      </c>
      <c r="T30" s="860">
        <f>IF(G30=0,0,IF(AND(G30=2,'RMCV.PA'!$E$17="III"),30,40))</f>
        <v>0</v>
      </c>
      <c r="U30" s="860">
        <f>IF(J30=0,0,IF(AND(J30=3,'RMCV.PA'!$E$17="I"),20,15))</f>
        <v>20</v>
      </c>
      <c r="V30" s="860">
        <f>IF(K30=0,0,IF(AND(K30=3.5,'RMCV.PA'!$E$17="I"),20,15))</f>
        <v>0</v>
      </c>
      <c r="W30" s="860">
        <f t="shared" si="4"/>
        <v>1.1999999999999999E-3</v>
      </c>
      <c r="X30" s="860">
        <f t="shared" si="5"/>
        <v>1.1999999999999999E-3</v>
      </c>
      <c r="Y30" s="860">
        <f>IF('CG. MPA'!E31="CONCRETO",0,IF(N30/(D30*$P$25*L30)&gt;3/$P$25,N30/(D30*$P$25*L30),3/$P$25))</f>
        <v>5.9999999999999995E-4</v>
      </c>
      <c r="Z30" s="862">
        <f t="shared" si="6"/>
        <v>4.0666666666666664</v>
      </c>
      <c r="AA30" s="860">
        <f t="shared" si="7"/>
        <v>0.6</v>
      </c>
      <c r="AB30" s="863">
        <f t="shared" si="8"/>
        <v>2933.4899999999989</v>
      </c>
      <c r="AC30" s="864">
        <f t="shared" si="2"/>
        <v>4978.1386669536623</v>
      </c>
      <c r="AD30" s="865" t="str">
        <f>IF(O30="pasa"," ",IF('CG. MPA'!E31="CONCRETO","F/DISEÑO",IF(AC30&gt;M30,"PASA","NO PASA")))</f>
        <v>PASA</v>
      </c>
      <c r="AE30" s="985">
        <f>$AE$23/($AE$26*'RMCV.PA'!C31)</f>
        <v>2.3333333333333331E-3</v>
      </c>
      <c r="AF30" s="985">
        <f t="shared" si="9"/>
        <v>5.0000000000000001E-4</v>
      </c>
      <c r="AG30" s="986">
        <f>IF(12/$AF$25&gt;'RMCV.PA'!F31*0.3/$AF$25,'RMCV.PA'!F31*0.3/$AF$25,12/$AF$25)</f>
        <v>7.5000000000000002E-4</v>
      </c>
      <c r="AH30" s="987" t="str">
        <f t="shared" ref="AH30:AH68" si="15">IF(AND(AE30&gt;AF30,AG30&gt;AE30),"BIEN","MAL")</f>
        <v>MAL</v>
      </c>
      <c r="AI30" s="986">
        <f>IF(9/$AF$25&gt;'RMCV.PA'!F31*0.3/$AF$25,'RMCV.PA'!F31*0.3/$AF$25,9/$AF$25)</f>
        <v>7.5000000000000002E-4</v>
      </c>
      <c r="AJ30" s="988" t="str">
        <f t="shared" si="10"/>
        <v>MAL</v>
      </c>
      <c r="AK30" s="989">
        <f t="shared" si="11"/>
        <v>0.2</v>
      </c>
      <c r="AL30" s="990">
        <f t="shared" si="12"/>
        <v>3366.2999999999984</v>
      </c>
      <c r="AM30" s="1002">
        <f t="shared" si="13"/>
        <v>5410.9486669536618</v>
      </c>
      <c r="AN30" s="991" t="str">
        <f>IF(O30="PASA"," ",IF('CG. MPA'!E31="CONCRETO","F/DISEÑO",IF(AM30&gt;M30,"PASA","NO PASA")))</f>
        <v>PASA</v>
      </c>
      <c r="AO30" s="1110">
        <f t="shared" si="14"/>
        <v>0.64438766827524974</v>
      </c>
    </row>
    <row r="31" spans="1:47">
      <c r="A31" s="684">
        <f>'CG. MPA'!A32</f>
        <v>4</v>
      </c>
      <c r="B31" s="576">
        <f>'RMCV.PA'!N32/1.3</f>
        <v>3315.948561798567</v>
      </c>
      <c r="C31" s="576">
        <f t="shared" si="0"/>
        <v>994.78456853957005</v>
      </c>
      <c r="D31" s="578">
        <f>IF('CG. MPA'!D32="NO CONFINADO",0.4,0.7)</f>
        <v>0.7</v>
      </c>
      <c r="E31" s="578">
        <f>IF('CG. MPA'!E32="CONCRETO",0.5*(0.8*250)^0.5,F31+G31+J31+K31)</f>
        <v>3</v>
      </c>
      <c r="F31" s="578">
        <f>IF(AND('CG. MPA'!E32="TABIQUE",'CG. MPA'!F32="MACIZO"),IF('RMCV.PA'!$E$17="I",3.5,3),0)</f>
        <v>0</v>
      </c>
      <c r="G31" s="578">
        <f>IF(AND('CG. MPA'!E32="TABIQUE",'CG. MPA'!F32="HUECO"),IF('RMCV.PA'!$E$17="I",3,5.5),0)</f>
        <v>0</v>
      </c>
      <c r="H31" s="578">
        <f>IF('CG. MPA'!E32="ADOBE",0.3,0)</f>
        <v>0</v>
      </c>
      <c r="I31" s="578">
        <f>IF('CG. MPA'!E32="LIGERO",0.5,0)</f>
        <v>0</v>
      </c>
      <c r="J31" s="578">
        <f>IF(AND('CG. MPA'!E32="TABICON",'CG. MPA'!F32="MACIZO"),IF('RMCV.PA'!$E$17="I",3,2),0)</f>
        <v>3</v>
      </c>
      <c r="K31" s="578">
        <f>IF(AND('CG. MPA'!E32="TABICON",'CG. MPA'!F32="HUECO"),IF('RMCV.PA'!$E$17="I",3.5,2.5),0)</f>
        <v>0</v>
      </c>
      <c r="L31" s="38">
        <f>'RMCV.PA'!M32</f>
        <v>2779.5001011872619</v>
      </c>
      <c r="M31" s="918">
        <f>ABS('ELEM. MECA.'!O9)</f>
        <v>4797.8149513925682</v>
      </c>
      <c r="N31" s="936">
        <f t="shared" si="1"/>
        <v>3614.8243042243234</v>
      </c>
      <c r="O31" s="685" t="str">
        <f>IF('CG. MPA'!E32="CONCRETO","F/DISEÑO",IF(M31&gt;N31,"NO PASA","PASA"))</f>
        <v>NO PASA</v>
      </c>
      <c r="P31" s="466">
        <f>IF(O31="pasa"," ",$P$24/('RMCV.PA'!C32*100))</f>
        <v>8.1333333333333333E-4</v>
      </c>
      <c r="Q31" s="861" t="str">
        <f>IF(O31="pasa"," ",IF('CG. MPA'!E32="CONCRETO","F/DISEÑO",IF(AND(X31&gt;P31,P31&gt;Y31),"BIEN","MAL")))</f>
        <v>BIEN</v>
      </c>
      <c r="R31" s="860">
        <f>IF('CG. MPA'!F32="MACIZO",12/'RMCS.PA'!$P$25,9/'RMCS.PA'!$P$25)</f>
        <v>2.3999999999999998E-3</v>
      </c>
      <c r="S31" s="860">
        <f t="shared" si="3"/>
        <v>0</v>
      </c>
      <c r="T31" s="860">
        <f>IF(G31=0,0,IF(AND(G31=2,'RMCV.PA'!$E$17="III"),30,40))</f>
        <v>0</v>
      </c>
      <c r="U31" s="860">
        <f>IF(J31=0,0,IF(AND(J31=3,'RMCV.PA'!$E$17="I"),20,15))</f>
        <v>20</v>
      </c>
      <c r="V31" s="860">
        <f>IF(K31=0,0,IF(AND(K31=3.5,'RMCV.PA'!$E$17="I"),20,15))</f>
        <v>0</v>
      </c>
      <c r="W31" s="860">
        <f t="shared" si="4"/>
        <v>1.1999999999999999E-3</v>
      </c>
      <c r="X31" s="860">
        <f t="shared" si="5"/>
        <v>1.1999999999999999E-3</v>
      </c>
      <c r="Y31" s="860">
        <f>IF('CG. MPA'!E32="CONCRETO",0,IF(N31/(D31*$P$25*L31)&gt;3/$P$25,N31/(D31*$P$25*L31),3/$P$25))</f>
        <v>5.9999999999999995E-4</v>
      </c>
      <c r="Z31" s="862">
        <f t="shared" si="6"/>
        <v>4.0666666666666664</v>
      </c>
      <c r="AA31" s="860">
        <f t="shared" si="7"/>
        <v>0.6</v>
      </c>
      <c r="AB31" s="863">
        <f t="shared" si="8"/>
        <v>4747.3861728278434</v>
      </c>
      <c r="AC31" s="864">
        <f t="shared" si="2"/>
        <v>8362.2104770521673</v>
      </c>
      <c r="AD31" s="865" t="str">
        <f>IF(O31="pasa"," ",IF('CG. MPA'!E32="CONCRETO","F/DISEÑO",IF(AC31&gt;M31,"PASA","NO PASA")))</f>
        <v>PASA</v>
      </c>
      <c r="AE31" s="986">
        <f>$AE$23/($AE$26*'RMCV.PA'!C32)</f>
        <v>2.3333333333333331E-3</v>
      </c>
      <c r="AF31" s="986">
        <f t="shared" si="9"/>
        <v>5.0000000000000001E-4</v>
      </c>
      <c r="AG31" s="986">
        <f>IF(12/$AF$25&gt;'RMCV.PA'!F32*0.3/$AF$25,'RMCV.PA'!F32*0.3/$AF$25,12/$AF$25)</f>
        <v>7.5000000000000002E-4</v>
      </c>
      <c r="AH31" s="987" t="str">
        <f t="shared" si="15"/>
        <v>MAL</v>
      </c>
      <c r="AI31" s="986">
        <f>IF(9/$AF$25&gt;'RMCV.PA'!F32*0.3/$AF$25,'RMCV.PA'!F32*0.3/$AF$25,9/$AF$25)</f>
        <v>7.5000000000000002E-4</v>
      </c>
      <c r="AJ31" s="988" t="str">
        <f t="shared" si="10"/>
        <v>MAL</v>
      </c>
      <c r="AK31" s="989">
        <f t="shared" si="11"/>
        <v>0.2</v>
      </c>
      <c r="AL31" s="990">
        <f t="shared" si="12"/>
        <v>5447.8201983270328</v>
      </c>
      <c r="AM31" s="1002">
        <f t="shared" si="13"/>
        <v>9062.6445025513567</v>
      </c>
      <c r="AN31" s="991" t="str">
        <f>IF(O31="PASA"," ",IF('CG. MPA'!E32="CONCRETO","F/DISEÑO",IF(AM31&gt;M31,"PASA","NO PASA")))</f>
        <v>PASA</v>
      </c>
      <c r="AO31" s="1110">
        <f t="shared" si="14"/>
        <v>0.5737496041936373</v>
      </c>
    </row>
    <row r="32" spans="1:47">
      <c r="A32" s="850">
        <f>'CG. MPA'!A33</f>
        <v>5</v>
      </c>
      <c r="B32" s="851">
        <f>'RMCV.PA'!N33/1.3</f>
        <v>44389.121522806345</v>
      </c>
      <c r="C32" s="851">
        <f t="shared" si="0"/>
        <v>13316.736456841903</v>
      </c>
      <c r="D32" s="852">
        <f>IF('CG. MPA'!D33="NO CONFINADO",0.4,0.7)</f>
        <v>0.7</v>
      </c>
      <c r="E32" s="578">
        <f>IF('CG. MPA'!E33="CONCRETO",0.5*(0.8*250)^0.5,F32+G32+J32+K32)</f>
        <v>7.0710678118654755</v>
      </c>
      <c r="F32" s="852">
        <f>IF(AND('CG. MPA'!E33="TABIQUE",'CG. MPA'!F33="MACIZO"),IF('RMCV.PA'!$E$17="I",3.5,3),0)</f>
        <v>0</v>
      </c>
      <c r="G32" s="852">
        <f>IF(AND('CG. MPA'!E33="TABIQUE",'CG. MPA'!F33="HUECO"),IF('RMCV.PA'!$E$17="I",3,5.5),0)</f>
        <v>0</v>
      </c>
      <c r="H32" s="852">
        <f>IF('CG. MPA'!E33="ADOBE",0.3,0)</f>
        <v>0</v>
      </c>
      <c r="I32" s="852">
        <f>IF('CG. MPA'!E33="LIGERO",0.5,0)</f>
        <v>0</v>
      </c>
      <c r="J32" s="852">
        <f>IF(AND('CG. MPA'!E33="TABICON",'CG. MPA'!F33="MACIZO"),IF('RMCV.PA'!$E$17="I",3,2),0)</f>
        <v>0</v>
      </c>
      <c r="K32" s="852">
        <f>IF(AND('CG. MPA'!E33="TABICON",'CG. MPA'!F33="HUECO"),IF('RMCV.PA'!$E$17="I",3.5,2.5),0)</f>
        <v>0</v>
      </c>
      <c r="L32" s="853">
        <f>'RMCV.PA'!M33</f>
        <v>1237.5002272727054</v>
      </c>
      <c r="M32" s="918">
        <f>ABS('ELEM. MECA.'!O10)</f>
        <v>16669.623003865341</v>
      </c>
      <c r="N32" s="957">
        <f t="shared" si="1"/>
        <v>9187.9704254564494</v>
      </c>
      <c r="O32" s="854" t="str">
        <f>IF('CG. MPA'!E33="CONCRETO","F/DISEÑO",IF(M32&gt;N32,"NO PASA","PASA"))</f>
        <v>F/DISEÑO</v>
      </c>
      <c r="P32" s="466">
        <f>IF(O32="pasa"," ",$P$24/('RMCV.PA'!C33*100))</f>
        <v>8.1333333333333333E-4</v>
      </c>
      <c r="Q32" s="861" t="str">
        <f>IF(O32="pasa"," ",IF('CG. MPA'!E33="CONCRETO","F/DISEÑO",IF(AND(X32&gt;P32,P32&gt;Y32),"BIEN","MAL")))</f>
        <v>F/DISEÑO</v>
      </c>
      <c r="R32" s="860">
        <f>IF('CG. MPA'!F33="MACIZO",12/'RMCS.PA'!$P$25,9/'RMCS.PA'!$P$25)</f>
        <v>2.3999999999999998E-3</v>
      </c>
      <c r="S32" s="860">
        <f t="shared" si="3"/>
        <v>0</v>
      </c>
      <c r="T32" s="860">
        <f>IF(G32=0,0,IF(AND(G32=2,'RMCV.PA'!$E$17="III"),30,40))</f>
        <v>0</v>
      </c>
      <c r="U32" s="860">
        <f>IF(J32=0,0,IF(AND(J32=3,'RMCV.PA'!$E$17="I"),20,15))</f>
        <v>0</v>
      </c>
      <c r="V32" s="860">
        <f>IF(K32=0,0,IF(AND(K32=3.5,'RMCV.PA'!$E$17="I"),20,15))</f>
        <v>0</v>
      </c>
      <c r="W32" s="860">
        <f t="shared" si="4"/>
        <v>0</v>
      </c>
      <c r="X32" s="860">
        <f t="shared" si="5"/>
        <v>0</v>
      </c>
      <c r="Y32" s="860">
        <f>IF('CG. MPA'!E33="CONCRETO",0,IF(N32/(D32*$P$25*L32)&gt;3/$P$25,N32/(D32*$P$25*L32),3/$P$25))</f>
        <v>0</v>
      </c>
      <c r="Z32" s="862">
        <f t="shared" si="6"/>
        <v>4.0666666666666664</v>
      </c>
      <c r="AA32" s="860">
        <f t="shared" si="7"/>
        <v>0.6</v>
      </c>
      <c r="AB32" s="863">
        <f t="shared" si="8"/>
        <v>2113.6503881817807</v>
      </c>
      <c r="AC32" s="864">
        <f t="shared" si="2"/>
        <v>11301.62081363823</v>
      </c>
      <c r="AD32" s="865" t="str">
        <f>IF(O32="pasa"," ",IF('CG. MPA'!E33="CONCRETO","F/DISEÑO",IF(AC32&gt;M32,"PASA","NO PASA")))</f>
        <v>F/DISEÑO</v>
      </c>
      <c r="AE32" s="986">
        <f>$AE$23/($AE$26*'RMCV.PA'!C33)</f>
        <v>2.3333333333333331E-3</v>
      </c>
      <c r="AF32" s="986">
        <f t="shared" si="9"/>
        <v>1.7677669529663691E-3</v>
      </c>
      <c r="AG32" s="986">
        <f>IF(12/$AF$25&gt;'RMCV.PA'!F33*0.3/$AF$25,'RMCV.PA'!F33*0.3/$AF$25,12/$AF$25)</f>
        <v>2E-3</v>
      </c>
      <c r="AH32" s="987" t="str">
        <f t="shared" si="15"/>
        <v>MAL</v>
      </c>
      <c r="AI32" s="986">
        <f>IF(9/$AF$25&gt;'RMCV.PA'!F33*0.3/$AF$25,'RMCV.PA'!F33*0.3/$AF$25,9/$AF$25)</f>
        <v>1.5E-3</v>
      </c>
      <c r="AJ32" s="988" t="str">
        <f t="shared" si="10"/>
        <v>MAL</v>
      </c>
      <c r="AK32" s="989">
        <f t="shared" si="11"/>
        <v>0.2</v>
      </c>
      <c r="AL32" s="990">
        <f t="shared" si="12"/>
        <v>2425.5004454545024</v>
      </c>
      <c r="AM32" s="1002">
        <f t="shared" si="13"/>
        <v>11613.470870910951</v>
      </c>
      <c r="AN32" s="991" t="str">
        <f>IF(O32="PASA"," ",IF('CG. MPA'!E33="CONCRETO","F/DISEÑO",IF(AM32&gt;M32,"PASA","NO PASA")))</f>
        <v>F/DISEÑO</v>
      </c>
      <c r="AO32" s="1110">
        <f t="shared" si="14"/>
        <v>1.4749763134637532</v>
      </c>
    </row>
    <row r="33" spans="1:55">
      <c r="A33" s="850">
        <f>'CG. MPA'!A34</f>
        <v>6</v>
      </c>
      <c r="B33" s="851">
        <f>'RMCV.PA'!N34/1.3</f>
        <v>6503.3659858509945</v>
      </c>
      <c r="C33" s="851">
        <f t="shared" si="0"/>
        <v>1951.0097957552982</v>
      </c>
      <c r="D33" s="852">
        <f>IF('CG. MPA'!D34="NO CONFINADO",0.4,0.7)</f>
        <v>0.7</v>
      </c>
      <c r="E33" s="578">
        <f>IF('CG. MPA'!E34="CONCRETO",0.5*(0.8*250)^0.5,F33+G33+J33+K33)</f>
        <v>3</v>
      </c>
      <c r="F33" s="852">
        <f>IF(AND('CG. MPA'!E34="TABIQUE",'CG. MPA'!F34="MACIZO"),IF('RMCV.PA'!$E$17="I",3.5,3),0)</f>
        <v>0</v>
      </c>
      <c r="G33" s="852">
        <f>IF(AND('CG. MPA'!E34="TABIQUE",'CG. MPA'!F34="HUECO"),IF('RMCV.PA'!$E$17="I",3,5.5),0)</f>
        <v>0</v>
      </c>
      <c r="H33" s="852">
        <f>IF('CG. MPA'!E34="ADOBE",0.3,0)</f>
        <v>0</v>
      </c>
      <c r="I33" s="852">
        <f>IF('CG. MPA'!E34="LIGERO",0.5,0)</f>
        <v>0</v>
      </c>
      <c r="J33" s="852">
        <f>IF(AND('CG. MPA'!E34="TABICON",'CG. MPA'!F34="MACIZO"),IF('RMCV.PA'!$E$17="I",3,2),0)</f>
        <v>3</v>
      </c>
      <c r="K33" s="852">
        <f>IF(AND('CG. MPA'!E34="TABICON",'CG. MPA'!F34="HUECO"),IF('RMCV.PA'!$E$17="I",3.5,2.5),0)</f>
        <v>0</v>
      </c>
      <c r="L33" s="853">
        <f>'RMCV.PA'!M34</f>
        <v>4537.5000000000009</v>
      </c>
      <c r="M33" s="918">
        <f>ABS('ELEM. MECA.'!O11)</f>
        <v>9364.6056781380867</v>
      </c>
      <c r="N33" s="957">
        <f t="shared" si="1"/>
        <v>6130.0818570287083</v>
      </c>
      <c r="O33" s="854" t="str">
        <f>IF('CG. MPA'!E34="CONCRETO","F/DISEÑO",IF(M33&gt;N33,"NO PASA","PASA"))</f>
        <v>NO PASA</v>
      </c>
      <c r="P33" s="466">
        <f>IF(O33="pasa"," ",$P$24/('RMCV.PA'!C34*100))</f>
        <v>8.1333333333333333E-4</v>
      </c>
      <c r="Q33" s="861" t="str">
        <f>IF(O33="pasa"," ",IF('CG. MPA'!E34="CONCRETO","F/DISEÑO",IF(AND(X33&gt;P33,P33&gt;Y33),"BIEN","MAL")))</f>
        <v>BIEN</v>
      </c>
      <c r="R33" s="860">
        <f>IF('CG. MPA'!F34="MACIZO",12/'RMCS.PA'!$P$25,9/'RMCS.PA'!$P$25)</f>
        <v>2.3999999999999998E-3</v>
      </c>
      <c r="S33" s="860">
        <f t="shared" si="3"/>
        <v>0</v>
      </c>
      <c r="T33" s="860">
        <f>IF(G33=0,0,IF(AND(G33=2,'RMCV.PA'!$E$17="III"),30,40))</f>
        <v>0</v>
      </c>
      <c r="U33" s="860">
        <f>IF(J33=0,0,IF(AND(J33=3,'RMCV.PA'!$E$17="I"),20,15))</f>
        <v>20</v>
      </c>
      <c r="V33" s="860">
        <f>IF(K33=0,0,IF(AND(K33=3.5,'RMCV.PA'!$E$17="I"),20,15))</f>
        <v>0</v>
      </c>
      <c r="W33" s="860">
        <f t="shared" si="4"/>
        <v>1.1999999999999999E-3</v>
      </c>
      <c r="X33" s="860">
        <f t="shared" si="5"/>
        <v>1.1999999999999999E-3</v>
      </c>
      <c r="Y33" s="860">
        <f>IF('CG. MPA'!E34="CONCRETO",0,IF(N33/(D33*$P$25*L33)&gt;3/$P$25,N33/(D33*$P$25*L33),3/$P$25))</f>
        <v>5.9999999999999995E-4</v>
      </c>
      <c r="Z33" s="862">
        <f t="shared" si="6"/>
        <v>4.0666666666666664</v>
      </c>
      <c r="AA33" s="860">
        <f t="shared" si="7"/>
        <v>0.6</v>
      </c>
      <c r="AB33" s="863">
        <f t="shared" si="8"/>
        <v>7750.0500000000011</v>
      </c>
      <c r="AC33" s="864">
        <f t="shared" si="2"/>
        <v>13880.131857028709</v>
      </c>
      <c r="AD33" s="865" t="str">
        <f>IF(O33="pasa"," ",IF('CG. MPA'!E34="CONCRETO","F/DISEÑO",IF(AC33&gt;M33,"PASA","NO PASA")))</f>
        <v>PASA</v>
      </c>
      <c r="AE33" s="986">
        <f>$AE$23/($AE$26*'RMCV.PA'!C34)</f>
        <v>2.3333333333333331E-3</v>
      </c>
      <c r="AF33" s="986">
        <f t="shared" ref="AF33:AF43" si="16">IF(3/$AF$25&gt;N33/(D33*L33*$AF$25),3/$AF$25,N33/(D33*L33*$AF$25))</f>
        <v>5.0000000000000001E-4</v>
      </c>
      <c r="AG33" s="986">
        <f>IF(12/$AF$25&gt;'RMCV.PA'!F34*0.3/$AF$25,'RMCV.PA'!F34*0.3/$AF$25,12/$AF$25)</f>
        <v>7.5000000000000002E-4</v>
      </c>
      <c r="AH33" s="987" t="str">
        <f t="shared" ref="AH33:AH43" si="17">IF(AND(AE33&gt;AF33,AG33&gt;AE33),"BIEN","MAL")</f>
        <v>MAL</v>
      </c>
      <c r="AI33" s="986">
        <f>IF(9/$AF$25&gt;'RMCV.PA'!F34*0.3/$AF$25,'RMCV.PA'!F34*0.3/$AF$25,9/$AF$25)</f>
        <v>7.5000000000000002E-4</v>
      </c>
      <c r="AJ33" s="988" t="str">
        <f t="shared" ref="AJ33:AJ43" si="18">IF(AND(AE33&gt;AF33,AI33&gt;AE33),"BIEN","MAL")</f>
        <v>MAL</v>
      </c>
      <c r="AK33" s="989">
        <f t="shared" ref="AK33:AK43" si="19">IF(6&gt;AE33*$AF$25,0.6,IF(AE33*$AF$25&gt;9,0.2,0.6-(0.4*(AE33*$AF$25-6))/3))</f>
        <v>0.2</v>
      </c>
      <c r="AL33" s="990">
        <f t="shared" ref="AL33:AL43" si="20">IF(O33="PASA",0,D33*AK33*AE33*$AF$25*L33)</f>
        <v>8893.5</v>
      </c>
      <c r="AM33" s="1002">
        <f t="shared" ref="AM33:AM43" si="21">AL33+N33</f>
        <v>15023.581857028708</v>
      </c>
      <c r="AN33" s="991" t="str">
        <f>IF(O33="PASA"," ",IF('CG. MPA'!E34="CONCRETO","F/DISEÑO",IF(AM33&gt;M33,"PASA","NO PASA")))</f>
        <v>PASA</v>
      </c>
      <c r="AO33" s="1110">
        <f t="shared" si="14"/>
        <v>0.6746769969188714</v>
      </c>
    </row>
    <row r="34" spans="1:55">
      <c r="A34" s="850">
        <f>'CG. MPA'!A35</f>
        <v>7</v>
      </c>
      <c r="B34" s="851">
        <f>'RMCV.PA'!N35/1.3</f>
        <v>3441.1619042919483</v>
      </c>
      <c r="C34" s="851">
        <f t="shared" si="0"/>
        <v>1032.3485712875845</v>
      </c>
      <c r="D34" s="852">
        <f>IF('CG. MPA'!D35="NO CONFINADO",0.4,0.7)</f>
        <v>0.7</v>
      </c>
      <c r="E34" s="578">
        <f>IF('CG. MPA'!E35="CONCRETO",0.5*(0.8*250)^0.5,F34+G34+J34+K34)</f>
        <v>3</v>
      </c>
      <c r="F34" s="852">
        <f>IF(AND('CG. MPA'!E35="TABIQUE",'CG. MPA'!F35="MACIZO"),IF('RMCV.PA'!$E$17="I",3.5,3),0)</f>
        <v>0</v>
      </c>
      <c r="G34" s="852">
        <f>IF(AND('CG. MPA'!E35="TABIQUE",'CG. MPA'!F35="HUECO"),IF('RMCV.PA'!$E$17="I",3,5.5),0)</f>
        <v>0</v>
      </c>
      <c r="H34" s="852">
        <f>IF('CG. MPA'!E35="ADOBE",0.3,0)</f>
        <v>0</v>
      </c>
      <c r="I34" s="852">
        <f>IF('CG. MPA'!E35="LIGERO",0.5,0)</f>
        <v>0</v>
      </c>
      <c r="J34" s="852">
        <f>IF(AND('CG. MPA'!E35="TABICON",'CG. MPA'!F35="MACIZO"),IF('RMCV.PA'!$E$17="I",3,2),0)</f>
        <v>3</v>
      </c>
      <c r="K34" s="852">
        <f>IF(AND('CG. MPA'!E35="TABICON",'CG. MPA'!F35="HUECO"),IF('RMCV.PA'!$E$17="I",3.5,2.5),0)</f>
        <v>0</v>
      </c>
      <c r="L34" s="853">
        <f>'RMCV.PA'!M35</f>
        <v>4125</v>
      </c>
      <c r="M34" s="918">
        <f>ABS('ELEM. MECA.'!O12)</f>
        <v>9592.4837077004486</v>
      </c>
      <c r="N34" s="957">
        <f t="shared" si="1"/>
        <v>5053.8939999013082</v>
      </c>
      <c r="O34" s="854" t="str">
        <f>IF('CG. MPA'!E35="CONCRETO","F/DISEÑO",IF(M34&gt;N34,"NO PASA","PASA"))</f>
        <v>NO PASA</v>
      </c>
      <c r="P34" s="466">
        <f>IF(O34="pasa"," ",$P$24/('RMCV.PA'!C35*100))</f>
        <v>8.1333333333333333E-4</v>
      </c>
      <c r="Q34" s="861" t="str">
        <f>IF(O34="pasa"," ",IF('CG. MPA'!E35="CONCRETO","F/DISEÑO",IF(AND(X34&gt;P34,P34&gt;Y34),"BIEN","MAL")))</f>
        <v>BIEN</v>
      </c>
      <c r="R34" s="860">
        <f>IF('CG. MPA'!F35="MACIZO",12/'RMCS.PA'!$P$25,9/'RMCS.PA'!$P$25)</f>
        <v>2.3999999999999998E-3</v>
      </c>
      <c r="S34" s="860">
        <f t="shared" si="3"/>
        <v>0</v>
      </c>
      <c r="T34" s="860">
        <f>IF(G34=0,0,IF(AND(G34=2,'RMCV.PA'!$E$17="III"),30,40))</f>
        <v>0</v>
      </c>
      <c r="U34" s="860">
        <f>IF(J34=0,0,IF(AND(J34=3,'RMCV.PA'!$E$17="I"),20,15))</f>
        <v>20</v>
      </c>
      <c r="V34" s="860">
        <f>IF(K34=0,0,IF(AND(K34=3.5,'RMCV.PA'!$E$17="I"),20,15))</f>
        <v>0</v>
      </c>
      <c r="W34" s="860">
        <f t="shared" si="4"/>
        <v>1.1999999999999999E-3</v>
      </c>
      <c r="X34" s="860">
        <f t="shared" si="5"/>
        <v>1.1999999999999999E-3</v>
      </c>
      <c r="Y34" s="860">
        <f>IF('CG. MPA'!E35="CONCRETO",0,IF(N34/(D34*$P$25*L34)&gt;3/$P$25,N34/(D34*$P$25*L34),3/$P$25))</f>
        <v>5.9999999999999995E-4</v>
      </c>
      <c r="Z34" s="862">
        <f t="shared" si="6"/>
        <v>4.0666666666666664</v>
      </c>
      <c r="AA34" s="860">
        <f t="shared" si="7"/>
        <v>0.6</v>
      </c>
      <c r="AB34" s="863">
        <f t="shared" si="8"/>
        <v>7045.5</v>
      </c>
      <c r="AC34" s="864">
        <f t="shared" si="2"/>
        <v>12099.393999901309</v>
      </c>
      <c r="AD34" s="865" t="str">
        <f>IF(O34="pasa"," ",IF('CG. MPA'!E35="CONCRETO","F/DISEÑO",IF(AC34&gt;M34,"PASA","NO PASA")))</f>
        <v>PASA</v>
      </c>
      <c r="AE34" s="986">
        <f>$AE$23/($AE$26*'RMCV.PA'!C35)</f>
        <v>2.3333333333333331E-3</v>
      </c>
      <c r="AF34" s="986">
        <f t="shared" si="16"/>
        <v>5.0000000000000001E-4</v>
      </c>
      <c r="AG34" s="986">
        <f>IF(12/$AF$25&gt;'RMCV.PA'!F35*0.3/$AF$25,'RMCV.PA'!F35*0.3/$AF$25,12/$AF$25)</f>
        <v>7.5000000000000002E-4</v>
      </c>
      <c r="AH34" s="987" t="str">
        <f t="shared" si="17"/>
        <v>MAL</v>
      </c>
      <c r="AI34" s="986">
        <f>IF(9/$AF$25&gt;'RMCV.PA'!F35*0.3/$AF$25,'RMCV.PA'!F35*0.3/$AF$25,9/$AF$25)</f>
        <v>7.5000000000000002E-4</v>
      </c>
      <c r="AJ34" s="988" t="str">
        <f t="shared" si="18"/>
        <v>MAL</v>
      </c>
      <c r="AK34" s="989">
        <f t="shared" si="19"/>
        <v>0.2</v>
      </c>
      <c r="AL34" s="990">
        <f t="shared" si="20"/>
        <v>8084.9999999999991</v>
      </c>
      <c r="AM34" s="1002">
        <f t="shared" si="21"/>
        <v>13138.893999901307</v>
      </c>
      <c r="AN34" s="991" t="str">
        <f>IF(O34="PASA"," ",IF('CG. MPA'!E35="CONCRETO","F/DISEÑO",IF(AM34&gt;M34,"PASA","NO PASA")))</f>
        <v>PASA</v>
      </c>
      <c r="AO34" s="1110">
        <f t="shared" si="14"/>
        <v>0.79280695444570959</v>
      </c>
    </row>
    <row r="35" spans="1:55">
      <c r="A35" s="850">
        <f>'CG. MPA'!A36</f>
        <v>8</v>
      </c>
      <c r="B35" s="851">
        <f>'RMCV.PA'!N36/1.3</f>
        <v>1602.5061494861648</v>
      </c>
      <c r="C35" s="851">
        <f t="shared" si="0"/>
        <v>480.7518448458494</v>
      </c>
      <c r="D35" s="852">
        <f>IF('CG. MPA'!D36="NO CONFINADO",0.4,0.7)</f>
        <v>0.7</v>
      </c>
      <c r="E35" s="578">
        <f>IF('CG. MPA'!E36="CONCRETO",0.5*(0.8*250)^0.5,F35+G35+J35+K35)</f>
        <v>3</v>
      </c>
      <c r="F35" s="852">
        <f>IF(AND('CG. MPA'!E36="TABIQUE",'CG. MPA'!F36="MACIZO"),IF('RMCV.PA'!$E$17="I",3.5,3),0)</f>
        <v>0</v>
      </c>
      <c r="G35" s="852">
        <f>IF(AND('CG. MPA'!E36="TABIQUE",'CG. MPA'!F36="HUECO"),IF('RMCV.PA'!$E$17="I",3,5.5),0)</f>
        <v>0</v>
      </c>
      <c r="H35" s="852">
        <f>IF('CG. MPA'!E36="ADOBE",0.3,0)</f>
        <v>0</v>
      </c>
      <c r="I35" s="852">
        <f>IF('CG. MPA'!E36="LIGERO",0.5,0)</f>
        <v>0</v>
      </c>
      <c r="J35" s="852">
        <f>IF(AND('CG. MPA'!E36="TABICON",'CG. MPA'!F36="MACIZO"),IF('RMCV.PA'!$E$17="I",3,2),0)</f>
        <v>3</v>
      </c>
      <c r="K35" s="852">
        <f>IF(AND('CG. MPA'!E36="TABICON",'CG. MPA'!F36="HUECO"),IF('RMCV.PA'!$E$17="I",3.5,2.5),0)</f>
        <v>0</v>
      </c>
      <c r="L35" s="853">
        <f>'RMCV.PA'!M36</f>
        <v>1200.0084374703374</v>
      </c>
      <c r="M35" s="918">
        <f>ABS('ELEM. MECA.'!O13)</f>
        <v>2023.8069471574802</v>
      </c>
      <c r="N35" s="957">
        <f t="shared" si="1"/>
        <v>1596.5351507359487</v>
      </c>
      <c r="O35" s="854" t="str">
        <f>IF('CG. MPA'!E36="CONCRETO","F/DISEÑO",IF(M35&gt;N35,"NO PASA","PASA"))</f>
        <v>NO PASA</v>
      </c>
      <c r="P35" s="466">
        <f>IF(O35="pasa"," ",$P$24/('RMCV.PA'!C36*100))</f>
        <v>8.1333333333333333E-4</v>
      </c>
      <c r="Q35" s="861" t="str">
        <f>IF(O35="pasa"," ",IF('CG. MPA'!E36="CONCRETO","F/DISEÑO",IF(AND(X35&gt;P35,P35&gt;Y35),"BIEN","MAL")))</f>
        <v>BIEN</v>
      </c>
      <c r="R35" s="860">
        <f>IF('CG. MPA'!F36="MACIZO",12/'RMCS.PA'!$P$25,9/'RMCS.PA'!$P$25)</f>
        <v>2.3999999999999998E-3</v>
      </c>
      <c r="S35" s="860">
        <f t="shared" si="3"/>
        <v>0</v>
      </c>
      <c r="T35" s="860">
        <f>IF(G35=0,0,IF(AND(G35=2,'RMCV.PA'!$E$17="III"),30,40))</f>
        <v>0</v>
      </c>
      <c r="U35" s="860">
        <f>IF(J35=0,0,IF(AND(J35=3,'RMCV.PA'!$E$17="I"),20,15))</f>
        <v>20</v>
      </c>
      <c r="V35" s="860">
        <f>IF(K35=0,0,IF(AND(K35=3.5,'RMCV.PA'!$E$17="I"),20,15))</f>
        <v>0</v>
      </c>
      <c r="W35" s="860">
        <f t="shared" si="4"/>
        <v>1.1999999999999999E-3</v>
      </c>
      <c r="X35" s="860">
        <f t="shared" si="5"/>
        <v>1.1999999999999999E-3</v>
      </c>
      <c r="Y35" s="860">
        <f>IF('CG. MPA'!E36="CONCRETO",0,IF(N35/(D35*$P$25*L35)&gt;3/$P$25,N35/(D35*$P$25*L35),3/$P$25))</f>
        <v>5.9999999999999995E-4</v>
      </c>
      <c r="Z35" s="862">
        <f t="shared" si="6"/>
        <v>4.0666666666666664</v>
      </c>
      <c r="AA35" s="860">
        <f t="shared" si="7"/>
        <v>0.6</v>
      </c>
      <c r="AB35" s="863">
        <f t="shared" si="8"/>
        <v>2049.6144111993362</v>
      </c>
      <c r="AC35" s="864">
        <f t="shared" si="2"/>
        <v>3646.149561935285</v>
      </c>
      <c r="AD35" s="865" t="str">
        <f>IF(O35="pasa"," ",IF('CG. MPA'!E36="CONCRETO","F/DISEÑO",IF(AC35&gt;M35,"PASA","NO PASA")))</f>
        <v>PASA</v>
      </c>
      <c r="AE35" s="986">
        <f>$AE$23/($AE$26*'RMCV.PA'!C36)</f>
        <v>2.3333333333333331E-3</v>
      </c>
      <c r="AF35" s="986">
        <f t="shared" si="16"/>
        <v>5.0000000000000001E-4</v>
      </c>
      <c r="AG35" s="986">
        <f>IF(12/$AF$25&gt;'RMCV.PA'!F36*0.3/$AF$25,'RMCV.PA'!F36*0.3/$AF$25,12/$AF$25)</f>
        <v>7.5000000000000002E-4</v>
      </c>
      <c r="AH35" s="987" t="str">
        <f t="shared" si="17"/>
        <v>MAL</v>
      </c>
      <c r="AI35" s="986">
        <f>IF(9/$AF$25&gt;'RMCV.PA'!F36*0.3/$AF$25,'RMCV.PA'!F36*0.3/$AF$25,9/$AF$25)</f>
        <v>7.5000000000000002E-4</v>
      </c>
      <c r="AJ35" s="988" t="str">
        <f t="shared" si="18"/>
        <v>MAL</v>
      </c>
      <c r="AK35" s="989">
        <f t="shared" si="19"/>
        <v>0.2</v>
      </c>
      <c r="AL35" s="990">
        <f t="shared" si="20"/>
        <v>2352.0165374418611</v>
      </c>
      <c r="AM35" s="1002">
        <f t="shared" si="21"/>
        <v>3948.5516881778099</v>
      </c>
      <c r="AN35" s="991" t="str">
        <f>IF(O35="PASA"," ",IF('CG. MPA'!E36="CONCRETO","F/DISEÑO",IF(AM35&gt;M35,"PASA","NO PASA")))</f>
        <v>PASA</v>
      </c>
      <c r="AO35" s="1110">
        <f t="shared" si="14"/>
        <v>0.55505319043558221</v>
      </c>
    </row>
    <row r="36" spans="1:55" s="521" customFormat="1">
      <c r="A36" s="850">
        <f>'CG. MPA'!A37</f>
        <v>9</v>
      </c>
      <c r="B36" s="851">
        <f>'RMCV.PA'!N37/1.3</f>
        <v>4744.9548584346985</v>
      </c>
      <c r="C36" s="851">
        <f t="shared" si="0"/>
        <v>1423.4864575304096</v>
      </c>
      <c r="D36" s="852">
        <f>IF('CG. MPA'!D37="NO CONFINADO",0.4,0.7)</f>
        <v>0.7</v>
      </c>
      <c r="E36" s="578">
        <f>IF('CG. MPA'!E37="CONCRETO",0.5*(0.8*250)^0.5,F36+G36+J36+K36)</f>
        <v>3</v>
      </c>
      <c r="F36" s="852">
        <f>IF(AND('CG. MPA'!E37="TABIQUE",'CG. MPA'!F37="MACIZO"),IF('RMCV.PA'!$E$17="I",3.5,3),0)</f>
        <v>0</v>
      </c>
      <c r="G36" s="852">
        <f>IF(AND('CG. MPA'!E37="TABIQUE",'CG. MPA'!F37="HUECO"),IF('RMCV.PA'!$E$17="I",3,5.5),0)</f>
        <v>0</v>
      </c>
      <c r="H36" s="852">
        <f>IF('CG. MPA'!E37="ADOBE",0.3,0)</f>
        <v>0</v>
      </c>
      <c r="I36" s="852">
        <f>IF('CG. MPA'!E37="LIGERO",0.5,0)</f>
        <v>0</v>
      </c>
      <c r="J36" s="852">
        <f>IF(AND('CG. MPA'!E37="TABICON",'CG. MPA'!F37="MACIZO"),IF('RMCV.PA'!$E$17="I",3,2),0)</f>
        <v>3</v>
      </c>
      <c r="K36" s="852">
        <f>IF(AND('CG. MPA'!E37="TABICON",'CG. MPA'!F37="HUECO"),IF('RMCV.PA'!$E$17="I",3.5,2.5),0)</f>
        <v>0</v>
      </c>
      <c r="L36" s="853">
        <f>'RMCV.PA'!M37</f>
        <v>4125</v>
      </c>
      <c r="M36" s="918">
        <f>ABS('ELEM. MECA.'!O14)</f>
        <v>8568.856155211346</v>
      </c>
      <c r="N36" s="957">
        <f t="shared" si="1"/>
        <v>5327.690520271286</v>
      </c>
      <c r="O36" s="854" t="str">
        <f>IF('CG. MPA'!E37="CONCRETO","F/DISEÑO",IF(M36&gt;N36,"NO PASA","PASA"))</f>
        <v>NO PASA</v>
      </c>
      <c r="P36" s="466">
        <f>IF(O36="pasa"," ",$P$24/('RMCV.PA'!C37*100))</f>
        <v>8.1333333333333333E-4</v>
      </c>
      <c r="Q36" s="861" t="str">
        <f>IF(O36="pasa"," ",IF('CG. MPA'!E37="CONCRETO","F/DISEÑO",IF(AND(X36&gt;P36,P36&gt;Y36),"BIEN","MAL")))</f>
        <v>BIEN</v>
      </c>
      <c r="R36" s="860">
        <f>IF('CG. MPA'!F37="MACIZO",12/'RMCS.PA'!$P$25,9/'RMCS.PA'!$P$25)</f>
        <v>2.3999999999999998E-3</v>
      </c>
      <c r="S36" s="860">
        <f t="shared" si="3"/>
        <v>0</v>
      </c>
      <c r="T36" s="860">
        <f>IF(G36=0,0,IF(AND(G36=2,'RMCV.PA'!$E$17="III"),30,40))</f>
        <v>0</v>
      </c>
      <c r="U36" s="860">
        <f>IF(J36=0,0,IF(AND(J36=3,'RMCV.PA'!$E$17="I"),20,15))</f>
        <v>20</v>
      </c>
      <c r="V36" s="860">
        <f>IF(K36=0,0,IF(AND(K36=3.5,'RMCV.PA'!$E$17="I"),20,15))</f>
        <v>0</v>
      </c>
      <c r="W36" s="860">
        <f t="shared" si="4"/>
        <v>1.1999999999999999E-3</v>
      </c>
      <c r="X36" s="860">
        <f t="shared" si="5"/>
        <v>1.1999999999999999E-3</v>
      </c>
      <c r="Y36" s="860">
        <f>IF('CG. MPA'!E37="CONCRETO",0,IF(N36/(D36*$P$25*L36)&gt;3/$P$25,N36/(D36*$P$25*L36),3/$P$25))</f>
        <v>5.9999999999999995E-4</v>
      </c>
      <c r="Z36" s="862">
        <f t="shared" si="6"/>
        <v>4.0666666666666664</v>
      </c>
      <c r="AA36" s="860">
        <f t="shared" si="7"/>
        <v>0.6</v>
      </c>
      <c r="AB36" s="863">
        <f t="shared" si="8"/>
        <v>7045.5</v>
      </c>
      <c r="AC36" s="864">
        <f t="shared" si="2"/>
        <v>12373.190520271286</v>
      </c>
      <c r="AD36" s="865" t="str">
        <f>IF(O36="pasa"," ",IF('CG. MPA'!E37="CONCRETO","F/DISEÑO",IF(AC36&gt;M36,"PASA","NO PASA")))</f>
        <v>PASA</v>
      </c>
      <c r="AE36" s="986">
        <f>$AE$23/($AE$26*'RMCV.PA'!C37)</f>
        <v>2.3333333333333331E-3</v>
      </c>
      <c r="AF36" s="986">
        <f t="shared" si="16"/>
        <v>5.0000000000000001E-4</v>
      </c>
      <c r="AG36" s="986">
        <f>IF(12/$AF$25&gt;'RMCV.PA'!F37*0.3/$AF$25,'RMCV.PA'!F37*0.3/$AF$25,12/$AF$25)</f>
        <v>7.5000000000000002E-4</v>
      </c>
      <c r="AH36" s="987" t="str">
        <f t="shared" si="17"/>
        <v>MAL</v>
      </c>
      <c r="AI36" s="986">
        <f>IF(9/$AF$25&gt;'RMCV.PA'!F37*0.3/$AF$25,'RMCV.PA'!F37*0.3/$AF$25,9/$AF$25)</f>
        <v>7.5000000000000002E-4</v>
      </c>
      <c r="AJ36" s="988" t="str">
        <f t="shared" si="18"/>
        <v>MAL</v>
      </c>
      <c r="AK36" s="989">
        <f t="shared" si="19"/>
        <v>0.2</v>
      </c>
      <c r="AL36" s="990">
        <f t="shared" si="20"/>
        <v>8084.9999999999991</v>
      </c>
      <c r="AM36" s="1002">
        <f t="shared" si="21"/>
        <v>13412.690520271284</v>
      </c>
      <c r="AN36" s="991" t="str">
        <f>IF(O36="PASA"," ",IF('CG. MPA'!E37="CONCRETO","F/DISEÑO",IF(AM36&gt;M36,"PASA","NO PASA")))</f>
        <v>PASA</v>
      </c>
      <c r="AO36" s="1110">
        <f t="shared" si="14"/>
        <v>0.69253408336134403</v>
      </c>
      <c r="AP36" s="4"/>
      <c r="AQ36" s="4"/>
      <c r="AR36" s="4"/>
      <c r="AS36" s="4"/>
      <c r="AT36" s="4"/>
      <c r="AU36" s="4"/>
      <c r="AV36" s="4"/>
      <c r="AW36" s="4"/>
      <c r="AX36" s="4"/>
      <c r="AY36" s="4"/>
      <c r="AZ36" s="4"/>
      <c r="BA36" s="4"/>
      <c r="BB36" s="4"/>
      <c r="BC36" s="4"/>
    </row>
    <row r="37" spans="1:55" s="521" customFormat="1">
      <c r="A37" s="850">
        <f>'CG. MPA'!A38</f>
        <v>10</v>
      </c>
      <c r="B37" s="851">
        <f>'RMCV.PA'!N38/1.3</f>
        <v>5270.900111557864</v>
      </c>
      <c r="C37" s="851">
        <f t="shared" si="0"/>
        <v>1581.2700334673591</v>
      </c>
      <c r="D37" s="852">
        <f>IF('CG. MPA'!D38="NO CONFINADO",0.4,0.7)</f>
        <v>0.7</v>
      </c>
      <c r="E37" s="578">
        <f>IF('CG. MPA'!E38="CONCRETO",0.5*(0.8*250)^0.5,F37+G37+J37+K37)</f>
        <v>3</v>
      </c>
      <c r="F37" s="852">
        <f>IF(AND('CG. MPA'!E38="TABIQUE",'CG. MPA'!F38="MACIZO"),IF('RMCV.PA'!$E$17="I",3.5,3),0)</f>
        <v>0</v>
      </c>
      <c r="G37" s="852">
        <f>IF(AND('CG. MPA'!E38="TABIQUE",'CG. MPA'!F38="HUECO"),IF('RMCV.PA'!$E$17="I",3,5.5),0)</f>
        <v>0</v>
      </c>
      <c r="H37" s="852">
        <f>IF('CG. MPA'!E38="ADOBE",0.3,0)</f>
        <v>0</v>
      </c>
      <c r="I37" s="852">
        <f>IF('CG. MPA'!E38="LIGERO",0.5,0)</f>
        <v>0</v>
      </c>
      <c r="J37" s="852">
        <f>IF(AND('CG. MPA'!E38="TABICON",'CG. MPA'!F38="MACIZO"),IF('RMCV.PA'!$E$17="I",3,2),0)</f>
        <v>3</v>
      </c>
      <c r="K37" s="852">
        <f>IF(AND('CG. MPA'!E38="TABICON",'CG. MPA'!F38="HUECO"),IF('RMCV.PA'!$E$17="I",3.5,2.5),0)</f>
        <v>0</v>
      </c>
      <c r="L37" s="853">
        <f>'RMCV.PA'!M38</f>
        <v>2779.5</v>
      </c>
      <c r="M37" s="918">
        <f>ABS('ELEM. MECA.'!O15)</f>
        <v>6831.1107277146612</v>
      </c>
      <c r="N37" s="957">
        <f t="shared" si="1"/>
        <v>4025.3640234271506</v>
      </c>
      <c r="O37" s="854" t="str">
        <f>IF('CG. MPA'!E38="CONCRETO","F/DISEÑO",IF(M37&gt;N37,"NO PASA","PASA"))</f>
        <v>NO PASA</v>
      </c>
      <c r="P37" s="466">
        <f>IF(O37="pasa"," ",$P$24/('RMCV.PA'!C38*100))</f>
        <v>8.1333333333333333E-4</v>
      </c>
      <c r="Q37" s="861" t="str">
        <f>IF(O37="pasa"," ",IF('CG. MPA'!E38="CONCRETO","F/DISEÑO",IF(AND(X37&gt;P37,P37&gt;Y37),"BIEN","MAL")))</f>
        <v>BIEN</v>
      </c>
      <c r="R37" s="860">
        <f>IF('CG. MPA'!F38="MACIZO",12/'RMCS.PA'!$P$25,9/'RMCS.PA'!$P$25)</f>
        <v>2.3999999999999998E-3</v>
      </c>
      <c r="S37" s="860">
        <f t="shared" si="3"/>
        <v>0</v>
      </c>
      <c r="T37" s="860">
        <f>IF(G37=0,0,IF(AND(G37=2,'RMCV.PA'!$E$17="III"),30,40))</f>
        <v>0</v>
      </c>
      <c r="U37" s="860">
        <f>IF(J37=0,0,IF(AND(J37=3,'RMCV.PA'!$E$17="I"),20,15))</f>
        <v>20</v>
      </c>
      <c r="V37" s="860">
        <f>IF(K37=0,0,IF(AND(K37=3.5,'RMCV.PA'!$E$17="I"),20,15))</f>
        <v>0</v>
      </c>
      <c r="W37" s="860">
        <f t="shared" si="4"/>
        <v>1.1999999999999999E-3</v>
      </c>
      <c r="X37" s="860">
        <f t="shared" si="5"/>
        <v>1.1999999999999999E-3</v>
      </c>
      <c r="Y37" s="860">
        <f>IF('CG. MPA'!E38="CONCRETO",0,IF(N37/(D37*$P$25*L37)&gt;3/$P$25,N37/(D37*$P$25*L37),3/$P$25))</f>
        <v>5.9999999999999995E-4</v>
      </c>
      <c r="Z37" s="862">
        <f t="shared" si="6"/>
        <v>4.0666666666666664</v>
      </c>
      <c r="AA37" s="860">
        <f t="shared" si="7"/>
        <v>0.6</v>
      </c>
      <c r="AB37" s="863">
        <f t="shared" si="8"/>
        <v>4747.3859999999995</v>
      </c>
      <c r="AC37" s="864">
        <f t="shared" si="2"/>
        <v>8772.7500234271502</v>
      </c>
      <c r="AD37" s="865" t="str">
        <f>IF(O37="pasa"," ",IF('CG. MPA'!E38="CONCRETO","F/DISEÑO",IF(AC37&gt;M37,"PASA","NO PASA")))</f>
        <v>PASA</v>
      </c>
      <c r="AE37" s="986">
        <f>$AE$23/($AE$26*'RMCV.PA'!C38)</f>
        <v>2.3333333333333331E-3</v>
      </c>
      <c r="AF37" s="986">
        <f t="shared" si="16"/>
        <v>5.0000000000000001E-4</v>
      </c>
      <c r="AG37" s="986">
        <f>IF(12/$AF$25&gt;'RMCV.PA'!F38*0.3/$AF$25,'RMCV.PA'!F38*0.3/$AF$25,12/$AF$25)</f>
        <v>7.5000000000000002E-4</v>
      </c>
      <c r="AH37" s="987" t="str">
        <f t="shared" si="17"/>
        <v>MAL</v>
      </c>
      <c r="AI37" s="986">
        <f>IF(9/$AF$25&gt;'RMCV.PA'!F38*0.3/$AF$25,'RMCV.PA'!F38*0.3/$AF$25,9/$AF$25)</f>
        <v>7.5000000000000002E-4</v>
      </c>
      <c r="AJ37" s="988" t="str">
        <f t="shared" si="18"/>
        <v>MAL</v>
      </c>
      <c r="AK37" s="989">
        <f t="shared" si="19"/>
        <v>0.2</v>
      </c>
      <c r="AL37" s="990">
        <f t="shared" si="20"/>
        <v>5447.82</v>
      </c>
      <c r="AM37" s="1002">
        <f t="shared" si="21"/>
        <v>9473.1840234271513</v>
      </c>
      <c r="AN37" s="991" t="str">
        <f>IF(O37="PASA"," ",IF('CG. MPA'!E38="CONCRETO","F/DISEÑO",IF(AM37&gt;M37,"PASA","NO PASA")))</f>
        <v>PASA</v>
      </c>
      <c r="AO37" s="1110">
        <f t="shared" si="14"/>
        <v>0.77867381487817988</v>
      </c>
      <c r="AP37" s="4"/>
      <c r="AQ37" s="4"/>
      <c r="AR37" s="4"/>
      <c r="AS37" s="4"/>
      <c r="AT37" s="4"/>
      <c r="AU37" s="4"/>
      <c r="AV37" s="4"/>
      <c r="AW37" s="4"/>
      <c r="AX37" s="4"/>
      <c r="AY37" s="4"/>
      <c r="AZ37" s="4"/>
      <c r="BA37" s="4"/>
      <c r="BB37" s="4"/>
      <c r="BC37" s="4"/>
    </row>
    <row r="38" spans="1:55" s="521" customFormat="1">
      <c r="A38" s="850">
        <f>'CG. MPA'!A39</f>
        <v>11</v>
      </c>
      <c r="B38" s="851">
        <f>'RMCV.PA'!N39/1.3</f>
        <v>4080.4020437877657</v>
      </c>
      <c r="C38" s="851">
        <f t="shared" si="0"/>
        <v>1224.1206131363297</v>
      </c>
      <c r="D38" s="852">
        <f>IF('CG. MPA'!D39="NO CONFINADO",0.4,0.7)</f>
        <v>0.7</v>
      </c>
      <c r="E38" s="578">
        <f>IF('CG. MPA'!E39="CONCRETO",0.5*(0.8*250)^0.5,F38+G38+J38+K38)</f>
        <v>3</v>
      </c>
      <c r="F38" s="852">
        <f>IF(AND('CG. MPA'!E39="TABIQUE",'CG. MPA'!F39="MACIZO"),IF('RMCV.PA'!$E$17="I",3.5,3),0)</f>
        <v>0</v>
      </c>
      <c r="G38" s="852">
        <f>IF(AND('CG. MPA'!E39="TABIQUE",'CG. MPA'!F39="HUECO"),IF('RMCV.PA'!$E$17="I",3,5.5),0)</f>
        <v>0</v>
      </c>
      <c r="H38" s="852">
        <f>IF('CG. MPA'!E39="ADOBE",0.3,0)</f>
        <v>0</v>
      </c>
      <c r="I38" s="852">
        <f>IF('CG. MPA'!E39="LIGERO",0.5,0)</f>
        <v>0</v>
      </c>
      <c r="J38" s="852">
        <f>IF(AND('CG. MPA'!E39="TABICON",'CG. MPA'!F39="MACIZO"),IF('RMCV.PA'!$E$17="I",3,2),0)</f>
        <v>3</v>
      </c>
      <c r="K38" s="852">
        <f>IF(AND('CG. MPA'!E39="TABICON",'CG. MPA'!F39="HUECO"),IF('RMCV.PA'!$E$17="I",3.5,2.5),0)</f>
        <v>0</v>
      </c>
      <c r="L38" s="853">
        <f>'RMCV.PA'!M39</f>
        <v>3637.5000000000009</v>
      </c>
      <c r="M38" s="918">
        <f>ABS('ELEM. MECA.'!O16)</f>
        <v>9575.0304494036955</v>
      </c>
      <c r="N38" s="957">
        <f t="shared" si="1"/>
        <v>4676.259429195431</v>
      </c>
      <c r="O38" s="854" t="str">
        <f>IF('CG. MPA'!E39="CONCRETO","F/DISEÑO",IF(M38&gt;N38,"NO PASA","PASA"))</f>
        <v>NO PASA</v>
      </c>
      <c r="P38" s="466">
        <f>IF(O38="pasa"," ",$P$24/('RMCV.PA'!C39*100))</f>
        <v>8.1333333333333333E-4</v>
      </c>
      <c r="Q38" s="861" t="str">
        <f>IF(O38="pasa"," ",IF('CG. MPA'!E39="CONCRETO","F/DISEÑO",IF(AND(X38&gt;P38,P38&gt;Y38),"BIEN","MAL")))</f>
        <v>BIEN</v>
      </c>
      <c r="R38" s="860">
        <f>IF('CG. MPA'!F39="MACIZO",12/'RMCS.PA'!$P$25,9/'RMCS.PA'!$P$25)</f>
        <v>2.3999999999999998E-3</v>
      </c>
      <c r="S38" s="860">
        <f>IF(F38&gt;0,15,0)</f>
        <v>0</v>
      </c>
      <c r="T38" s="860">
        <f>IF(G38=0,0,IF(AND(G38=2,'RMCV.PA'!$E$17="III"),30,40))</f>
        <v>0</v>
      </c>
      <c r="U38" s="860">
        <f>IF(J38=0,0,IF(AND(J38=3,'RMCV.PA'!$E$17="I"),20,15))</f>
        <v>20</v>
      </c>
      <c r="V38" s="860">
        <f>IF(K38=0,0,IF(AND(K38=3.5,'RMCV.PA'!$E$17="I"),20,15))</f>
        <v>0</v>
      </c>
      <c r="W38" s="860">
        <f>(S38+T38+U38+V38)*0.3/$P$25</f>
        <v>1.1999999999999999E-3</v>
      </c>
      <c r="X38" s="860">
        <f>IF(R38&gt;W38,W38,R38)</f>
        <v>1.1999999999999999E-3</v>
      </c>
      <c r="Y38" s="860">
        <f>IF('CG. MPA'!E39="CONCRETO",0,IF(N38/(D38*$P$25*L38)&gt;3/$P$25,N38/(D38*$P$25*L38),3/$P$25))</f>
        <v>5.9999999999999995E-4</v>
      </c>
      <c r="Z38" s="862">
        <f>P38*$P$25</f>
        <v>4.0666666666666664</v>
      </c>
      <c r="AA38" s="860">
        <f>IF(6&gt;Z38,0.6,IF(Z38&gt;9,0.2,(0.4*(9-Z38)/3)+0.2))</f>
        <v>0.6</v>
      </c>
      <c r="AB38" s="863">
        <f>D38*AA38*P38*$P$25*L38</f>
        <v>6212.8500000000013</v>
      </c>
      <c r="AC38" s="864">
        <f>IF(O38="pasa"," ",AB38+N38)</f>
        <v>10889.109429195432</v>
      </c>
      <c r="AD38" s="865" t="str">
        <f>IF(O38="pasa"," ",IF('CG. MPA'!E39="CONCRETO","F/DISEÑO",IF(AC38&gt;M38,"PASA","NO PASA")))</f>
        <v>PASA</v>
      </c>
      <c r="AE38" s="986">
        <f>$AE$23/($AE$26*'RMCV.PA'!C39)</f>
        <v>2.3333333333333331E-3</v>
      </c>
      <c r="AF38" s="986">
        <f t="shared" si="16"/>
        <v>5.0000000000000001E-4</v>
      </c>
      <c r="AG38" s="986">
        <f>IF(12/$AF$25&gt;'RMCV.PA'!F39*0.3/$AF$25,'RMCV.PA'!F39*0.3/$AF$25,12/$AF$25)</f>
        <v>7.5000000000000002E-4</v>
      </c>
      <c r="AH38" s="987" t="str">
        <f t="shared" si="17"/>
        <v>MAL</v>
      </c>
      <c r="AI38" s="986">
        <f>IF(9/$AF$25&gt;'RMCV.PA'!F39*0.3/$AF$25,'RMCV.PA'!F39*0.3/$AF$25,9/$AF$25)</f>
        <v>7.5000000000000002E-4</v>
      </c>
      <c r="AJ38" s="988" t="str">
        <f t="shared" si="18"/>
        <v>MAL</v>
      </c>
      <c r="AK38" s="989">
        <f t="shared" si="19"/>
        <v>0.2</v>
      </c>
      <c r="AL38" s="990">
        <f t="shared" si="20"/>
        <v>7129.5000000000009</v>
      </c>
      <c r="AM38" s="1002">
        <f t="shared" si="21"/>
        <v>11805.759429195432</v>
      </c>
      <c r="AN38" s="991" t="str">
        <f>IF(O38="PASA"," ",IF('CG. MPA'!E39="CONCRETO","F/DISEÑO",IF(AM38&gt;M38,"PASA","NO PASA")))</f>
        <v>PASA</v>
      </c>
      <c r="AO38" s="1110">
        <f t="shared" si="14"/>
        <v>0.87932172154790889</v>
      </c>
      <c r="AP38" s="4"/>
      <c r="AQ38" s="4"/>
      <c r="AR38" s="4"/>
      <c r="AS38" s="4"/>
      <c r="AT38" s="4"/>
      <c r="AU38" s="4"/>
      <c r="AV38" s="4"/>
      <c r="AW38" s="4"/>
      <c r="AX38" s="4"/>
      <c r="AY38" s="4"/>
      <c r="AZ38" s="4"/>
      <c r="BA38" s="4"/>
      <c r="BB38" s="4"/>
      <c r="BC38" s="4"/>
    </row>
    <row r="39" spans="1:55">
      <c r="A39" s="850">
        <f>'CG. MPA'!A40</f>
        <v>12</v>
      </c>
      <c r="B39" s="851">
        <f>'RMCV.PA'!N40/1.3</f>
        <v>6288.1650147537885</v>
      </c>
      <c r="C39" s="851">
        <f t="shared" si="0"/>
        <v>1886.4495044261364</v>
      </c>
      <c r="D39" s="852">
        <f>IF('CG. MPA'!D40="NO CONFINADO",0.4,0.7)</f>
        <v>0.7</v>
      </c>
      <c r="E39" s="852">
        <f>IF('CG. MPA'!E40="CONCRETO",0.5*(0.8*250)^0.5,F39+G39+J39+K39)</f>
        <v>3</v>
      </c>
      <c r="F39" s="852">
        <f>IF(AND('CG. MPA'!E40="TABIQUE",'CG. MPA'!F40="MACIZO"),IF('RMCV.PA'!$E$17="I",3.5,3),0)</f>
        <v>0</v>
      </c>
      <c r="G39" s="852">
        <f>IF(AND('CG. MPA'!E40="TABIQUE",'CG. MPA'!F40="HUECO"),IF('RMCV.PA'!$E$17="I",3,5.5),0)</f>
        <v>0</v>
      </c>
      <c r="H39" s="852">
        <f>IF('CG. MPA'!E40="ADOBE",0.3,0)</f>
        <v>0</v>
      </c>
      <c r="I39" s="852">
        <f>IF('CG. MPA'!E40="LIGERO",0.5,0)</f>
        <v>0</v>
      </c>
      <c r="J39" s="852">
        <f>IF(AND('CG. MPA'!E40="TABICON",'CG. MPA'!F40="MACIZO"),IF('RMCV.PA'!$E$17="I",3,2),0)</f>
        <v>3</v>
      </c>
      <c r="K39" s="852">
        <f>IF(AND('CG. MPA'!E40="TABICON",'CG. MPA'!F40="HUECO"),IF('RMCV.PA'!$E$17="I",3.5,2.5),0)</f>
        <v>0</v>
      </c>
      <c r="L39" s="853">
        <f>'RMCV.PA'!M40</f>
        <v>4125</v>
      </c>
      <c r="M39" s="918">
        <f>ABS('ELEM. MECA.'!O17)</f>
        <v>8896.8644736832957</v>
      </c>
      <c r="N39" s="957">
        <f t="shared" si="1"/>
        <v>5651.7646530982947</v>
      </c>
      <c r="O39" s="854" t="str">
        <f>IF('CG. MPA'!E40="CONCRETO","F/DISEÑO",IF(M39&gt;N39,"NO PASA","PASA"))</f>
        <v>NO PASA</v>
      </c>
      <c r="P39" s="466">
        <f>IF(O39="pasa"," ",$P$24/('RMCV.PA'!C40*100))</f>
        <v>8.1333333333333333E-4</v>
      </c>
      <c r="Q39" s="861" t="str">
        <f>IF(O39="pasa"," ",IF('CG. MPA'!E40="CONCRETO","F/DISEÑO",IF(AND(X39&gt;P39,P39&gt;Y39),"BIEN","MAL")))</f>
        <v>BIEN</v>
      </c>
      <c r="R39" s="860">
        <f>IF('CG. MPA'!F40="MACIZO",12/'RMCS.PA'!$P$25,9/'RMCS.PA'!$P$25)</f>
        <v>2.3999999999999998E-3</v>
      </c>
      <c r="S39" s="860">
        <f>IF(F39&gt;0,15,0)</f>
        <v>0</v>
      </c>
      <c r="T39" s="860">
        <f>IF(G39=0,0,IF(AND(G39=2,'RMCV.PA'!$E$17="III"),30,40))</f>
        <v>0</v>
      </c>
      <c r="U39" s="860">
        <f>IF(J39=0,0,IF(AND(J39=3,'RMCV.PA'!$E$17="I"),20,15))</f>
        <v>20</v>
      </c>
      <c r="V39" s="860">
        <f>IF(K39=0,0,IF(AND(K39=3.5,'RMCV.PA'!$E$17="I"),20,15))</f>
        <v>0</v>
      </c>
      <c r="W39" s="860">
        <f>(S39+T39+U39+V39)*0.3/$P$25</f>
        <v>1.1999999999999999E-3</v>
      </c>
      <c r="X39" s="860">
        <f>IF(R39&gt;W39,W39,R39)</f>
        <v>1.1999999999999999E-3</v>
      </c>
      <c r="Y39" s="860">
        <f>IF('CG. MPA'!E40="CONCRETO",0,IF(N39/(D39*$P$25*L39)&gt;3/$P$25,N39/(D39*$P$25*L39),3/$P$25))</f>
        <v>5.9999999999999995E-4</v>
      </c>
      <c r="Z39" s="862">
        <f>P39*$P$25</f>
        <v>4.0666666666666664</v>
      </c>
      <c r="AA39" s="860">
        <f>IF(6&gt;Z39,0.6,IF(Z39&gt;9,0.2,(0.4*(9-Z39)/3)+0.2))</f>
        <v>0.6</v>
      </c>
      <c r="AB39" s="863">
        <f>D39*AA39*P39*$P$25*L39</f>
        <v>7045.5</v>
      </c>
      <c r="AC39" s="864">
        <f>IF(O39="pasa"," ",AB39+N39)</f>
        <v>12697.264653098295</v>
      </c>
      <c r="AD39" s="865" t="str">
        <f>IF(O39="pasa"," ",IF('CG. MPA'!E40="CONCRETO","F/DISEÑO",IF(AC39&gt;M39,"PASA","NO PASA")))</f>
        <v>PASA</v>
      </c>
      <c r="AE39" s="986">
        <f>$AE$23/($AE$26*'RMCV.PA'!C40)</f>
        <v>2.3333333333333331E-3</v>
      </c>
      <c r="AF39" s="986">
        <f t="shared" si="16"/>
        <v>5.0000000000000001E-4</v>
      </c>
      <c r="AG39" s="986">
        <f>IF(12/$AF$25&gt;'RMCV.PA'!F40*0.3/$AF$25,'RMCV.PA'!F40*0.3/$AF$25,12/$AF$25)</f>
        <v>7.5000000000000002E-4</v>
      </c>
      <c r="AH39" s="987" t="str">
        <f t="shared" si="17"/>
        <v>MAL</v>
      </c>
      <c r="AI39" s="986">
        <f>IF(9/$AF$25&gt;'RMCV.PA'!F40*0.3/$AF$25,'RMCV.PA'!F40*0.3/$AF$25,9/$AF$25)</f>
        <v>7.5000000000000002E-4</v>
      </c>
      <c r="AJ39" s="988" t="str">
        <f t="shared" si="18"/>
        <v>MAL</v>
      </c>
      <c r="AK39" s="989">
        <f t="shared" si="19"/>
        <v>0.2</v>
      </c>
      <c r="AL39" s="990">
        <f t="shared" si="20"/>
        <v>8084.9999999999991</v>
      </c>
      <c r="AM39" s="1002">
        <f t="shared" si="21"/>
        <v>13736.764653098293</v>
      </c>
      <c r="AN39" s="991" t="str">
        <f>IF(O39="PASA"," ",IF('CG. MPA'!E40="CONCRETO","F/DISEÑO",IF(AM39&gt;M39,"PASA","NO PASA")))</f>
        <v>PASA</v>
      </c>
      <c r="AO39" s="1110">
        <f t="shared" si="14"/>
        <v>0.70069142581133392</v>
      </c>
    </row>
    <row r="40" spans="1:55" s="521" customFormat="1">
      <c r="A40" s="850">
        <f>'CG. MPA'!A41</f>
        <v>13</v>
      </c>
      <c r="B40" s="851">
        <f>'RMCV.PA'!N41/1.3</f>
        <v>15217.06598569016</v>
      </c>
      <c r="C40" s="851">
        <f t="shared" si="0"/>
        <v>4565.1197957070481</v>
      </c>
      <c r="D40" s="852">
        <f>IF('CG. MPA'!D41="NO CONFINADO",0.4,0.7)</f>
        <v>0.7</v>
      </c>
      <c r="E40" s="852">
        <f>IF('CG. MPA'!E41="CONCRETO",0.5*(0.8*250)^0.5,F40+G40+J40+K40)</f>
        <v>3</v>
      </c>
      <c r="F40" s="852">
        <f>IF(AND('CG. MPA'!E41="TABIQUE",'CG. MPA'!F41="MACIZO"),IF('RMCV.PA'!$E$17="I",3.5,3),0)</f>
        <v>0</v>
      </c>
      <c r="G40" s="852">
        <f>IF(AND('CG. MPA'!E41="TABIQUE",'CG. MPA'!F41="HUECO"),IF('RMCV.PA'!$E$17="I",3,5.5),0)</f>
        <v>0</v>
      </c>
      <c r="H40" s="852">
        <f>IF('CG. MPA'!E41="ADOBE",0.3,0)</f>
        <v>0</v>
      </c>
      <c r="I40" s="852">
        <f>IF('CG. MPA'!E41="LIGERO",0.5,0)</f>
        <v>0</v>
      </c>
      <c r="J40" s="852">
        <f>IF(AND('CG. MPA'!E41="TABICON",'CG. MPA'!F41="MACIZO"),IF('RMCV.PA'!$E$17="I",3,2),0)</f>
        <v>3</v>
      </c>
      <c r="K40" s="852">
        <f>IF(AND('CG. MPA'!E41="TABICON",'CG. MPA'!F41="HUECO"),IF('RMCV.PA'!$E$17="I",3.5,2.5),0)</f>
        <v>0</v>
      </c>
      <c r="L40" s="853">
        <f>'RMCV.PA'!M41</f>
        <v>5620.5000500400338</v>
      </c>
      <c r="M40" s="918">
        <f>ABS('ELEM. MECA.'!O18)</f>
        <v>14235.680981772097</v>
      </c>
      <c r="N40" s="957">
        <f t="shared" si="1"/>
        <v>9097.108909536968</v>
      </c>
      <c r="O40" s="854" t="str">
        <f>IF('CG. MPA'!E41="CONCRETO","F/DISEÑO",IF(M40&gt;N40,"NO PASA","PASA"))</f>
        <v>NO PASA</v>
      </c>
      <c r="P40" s="466">
        <f>IF(O40="pasa"," ",$P$24/('RMCV.PA'!C41*100))</f>
        <v>8.1333333333333333E-4</v>
      </c>
      <c r="Q40" s="861" t="str">
        <f>IF(O40="pasa"," ",IF('CG. MPA'!E41="CONCRETO","F/DISEÑO",IF(AND(X40&gt;P40,P40&gt;Y40),"BIEN","MAL")))</f>
        <v>BIEN</v>
      </c>
      <c r="R40" s="860">
        <f>IF('CG. MPA'!F41="MACIZO",12/'RMCS.PA'!$P$25,9/'RMCS.PA'!$P$25)</f>
        <v>2.3999999999999998E-3</v>
      </c>
      <c r="S40" s="860">
        <f>IF(F40&gt;0,15,0)</f>
        <v>0</v>
      </c>
      <c r="T40" s="860">
        <f>IF(G40=0,0,IF(AND(G40=2,'RMCV.PA'!$E$17="III"),30,40))</f>
        <v>0</v>
      </c>
      <c r="U40" s="860">
        <f>IF(J40=0,0,IF(AND(J40=3,'RMCV.PA'!$E$17="I"),20,15))</f>
        <v>20</v>
      </c>
      <c r="V40" s="860">
        <f>IF(K40=0,0,IF(AND(K40=3.5,'RMCV.PA'!$E$17="I"),20,15))</f>
        <v>0</v>
      </c>
      <c r="W40" s="860">
        <f>(S40+T40+U40+V40)*0.3/$P$25</f>
        <v>1.1999999999999999E-3</v>
      </c>
      <c r="X40" s="860">
        <f>IF(R40&gt;W40,W40,R40)</f>
        <v>1.1999999999999999E-3</v>
      </c>
      <c r="Y40" s="860">
        <f>IF('CG. MPA'!E41="CONCRETO",0,IF(N40/(D40*$P$25*L40)&gt;3/$P$25,N40/(D40*$P$25*L40),3/$P$25))</f>
        <v>5.9999999999999995E-4</v>
      </c>
      <c r="Z40" s="862">
        <f>P40*$P$25</f>
        <v>4.0666666666666664</v>
      </c>
      <c r="AA40" s="860">
        <f>IF(6&gt;Z40,0.6,IF(Z40&gt;9,0.2,(0.4*(9-Z40)/3)+0.2))</f>
        <v>0.6</v>
      </c>
      <c r="AB40" s="863">
        <f>D40*AA40*P40*$P$25*L40</f>
        <v>9599.814085468377</v>
      </c>
      <c r="AC40" s="864">
        <f>IF(O40="pasa"," ",AB40+N40)</f>
        <v>18696.922995005345</v>
      </c>
      <c r="AD40" s="865" t="str">
        <f>IF(O40="pasa"," ",IF('CG. MPA'!E41="CONCRETO","F/DISEÑO",IF(AC40&gt;M40,"PASA","NO PASA")))</f>
        <v>PASA</v>
      </c>
      <c r="AE40" s="986">
        <f>$AE$23/($AE$26*'RMCV.PA'!C41)</f>
        <v>2.3333333333333331E-3</v>
      </c>
      <c r="AF40" s="986">
        <f t="shared" si="16"/>
        <v>5.0000000000000001E-4</v>
      </c>
      <c r="AG40" s="986">
        <f>IF(12/$AF$25&gt;'RMCV.PA'!F41*0.3/$AF$25,'RMCV.PA'!F41*0.3/$AF$25,12/$AF$25)</f>
        <v>7.5000000000000002E-4</v>
      </c>
      <c r="AH40" s="987" t="str">
        <f t="shared" si="17"/>
        <v>MAL</v>
      </c>
      <c r="AI40" s="986">
        <f>IF(9/$AF$25&gt;'RMCV.PA'!F41*0.3/$AF$25,'RMCV.PA'!F41*0.3/$AF$25,9/$AF$25)</f>
        <v>7.5000000000000002E-4</v>
      </c>
      <c r="AJ40" s="988" t="str">
        <f t="shared" si="18"/>
        <v>MAL</v>
      </c>
      <c r="AK40" s="989">
        <f t="shared" si="19"/>
        <v>0.2</v>
      </c>
      <c r="AL40" s="990">
        <f t="shared" si="20"/>
        <v>11016.180098078465</v>
      </c>
      <c r="AM40" s="1002">
        <f t="shared" si="21"/>
        <v>20113.289007615433</v>
      </c>
      <c r="AN40" s="991" t="str">
        <f>IF(O40="PASA"," ",IF('CG. MPA'!E41="CONCRETO","F/DISEÑO",IF(AM40&gt;M40,"PASA","NO PASA")))</f>
        <v>PASA</v>
      </c>
      <c r="AO40" s="1110">
        <f t="shared" si="14"/>
        <v>0.7613916463995164</v>
      </c>
      <c r="AP40" s="4"/>
      <c r="AQ40" s="4"/>
      <c r="AR40" s="4"/>
      <c r="AS40" s="4"/>
      <c r="AT40" s="4"/>
      <c r="AU40" s="4"/>
      <c r="AV40" s="4"/>
      <c r="AW40" s="4"/>
      <c r="AX40" s="4"/>
      <c r="AY40" s="4"/>
      <c r="AZ40" s="4"/>
      <c r="BA40" s="4"/>
      <c r="BB40" s="4"/>
      <c r="BC40" s="4"/>
    </row>
    <row r="41" spans="1:55" ht="15.75" thickBot="1">
      <c r="A41" s="850">
        <f>'CG. MPA'!A42</f>
        <v>14</v>
      </c>
      <c r="B41" s="851">
        <f>'RMCV.PA'!N42/1.3</f>
        <v>6802.7764642659959</v>
      </c>
      <c r="C41" s="851">
        <f t="shared" si="0"/>
        <v>2040.8329392797987</v>
      </c>
      <c r="D41" s="852">
        <f>IF('CG. MPA'!D42="NO CONFINADO",0.4,0.7)</f>
        <v>0.7</v>
      </c>
      <c r="E41" s="852">
        <f>IF('CG. MPA'!E42="CONCRETO",0.5*(0.8*250)^0.5,F41+G41+J41+K41)</f>
        <v>3</v>
      </c>
      <c r="F41" s="852">
        <f>IF(AND('CG. MPA'!E42="TABIQUE",'CG. MPA'!F42="MACIZO"),IF('RMCV.PA'!$E$17="I",3.5,3),0)</f>
        <v>0</v>
      </c>
      <c r="G41" s="852">
        <f>IF(AND('CG. MPA'!E42="TABIQUE",'CG. MPA'!F42="HUECO"),IF('RMCV.PA'!$E$17="I",3,5.5),0)</f>
        <v>0</v>
      </c>
      <c r="H41" s="852">
        <f>IF('CG. MPA'!E42="ADOBE",0.3,0)</f>
        <v>0</v>
      </c>
      <c r="I41" s="852">
        <f>IF('CG. MPA'!E42="LIGERO",0.5,0)</f>
        <v>0</v>
      </c>
      <c r="J41" s="852">
        <f>IF(AND('CG. MPA'!E42="TABICON",'CG. MPA'!F42="MACIZO"),IF('RMCV.PA'!$E$17="I",3,2),0)</f>
        <v>3</v>
      </c>
      <c r="K41" s="852">
        <f>IF(AND('CG. MPA'!E42="TABICON",'CG. MPA'!F42="HUECO"),IF('RMCV.PA'!$E$17="I",3.5,2.5),0)</f>
        <v>0</v>
      </c>
      <c r="L41" s="853">
        <f>'RMCV.PA'!M42</f>
        <v>3862.5000728155328</v>
      </c>
      <c r="M41" s="918">
        <f>ABS('ELEM. MECA.'!O19)</f>
        <v>10840.125115306037</v>
      </c>
      <c r="N41" s="957">
        <f t="shared" si="1"/>
        <v>5484.2081339521683</v>
      </c>
      <c r="O41" s="854" t="str">
        <f>IF('CG. MPA'!E42="CONCRETO","F/DISEÑO",IF(M41&gt;N41,"NO PASA","PASA"))</f>
        <v>NO PASA</v>
      </c>
      <c r="P41" s="466">
        <f>IF(O41="pasa"," ",$P$24/('RMCV.PA'!C42*100))</f>
        <v>8.1333333333333333E-4</v>
      </c>
      <c r="Q41" s="861" t="str">
        <f>IF(O41="pasa"," ",IF('CG. MPA'!E42="CONCRETO","F/DISEÑO",IF(AND(X41&gt;P41,P41&gt;Y41),"BIEN","MAL")))</f>
        <v>BIEN</v>
      </c>
      <c r="R41" s="860">
        <f>IF('CG. MPA'!F42="MACIZO",12/'RMCS.PA'!$P$25,9/'RMCS.PA'!$P$25)</f>
        <v>2.3999999999999998E-3</v>
      </c>
      <c r="S41" s="860">
        <f>IF(F41&gt;0,15,0)</f>
        <v>0</v>
      </c>
      <c r="T41" s="860">
        <f>IF(G41=0,0,IF(AND(G41=2,'RMCV.PA'!$E$17="III"),30,40))</f>
        <v>0</v>
      </c>
      <c r="U41" s="860">
        <f>IF(J41=0,0,IF(AND(J41=3,'RMCV.PA'!$E$17="I"),20,15))</f>
        <v>20</v>
      </c>
      <c r="V41" s="860">
        <f>IF(K41=0,0,IF(AND(K41=3.5,'RMCV.PA'!$E$17="I"),20,15))</f>
        <v>0</v>
      </c>
      <c r="W41" s="860">
        <f>(S41+T41+U41+V41)*0.3/$P$25</f>
        <v>1.1999999999999999E-3</v>
      </c>
      <c r="X41" s="860">
        <f>IF(R41&gt;W41,W41,R41)</f>
        <v>1.1999999999999999E-3</v>
      </c>
      <c r="Y41" s="860">
        <f>IF('CG. MPA'!E42="CONCRETO",0,IF(N41/(D41*$P$25*L41)&gt;3/$P$25,N41/(D41*$P$25*L41),3/$P$25))</f>
        <v>5.9999999999999995E-4</v>
      </c>
      <c r="Z41" s="862">
        <f>P41*$P$25</f>
        <v>4.0666666666666664</v>
      </c>
      <c r="AA41" s="860">
        <f>IF(6&gt;Z41,0.6,IF(Z41&gt;9,0.2,(0.4*(9-Z41)/3)+0.2))</f>
        <v>0.6</v>
      </c>
      <c r="AB41" s="863">
        <f>D41*AA41*P41*$P$25*L41</f>
        <v>6597.1501243689299</v>
      </c>
      <c r="AC41" s="864">
        <f>IF(O41="pasa"," ",AB41+N41)</f>
        <v>12081.358258321099</v>
      </c>
      <c r="AD41" s="865" t="str">
        <f>IF(O41="pasa"," ",IF('CG. MPA'!E42="CONCRETO","F/DISEÑO",IF(AC41&gt;M41,"PASA","NO PASA")))</f>
        <v>PASA</v>
      </c>
      <c r="AE41" s="986">
        <f>$AE$23/($AE$26*'RMCV.PA'!C42)</f>
        <v>2.3333333333333331E-3</v>
      </c>
      <c r="AF41" s="986">
        <f t="shared" si="16"/>
        <v>5.0000000000000001E-4</v>
      </c>
      <c r="AG41" s="986">
        <f>IF(12/$AF$25&gt;'RMCV.PA'!F42*0.3/$AF$25,'RMCV.PA'!F42*0.3/$AF$25,12/$AF$25)</f>
        <v>7.5000000000000002E-4</v>
      </c>
      <c r="AH41" s="987" t="str">
        <f t="shared" si="17"/>
        <v>MAL</v>
      </c>
      <c r="AI41" s="986">
        <f>IF(9/$AF$25&gt;'RMCV.PA'!F42*0.3/$AF$25,'RMCV.PA'!F42*0.3/$AF$25,9/$AF$25)</f>
        <v>7.5000000000000002E-4</v>
      </c>
      <c r="AJ41" s="988" t="str">
        <f t="shared" si="18"/>
        <v>MAL</v>
      </c>
      <c r="AK41" s="989">
        <f t="shared" si="19"/>
        <v>0.2</v>
      </c>
      <c r="AL41" s="990">
        <f t="shared" si="20"/>
        <v>7570.5001427184434</v>
      </c>
      <c r="AM41" s="1002">
        <f t="shared" si="21"/>
        <v>13054.708276670612</v>
      </c>
      <c r="AN41" s="991" t="str">
        <f>IF(O41="PASA"," ",IF('CG. MPA'!E42="CONCRETO","F/DISEÑO",IF(AM41&gt;M41,"PASA","NO PASA")))</f>
        <v>PASA</v>
      </c>
      <c r="AO41" s="1110">
        <f t="shared" si="14"/>
        <v>0.89726046389195047</v>
      </c>
    </row>
    <row r="42" spans="1:55" ht="15.75" hidden="1" thickBot="1">
      <c r="A42" s="850">
        <f>'CG. MPA'!A43</f>
        <v>15</v>
      </c>
      <c r="B42" s="851" t="e">
        <f>'RMCV.PA'!N43/1.3</f>
        <v>#VALUE!</v>
      </c>
      <c r="C42" s="851" t="e">
        <f t="shared" si="0"/>
        <v>#VALUE!</v>
      </c>
      <c r="D42" s="852">
        <f>IF('CG. MPA'!D43="NO CONFINADO",0.4,0.7)</f>
        <v>0.7</v>
      </c>
      <c r="E42" s="852">
        <f>IF('CG. MPA'!E43="CONCRETO",0.5*(0.8*250)^0.5,F42+G42+J42+K42)</f>
        <v>0</v>
      </c>
      <c r="F42" s="852">
        <f>IF(AND('CG. MPA'!E43="TABIQUE",'CG. MPA'!F43="MACIZO"),IF('RMCV.PA'!$E$17="I",3.5,3),0)</f>
        <v>0</v>
      </c>
      <c r="G42" s="852">
        <f>IF(AND('CG. MPA'!E43="TABIQUE",'CG. MPA'!F43="HUECO"),IF('RMCV.PA'!$E$17="I",3,6.5),0)</f>
        <v>0</v>
      </c>
      <c r="H42" s="852">
        <f>IF('CG. MPA'!E43="ADOBE",0.3,0)</f>
        <v>0</v>
      </c>
      <c r="I42" s="852">
        <f>IF('CG. MPA'!E43="LIGERO",0.5,0)</f>
        <v>0</v>
      </c>
      <c r="J42" s="852">
        <f>IF(AND('CG. MPA'!E43="TABICON",'CG. MPA'!F43="MACIZO"),IF('RMCV.PA'!$E$17="I",3,2),0)</f>
        <v>0</v>
      </c>
      <c r="K42" s="852">
        <f>IF(AND('CG. MPA'!E43="TABICON",'CG. MPA'!F43="HUECO"),IF('RMCV.PA'!$E$17="I",3.5,2.5),0)</f>
        <v>0</v>
      </c>
      <c r="L42" s="853" t="e">
        <f>'RMCV.PA'!M43</f>
        <v>#VALUE!</v>
      </c>
      <c r="M42" s="918" t="e">
        <f>ABS('ELEM. MECA.'!O20)</f>
        <v>#VALUE!</v>
      </c>
      <c r="N42" s="957" t="e">
        <f t="shared" si="1"/>
        <v>#VALUE!</v>
      </c>
      <c r="O42" s="854" t="e">
        <f>IF('CG. MPA'!E43="CONCRETO","F/DISEÑO",IF(M42&gt;N42,"NO PASA","PASA"))</f>
        <v>#VALUE!</v>
      </c>
      <c r="P42" s="466" t="e">
        <f>IF(O42="pasa"," ",$P$24/('RMCV.PA'!C43*100))</f>
        <v>#VALUE!</v>
      </c>
      <c r="Q42" s="861" t="e">
        <f>IF(O42="pasa"," ",IF('CG. MPA'!E43="CONCRETO","F/DISEÑO",IF(AND(X42&gt;P42,P42&gt;Y42),"BIEN","MAL")))</f>
        <v>#VALUE!</v>
      </c>
      <c r="R42" s="860">
        <f>IF('CG. MPA'!F43="MACIZO",12/'RMCS.PA'!$P$25,9/'RMCS.PA'!$P$25)</f>
        <v>2.3999999999999998E-3</v>
      </c>
      <c r="S42" s="860">
        <f>IF(F42&gt;0,15,0)</f>
        <v>0</v>
      </c>
      <c r="T42" s="860">
        <f>IF(G42=0,0,IF(AND(G42=2,'RMCV.PA'!$E$17="III"),30,40))</f>
        <v>0</v>
      </c>
      <c r="U42" s="860">
        <f>IF(J42=0,0,IF(AND(J42=3,'RMCV.PA'!$E$17="I"),20,15))</f>
        <v>0</v>
      </c>
      <c r="V42" s="860">
        <f>IF(K42=0,0,IF(AND(K42=3.5,'RMCV.PA'!$E$17="I"),20,15))</f>
        <v>0</v>
      </c>
      <c r="W42" s="860">
        <f>(S42+T42+U42+V42)*0.3/$P$25</f>
        <v>0</v>
      </c>
      <c r="X42" s="860">
        <f>IF(R42&gt;W42,W42,R42)</f>
        <v>0</v>
      </c>
      <c r="Y42" s="860" t="e">
        <f>IF('CG. MPA'!E43="CONCRETO",0,IF(N42/(D42*$P$25*L42)&gt;3/$P$25,N42/(D42*$P$25*L42),3/$P$25))</f>
        <v>#VALUE!</v>
      </c>
      <c r="Z42" s="862" t="e">
        <f>P42*$P$25</f>
        <v>#VALUE!</v>
      </c>
      <c r="AA42" s="860" t="e">
        <f>IF(6&gt;Z42,0.6,IF(Z42&gt;9,0.2,(0.4*(9-Z42)/3)+0.2))</f>
        <v>#VALUE!</v>
      </c>
      <c r="AB42" s="863" t="e">
        <f>D42*AA42*P42*$P$25*L42</f>
        <v>#VALUE!</v>
      </c>
      <c r="AC42" s="864" t="e">
        <f>IF(O42="pasa"," ",AB42+N42)</f>
        <v>#VALUE!</v>
      </c>
      <c r="AD42" s="865" t="e">
        <f>IF(O42="pasa"," ",IF('CG. MPA'!E43="CONCRETO","F/DISEÑO",IF(AC42&gt;M42,"PASA","NO PASA")))</f>
        <v>#VALUE!</v>
      </c>
      <c r="AE42" s="986" t="e">
        <f>$AE$23/($AE$26*'RMCV.PA'!C43)</f>
        <v>#VALUE!</v>
      </c>
      <c r="AF42" s="986" t="e">
        <f t="shared" si="16"/>
        <v>#VALUE!</v>
      </c>
      <c r="AG42" s="986">
        <f>IF(12/$AF$25&gt;'RMCV.PA'!F43*0.3/$AF$25,'RMCV.PA'!F43*0.3/$AF$25,12/$AF$25)</f>
        <v>0</v>
      </c>
      <c r="AH42" s="987" t="e">
        <f t="shared" si="17"/>
        <v>#VALUE!</v>
      </c>
      <c r="AI42" s="986">
        <f>IF(9/$AF$25&gt;'RMCV.PA'!F43*0.3/$AF$25,'RMCV.PA'!F43*0.3/$AF$25,9/$AF$25)</f>
        <v>0</v>
      </c>
      <c r="AJ42" s="988" t="e">
        <f t="shared" si="18"/>
        <v>#VALUE!</v>
      </c>
      <c r="AK42" s="989" t="e">
        <f t="shared" si="19"/>
        <v>#VALUE!</v>
      </c>
      <c r="AL42" s="990" t="e">
        <f t="shared" si="20"/>
        <v>#VALUE!</v>
      </c>
      <c r="AM42" s="1002" t="e">
        <f t="shared" si="21"/>
        <v>#VALUE!</v>
      </c>
      <c r="AN42" s="991" t="e">
        <f>IF(O42="PASA"," ",IF('CG. MPA'!E43="CONCRETO","F/DISEÑO",IF(AM42&gt;M42,"PASA","NO PASA")))</f>
        <v>#VALUE!</v>
      </c>
      <c r="AO42" s="1110" t="e">
        <f t="shared" si="14"/>
        <v>#VALUE!</v>
      </c>
    </row>
    <row r="43" spans="1:55" ht="15.75" hidden="1" thickBot="1">
      <c r="A43" s="850">
        <f>'CG. MPA'!A44</f>
        <v>16</v>
      </c>
      <c r="B43" s="851" t="e">
        <f>'RMCV.PA'!N44/1.3</f>
        <v>#VALUE!</v>
      </c>
      <c r="C43" s="851" t="e">
        <f t="shared" ref="C43:C67" si="22">(0.3*B43)</f>
        <v>#VALUE!</v>
      </c>
      <c r="D43" s="852">
        <f>IF('CG. MPA'!D44="NO CONFINADO",0.4,0.7)</f>
        <v>0.7</v>
      </c>
      <c r="E43" s="852">
        <f>IF('CG. MPA'!E44="CONCRETO",0.5*(0.8*250)^0.5,F43+G43+J43+K43)</f>
        <v>0</v>
      </c>
      <c r="F43" s="852">
        <f>IF(AND('CG. MPA'!E44="TABIQUE",'CG. MPA'!F44="MACIZO"),IF('RMCV.PA'!$E$17="I",3.5,3),0)</f>
        <v>0</v>
      </c>
      <c r="G43" s="852">
        <f>IF(AND('CG. MPA'!E44="TABIQUE",'CG. MPA'!F44="HUECO"),IF('RMCV.PA'!$E$17="I",3,6.5),0)</f>
        <v>0</v>
      </c>
      <c r="H43" s="852">
        <f>IF('CG. MPA'!E44="ADOBE",0.3,0)</f>
        <v>0</v>
      </c>
      <c r="I43" s="852">
        <f>IF('CG. MPA'!E44="LIGERO",0.5,0)</f>
        <v>0</v>
      </c>
      <c r="J43" s="852">
        <f>IF(AND('CG. MPA'!E44="TABICON",'CG. MPA'!F44="MACIZO"),IF('RMCV.PA'!$E$17="I",3,2),0)</f>
        <v>0</v>
      </c>
      <c r="K43" s="852">
        <f>IF(AND('CG. MPA'!E44="TABICON",'CG. MPA'!F44="HUECO"),IF('RMCV.PA'!$E$17="I",3.5,2.5),0)</f>
        <v>0</v>
      </c>
      <c r="L43" s="853" t="e">
        <f>'RMCV.PA'!M44</f>
        <v>#VALUE!</v>
      </c>
      <c r="M43" s="918" t="e">
        <f>ABS('ELEM. MECA.'!O21)</f>
        <v>#VALUE!</v>
      </c>
      <c r="N43" s="957" t="e">
        <f t="shared" si="1"/>
        <v>#VALUE!</v>
      </c>
      <c r="O43" s="854" t="e">
        <f>IF('CG. MPA'!E44="CONCRETO","F/DISEÑO",IF(M43&gt;N43,"NO PASA","PASA"))</f>
        <v>#VALUE!</v>
      </c>
      <c r="P43" s="466" t="e">
        <f>IF(O43="pasa"," ",$P$24/('RMCV.PA'!C44*100))</f>
        <v>#VALUE!</v>
      </c>
      <c r="Q43" s="861" t="e">
        <f>IF(O43="pasa"," ",IF('CG. MPA'!E44="CONCRETO","F/DISEÑO",IF(AND(X43&gt;P43,P43&gt;Y43),"BIEN","MAL")))</f>
        <v>#VALUE!</v>
      </c>
      <c r="R43" s="860">
        <f>IF('CG. MPA'!F44="MACIZO",12/'RMCS.PA'!$P$25,9/'RMCS.PA'!$P$25)</f>
        <v>2.3999999999999998E-3</v>
      </c>
      <c r="S43" s="860">
        <f t="shared" si="3"/>
        <v>0</v>
      </c>
      <c r="T43" s="860">
        <f>IF(G43=0,0,IF(AND(G43=2,'RMCV.PA'!$E$17="III"),30,40))</f>
        <v>0</v>
      </c>
      <c r="U43" s="860">
        <f>IF(J43=0,0,IF(AND(J43=3,'RMCV.PA'!$E$17="I"),20,15))</f>
        <v>0</v>
      </c>
      <c r="V43" s="860">
        <f>IF(K43=0,0,IF(AND(K43=3.5,'RMCV.PA'!$E$17="I"),20,15))</f>
        <v>0</v>
      </c>
      <c r="W43" s="860">
        <f t="shared" si="4"/>
        <v>0</v>
      </c>
      <c r="X43" s="860">
        <f t="shared" si="5"/>
        <v>0</v>
      </c>
      <c r="Y43" s="860" t="e">
        <f>IF('CG. MPA'!E44="CONCRETO",0,IF(N43/(D43*$P$25*L43)&gt;3/$P$25,N43/(D43*$P$25*L43),3/$P$25))</f>
        <v>#VALUE!</v>
      </c>
      <c r="Z43" s="862" t="e">
        <f t="shared" si="6"/>
        <v>#VALUE!</v>
      </c>
      <c r="AA43" s="860" t="e">
        <f t="shared" si="7"/>
        <v>#VALUE!</v>
      </c>
      <c r="AB43" s="863" t="e">
        <f t="shared" si="8"/>
        <v>#VALUE!</v>
      </c>
      <c r="AC43" s="864" t="e">
        <f t="shared" si="2"/>
        <v>#VALUE!</v>
      </c>
      <c r="AD43" s="865" t="e">
        <f>IF(O43="pasa"," ",IF('CG. MPA'!E44="CONCRETO","F/DISEÑO",IF(AC43&gt;M43,"PASA","NO PASA")))</f>
        <v>#VALUE!</v>
      </c>
      <c r="AE43" s="986" t="e">
        <f>$AE$23/($AE$26*'RMCV.PA'!C44)</f>
        <v>#VALUE!</v>
      </c>
      <c r="AF43" s="986" t="e">
        <f t="shared" si="16"/>
        <v>#VALUE!</v>
      </c>
      <c r="AG43" s="986">
        <f>IF(12/$AF$25&gt;'RMCV.PA'!F44*0.3/$AF$25,'RMCV.PA'!F44*0.3/$AF$25,12/$AF$25)</f>
        <v>0</v>
      </c>
      <c r="AH43" s="987" t="e">
        <f t="shared" si="17"/>
        <v>#VALUE!</v>
      </c>
      <c r="AI43" s="986">
        <f>IF(9/$AF$25&gt;'RMCV.PA'!F44*0.3/$AF$25,'RMCV.PA'!F44*0.3/$AF$25,9/$AF$25)</f>
        <v>0</v>
      </c>
      <c r="AJ43" s="988" t="e">
        <f t="shared" si="18"/>
        <v>#VALUE!</v>
      </c>
      <c r="AK43" s="989" t="e">
        <f t="shared" si="19"/>
        <v>#VALUE!</v>
      </c>
      <c r="AL43" s="990" t="e">
        <f t="shared" si="20"/>
        <v>#VALUE!</v>
      </c>
      <c r="AM43" s="1002" t="e">
        <f t="shared" si="21"/>
        <v>#VALUE!</v>
      </c>
      <c r="AN43" s="991" t="e">
        <f>IF(O43="PASA"," ",IF('CG. MPA'!E44="CONCRETO","F/DISEÑO",IF(AM43&gt;M43,"PASA","NO PASA")))</f>
        <v>#VALUE!</v>
      </c>
      <c r="AO43" s="1110" t="e">
        <f t="shared" si="14"/>
        <v>#VALUE!</v>
      </c>
    </row>
    <row r="44" spans="1:55" ht="15.75" hidden="1" thickBot="1">
      <c r="A44" s="850">
        <f>'CG. MPA'!A45</f>
        <v>17</v>
      </c>
      <c r="B44" s="851">
        <f>'RMCV.PA'!N45/1.3</f>
        <v>0</v>
      </c>
      <c r="C44" s="851">
        <f t="shared" si="22"/>
        <v>0</v>
      </c>
      <c r="D44" s="852">
        <f>IF('CG. MPA'!D45="NO CONFINADO",0.4,0.7)</f>
        <v>0.7</v>
      </c>
      <c r="E44" s="852">
        <f>IF('CG. MPA'!E45="CONCRETO",0.5*(0.8*250)^0.5,F44+G44+J44+K44)</f>
        <v>0</v>
      </c>
      <c r="F44" s="852">
        <f>IF(AND('CG. MPA'!E45="TABIQUE",'CG. MPA'!F45="MACIZO"),IF('RMCV.PA'!$E$17="I",3.5,3),0)</f>
        <v>0</v>
      </c>
      <c r="G44" s="852">
        <f>IF(AND('CG. MPA'!E45="TABIQUE",'CG. MPA'!F45="HUECO"),IF('RMCV.PA'!$E$17="I",3,6.5),0)</f>
        <v>0</v>
      </c>
      <c r="H44" s="852">
        <f>IF('CG. MPA'!E45="ADOBE",0.3,0)</f>
        <v>0</v>
      </c>
      <c r="I44" s="852">
        <f>IF('CG. MPA'!E45="LIGERO",0.5,0)</f>
        <v>0</v>
      </c>
      <c r="J44" s="852">
        <f>IF(AND('CG. MPA'!E45="TABICON",'CG. MPA'!F45="MACIZO"),IF('RMCV.PA'!$E$17="I",3,2),0)</f>
        <v>0</v>
      </c>
      <c r="K44" s="852">
        <f>IF(AND('CG. MPA'!E45="TABICON",'CG. MPA'!F45="HUECO"),IF('RMCV.PA'!$E$17="I",3.5,2.5),0)</f>
        <v>0</v>
      </c>
      <c r="L44" s="853">
        <f>'RMCV.PA'!M45</f>
        <v>0</v>
      </c>
      <c r="M44" s="918">
        <f>ABS('ELEM. MECA.'!O22)</f>
        <v>0</v>
      </c>
      <c r="N44" s="957">
        <f t="shared" si="1"/>
        <v>0</v>
      </c>
      <c r="O44" s="854" t="str">
        <f>IF('CG. MPA'!E45="CONCRETO","F/DISEÑO",IF(M44&gt;N44,"NO PASA","PASA"))</f>
        <v>PASA</v>
      </c>
      <c r="P44" s="466" t="str">
        <f>IF(O44="pasa"," ",$P$24/('RMCV.PA'!C45*100))</f>
        <v xml:space="preserve"> </v>
      </c>
      <c r="Q44" s="861" t="str">
        <f>IF(O44="pasa"," ",IF('CG. MPA'!E45="CONCRETO","F/DISEÑO",IF(AND(X44&gt;P44,P44&gt;Y44),"BIEN","MAL")))</f>
        <v xml:space="preserve"> </v>
      </c>
      <c r="R44" s="860">
        <f>IF('CG. MPA'!F45="MACIZO",12/'RMCS.PA'!$P$25,9/'RMCS.PA'!$P$25)</f>
        <v>2.3999999999999998E-3</v>
      </c>
      <c r="S44" s="860">
        <f t="shared" si="3"/>
        <v>0</v>
      </c>
      <c r="T44" s="860">
        <f>IF(G44=0,0,IF(AND(G44=2,'RMCV.PA'!$E$17="III"),30,40))</f>
        <v>0</v>
      </c>
      <c r="U44" s="860">
        <f>IF(J44=0,0,IF(AND(J44=3,'RMCV.PA'!$E$17="I"),20,15))</f>
        <v>0</v>
      </c>
      <c r="V44" s="860">
        <f>IF(K44=0,0,IF(AND(K44=3.5,'RMCV.PA'!$E$17="I"),20,15))</f>
        <v>0</v>
      </c>
      <c r="W44" s="860">
        <f t="shared" si="4"/>
        <v>0</v>
      </c>
      <c r="X44" s="860">
        <f t="shared" si="5"/>
        <v>0</v>
      </c>
      <c r="Y44" s="860" t="e">
        <f>IF('CG. MPA'!E45="CONCRETO",0,IF(N44/(D44*$P$25*L44)&gt;3/$P$25,N44/(D44*$P$25*L44),3/$P$25))</f>
        <v>#DIV/0!</v>
      </c>
      <c r="Z44" s="862" t="e">
        <f t="shared" si="6"/>
        <v>#VALUE!</v>
      </c>
      <c r="AA44" s="860" t="e">
        <f t="shared" si="7"/>
        <v>#VALUE!</v>
      </c>
      <c r="AB44" s="863" t="e">
        <f t="shared" si="8"/>
        <v>#VALUE!</v>
      </c>
      <c r="AC44" s="864" t="str">
        <f t="shared" si="2"/>
        <v xml:space="preserve"> </v>
      </c>
      <c r="AD44" s="865" t="str">
        <f>IF(O44="pasa"," ",IF('CG. MPA'!E45="CONCRETO","F/DISEÑO",IF(AC44&gt;M44,"PASA","NO PASA")))</f>
        <v xml:space="preserve"> </v>
      </c>
      <c r="AE44" s="992" t="e">
        <f>$AE$23/($AE$26*'RMCV.PA'!C45)</f>
        <v>#DIV/0!</v>
      </c>
      <c r="AF44" s="986" t="e">
        <f t="shared" si="9"/>
        <v>#DIV/0!</v>
      </c>
      <c r="AG44" s="986">
        <f>IF(12/$AF$25&gt;'RMCV.PA'!F45*0.3/$AF$25,'RMCV.PA'!F45*0.3/$AF$25,12/$AF$25)</f>
        <v>0</v>
      </c>
      <c r="AH44" s="987" t="e">
        <f t="shared" si="15"/>
        <v>#DIV/0!</v>
      </c>
      <c r="AI44" s="986">
        <f>IF(9/$AF$25&gt;'RMCV.PA'!F45*0.3/$AF$25,'RMCV.PA'!F45*0.3/$AF$25,9/$AF$25)</f>
        <v>0</v>
      </c>
      <c r="AJ44" s="988" t="e">
        <f t="shared" si="10"/>
        <v>#DIV/0!</v>
      </c>
      <c r="AK44" s="989" t="e">
        <f t="shared" si="11"/>
        <v>#DIV/0!</v>
      </c>
      <c r="AL44" s="990">
        <f t="shared" si="12"/>
        <v>0</v>
      </c>
      <c r="AM44" s="1002">
        <f t="shared" si="13"/>
        <v>0</v>
      </c>
      <c r="AN44" s="991" t="str">
        <f>IF(O44="PASA"," ",IF('CG. MPA'!E45="CONCRETO","F/DISEÑO",IF(AM44&gt;M44,"PASA","NO PASA")))</f>
        <v xml:space="preserve"> </v>
      </c>
      <c r="AO44" s="1110" t="e">
        <f t="shared" si="14"/>
        <v>#VALUE!</v>
      </c>
    </row>
    <row r="45" spans="1:55" ht="15.75" hidden="1" thickBot="1">
      <c r="A45" s="850">
        <f>'CG. MPA'!A46</f>
        <v>18</v>
      </c>
      <c r="B45" s="851">
        <f>'RMCV.PA'!N46/1.3</f>
        <v>0</v>
      </c>
      <c r="C45" s="851">
        <f t="shared" si="22"/>
        <v>0</v>
      </c>
      <c r="D45" s="852">
        <f>IF('CG. MPA'!D46="NO CONFINADO",0.4,0.7)</f>
        <v>0.7</v>
      </c>
      <c r="E45" s="852">
        <f>IF('CG. MPA'!E46="CONCRETO",0.5*(0.8*250)^0.5,F45+G45+J45+K45)</f>
        <v>0</v>
      </c>
      <c r="F45" s="852">
        <f>IF(AND('CG. MPA'!E46="TABIQUE",'CG. MPA'!F46="MACIZO"),IF('RMCV.PA'!$E$17="I",3.5,3),0)</f>
        <v>0</v>
      </c>
      <c r="G45" s="852">
        <f>IF(AND('CG. MPA'!E46="TABIQUE",'CG. MPA'!F46="HUECO"),IF('RMCV.PA'!$E$17="I",3,6.5),0)</f>
        <v>0</v>
      </c>
      <c r="H45" s="852">
        <f>IF('CG. MPA'!E46="ADOBE",0.3,0)</f>
        <v>0</v>
      </c>
      <c r="I45" s="852">
        <f>IF('CG. MPA'!E46="LIGERO",0.5,0)</f>
        <v>0</v>
      </c>
      <c r="J45" s="852">
        <f>IF(AND('CG. MPA'!E46="TABICON",'CG. MPA'!F46="MACIZO"),IF('RMCV.PA'!$E$17="I",3,2),0)</f>
        <v>0</v>
      </c>
      <c r="K45" s="852">
        <f>IF(AND('CG. MPA'!E46="TABICON",'CG. MPA'!F46="HUECO"),IF('RMCV.PA'!$E$17="I",3.5,2.5),0)</f>
        <v>0</v>
      </c>
      <c r="L45" s="853">
        <f>'RMCV.PA'!M46</f>
        <v>0</v>
      </c>
      <c r="M45" s="918">
        <f>ABS('ELEM. MECA.'!O23)</f>
        <v>0</v>
      </c>
      <c r="N45" s="957">
        <f t="shared" si="1"/>
        <v>0</v>
      </c>
      <c r="O45" s="854" t="str">
        <f>IF('CG. MPA'!E46="CONCRETO","F/DISEÑO",IF(M45&gt;N45,"NO PASA","PASA"))</f>
        <v>PASA</v>
      </c>
      <c r="P45" s="466" t="str">
        <f>IF(O45="pasa"," ",$P$24/('RMCV.PA'!C46*100))</f>
        <v xml:space="preserve"> </v>
      </c>
      <c r="Q45" s="861" t="str">
        <f>IF(O45="pasa"," ",IF('CG. MPA'!E46="CONCRETO","F/DISEÑO",IF(AND(X45&gt;P45,P45&gt;Y45),"BIEN","MAL")))</f>
        <v xml:space="preserve"> </v>
      </c>
      <c r="R45" s="860">
        <f>IF('CG. MPA'!F46="MACIZO",12/'RMCS.PA'!$P$25,9/'RMCS.PA'!$P$25)</f>
        <v>2.3999999999999998E-3</v>
      </c>
      <c r="S45" s="860">
        <f t="shared" si="3"/>
        <v>0</v>
      </c>
      <c r="T45" s="860">
        <f>IF(G45=0,0,IF(AND(G45=2,'RMCV.PA'!$E$17="III"),30,40))</f>
        <v>0</v>
      </c>
      <c r="U45" s="860">
        <f>IF(J45=0,0,IF(AND(J45=3,'RMCV.PA'!$E$17="I"),20,15))</f>
        <v>0</v>
      </c>
      <c r="V45" s="860">
        <f>IF(K45=0,0,IF(AND(K45=3.5,'RMCV.PA'!$E$17="I"),20,15))</f>
        <v>0</v>
      </c>
      <c r="W45" s="860">
        <f t="shared" si="4"/>
        <v>0</v>
      </c>
      <c r="X45" s="860">
        <f t="shared" si="5"/>
        <v>0</v>
      </c>
      <c r="Y45" s="860" t="e">
        <f>IF('CG. MPA'!E46="CONCRETO",0,IF(N45/(D45*$P$25*L45)&gt;3/$P$25,N45/(D45*$P$25*L45),3/$P$25))</f>
        <v>#DIV/0!</v>
      </c>
      <c r="Z45" s="862" t="e">
        <f t="shared" si="6"/>
        <v>#VALUE!</v>
      </c>
      <c r="AA45" s="860" t="e">
        <f t="shared" si="7"/>
        <v>#VALUE!</v>
      </c>
      <c r="AB45" s="863" t="e">
        <f t="shared" si="8"/>
        <v>#VALUE!</v>
      </c>
      <c r="AC45" s="864" t="str">
        <f t="shared" si="2"/>
        <v xml:space="preserve"> </v>
      </c>
      <c r="AD45" s="865" t="str">
        <f>IF(O45="pasa"," ",IF('CG. MPA'!E46="CONCRETO","F/DISEÑO",IF(AC45&gt;M45,"PASA","NO PASA")))</f>
        <v xml:space="preserve"> </v>
      </c>
      <c r="AE45" s="992" t="e">
        <f>$AE$23/($AE$26*'RMCV.PA'!C46)</f>
        <v>#DIV/0!</v>
      </c>
      <c r="AF45" s="986" t="e">
        <f t="shared" si="9"/>
        <v>#DIV/0!</v>
      </c>
      <c r="AG45" s="986">
        <f>IF(12/$AF$25&gt;'RMCV.PA'!F46*0.3/$AF$25,'RMCV.PA'!F46*0.3/$AF$25,12/$AF$25)</f>
        <v>0</v>
      </c>
      <c r="AH45" s="987" t="e">
        <f t="shared" si="15"/>
        <v>#DIV/0!</v>
      </c>
      <c r="AI45" s="986">
        <f>IF(9/$AF$25&gt;'RMCV.PA'!F46*0.3/$AF$25,'RMCV.PA'!F46*0.3/$AF$25,9/$AF$25)</f>
        <v>0</v>
      </c>
      <c r="AJ45" s="988" t="e">
        <f t="shared" si="10"/>
        <v>#DIV/0!</v>
      </c>
      <c r="AK45" s="989" t="e">
        <f t="shared" si="11"/>
        <v>#DIV/0!</v>
      </c>
      <c r="AL45" s="990">
        <f t="shared" si="12"/>
        <v>0</v>
      </c>
      <c r="AM45" s="1002">
        <f t="shared" si="13"/>
        <v>0</v>
      </c>
      <c r="AN45" s="991" t="str">
        <f>IF(O45="PASA"," ",IF('CG. MPA'!E46="CONCRETO","F/DISEÑO",IF(AM45&gt;M45,"PASA","NO PASA")))</f>
        <v xml:space="preserve"> </v>
      </c>
      <c r="AO45" s="1110" t="e">
        <f t="shared" si="14"/>
        <v>#VALUE!</v>
      </c>
    </row>
    <row r="46" spans="1:55" ht="15.75" hidden="1" thickBot="1">
      <c r="A46" s="850">
        <f>'CG. MPA'!A47</f>
        <v>19</v>
      </c>
      <c r="B46" s="851">
        <f>'RMCV.PA'!N47/1.3</f>
        <v>0</v>
      </c>
      <c r="C46" s="851">
        <f t="shared" si="22"/>
        <v>0</v>
      </c>
      <c r="D46" s="852">
        <f>IF('CG. MPA'!D47="NO CONFINADO",0.4,0.7)</f>
        <v>0.7</v>
      </c>
      <c r="E46" s="852">
        <f>IF('CG. MPA'!E47="CONCRETO",0.5*(0.8*250)^0.5,F46+G46+J46+K46)</f>
        <v>0</v>
      </c>
      <c r="F46" s="852">
        <f>IF(AND('CG. MPA'!E47="TABIQUE",'CG. MPA'!F47="MACIZO"),IF('RMCV.PA'!$E$17="I",3.5,3),0)</f>
        <v>0</v>
      </c>
      <c r="G46" s="852">
        <f>IF(AND('CG. MPA'!E47="TABIQUE",'CG. MPA'!F47="HUECO"),IF('RMCV.PA'!$E$17="I",3,6.5),0)</f>
        <v>0</v>
      </c>
      <c r="H46" s="852">
        <f>IF('CG. MPA'!E47="ADOBE",0.3,0)</f>
        <v>0</v>
      </c>
      <c r="I46" s="852">
        <f>IF('CG. MPA'!E47="LIGERO",0.5,0)</f>
        <v>0</v>
      </c>
      <c r="J46" s="852">
        <f>IF(AND('CG. MPA'!E47="TABICON",'CG. MPA'!F47="MACIZO"),IF('RMCV.PA'!$E$17="I",3,2),0)</f>
        <v>0</v>
      </c>
      <c r="K46" s="852">
        <f>IF(AND('CG. MPA'!E47="TABICON",'CG. MPA'!F47="HUECO"),IF('RMCV.PA'!$E$17="I",3.5,2.5),0)</f>
        <v>0</v>
      </c>
      <c r="L46" s="853">
        <f>'RMCV.PA'!M47</f>
        <v>0</v>
      </c>
      <c r="M46" s="918">
        <f>ABS('ELEM. MECA.'!O24)</f>
        <v>0</v>
      </c>
      <c r="N46" s="957">
        <f t="shared" si="1"/>
        <v>0</v>
      </c>
      <c r="O46" s="854" t="str">
        <f>IF('CG. MPA'!E47="CONCRETO","F/DISEÑO",IF(M46&gt;N46,"NO PASA","PASA"))</f>
        <v>PASA</v>
      </c>
      <c r="P46" s="466" t="str">
        <f>IF(O46="pasa"," ",$P$24/('RMCV.PA'!C47*100))</f>
        <v xml:space="preserve"> </v>
      </c>
      <c r="Q46" s="861" t="str">
        <f>IF(O46="pasa"," ",IF('CG. MPA'!E47="CONCRETO","F/DISEÑO",IF(AND(X46&gt;P46,P46&gt;Y46),"BIEN","MAL")))</f>
        <v xml:space="preserve"> </v>
      </c>
      <c r="R46" s="860">
        <f>IF('CG. MPA'!F47="MACIZO",12/'RMCS.PA'!$P$25,9/'RMCS.PA'!$P$25)</f>
        <v>2.3999999999999998E-3</v>
      </c>
      <c r="S46" s="860">
        <f t="shared" si="3"/>
        <v>0</v>
      </c>
      <c r="T46" s="860">
        <f>IF(G46=0,0,IF(AND(G46=2,'RMCV.PA'!$E$17="III"),30,40))</f>
        <v>0</v>
      </c>
      <c r="U46" s="860">
        <f>IF(J46=0,0,IF(AND(J46=3,'RMCV.PA'!$E$17="I"),20,15))</f>
        <v>0</v>
      </c>
      <c r="V46" s="860">
        <f>IF(K46=0,0,IF(AND(K46=3.5,'RMCV.PA'!$E$17="I"),20,15))</f>
        <v>0</v>
      </c>
      <c r="W46" s="860">
        <f t="shared" si="4"/>
        <v>0</v>
      </c>
      <c r="X46" s="860">
        <f t="shared" si="5"/>
        <v>0</v>
      </c>
      <c r="Y46" s="860" t="e">
        <f>IF('CG. MPA'!E47="CONCRETO",0,IF(N46/(D46*$P$25*L46)&gt;3/$P$25,N46/(D46*$P$25*L46),3/$P$25))</f>
        <v>#DIV/0!</v>
      </c>
      <c r="Z46" s="862" t="e">
        <f t="shared" si="6"/>
        <v>#VALUE!</v>
      </c>
      <c r="AA46" s="860" t="e">
        <f t="shared" si="7"/>
        <v>#VALUE!</v>
      </c>
      <c r="AB46" s="863" t="e">
        <f t="shared" si="8"/>
        <v>#VALUE!</v>
      </c>
      <c r="AC46" s="864" t="str">
        <f t="shared" si="2"/>
        <v xml:space="preserve"> </v>
      </c>
      <c r="AD46" s="865" t="str">
        <f>IF(O46="pasa"," ",IF('CG. MPA'!E47="CONCRETO","F/DISEÑO",IF(AC46&gt;M46,"PASA","NO PASA")))</f>
        <v xml:space="preserve"> </v>
      </c>
      <c r="AE46" s="992" t="e">
        <f>$AE$23/($AE$26*'RMCV.PA'!C47)</f>
        <v>#DIV/0!</v>
      </c>
      <c r="AF46" s="986" t="e">
        <f t="shared" si="9"/>
        <v>#DIV/0!</v>
      </c>
      <c r="AG46" s="986">
        <f>IF(12/$AF$25&gt;'RMCV.PA'!F47*0.3/$AF$25,'RMCV.PA'!F47*0.3/$AF$25,12/$AF$25)</f>
        <v>0</v>
      </c>
      <c r="AH46" s="987" t="e">
        <f t="shared" si="15"/>
        <v>#DIV/0!</v>
      </c>
      <c r="AI46" s="986">
        <f>IF(9/$AF$25&gt;'RMCV.PA'!F47*0.3/$AF$25,'RMCV.PA'!F47*0.3/$AF$25,9/$AF$25)</f>
        <v>0</v>
      </c>
      <c r="AJ46" s="988" t="e">
        <f t="shared" si="10"/>
        <v>#DIV/0!</v>
      </c>
      <c r="AK46" s="989" t="e">
        <f t="shared" si="11"/>
        <v>#DIV/0!</v>
      </c>
      <c r="AL46" s="990">
        <f t="shared" si="12"/>
        <v>0</v>
      </c>
      <c r="AM46" s="1002">
        <f t="shared" si="13"/>
        <v>0</v>
      </c>
      <c r="AN46" s="991" t="str">
        <f>IF(O46="PASA"," ",IF('CG. MPA'!E47="CONCRETO","F/DISEÑO",IF(AM46&gt;M46,"PASA","NO PASA")))</f>
        <v xml:space="preserve"> </v>
      </c>
      <c r="AO46" s="1110" t="e">
        <f t="shared" si="14"/>
        <v>#VALUE!</v>
      </c>
    </row>
    <row r="47" spans="1:55" ht="15.75" hidden="1" thickBot="1">
      <c r="A47" s="850">
        <f>'CG. MPA'!A48</f>
        <v>20</v>
      </c>
      <c r="B47" s="851">
        <f>'RMCV.PA'!N48/1.3</f>
        <v>0</v>
      </c>
      <c r="C47" s="851">
        <f t="shared" si="22"/>
        <v>0</v>
      </c>
      <c r="D47" s="852">
        <f>IF('CG. MPA'!D48="NO CONFINADO",0.4,0.7)</f>
        <v>0.7</v>
      </c>
      <c r="E47" s="852">
        <f>IF('CG. MPA'!E48="CONCRETO",0.5*(0.8*250)^0.5,F47+G47+J47+K47)</f>
        <v>0</v>
      </c>
      <c r="F47" s="852">
        <f>IF(AND('CG. MPA'!E48="TABIQUE",'CG. MPA'!F48="MACIZO"),IF('RMCV.PA'!$E$17="I",3.5,3),0)</f>
        <v>0</v>
      </c>
      <c r="G47" s="852">
        <f>IF(AND('CG. MPA'!E48="TABIQUE",'CG. MPA'!F48="HUECO"),IF('RMCV.PA'!$E$17="I",3,6.5),0)</f>
        <v>0</v>
      </c>
      <c r="H47" s="852">
        <f>IF('CG. MPA'!E48="ADOBE",0.3,0)</f>
        <v>0</v>
      </c>
      <c r="I47" s="852">
        <f>IF('CG. MPA'!E48="LIGERO",0.5,0)</f>
        <v>0</v>
      </c>
      <c r="J47" s="852">
        <f>IF(AND('CG. MPA'!E48="TABICON",'CG. MPA'!F48="MACIZO"),IF('RMCV.PA'!$E$17="I",3,2),0)</f>
        <v>0</v>
      </c>
      <c r="K47" s="852">
        <f>IF(AND('CG. MPA'!E48="TABICON",'CG. MPA'!F48="HUECO"),IF('RMCV.PA'!$E$17="I",3.5,2.5),0)</f>
        <v>0</v>
      </c>
      <c r="L47" s="853">
        <f>'RMCV.PA'!M48</f>
        <v>0</v>
      </c>
      <c r="M47" s="918">
        <f>ABS('ELEM. MECA.'!O25)</f>
        <v>0</v>
      </c>
      <c r="N47" s="957">
        <f t="shared" si="1"/>
        <v>0</v>
      </c>
      <c r="O47" s="854" t="str">
        <f>IF('CG. MPA'!E48="CONCRETO","F/DISEÑO",IF(M47&gt;N47,"NO PASA","PASA"))</f>
        <v>PASA</v>
      </c>
      <c r="P47" s="466" t="str">
        <f>IF(O47="pasa"," ",$P$24/('RMCV.PA'!C48*100))</f>
        <v xml:space="preserve"> </v>
      </c>
      <c r="Q47" s="861" t="str">
        <f>IF(O47="pasa"," ",IF('CG. MPA'!E48="CONCRETO","F/DISEÑO",IF(AND(X47&gt;P47,P47&gt;Y47),"BIEN","MAL")))</f>
        <v xml:space="preserve"> </v>
      </c>
      <c r="R47" s="860">
        <f>IF('CG. MPA'!F48="MACIZO",12/'RMCS.PA'!$P$25,9/'RMCS.PA'!$P$25)</f>
        <v>2.3999999999999998E-3</v>
      </c>
      <c r="S47" s="860">
        <f t="shared" si="3"/>
        <v>0</v>
      </c>
      <c r="T47" s="860">
        <f>IF(G47=0,0,IF(AND(G47=2,'RMCV.PA'!$E$17="III"),30,40))</f>
        <v>0</v>
      </c>
      <c r="U47" s="860">
        <f>IF(J47=0,0,IF(AND(J47=3,'RMCV.PA'!$E$17="I"),20,15))</f>
        <v>0</v>
      </c>
      <c r="V47" s="860">
        <f>IF(K47=0,0,IF(AND(K47=3.5,'RMCV.PA'!$E$17="I"),20,15))</f>
        <v>0</v>
      </c>
      <c r="W47" s="860">
        <f t="shared" si="4"/>
        <v>0</v>
      </c>
      <c r="X47" s="860">
        <f t="shared" si="5"/>
        <v>0</v>
      </c>
      <c r="Y47" s="860" t="e">
        <f>IF('CG. MPA'!E48="CONCRETO",0,IF(N47/(D47*$P$25*L47)&gt;3/$P$25,N47/(D47*$P$25*L47),3/$P$25))</f>
        <v>#DIV/0!</v>
      </c>
      <c r="Z47" s="862" t="e">
        <f t="shared" si="6"/>
        <v>#VALUE!</v>
      </c>
      <c r="AA47" s="860" t="e">
        <f t="shared" si="7"/>
        <v>#VALUE!</v>
      </c>
      <c r="AB47" s="863" t="e">
        <f t="shared" si="8"/>
        <v>#VALUE!</v>
      </c>
      <c r="AC47" s="864" t="str">
        <f t="shared" si="2"/>
        <v xml:space="preserve"> </v>
      </c>
      <c r="AD47" s="865" t="str">
        <f>IF(O47="pasa"," ",IF('CG. MPA'!E48="CONCRETO","F/DISEÑO",IF(AC47&gt;M47,"PASA","NO PASA")))</f>
        <v xml:space="preserve"> </v>
      </c>
      <c r="AE47" s="992" t="e">
        <f>$AE$23/($AE$26*'RMCV.PA'!C48)</f>
        <v>#DIV/0!</v>
      </c>
      <c r="AF47" s="986" t="e">
        <f t="shared" si="9"/>
        <v>#DIV/0!</v>
      </c>
      <c r="AG47" s="986">
        <f>IF(12/$AF$25&gt;'RMCV.PA'!F48*0.3/$AF$25,'RMCV.PA'!F48*0.3/$AF$25,12/$AF$25)</f>
        <v>0</v>
      </c>
      <c r="AH47" s="987" t="e">
        <f t="shared" si="15"/>
        <v>#DIV/0!</v>
      </c>
      <c r="AI47" s="986">
        <f>IF(9/$AF$25&gt;'RMCV.PA'!F48*0.3/$AF$25,'RMCV.PA'!F48*0.3/$AF$25,9/$AF$25)</f>
        <v>0</v>
      </c>
      <c r="AJ47" s="988" t="e">
        <f t="shared" si="10"/>
        <v>#DIV/0!</v>
      </c>
      <c r="AK47" s="989" t="e">
        <f t="shared" si="11"/>
        <v>#DIV/0!</v>
      </c>
      <c r="AL47" s="990">
        <f t="shared" si="12"/>
        <v>0</v>
      </c>
      <c r="AM47" s="1002">
        <f t="shared" si="13"/>
        <v>0</v>
      </c>
      <c r="AN47" s="991" t="str">
        <f>IF(O47="PASA"," ",IF('CG. MPA'!E48="CONCRETO","F/DISEÑO",IF(AM47&gt;M47,"PASA","NO PASA")))</f>
        <v xml:space="preserve"> </v>
      </c>
      <c r="AO47" s="1110" t="e">
        <f t="shared" si="14"/>
        <v>#VALUE!</v>
      </c>
    </row>
    <row r="48" spans="1:55" ht="15.75" hidden="1" thickBot="1">
      <c r="A48" s="850">
        <f>'CG. MPA'!A49</f>
        <v>21</v>
      </c>
      <c r="B48" s="851">
        <f>'RMCV.PA'!N49/1.3</f>
        <v>0</v>
      </c>
      <c r="C48" s="851">
        <f t="shared" ref="C48:C58" si="23">(0.3*B48)</f>
        <v>0</v>
      </c>
      <c r="D48" s="852">
        <f>IF('CG. MPA'!D49="NO CONFINADO",0.4,0.7)</f>
        <v>0.7</v>
      </c>
      <c r="E48" s="852">
        <f>IF('CG. MPA'!E49="CONCRETO",0.5*(0.8*250)^0.5,F48+G48+J48+K48)</f>
        <v>0</v>
      </c>
      <c r="F48" s="852">
        <f>IF(AND('CG. MPA'!E49="TABIQUE",'CG. MPA'!F49="MACIZO"),IF('RMCV.PA'!$E$17="I",3.5,3),0)</f>
        <v>0</v>
      </c>
      <c r="G48" s="852">
        <f>IF(AND('CG. MPA'!E49="TABIQUE",'CG. MPA'!F49="HUECO"),IF('RMCV.PA'!$E$17="I",3,6.5),0)</f>
        <v>0</v>
      </c>
      <c r="H48" s="852">
        <f>IF('CG. MPA'!E49="ADOBE",0.3,0)</f>
        <v>0</v>
      </c>
      <c r="I48" s="852">
        <f>IF('CG. MPA'!E49="LIGERO",0.5,0)</f>
        <v>0</v>
      </c>
      <c r="J48" s="852">
        <f>IF(AND('CG. MPA'!E49="TABICON",'CG. MPA'!F49="MACIZO"),IF('RMCV.PA'!$E$17="I",3,2),0)</f>
        <v>0</v>
      </c>
      <c r="K48" s="852">
        <f>IF(AND('CG. MPA'!E49="TABICON",'CG. MPA'!F49="HUECO"),IF('RMCV.PA'!$E$17="I",3.5,2.5),0)</f>
        <v>0</v>
      </c>
      <c r="L48" s="853">
        <f>'RMCV.PA'!M49</f>
        <v>0</v>
      </c>
      <c r="M48" s="918">
        <f>ABS('ELEM. MECA.'!O26)</f>
        <v>0</v>
      </c>
      <c r="N48" s="957">
        <f t="shared" ref="N48:N58" si="24">IF(((D48*E48*L48*0.5)+(D48*C48))&lt;(D48*E48*L48*1.5),((D48*E48*L48*0.5)+(D48*C48)),(D48*E48*L48*1.5))</f>
        <v>0</v>
      </c>
      <c r="O48" s="854" t="str">
        <f>IF('CG. MPA'!E49="CONCRETO","F/DISEÑO",IF(M48&gt;N48,"NO PASA","PASA"))</f>
        <v>PASA</v>
      </c>
      <c r="P48" s="466" t="str">
        <f>IF(O48="pasa"," ",$P$24/('RMCV.PA'!C49*100))</f>
        <v xml:space="preserve"> </v>
      </c>
      <c r="Q48" s="861" t="str">
        <f>IF(O48="pasa"," ",IF('CG. MPA'!E49="CONCRETO","F/DISEÑO",IF(AND(X48&gt;P48,P48&gt;Y48),"BIEN","MAL")))</f>
        <v xml:space="preserve"> </v>
      </c>
      <c r="R48" s="860">
        <f>IF('CG. MPA'!F49="MACIZO",12/'RMCS.PA'!$P$25,9/'RMCS.PA'!$P$25)</f>
        <v>2.3999999999999998E-3</v>
      </c>
      <c r="S48" s="860">
        <f t="shared" ref="S48:S58" si="25">IF(F48&gt;0,15,0)</f>
        <v>0</v>
      </c>
      <c r="T48" s="860">
        <f>IF(G48=0,0,IF(AND(G48=2,'RMCV.PA'!$E$17="III"),30,40))</f>
        <v>0</v>
      </c>
      <c r="U48" s="860">
        <f>IF(J48=0,0,IF(AND(J48=3,'RMCV.PA'!$E$17="I"),20,15))</f>
        <v>0</v>
      </c>
      <c r="V48" s="860">
        <f>IF(K48=0,0,IF(AND(K48=3.5,'RMCV.PA'!$E$17="I"),20,15))</f>
        <v>0</v>
      </c>
      <c r="W48" s="860">
        <f t="shared" ref="W48:W58" si="26">(S48+T48+U48+V48)*0.3/$P$25</f>
        <v>0</v>
      </c>
      <c r="X48" s="860">
        <f t="shared" ref="X48:X58" si="27">IF(R48&gt;W48,W48,R48)</f>
        <v>0</v>
      </c>
      <c r="Y48" s="860" t="e">
        <f>IF('CG. MPA'!E49="CONCRETO",0,IF(N48/(D48*$P$25*L48)&gt;3/$P$25,N48/(D48*$P$25*L48),3/$P$25))</f>
        <v>#DIV/0!</v>
      </c>
      <c r="Z48" s="862" t="e">
        <f t="shared" ref="Z48:Z58" si="28">P48*$P$25</f>
        <v>#VALUE!</v>
      </c>
      <c r="AA48" s="860" t="e">
        <f t="shared" ref="AA48:AA58" si="29">IF(6&gt;Z48,0.6,IF(Z48&gt;9,0.2,(0.4*(9-Z48)/3)+0.2))</f>
        <v>#VALUE!</v>
      </c>
      <c r="AB48" s="863" t="e">
        <f t="shared" ref="AB48:AB58" si="30">D48*AA48*P48*$P$25*L48</f>
        <v>#VALUE!</v>
      </c>
      <c r="AC48" s="864" t="str">
        <f t="shared" si="2"/>
        <v xml:space="preserve"> </v>
      </c>
      <c r="AD48" s="865" t="str">
        <f>IF(O48="pasa"," ",IF('CG. MPA'!E49="CONCRETO","F/DISEÑO",IF(AC48&gt;M48,"PASA","NO PASA")))</f>
        <v xml:space="preserve"> </v>
      </c>
      <c r="AE48" s="992"/>
      <c r="AF48" s="986"/>
      <c r="AG48" s="986"/>
      <c r="AH48" s="987"/>
      <c r="AI48" s="986"/>
      <c r="AJ48" s="988"/>
      <c r="AK48" s="989"/>
      <c r="AL48" s="990"/>
      <c r="AM48" s="1002"/>
      <c r="AN48" s="991"/>
      <c r="AO48" s="1110" t="e">
        <f t="shared" si="14"/>
        <v>#VALUE!</v>
      </c>
    </row>
    <row r="49" spans="1:41" ht="15.75" hidden="1" thickBot="1">
      <c r="A49" s="850">
        <f>'CG. MPA'!A50</f>
        <v>22</v>
      </c>
      <c r="B49" s="851">
        <f>'RMCV.PA'!N61/1.3</f>
        <v>0</v>
      </c>
      <c r="C49" s="851">
        <f t="shared" si="23"/>
        <v>0</v>
      </c>
      <c r="D49" s="852">
        <f>IF('CG. MPA'!D50="NO CONFINADO",0.4,0.7)</f>
        <v>0.7</v>
      </c>
      <c r="E49" s="852">
        <f>IF('CG. MPA'!E50="CONCRETO",0.5*(0.8*250)^0.5,F49+G49+J49+K49)</f>
        <v>0</v>
      </c>
      <c r="F49" s="852">
        <f>IF(AND('CG. MPA'!E50="TABIQUE",'CG. MPA'!F50="MACIZO"),IF('RMCV.PA'!$E$17="I",3.5,3),0)</f>
        <v>0</v>
      </c>
      <c r="G49" s="852">
        <f>IF(AND('CG. MPA'!E50="TABIQUE",'CG. MPA'!F50="HUECO"),IF('RMCV.PA'!$E$17="I",3,6.5),0)</f>
        <v>0</v>
      </c>
      <c r="H49" s="852">
        <f>IF('CG. MPA'!E50="ADOBE",0.3,0)</f>
        <v>0</v>
      </c>
      <c r="I49" s="852">
        <f>IF('CG. MPA'!E50="LIGERO",0.5,0)</f>
        <v>0</v>
      </c>
      <c r="J49" s="852">
        <f>IF(AND('CG. MPA'!E50="TABICON",'CG. MPA'!F50="MACIZO"),IF('RMCV.PA'!$E$17="I",3,2),0)</f>
        <v>0</v>
      </c>
      <c r="K49" s="852">
        <f>IF(AND('CG. MPA'!E50="TABICON",'CG. MPA'!F50="HUECO"),IF('RMCV.PA'!$E$17="I",3.5,2.5),0)</f>
        <v>0</v>
      </c>
      <c r="L49" s="853">
        <f>'RMCV.PA'!M50</f>
        <v>0</v>
      </c>
      <c r="M49" s="918">
        <f>ABS('ELEM. MECA.'!O27)</f>
        <v>0</v>
      </c>
      <c r="N49" s="957">
        <f t="shared" si="24"/>
        <v>0</v>
      </c>
      <c r="O49" s="854" t="str">
        <f>IF('CG. MPA'!E50="CONCRETO","F/DISEÑO",IF(M49&gt;N49,"NO PASA","PASA"))</f>
        <v>PASA</v>
      </c>
      <c r="P49" s="466" t="str">
        <f>IF(O49="pasa"," ",$P$24/('RMCV.PA'!C61*100))</f>
        <v xml:space="preserve"> </v>
      </c>
      <c r="Q49" s="861" t="str">
        <f>IF(O49="pasa"," ",IF('CG. MPA'!E50="CONCRETO","F/DISEÑO",IF(AND(X49&gt;P49,P49&gt;Y49),"BIEN","MAL")))</f>
        <v xml:space="preserve"> </v>
      </c>
      <c r="R49" s="860">
        <f>IF('CG. MPA'!F50="MACIZO",12/'RMCS.PA'!$P$25,9/'RMCS.PA'!$P$25)</f>
        <v>2.3999999999999998E-3</v>
      </c>
      <c r="S49" s="860">
        <f t="shared" si="25"/>
        <v>0</v>
      </c>
      <c r="T49" s="860">
        <f>IF(G49=0,0,IF(AND(G49=2,'RMCV.PA'!$E$17="III"),30,40))</f>
        <v>0</v>
      </c>
      <c r="U49" s="860">
        <f>IF(J49=0,0,IF(AND(J49=3,'RMCV.PA'!$E$17="I"),20,15))</f>
        <v>0</v>
      </c>
      <c r="V49" s="860">
        <f>IF(K49=0,0,IF(AND(K49=3.5,'RMCV.PA'!$E$17="I"),20,15))</f>
        <v>0</v>
      </c>
      <c r="W49" s="860">
        <f t="shared" si="26"/>
        <v>0</v>
      </c>
      <c r="X49" s="860">
        <f t="shared" si="27"/>
        <v>0</v>
      </c>
      <c r="Y49" s="860" t="e">
        <f>IF('CG. MPA'!E50="CONCRETO",0,IF(N49/(D49*$P$25*L49)&gt;3/$P$25,N49/(D49*$P$25*L49),3/$P$25))</f>
        <v>#DIV/0!</v>
      </c>
      <c r="Z49" s="862" t="e">
        <f t="shared" si="28"/>
        <v>#VALUE!</v>
      </c>
      <c r="AA49" s="860" t="e">
        <f t="shared" si="29"/>
        <v>#VALUE!</v>
      </c>
      <c r="AB49" s="863" t="e">
        <f t="shared" si="30"/>
        <v>#VALUE!</v>
      </c>
      <c r="AC49" s="864" t="str">
        <f t="shared" si="2"/>
        <v xml:space="preserve"> </v>
      </c>
      <c r="AD49" s="865" t="str">
        <f>IF(O49="pasa"," ",IF('CG. MPA'!E50="CONCRETO","F/DISEÑO",IF(AC49&gt;M49,"PASA","NO PASA")))</f>
        <v xml:space="preserve"> </v>
      </c>
      <c r="AE49" s="992"/>
      <c r="AF49" s="986"/>
      <c r="AG49" s="986"/>
      <c r="AH49" s="987"/>
      <c r="AI49" s="986"/>
      <c r="AJ49" s="988"/>
      <c r="AK49" s="989"/>
      <c r="AL49" s="990"/>
      <c r="AM49" s="1002"/>
      <c r="AN49" s="991"/>
      <c r="AO49" s="1110" t="e">
        <f t="shared" si="14"/>
        <v>#VALUE!</v>
      </c>
    </row>
    <row r="50" spans="1:41" ht="15.75" hidden="1" thickBot="1">
      <c r="A50" s="850">
        <f>'CG. MPA'!A51</f>
        <v>23</v>
      </c>
      <c r="B50" s="851">
        <f>'RMCV.PA'!N62/1.3</f>
        <v>0</v>
      </c>
      <c r="C50" s="851">
        <f t="shared" si="23"/>
        <v>0</v>
      </c>
      <c r="D50" s="852">
        <f>IF('CG. MPA'!D51="NO CONFINADO",0.4,0.7)</f>
        <v>0.7</v>
      </c>
      <c r="E50" s="852">
        <f>IF('CG. MPA'!E51="CONCRETO",0.5*(0.8*250)^0.5,F50+G50+J50+K50)</f>
        <v>0</v>
      </c>
      <c r="F50" s="852">
        <f>IF(AND('CG. MPA'!E51="TABIQUE",'CG. MPA'!F51="MACIZO"),IF('RMCV.PA'!$E$17="I",3.5,3),0)</f>
        <v>0</v>
      </c>
      <c r="G50" s="852">
        <f>IF(AND('CG. MPA'!E51="TABIQUE",'CG. MPA'!F51="HUECO"),IF('RMCV.PA'!$E$17="I",3,6.5),0)</f>
        <v>0</v>
      </c>
      <c r="H50" s="852">
        <f>IF('CG. MPA'!E51="ADOBE",0.3,0)</f>
        <v>0</v>
      </c>
      <c r="I50" s="852">
        <f>IF('CG. MPA'!E51="LIGERO",0.5,0)</f>
        <v>0</v>
      </c>
      <c r="J50" s="852">
        <f>IF(AND('CG. MPA'!E51="TABICON",'CG. MPA'!F51="MACIZO"),IF('RMCV.PA'!$E$17="I",3,2),0)</f>
        <v>0</v>
      </c>
      <c r="K50" s="852">
        <f>IF(AND('CG. MPA'!E51="TABICON",'CG. MPA'!F51="HUECO"),IF('RMCV.PA'!$E$17="I",3.5,2.5),0)</f>
        <v>0</v>
      </c>
      <c r="L50" s="853">
        <f>'RMCV.PA'!M62</f>
        <v>0</v>
      </c>
      <c r="M50" s="918">
        <f>ABS('ELEM. MECA.'!O28)</f>
        <v>0</v>
      </c>
      <c r="N50" s="957">
        <f t="shared" si="24"/>
        <v>0</v>
      </c>
      <c r="O50" s="854" t="str">
        <f>IF('CG. MPA'!E51="CONCRETO","F/DISEÑO",IF(M50&gt;N50,"NO PASA","PASA"))</f>
        <v>PASA</v>
      </c>
      <c r="P50" s="466" t="str">
        <f>IF(O50="pasa"," ",$P$24/('RMCV.PA'!C62*100))</f>
        <v xml:space="preserve"> </v>
      </c>
      <c r="Q50" s="861" t="str">
        <f>IF(O50="pasa"," ",IF('CG. MPA'!E51="CONCRETO","F/DISEÑO",IF(AND(X50&gt;P50,P50&gt;Y50),"BIEN","MAL")))</f>
        <v xml:space="preserve"> </v>
      </c>
      <c r="R50" s="860">
        <f>IF('CG. MPA'!F51="MACIZO",12/'RMCS.PA'!$P$25,9/'RMCS.PA'!$P$25)</f>
        <v>2.3999999999999998E-3</v>
      </c>
      <c r="S50" s="860">
        <f t="shared" si="25"/>
        <v>0</v>
      </c>
      <c r="T50" s="860">
        <f>IF(G50=0,0,IF(AND(G50=2,'RMCV.PA'!$E$17="III"),30,40))</f>
        <v>0</v>
      </c>
      <c r="U50" s="860">
        <f>IF(J50=0,0,IF(AND(J50=3,'RMCV.PA'!$E$17="I"),20,15))</f>
        <v>0</v>
      </c>
      <c r="V50" s="860">
        <f>IF(K50=0,0,IF(AND(K50=3.5,'RMCV.PA'!$E$17="I"),20,15))</f>
        <v>0</v>
      </c>
      <c r="W50" s="860">
        <f t="shared" si="26"/>
        <v>0</v>
      </c>
      <c r="X50" s="860">
        <f t="shared" si="27"/>
        <v>0</v>
      </c>
      <c r="Y50" s="860" t="e">
        <f>IF('CG. MPA'!E51="CONCRETO",0,IF(N50/(D50*$P$25*L50)&gt;3/$P$25,N50/(D50*$P$25*L50),3/$P$25))</f>
        <v>#DIV/0!</v>
      </c>
      <c r="Z50" s="862" t="e">
        <f t="shared" si="28"/>
        <v>#VALUE!</v>
      </c>
      <c r="AA50" s="860" t="e">
        <f t="shared" si="29"/>
        <v>#VALUE!</v>
      </c>
      <c r="AB50" s="863" t="e">
        <f t="shared" si="30"/>
        <v>#VALUE!</v>
      </c>
      <c r="AC50" s="864" t="str">
        <f t="shared" si="2"/>
        <v xml:space="preserve"> </v>
      </c>
      <c r="AD50" s="865" t="str">
        <f>IF(O50="pasa"," ",IF('CG. MPA'!E51="CONCRETO","F/DISEÑO",IF(AC50&gt;M50,"PASA","NO PASA")))</f>
        <v xml:space="preserve"> </v>
      </c>
      <c r="AE50" s="992"/>
      <c r="AF50" s="986"/>
      <c r="AG50" s="986"/>
      <c r="AH50" s="987"/>
      <c r="AI50" s="986"/>
      <c r="AJ50" s="988"/>
      <c r="AK50" s="989"/>
      <c r="AL50" s="990"/>
      <c r="AM50" s="1002"/>
      <c r="AN50" s="991"/>
      <c r="AO50" s="1110" t="e">
        <f t="shared" si="14"/>
        <v>#VALUE!</v>
      </c>
    </row>
    <row r="51" spans="1:41" ht="15.75" hidden="1" thickBot="1">
      <c r="A51" s="850">
        <f>'CG. MPA'!A52</f>
        <v>24</v>
      </c>
      <c r="B51" s="851">
        <f>'RMCV.PA'!N63/1.3</f>
        <v>0</v>
      </c>
      <c r="C51" s="851">
        <f t="shared" si="23"/>
        <v>0</v>
      </c>
      <c r="D51" s="852">
        <f>IF('CG. MPA'!D52="NO CONFINADO",0.4,0.7)</f>
        <v>0.7</v>
      </c>
      <c r="E51" s="852">
        <f>IF('CG. MPA'!E52="CONCRETO",0.5*(0.8*250)^0.5,F51+G51+J51+K51)</f>
        <v>0</v>
      </c>
      <c r="F51" s="852">
        <f>IF(AND('CG. MPA'!E52="TABIQUE",'CG. MPA'!F52="MACIZO"),IF('RMCV.PA'!$E$17="I",3.5,3),0)</f>
        <v>0</v>
      </c>
      <c r="G51" s="852">
        <f>IF(AND('CG. MPA'!E52="TABIQUE",'CG. MPA'!F52="HUECO"),IF('RMCV.PA'!$E$17="I",3,6.5),0)</f>
        <v>0</v>
      </c>
      <c r="H51" s="852">
        <f>IF('CG. MPA'!E52="ADOBE",0.3,0)</f>
        <v>0</v>
      </c>
      <c r="I51" s="852">
        <f>IF('CG. MPA'!E52="LIGERO",0.5,0)</f>
        <v>0</v>
      </c>
      <c r="J51" s="852">
        <f>IF(AND('CG. MPA'!E52="TABICON",'CG. MPA'!F52="MACIZO"),IF('RMCV.PA'!$E$17="I",3,2),0)</f>
        <v>0</v>
      </c>
      <c r="K51" s="852">
        <f>IF(AND('CG. MPA'!E52="TABICON",'CG. MPA'!F52="HUECO"),IF('RMCV.PA'!$E$17="I",3.5,2.5),0)</f>
        <v>0</v>
      </c>
      <c r="L51" s="853">
        <f>'RMCV.PA'!M63</f>
        <v>0</v>
      </c>
      <c r="M51" s="918">
        <f>ABS('ELEM. MECA.'!O29)</f>
        <v>0</v>
      </c>
      <c r="N51" s="957">
        <f t="shared" si="24"/>
        <v>0</v>
      </c>
      <c r="O51" s="854" t="str">
        <f>IF('CG. MPA'!E52="CONCRETO","F/DISEÑO",IF(M51&gt;N51,"NO PASA","PASA"))</f>
        <v>PASA</v>
      </c>
      <c r="P51" s="466" t="str">
        <f>IF(O51="pasa"," ",$P$24/('RMCV.PA'!C63*100))</f>
        <v xml:space="preserve"> </v>
      </c>
      <c r="Q51" s="861" t="str">
        <f>IF(O51="pasa"," ",IF('CG. MPA'!E52="CONCRETO","F/DISEÑO",IF(AND(X51&gt;P51,P51&gt;Y51),"BIEN","MAL")))</f>
        <v xml:space="preserve"> </v>
      </c>
      <c r="R51" s="860">
        <f>IF('CG. MPA'!F52="MACIZO",12/'RMCS.PA'!$P$25,9/'RMCS.PA'!$P$25)</f>
        <v>2.3999999999999998E-3</v>
      </c>
      <c r="S51" s="860">
        <f t="shared" si="25"/>
        <v>0</v>
      </c>
      <c r="T51" s="860">
        <f>IF(G51=0,0,IF(AND(G51=2,'RMCV.PA'!$E$17="III"),30,40))</f>
        <v>0</v>
      </c>
      <c r="U51" s="860">
        <f>IF(J51=0,0,IF(AND(J51=3,'RMCV.PA'!$E$17="I"),20,15))</f>
        <v>0</v>
      </c>
      <c r="V51" s="860">
        <f>IF(K51=0,0,IF(AND(K51=3.5,'RMCV.PA'!$E$17="I"),20,15))</f>
        <v>0</v>
      </c>
      <c r="W51" s="860">
        <f t="shared" si="26"/>
        <v>0</v>
      </c>
      <c r="X51" s="860">
        <f t="shared" si="27"/>
        <v>0</v>
      </c>
      <c r="Y51" s="860" t="e">
        <f>IF('CG. MPA'!E52="CONCRETO",0,IF(N51/(D51*$P$25*L51)&gt;3/$P$25,N51/(D51*$P$25*L51),3/$P$25))</f>
        <v>#DIV/0!</v>
      </c>
      <c r="Z51" s="862" t="e">
        <f t="shared" si="28"/>
        <v>#VALUE!</v>
      </c>
      <c r="AA51" s="860" t="e">
        <f t="shared" si="29"/>
        <v>#VALUE!</v>
      </c>
      <c r="AB51" s="863" t="e">
        <f t="shared" si="30"/>
        <v>#VALUE!</v>
      </c>
      <c r="AC51" s="864" t="str">
        <f t="shared" si="2"/>
        <v xml:space="preserve"> </v>
      </c>
      <c r="AD51" s="865" t="str">
        <f>IF(O51="pasa"," ",IF('CG. MPA'!E52="CONCRETO","F/DISEÑO",IF(AC51&gt;M51,"PASA","NO PASA")))</f>
        <v xml:space="preserve"> </v>
      </c>
      <c r="AE51" s="992"/>
      <c r="AF51" s="986"/>
      <c r="AG51" s="986"/>
      <c r="AH51" s="987"/>
      <c r="AI51" s="986"/>
      <c r="AJ51" s="988"/>
      <c r="AK51" s="989"/>
      <c r="AL51" s="990"/>
      <c r="AM51" s="1002"/>
      <c r="AN51" s="991"/>
      <c r="AO51" s="1110" t="e">
        <f t="shared" si="14"/>
        <v>#VALUE!</v>
      </c>
    </row>
    <row r="52" spans="1:41" ht="15.75" hidden="1" thickBot="1">
      <c r="A52" s="850">
        <f>'CG. MPA'!A53</f>
        <v>25</v>
      </c>
      <c r="B52" s="851">
        <f>'RMCV.PA'!N64/1.3</f>
        <v>0</v>
      </c>
      <c r="C52" s="851">
        <f t="shared" si="23"/>
        <v>0</v>
      </c>
      <c r="D52" s="852">
        <f>IF('CG. MPA'!D53="NO CONFINADO",0.4,0.7)</f>
        <v>0.7</v>
      </c>
      <c r="E52" s="852">
        <f>IF('CG. MPA'!E53="CONCRETO",0.5*(0.8*250)^0.5,F52+G52+J52+K52)</f>
        <v>0</v>
      </c>
      <c r="F52" s="852">
        <f>IF(AND('CG. MPA'!E53="TABIQUE",'CG. MPA'!F53="MACIZO"),IF('RMCV.PA'!$E$17="I",3.5,3),0)</f>
        <v>0</v>
      </c>
      <c r="G52" s="852">
        <f>IF(AND('CG. MPA'!E53="TABIQUE",'CG. MPA'!F53="HUECO"),IF('RMCV.PA'!$E$17="I",3,6.5),0)</f>
        <v>0</v>
      </c>
      <c r="H52" s="852">
        <f>IF('CG. MPA'!E53="ADOBE",0.3,0)</f>
        <v>0</v>
      </c>
      <c r="I52" s="852">
        <f>IF('CG. MPA'!E53="LIGERO",0.5,0)</f>
        <v>0</v>
      </c>
      <c r="J52" s="852">
        <f>IF(AND('CG. MPA'!E53="TABICON",'CG. MPA'!F53="MACIZO"),IF('RMCV.PA'!$E$17="I",3,2),0)</f>
        <v>0</v>
      </c>
      <c r="K52" s="852">
        <f>IF(AND('CG. MPA'!E53="TABICON",'CG. MPA'!F53="HUECO"),IF('RMCV.PA'!$E$17="I",3.5,2.5),0)</f>
        <v>0</v>
      </c>
      <c r="L52" s="853">
        <f>'RMCV.PA'!M64</f>
        <v>0</v>
      </c>
      <c r="M52" s="918">
        <f>ABS('ELEM. MECA.'!O30)</f>
        <v>0</v>
      </c>
      <c r="N52" s="957">
        <f t="shared" si="24"/>
        <v>0</v>
      </c>
      <c r="O52" s="854" t="str">
        <f>IF('CG. MPA'!E53="CONCRETO","F/DISEÑO",IF(M52&gt;N52,"NO PASA","PASA"))</f>
        <v>PASA</v>
      </c>
      <c r="P52" s="466" t="str">
        <f>IF(O52="pasa"," ",$P$24/('RMCV.PA'!C64*100))</f>
        <v xml:space="preserve"> </v>
      </c>
      <c r="Q52" s="861" t="str">
        <f>IF(O52="pasa"," ",IF('CG. MPA'!E53="CONCRETO","F/DISEÑO",IF(AND(X52&gt;P52,P52&gt;Y52),"BIEN","MAL")))</f>
        <v xml:space="preserve"> </v>
      </c>
      <c r="R52" s="860">
        <f>IF('CG. MPA'!F53="MACIZO",12/'RMCS.PA'!$P$25,9/'RMCS.PA'!$P$25)</f>
        <v>2.3999999999999998E-3</v>
      </c>
      <c r="S52" s="860">
        <f t="shared" si="25"/>
        <v>0</v>
      </c>
      <c r="T52" s="860">
        <f>IF(G52=0,0,IF(AND(G52=2,'RMCV.PA'!$E$17="III"),30,40))</f>
        <v>0</v>
      </c>
      <c r="U52" s="860">
        <f>IF(J52=0,0,IF(AND(J52=3,'RMCV.PA'!$E$17="I"),20,15))</f>
        <v>0</v>
      </c>
      <c r="V52" s="860">
        <f>IF(K52=0,0,IF(AND(K52=3.5,'RMCV.PA'!$E$17="I"),20,15))</f>
        <v>0</v>
      </c>
      <c r="W52" s="860">
        <f t="shared" si="26"/>
        <v>0</v>
      </c>
      <c r="X52" s="860">
        <f t="shared" si="27"/>
        <v>0</v>
      </c>
      <c r="Y52" s="860" t="e">
        <f>IF('CG. MPA'!E53="CONCRETO",0,IF(N52/(D52*$P$25*L52)&gt;3/$P$25,N52/(D52*$P$25*L52),3/$P$25))</f>
        <v>#DIV/0!</v>
      </c>
      <c r="Z52" s="862" t="e">
        <f t="shared" si="28"/>
        <v>#VALUE!</v>
      </c>
      <c r="AA52" s="860" t="e">
        <f t="shared" si="29"/>
        <v>#VALUE!</v>
      </c>
      <c r="AB52" s="863" t="e">
        <f t="shared" si="30"/>
        <v>#VALUE!</v>
      </c>
      <c r="AC52" s="864" t="str">
        <f t="shared" si="2"/>
        <v xml:space="preserve"> </v>
      </c>
      <c r="AD52" s="865" t="str">
        <f>IF(O52="pasa"," ",IF('CG. MPA'!E53="CONCRETO","F/DISEÑO",IF(AC52&gt;M52,"PASA","NO PASA")))</f>
        <v xml:space="preserve"> </v>
      </c>
      <c r="AE52" s="992"/>
      <c r="AF52" s="986"/>
      <c r="AG52" s="986"/>
      <c r="AH52" s="987"/>
      <c r="AI52" s="986"/>
      <c r="AJ52" s="988"/>
      <c r="AK52" s="989"/>
      <c r="AL52" s="990"/>
      <c r="AM52" s="1002"/>
      <c r="AN52" s="991"/>
      <c r="AO52" s="1110" t="e">
        <f t="shared" si="14"/>
        <v>#VALUE!</v>
      </c>
    </row>
    <row r="53" spans="1:41" ht="15.75" hidden="1" thickBot="1">
      <c r="A53" s="850">
        <f>'CG. MPA'!A54</f>
        <v>26</v>
      </c>
      <c r="B53" s="851">
        <f>'RMCV.PA'!N65/1.3</f>
        <v>0</v>
      </c>
      <c r="C53" s="851">
        <f t="shared" si="23"/>
        <v>0</v>
      </c>
      <c r="D53" s="852">
        <f>IF('CG. MPA'!D54="NO CONFINADO",0.4,0.7)</f>
        <v>0.7</v>
      </c>
      <c r="E53" s="852">
        <f>IF('CG. MPA'!E54="CONCRETO",0.5*(0.8*250)^0.5,F53+G53+J53+K53)</f>
        <v>0</v>
      </c>
      <c r="F53" s="852">
        <f>IF(AND('CG. MPA'!E54="TABIQUE",'CG. MPA'!F54="MACIZO"),IF('RMCV.PA'!$E$17="I",3.5,3),0)</f>
        <v>0</v>
      </c>
      <c r="G53" s="852">
        <f>IF(AND('CG. MPA'!E54="TABIQUE",'CG. MPA'!F54="HUECO"),IF('RMCV.PA'!$E$17="I",3,6.5),0)</f>
        <v>0</v>
      </c>
      <c r="H53" s="852">
        <f>IF('CG. MPA'!E54="ADOBE",0.3,0)</f>
        <v>0</v>
      </c>
      <c r="I53" s="852">
        <f>IF('CG. MPA'!E54="LIGERO",0.5,0)</f>
        <v>0</v>
      </c>
      <c r="J53" s="852">
        <f>IF(AND('CG. MPA'!E54="TABICON",'CG. MPA'!F54="MACIZO"),IF('RMCV.PA'!$E$17="I",3,2),0)</f>
        <v>0</v>
      </c>
      <c r="K53" s="852">
        <f>IF(AND('CG. MPA'!E54="TABICON",'CG. MPA'!F54="HUECO"),IF('RMCV.PA'!$E$17="I",3.5,2.5),0)</f>
        <v>0</v>
      </c>
      <c r="L53" s="853">
        <f>'RMCV.PA'!M65</f>
        <v>0</v>
      </c>
      <c r="M53" s="918">
        <f>ABS('ELEM. MECA.'!O31)</f>
        <v>0</v>
      </c>
      <c r="N53" s="957">
        <f t="shared" si="24"/>
        <v>0</v>
      </c>
      <c r="O53" s="854" t="str">
        <f>IF('CG. MPA'!E54="CONCRETO","F/DISEÑO",IF(M53&gt;N53,"NO PASA","PASA"))</f>
        <v>PASA</v>
      </c>
      <c r="P53" s="466" t="str">
        <f>IF(O53="pasa"," ",$P$24/('RMCV.PA'!C65*100))</f>
        <v xml:space="preserve"> </v>
      </c>
      <c r="Q53" s="861" t="str">
        <f>IF(O53="pasa"," ",IF('CG. MPA'!E54="CONCRETO","F/DISEÑO",IF(AND(X53&gt;P53,P53&gt;Y53),"BIEN","MAL")))</f>
        <v xml:space="preserve"> </v>
      </c>
      <c r="R53" s="860">
        <f>IF('CG. MPA'!F54="MACIZO",12/'RMCS.PA'!$P$25,9/'RMCS.PA'!$P$25)</f>
        <v>2.3999999999999998E-3</v>
      </c>
      <c r="S53" s="860">
        <f t="shared" si="25"/>
        <v>0</v>
      </c>
      <c r="T53" s="860">
        <f>IF(G53=0,0,IF(AND(G53=2,'RMCV.PA'!$E$17="III"),30,40))</f>
        <v>0</v>
      </c>
      <c r="U53" s="860">
        <f>IF(J53=0,0,IF(AND(J53=3,'RMCV.PA'!$E$17="I"),20,15))</f>
        <v>0</v>
      </c>
      <c r="V53" s="860">
        <f>IF(K53=0,0,IF(AND(K53=3.5,'RMCV.PA'!$E$17="I"),20,15))</f>
        <v>0</v>
      </c>
      <c r="W53" s="860">
        <f t="shared" si="26"/>
        <v>0</v>
      </c>
      <c r="X53" s="860">
        <f t="shared" si="27"/>
        <v>0</v>
      </c>
      <c r="Y53" s="860" t="e">
        <f>IF('CG. MPA'!E54="CONCRETO",0,IF(N53/(D53*$P$25*L53)&gt;3/$P$25,N53/(D53*$P$25*L53),3/$P$25))</f>
        <v>#DIV/0!</v>
      </c>
      <c r="Z53" s="862" t="e">
        <f t="shared" si="28"/>
        <v>#VALUE!</v>
      </c>
      <c r="AA53" s="860" t="e">
        <f t="shared" si="29"/>
        <v>#VALUE!</v>
      </c>
      <c r="AB53" s="863" t="e">
        <f t="shared" si="30"/>
        <v>#VALUE!</v>
      </c>
      <c r="AC53" s="864" t="str">
        <f t="shared" si="2"/>
        <v xml:space="preserve"> </v>
      </c>
      <c r="AD53" s="865" t="str">
        <f>IF(O53="pasa"," ",IF('CG. MPA'!E54="CONCRETO","F/DISEÑO",IF(AC53&gt;M53,"PASA","NO PASA")))</f>
        <v xml:space="preserve"> </v>
      </c>
      <c r="AE53" s="992"/>
      <c r="AF53" s="986"/>
      <c r="AG53" s="986"/>
      <c r="AH53" s="987"/>
      <c r="AI53" s="986"/>
      <c r="AJ53" s="988"/>
      <c r="AK53" s="989"/>
      <c r="AL53" s="990"/>
      <c r="AM53" s="1002"/>
      <c r="AN53" s="991"/>
      <c r="AO53" s="1110" t="e">
        <f t="shared" si="14"/>
        <v>#VALUE!</v>
      </c>
    </row>
    <row r="54" spans="1:41" ht="15.75" hidden="1" thickBot="1">
      <c r="A54" s="850">
        <f>'CG. MPA'!A55</f>
        <v>27</v>
      </c>
      <c r="B54" s="851">
        <f>'RMCV.PA'!N66/1.3</f>
        <v>0</v>
      </c>
      <c r="C54" s="851">
        <f t="shared" si="23"/>
        <v>0</v>
      </c>
      <c r="D54" s="852">
        <f>IF('CG. MPA'!D55="NO CONFINADO",0.4,0.7)</f>
        <v>0.7</v>
      </c>
      <c r="E54" s="852">
        <f>IF('CG. MPA'!E55="CONCRETO",0.5*(0.8*250)^0.5,F54+G54+J54+K54)</f>
        <v>0</v>
      </c>
      <c r="F54" s="852">
        <f>IF(AND('CG. MPA'!E55="TABIQUE",'CG. MPA'!F55="MACIZO"),IF('RMCV.PA'!$E$17="I",3.5,3),0)</f>
        <v>0</v>
      </c>
      <c r="G54" s="852">
        <f>IF(AND('CG. MPA'!E55="TABIQUE",'CG. MPA'!F55="HUECO"),IF('RMCV.PA'!$E$17="I",3,6.5),0)</f>
        <v>0</v>
      </c>
      <c r="H54" s="852">
        <f>IF('CG. MPA'!E55="ADOBE",0.3,0)</f>
        <v>0</v>
      </c>
      <c r="I54" s="852">
        <f>IF('CG. MPA'!E55="LIGERO",0.5,0)</f>
        <v>0</v>
      </c>
      <c r="J54" s="852">
        <f>IF(AND('CG. MPA'!E55="TABICON",'CG. MPA'!F55="MACIZO"),IF('RMCV.PA'!$E$17="I",3,2),0)</f>
        <v>0</v>
      </c>
      <c r="K54" s="852">
        <f>IF(AND('CG. MPA'!E55="TABICON",'CG. MPA'!F55="HUECO"),IF('RMCV.PA'!$E$17="I",3.5,2.5),0)</f>
        <v>0</v>
      </c>
      <c r="L54" s="853">
        <f>'RMCV.PA'!M66</f>
        <v>0</v>
      </c>
      <c r="M54" s="918">
        <f>ABS('ELEM. MECA.'!O32)</f>
        <v>0</v>
      </c>
      <c r="N54" s="957">
        <f t="shared" si="24"/>
        <v>0</v>
      </c>
      <c r="O54" s="854" t="str">
        <f>IF('CG. MPA'!E55="CONCRETO","F/DISEÑO",IF(M54&gt;N54,"NO PASA","PASA"))</f>
        <v>PASA</v>
      </c>
      <c r="P54" s="466" t="str">
        <f>IF(O54="pasa"," ",$P$24/('RMCV.PA'!C66*100))</f>
        <v xml:space="preserve"> </v>
      </c>
      <c r="Q54" s="861" t="str">
        <f>IF(O54="pasa"," ",IF('CG. MPA'!E55="CONCRETO","F/DISEÑO",IF(AND(X54&gt;P54,P54&gt;Y54),"BIEN","MAL")))</f>
        <v xml:space="preserve"> </v>
      </c>
      <c r="R54" s="860">
        <f>IF('CG. MPA'!F55="MACIZO",12/'RMCS.PA'!$P$25,9/'RMCS.PA'!$P$25)</f>
        <v>2.3999999999999998E-3</v>
      </c>
      <c r="S54" s="860">
        <f t="shared" si="25"/>
        <v>0</v>
      </c>
      <c r="T54" s="860">
        <f>IF(G54=0,0,IF(AND(G54=2,'RMCV.PA'!$E$17="III"),30,40))</f>
        <v>0</v>
      </c>
      <c r="U54" s="860">
        <f>IF(J54=0,0,IF(AND(J54=3,'RMCV.PA'!$E$17="I"),20,15))</f>
        <v>0</v>
      </c>
      <c r="V54" s="860">
        <f>IF(K54=0,0,IF(AND(K54=3.5,'RMCV.PA'!$E$17="I"),20,15))</f>
        <v>0</v>
      </c>
      <c r="W54" s="860">
        <f t="shared" si="26"/>
        <v>0</v>
      </c>
      <c r="X54" s="860">
        <f t="shared" si="27"/>
        <v>0</v>
      </c>
      <c r="Y54" s="860" t="e">
        <f>IF('CG. MPA'!E55="CONCRETO",0,IF(N54/(D54*$P$25*L54)&gt;3/$P$25,N54/(D54*$P$25*L54),3/$P$25))</f>
        <v>#DIV/0!</v>
      </c>
      <c r="Z54" s="862" t="e">
        <f t="shared" si="28"/>
        <v>#VALUE!</v>
      </c>
      <c r="AA54" s="860" t="e">
        <f t="shared" si="29"/>
        <v>#VALUE!</v>
      </c>
      <c r="AB54" s="863" t="e">
        <f t="shared" si="30"/>
        <v>#VALUE!</v>
      </c>
      <c r="AC54" s="864" t="str">
        <f t="shared" si="2"/>
        <v xml:space="preserve"> </v>
      </c>
      <c r="AD54" s="865" t="str">
        <f>IF(O54="pasa"," ",IF('CG. MPA'!E55="CONCRETO","F/DISEÑO",IF(AC54&gt;M54,"PASA","NO PASA")))</f>
        <v xml:space="preserve"> </v>
      </c>
      <c r="AE54" s="992"/>
      <c r="AF54" s="986"/>
      <c r="AG54" s="986"/>
      <c r="AH54" s="987"/>
      <c r="AI54" s="986"/>
      <c r="AJ54" s="988"/>
      <c r="AK54" s="989"/>
      <c r="AL54" s="990"/>
      <c r="AM54" s="1002"/>
      <c r="AN54" s="991"/>
      <c r="AO54" s="1110" t="e">
        <f t="shared" si="14"/>
        <v>#VALUE!</v>
      </c>
    </row>
    <row r="55" spans="1:41" ht="15.75" hidden="1" thickBot="1">
      <c r="A55" s="850">
        <f>'CG. MPA'!A56</f>
        <v>28</v>
      </c>
      <c r="B55" s="851">
        <f>'RMCV.PA'!N67/1.3</f>
        <v>0</v>
      </c>
      <c r="C55" s="851">
        <f t="shared" si="23"/>
        <v>0</v>
      </c>
      <c r="D55" s="852">
        <f>IF('CG. MPA'!D56="NO CONFINADO",0.4,0.7)</f>
        <v>0.7</v>
      </c>
      <c r="E55" s="852">
        <f>IF('CG. MPA'!E56="CONCRETO",0.5*(0.8*250)^0.5,F55+G55+J55+K55)</f>
        <v>0</v>
      </c>
      <c r="F55" s="852">
        <f>IF(AND('CG. MPA'!E56="TABIQUE",'CG. MPA'!F56="MACIZO"),IF('RMCV.PA'!$E$17="I",3.5,3),0)</f>
        <v>0</v>
      </c>
      <c r="G55" s="852">
        <f>IF(AND('CG. MPA'!E56="TABIQUE",'CG. MPA'!F56="HUECO"),IF('RMCV.PA'!$E$17="I",3,6.5),0)</f>
        <v>0</v>
      </c>
      <c r="H55" s="852">
        <f>IF('CG. MPA'!E56="ADOBE",0.3,0)</f>
        <v>0</v>
      </c>
      <c r="I55" s="852">
        <f>IF('CG. MPA'!E56="LIGERO",0.5,0)</f>
        <v>0</v>
      </c>
      <c r="J55" s="852">
        <f>IF(AND('CG. MPA'!E56="TABICON",'CG. MPA'!F56="MACIZO"),IF('RMCV.PA'!$E$17="I",3,2),0)</f>
        <v>0</v>
      </c>
      <c r="K55" s="852">
        <f>IF(AND('CG. MPA'!E56="TABICON",'CG. MPA'!F56="HUECO"),IF('RMCV.PA'!$E$17="I",3.5,2.5),0)</f>
        <v>0</v>
      </c>
      <c r="L55" s="853">
        <f>'RMCV.PA'!M67</f>
        <v>0</v>
      </c>
      <c r="M55" s="918">
        <f>ABS('ELEM. MECA.'!O33)</f>
        <v>0</v>
      </c>
      <c r="N55" s="957">
        <f t="shared" si="24"/>
        <v>0</v>
      </c>
      <c r="O55" s="854" t="str">
        <f>IF('CG. MPA'!E56="CONCRETO","F/DISEÑO",IF(M55&gt;N55,"NO PASA","PASA"))</f>
        <v>PASA</v>
      </c>
      <c r="P55" s="466" t="str">
        <f>IF(O55="pasa"," ",$P$24/('RMCV.PA'!C67*100))</f>
        <v xml:space="preserve"> </v>
      </c>
      <c r="Q55" s="861" t="str">
        <f>IF(O55="pasa"," ",IF('CG. MPA'!E56="CONCRETO","F/DISEÑO",IF(AND(X55&gt;P55,P55&gt;Y55),"BIEN","MAL")))</f>
        <v xml:space="preserve"> </v>
      </c>
      <c r="R55" s="860">
        <f>IF('CG. MPA'!F56="MACIZO",12/'RMCS.PA'!$P$25,9/'RMCS.PA'!$P$25)</f>
        <v>2.3999999999999998E-3</v>
      </c>
      <c r="S55" s="860">
        <f t="shared" si="25"/>
        <v>0</v>
      </c>
      <c r="T55" s="860">
        <f>IF(G55=0,0,IF(AND(G55=2,'RMCV.PA'!$E$17="III"),30,40))</f>
        <v>0</v>
      </c>
      <c r="U55" s="860">
        <f>IF(J55=0,0,IF(AND(J55=3,'RMCV.PA'!$E$17="I"),20,15))</f>
        <v>0</v>
      </c>
      <c r="V55" s="860">
        <f>IF(K55=0,0,IF(AND(K55=3.5,'RMCV.PA'!$E$17="I"),20,15))</f>
        <v>0</v>
      </c>
      <c r="W55" s="860">
        <f t="shared" si="26"/>
        <v>0</v>
      </c>
      <c r="X55" s="860">
        <f t="shared" si="27"/>
        <v>0</v>
      </c>
      <c r="Y55" s="860" t="e">
        <f>IF('CG. MPA'!E56="CONCRETO",0,IF(N55/(D55*$P$25*L55)&gt;3/$P$25,N55/(D55*$P$25*L55),3/$P$25))</f>
        <v>#DIV/0!</v>
      </c>
      <c r="Z55" s="862" t="e">
        <f t="shared" si="28"/>
        <v>#VALUE!</v>
      </c>
      <c r="AA55" s="860" t="e">
        <f t="shared" si="29"/>
        <v>#VALUE!</v>
      </c>
      <c r="AB55" s="863" t="e">
        <f t="shared" si="30"/>
        <v>#VALUE!</v>
      </c>
      <c r="AC55" s="864" t="str">
        <f t="shared" si="2"/>
        <v xml:space="preserve"> </v>
      </c>
      <c r="AD55" s="865" t="str">
        <f>IF(O55="pasa"," ",IF('CG. MPA'!E56="CONCRETO","F/DISEÑO",IF(AC55&gt;M55,"PASA","NO PASA")))</f>
        <v xml:space="preserve"> </v>
      </c>
      <c r="AE55" s="992"/>
      <c r="AF55" s="986"/>
      <c r="AG55" s="986"/>
      <c r="AH55" s="987"/>
      <c r="AI55" s="986"/>
      <c r="AJ55" s="988"/>
      <c r="AK55" s="989"/>
      <c r="AL55" s="990"/>
      <c r="AM55" s="1002"/>
      <c r="AN55" s="991"/>
      <c r="AO55" s="1110" t="e">
        <f t="shared" si="14"/>
        <v>#VALUE!</v>
      </c>
    </row>
    <row r="56" spans="1:41" ht="15.75" hidden="1" thickBot="1">
      <c r="A56" s="850">
        <f>'CG. MPA'!A57</f>
        <v>29</v>
      </c>
      <c r="B56" s="851">
        <f>'RMCV.PA'!N68/1.3</f>
        <v>0</v>
      </c>
      <c r="C56" s="851">
        <f t="shared" si="23"/>
        <v>0</v>
      </c>
      <c r="D56" s="852">
        <f>IF('CG. MPA'!D57="NO CONFINADO",0.4,0.7)</f>
        <v>0.7</v>
      </c>
      <c r="E56" s="852">
        <f>IF('CG. MPA'!E57="CONCRETO",0.5*(0.8*250)^0.5,F56+G56+J56+K56)</f>
        <v>0</v>
      </c>
      <c r="F56" s="852">
        <f>IF(AND('CG. MPA'!E57="TABIQUE",'CG. MPA'!F57="MACIZO"),IF('RMCV.PA'!$E$17="I",3.5,3),0)</f>
        <v>0</v>
      </c>
      <c r="G56" s="852">
        <f>IF(AND('CG. MPA'!E57="TABIQUE",'CG. MPA'!F57="HUECO"),IF('RMCV.PA'!$E$17="I",3,6.5),0)</f>
        <v>0</v>
      </c>
      <c r="H56" s="852">
        <f>IF('CG. MPA'!E57="ADOBE",0.3,0)</f>
        <v>0</v>
      </c>
      <c r="I56" s="852">
        <f>IF('CG. MPA'!E57="LIGERO",0.5,0)</f>
        <v>0</v>
      </c>
      <c r="J56" s="852">
        <f>IF(AND('CG. MPA'!E57="TABICON",'CG. MPA'!F57="MACIZO"),IF('RMCV.PA'!$E$17="I",3,2),0)</f>
        <v>0</v>
      </c>
      <c r="K56" s="852">
        <f>IF(AND('CG. MPA'!E57="TABICON",'CG. MPA'!F57="HUECO"),IF('RMCV.PA'!$E$17="I",3.5,2.5),0)</f>
        <v>0</v>
      </c>
      <c r="L56" s="853">
        <f>'RMCV.PA'!M68</f>
        <v>0</v>
      </c>
      <c r="M56" s="918">
        <f>ABS('ELEM. MECA.'!O34)</f>
        <v>0</v>
      </c>
      <c r="N56" s="957">
        <f t="shared" si="24"/>
        <v>0</v>
      </c>
      <c r="O56" s="854" t="str">
        <f>IF('CG. MPA'!E57="CONCRETO","F/DISEÑO",IF(M56&gt;N56,"NO PASA","PASA"))</f>
        <v>PASA</v>
      </c>
      <c r="P56" s="466" t="str">
        <f>IF(O56="pasa"," ",$P$24/('RMCV.PA'!C68*100))</f>
        <v xml:space="preserve"> </v>
      </c>
      <c r="Q56" s="861" t="str">
        <f>IF(O56="pasa"," ",IF('CG. MPA'!E57="CONCRETO","F/DISEÑO",IF(AND(X56&gt;P56,P56&gt;Y56),"BIEN","MAL")))</f>
        <v xml:space="preserve"> </v>
      </c>
      <c r="R56" s="860">
        <f>IF('CG. MPA'!F57="MACIZO",12/'RMCS.PA'!$P$25,9/'RMCS.PA'!$P$25)</f>
        <v>2.3999999999999998E-3</v>
      </c>
      <c r="S56" s="860">
        <f t="shared" si="25"/>
        <v>0</v>
      </c>
      <c r="T56" s="860">
        <f>IF(G56=0,0,IF(AND(G56=2,'RMCV.PA'!$E$17="III"),30,40))</f>
        <v>0</v>
      </c>
      <c r="U56" s="860">
        <f>IF(J56=0,0,IF(AND(J56=3,'RMCV.PA'!$E$17="I"),20,15))</f>
        <v>0</v>
      </c>
      <c r="V56" s="860">
        <f>IF(K56=0,0,IF(AND(K56=3.5,'RMCV.PA'!$E$17="I"),20,15))</f>
        <v>0</v>
      </c>
      <c r="W56" s="860">
        <f t="shared" si="26"/>
        <v>0</v>
      </c>
      <c r="X56" s="860">
        <f t="shared" si="27"/>
        <v>0</v>
      </c>
      <c r="Y56" s="860" t="e">
        <f>IF('CG. MPA'!E57="CONCRETO",0,IF(N56/(D56*$P$25*L56)&gt;3/$P$25,N56/(D56*$P$25*L56),3/$P$25))</f>
        <v>#DIV/0!</v>
      </c>
      <c r="Z56" s="862" t="e">
        <f t="shared" si="28"/>
        <v>#VALUE!</v>
      </c>
      <c r="AA56" s="860" t="e">
        <f t="shared" si="29"/>
        <v>#VALUE!</v>
      </c>
      <c r="AB56" s="863" t="e">
        <f t="shared" si="30"/>
        <v>#VALUE!</v>
      </c>
      <c r="AC56" s="864" t="str">
        <f t="shared" si="2"/>
        <v xml:space="preserve"> </v>
      </c>
      <c r="AD56" s="865" t="str">
        <f>IF(O56="pasa"," ",IF('CG. MPA'!E57="CONCRETO","F/DISEÑO",IF(AC56&gt;M56,"PASA","NO PASA")))</f>
        <v xml:space="preserve"> </v>
      </c>
      <c r="AE56" s="992"/>
      <c r="AF56" s="986"/>
      <c r="AG56" s="986"/>
      <c r="AH56" s="987"/>
      <c r="AI56" s="986"/>
      <c r="AJ56" s="988"/>
      <c r="AK56" s="989"/>
      <c r="AL56" s="990"/>
      <c r="AM56" s="1002"/>
      <c r="AN56" s="991"/>
      <c r="AO56" s="1110" t="e">
        <f t="shared" si="14"/>
        <v>#VALUE!</v>
      </c>
    </row>
    <row r="57" spans="1:41" ht="15.75" hidden="1" thickBot="1">
      <c r="A57" s="850">
        <f>'CG. MPA'!A58</f>
        <v>30</v>
      </c>
      <c r="B57" s="851">
        <f>'RMCV.PA'!N69/1.3</f>
        <v>0</v>
      </c>
      <c r="C57" s="851">
        <f t="shared" si="23"/>
        <v>0</v>
      </c>
      <c r="D57" s="852">
        <f>IF('CG. MPA'!D58="NO CONFINADO",0.4,0.7)</f>
        <v>0.7</v>
      </c>
      <c r="E57" s="852">
        <f>IF('CG. MPA'!E58="CONCRETO",0.5*(0.8*250)^0.5,F57+G57+J57+K57)</f>
        <v>0</v>
      </c>
      <c r="F57" s="852">
        <f>IF(AND('CG. MPA'!E58="TABIQUE",'CG. MPA'!F58="MACIZO"),IF('RMCV.PA'!$E$17="I",3.5,3),0)</f>
        <v>0</v>
      </c>
      <c r="G57" s="852">
        <f>IF(AND('CG. MPA'!E58="TABIQUE",'CG. MPA'!F58="HUECO"),IF('RMCV.PA'!$E$17="I",3,6.5),0)</f>
        <v>0</v>
      </c>
      <c r="H57" s="852">
        <f>IF('CG. MPA'!E58="ADOBE",0.3,0)</f>
        <v>0</v>
      </c>
      <c r="I57" s="852">
        <f>IF('CG. MPA'!E58="LIGERO",0.5,0)</f>
        <v>0</v>
      </c>
      <c r="J57" s="852">
        <f>IF(AND('CG. MPA'!E58="TABICON",'CG. MPA'!F58="MACIZO"),IF('RMCV.PA'!$E$17="I",3,2),0)</f>
        <v>0</v>
      </c>
      <c r="K57" s="852">
        <f>IF(AND('CG. MPA'!E58="TABICON",'CG. MPA'!F58="HUECO"),IF('RMCV.PA'!$E$17="I",3.5,2.5),0)</f>
        <v>0</v>
      </c>
      <c r="L57" s="853">
        <f>'RMCV.PA'!M69</f>
        <v>0</v>
      </c>
      <c r="M57" s="918">
        <f>ABS('ELEM. MECA.'!O35)</f>
        <v>0</v>
      </c>
      <c r="N57" s="957">
        <f t="shared" si="24"/>
        <v>0</v>
      </c>
      <c r="O57" s="854" t="str">
        <f>IF('CG. MPA'!E58="CONCRETO","F/DISEÑO",IF(M57&gt;N57,"NO PASA","PASA"))</f>
        <v>PASA</v>
      </c>
      <c r="P57" s="466" t="str">
        <f>IF(O57="pasa"," ",$P$24/('RMCV.PA'!C69*100))</f>
        <v xml:space="preserve"> </v>
      </c>
      <c r="Q57" s="861" t="str">
        <f>IF(O57="pasa"," ",IF('CG. MPA'!E58="CONCRETO","F/DISEÑO",IF(AND(X57&gt;P57,P57&gt;Y57),"BIEN","MAL")))</f>
        <v xml:space="preserve"> </v>
      </c>
      <c r="R57" s="860">
        <f>IF('CG. MPA'!F58="MACIZO",12/'RMCS.PA'!$P$25,9/'RMCS.PA'!$P$25)</f>
        <v>2.3999999999999998E-3</v>
      </c>
      <c r="S57" s="860">
        <f t="shared" si="25"/>
        <v>0</v>
      </c>
      <c r="T57" s="860">
        <f>IF(G57=0,0,IF(AND(G57=2,'RMCV.PA'!$E$17="III"),30,40))</f>
        <v>0</v>
      </c>
      <c r="U57" s="860">
        <f>IF(J57=0,0,IF(AND(J57=3,'RMCV.PA'!$E$17="I"),20,15))</f>
        <v>0</v>
      </c>
      <c r="V57" s="860">
        <f>IF(K57=0,0,IF(AND(K57=3.5,'RMCV.PA'!$E$17="I"),20,15))</f>
        <v>0</v>
      </c>
      <c r="W57" s="860">
        <f t="shared" si="26"/>
        <v>0</v>
      </c>
      <c r="X57" s="860">
        <f t="shared" si="27"/>
        <v>0</v>
      </c>
      <c r="Y57" s="860" t="e">
        <f>IF('CG. MPA'!E58="CONCRETO",0,IF(N57/(D57*$P$25*L57)&gt;3/$P$25,N57/(D57*$P$25*L57),3/$P$25))</f>
        <v>#DIV/0!</v>
      </c>
      <c r="Z57" s="862" t="e">
        <f t="shared" si="28"/>
        <v>#VALUE!</v>
      </c>
      <c r="AA57" s="860" t="e">
        <f t="shared" si="29"/>
        <v>#VALUE!</v>
      </c>
      <c r="AB57" s="863" t="e">
        <f t="shared" si="30"/>
        <v>#VALUE!</v>
      </c>
      <c r="AC57" s="864" t="str">
        <f t="shared" si="2"/>
        <v xml:space="preserve"> </v>
      </c>
      <c r="AD57" s="865" t="str">
        <f>IF(O57="pasa"," ",IF('CG. MPA'!E58="CONCRETO","F/DISEÑO",IF(AC57&gt;M57,"PASA","NO PASA")))</f>
        <v xml:space="preserve"> </v>
      </c>
      <c r="AE57" s="992"/>
      <c r="AF57" s="986"/>
      <c r="AG57" s="986"/>
      <c r="AH57" s="987"/>
      <c r="AI57" s="986"/>
      <c r="AJ57" s="988"/>
      <c r="AK57" s="989"/>
      <c r="AL57" s="990"/>
      <c r="AM57" s="1002"/>
      <c r="AN57" s="991"/>
      <c r="AO57" s="1110" t="e">
        <f t="shared" si="14"/>
        <v>#VALUE!</v>
      </c>
    </row>
    <row r="58" spans="1:41" ht="15.75" hidden="1" thickBot="1">
      <c r="A58" s="850">
        <f>'CG. MPA'!A59</f>
        <v>31</v>
      </c>
      <c r="B58" s="851">
        <f>'RMCV.PA'!N70/1.3</f>
        <v>0</v>
      </c>
      <c r="C58" s="851">
        <f t="shared" si="23"/>
        <v>0</v>
      </c>
      <c r="D58" s="852">
        <f>IF('CG. MPA'!D59="NO CONFINADO",0.4,0.7)</f>
        <v>0.7</v>
      </c>
      <c r="E58" s="852">
        <f>IF('CG. MPA'!E59="CONCRETO",0.5*(0.8*250)^0.5,F58+G58+J58+K58)</f>
        <v>0</v>
      </c>
      <c r="F58" s="852">
        <f>IF(AND('CG. MPA'!E59="TABIQUE",'CG. MPA'!F59="MACIZO"),IF('RMCV.PA'!$E$17="I",3.5,3),0)</f>
        <v>0</v>
      </c>
      <c r="G58" s="852">
        <f>IF(AND('CG. MPA'!E59="TABIQUE",'CG. MPA'!F59="HUECO"),IF('RMCV.PA'!$E$17="I",3,6.5),0)</f>
        <v>0</v>
      </c>
      <c r="H58" s="852">
        <f>IF('CG. MPA'!E59="ADOBE",0.3,0)</f>
        <v>0</v>
      </c>
      <c r="I58" s="852">
        <f>IF('CG. MPA'!E59="LIGERO",0.5,0)</f>
        <v>0</v>
      </c>
      <c r="J58" s="852">
        <f>IF(AND('CG. MPA'!E59="TABICON",'CG. MPA'!F59="MACIZO"),IF('RMCV.PA'!$E$17="I",3,2),0)</f>
        <v>0</v>
      </c>
      <c r="K58" s="852">
        <f>IF(AND('CG. MPA'!E59="TABICON",'CG. MPA'!F59="HUECO"),IF('RMCV.PA'!$E$17="I",3.5,2.5),0)</f>
        <v>0</v>
      </c>
      <c r="L58" s="853">
        <f>'RMCV.PA'!M70</f>
        <v>0</v>
      </c>
      <c r="M58" s="918">
        <f>ABS('ELEM. MECA.'!O36)</f>
        <v>0</v>
      </c>
      <c r="N58" s="957">
        <f t="shared" si="24"/>
        <v>0</v>
      </c>
      <c r="O58" s="854" t="str">
        <f>IF('CG. MPA'!E59="CONCRETO","F/DISEÑO",IF(M58&gt;N58,"NO PASA","PASA"))</f>
        <v>PASA</v>
      </c>
      <c r="P58" s="466" t="str">
        <f>IF(O58="pasa"," ",$P$24/('RMCV.PA'!C70*100))</f>
        <v xml:space="preserve"> </v>
      </c>
      <c r="Q58" s="861" t="str">
        <f>IF(O58="pasa"," ",IF('CG. MPA'!E59="CONCRETO","F/DISEÑO",IF(AND(X58&gt;P58,P58&gt;Y58),"BIEN","MAL")))</f>
        <v xml:space="preserve"> </v>
      </c>
      <c r="R58" s="860">
        <f>IF('CG. MPA'!F59="MACIZO",12/'RMCS.PA'!$P$25,9/'RMCS.PA'!$P$25)</f>
        <v>2.3999999999999998E-3</v>
      </c>
      <c r="S58" s="860">
        <f t="shared" si="25"/>
        <v>0</v>
      </c>
      <c r="T58" s="860">
        <f>IF(G58=0,0,IF(AND(G58=2,'RMCV.PA'!$E$17="III"),30,40))</f>
        <v>0</v>
      </c>
      <c r="U58" s="860">
        <f>IF(J58=0,0,IF(AND(J58=3,'RMCV.PA'!$E$17="I"),20,15))</f>
        <v>0</v>
      </c>
      <c r="V58" s="860">
        <f>IF(K58=0,0,IF(AND(K58=3.5,'RMCV.PA'!$E$17="I"),20,15))</f>
        <v>0</v>
      </c>
      <c r="W58" s="860">
        <f t="shared" si="26"/>
        <v>0</v>
      </c>
      <c r="X58" s="860">
        <f t="shared" si="27"/>
        <v>0</v>
      </c>
      <c r="Y58" s="860" t="e">
        <f>IF('CG. MPA'!E59="CONCRETO",0,IF(N58/(D58*$P$25*L58)&gt;3/$P$25,N58/(D58*$P$25*L58),3/$P$25))</f>
        <v>#DIV/0!</v>
      </c>
      <c r="Z58" s="862" t="e">
        <f t="shared" si="28"/>
        <v>#VALUE!</v>
      </c>
      <c r="AA58" s="860" t="e">
        <f t="shared" si="29"/>
        <v>#VALUE!</v>
      </c>
      <c r="AB58" s="863" t="e">
        <f t="shared" si="30"/>
        <v>#VALUE!</v>
      </c>
      <c r="AC58" s="864" t="str">
        <f t="shared" si="2"/>
        <v xml:space="preserve"> </v>
      </c>
      <c r="AD58" s="865" t="str">
        <f>IF(O58="pasa"," ",IF('CG. MPA'!E59="CONCRETO","F/DISEÑO",IF(AC58&gt;M58,"PASA","NO PASA")))</f>
        <v xml:space="preserve"> </v>
      </c>
      <c r="AE58" s="992"/>
      <c r="AF58" s="986"/>
      <c r="AG58" s="986"/>
      <c r="AH58" s="987"/>
      <c r="AI58" s="986"/>
      <c r="AJ58" s="988"/>
      <c r="AK58" s="989"/>
      <c r="AL58" s="990"/>
      <c r="AM58" s="1002"/>
      <c r="AN58" s="991"/>
      <c r="AO58" s="1110" t="e">
        <f t="shared" si="14"/>
        <v>#VALUE!</v>
      </c>
    </row>
    <row r="59" spans="1:41" ht="15.75" hidden="1" thickBot="1">
      <c r="A59" s="850">
        <f>'CG. MPA'!A60</f>
        <v>32</v>
      </c>
      <c r="B59" s="851">
        <f>'RMCV.PA'!N71/1.3</f>
        <v>0</v>
      </c>
      <c r="C59" s="851">
        <f t="shared" ref="C59:C61" si="31">(0.3*B59)</f>
        <v>0</v>
      </c>
      <c r="D59" s="852">
        <f>IF('CG. MPA'!D60="NO CONFINADO",0.4,0.7)</f>
        <v>0.7</v>
      </c>
      <c r="E59" s="852">
        <f>IF('CG. MPA'!E60="CONCRETO",0.5*(0.8*250)^0.5,F59+G59+J59+K59)</f>
        <v>0</v>
      </c>
      <c r="F59" s="852">
        <f>IF(AND('CG. MPA'!E60="TABIQUE",'CG. MPA'!F60="MACIZO"),IF('RMCV.PA'!$E$17="I",3.5,3),0)</f>
        <v>0</v>
      </c>
      <c r="G59" s="852">
        <f>IF(AND('CG. MPA'!E60="TABIQUE",'CG. MPA'!F60="HUECO"),IF('RMCV.PA'!$E$17="I",3,6.5),0)</f>
        <v>0</v>
      </c>
      <c r="H59" s="852">
        <f>IF('CG. MPA'!E60="ADOBE",0.3,0)</f>
        <v>0</v>
      </c>
      <c r="I59" s="852">
        <f>IF('CG. MPA'!E60="LIGERO",0.5,0)</f>
        <v>0</v>
      </c>
      <c r="J59" s="852">
        <f>IF(AND('CG. MPA'!E60="TABICON",'CG. MPA'!F60="MACIZO"),IF('RMCV.PA'!$E$17="I",3,2),0)</f>
        <v>0</v>
      </c>
      <c r="K59" s="852">
        <f>IF(AND('CG. MPA'!E60="TABICON",'CG. MPA'!F60="HUECO"),IF('RMCV.PA'!$E$17="I",3.5,2.5),0)</f>
        <v>0</v>
      </c>
      <c r="L59" s="853">
        <f>'RMCV.PA'!M71</f>
        <v>0</v>
      </c>
      <c r="M59" s="918">
        <f>ABS('ELEM. MECA.'!O37)</f>
        <v>0</v>
      </c>
      <c r="N59" s="957">
        <f t="shared" ref="N59:N61" si="32">IF(((D59*E59*L59*0.5)+(D59*C59))&lt;(D59*E59*L59*1.5),((D59*E59*L59*0.5)+(D59*C59)),(D59*E59*L59*1.5))</f>
        <v>0</v>
      </c>
      <c r="O59" s="854" t="str">
        <f>IF('CG. MPA'!E60="CONCRETO","F/DISEÑO",IF(M59&gt;N59,"NO PASA","PASA"))</f>
        <v>PASA</v>
      </c>
      <c r="P59" s="466" t="str">
        <f>IF(O59="pasa"," ",$P$24/('RMCV.PA'!C71*100))</f>
        <v xml:space="preserve"> </v>
      </c>
      <c r="Q59" s="861" t="str">
        <f>IF(O59="pasa"," ",IF('CG. MPA'!E60="CONCRETO","F/DISEÑO",IF(AND(X59&gt;P59,P59&gt;Y59),"BIEN","MAL")))</f>
        <v xml:space="preserve"> </v>
      </c>
      <c r="R59" s="860">
        <f>IF('CG. MPA'!F60="MACIZO",12/'RMCS.PA'!$P$25,9/'RMCS.PA'!$P$25)</f>
        <v>2.3999999999999998E-3</v>
      </c>
      <c r="S59" s="860">
        <f t="shared" ref="S59:S61" si="33">IF(F59&gt;0,15,0)</f>
        <v>0</v>
      </c>
      <c r="T59" s="860">
        <f>IF(G59=0,0,IF(AND(G59=2,'RMCV.PA'!$E$17="III"),30,40))</f>
        <v>0</v>
      </c>
      <c r="U59" s="860">
        <f>IF(J59=0,0,IF(AND(J59=3,'RMCV.PA'!$E$17="I"),20,15))</f>
        <v>0</v>
      </c>
      <c r="V59" s="860">
        <f>IF(K59=0,0,IF(AND(K59=3.5,'RMCV.PA'!$E$17="I"),20,15))</f>
        <v>0</v>
      </c>
      <c r="W59" s="860">
        <f t="shared" ref="W59:W61" si="34">(S59+T59+U59+V59)*0.3/$P$25</f>
        <v>0</v>
      </c>
      <c r="X59" s="860">
        <f t="shared" ref="X59:X61" si="35">IF(R59&gt;W59,W59,R59)</f>
        <v>0</v>
      </c>
      <c r="Y59" s="860" t="e">
        <f>IF('CG. MPA'!E60="CONCRETO",0,IF(N59/(D59*$P$25*L59)&gt;3/$P$25,N59/(D59*$P$25*L59),3/$P$25))</f>
        <v>#DIV/0!</v>
      </c>
      <c r="Z59" s="862" t="e">
        <f t="shared" ref="Z59:Z61" si="36">P59*$P$25</f>
        <v>#VALUE!</v>
      </c>
      <c r="AA59" s="860" t="e">
        <f t="shared" ref="AA59:AA61" si="37">IF(6&gt;Z59,0.6,IF(Z59&gt;9,0.2,(0.4*(9-Z59)/3)+0.2))</f>
        <v>#VALUE!</v>
      </c>
      <c r="AB59" s="863" t="e">
        <f t="shared" ref="AB59:AB61" si="38">D59*AA59*P59*$P$25*L59</f>
        <v>#VALUE!</v>
      </c>
      <c r="AC59" s="864" t="str">
        <f t="shared" si="2"/>
        <v xml:space="preserve"> </v>
      </c>
      <c r="AD59" s="865" t="str">
        <f>IF(O59="pasa"," ",IF('CG. MPA'!E60="CONCRETO","F/DISEÑO",IF(AC59&gt;M59,"PASA","NO PASA")))</f>
        <v xml:space="preserve"> </v>
      </c>
      <c r="AE59" s="992" t="e">
        <f>$AE$23/($AE$26*'RMCV.PA'!C49)</f>
        <v>#DIV/0!</v>
      </c>
      <c r="AF59" s="986" t="e">
        <f t="shared" si="9"/>
        <v>#DIV/0!</v>
      </c>
      <c r="AG59" s="986">
        <f>IF(12/$AF$25&gt;'RMCV.PA'!F49*0.3/$AF$25,'RMCV.PA'!F49*0.3/$AF$25,12/$AF$25)</f>
        <v>0</v>
      </c>
      <c r="AH59" s="987" t="e">
        <f t="shared" si="15"/>
        <v>#DIV/0!</v>
      </c>
      <c r="AI59" s="986">
        <f>IF(9/$AF$25&gt;'RMCV.PA'!F49*0.3/$AF$25,'RMCV.PA'!F49*0.3/$AF$25,9/$AF$25)</f>
        <v>0</v>
      </c>
      <c r="AJ59" s="988" t="e">
        <f t="shared" si="10"/>
        <v>#DIV/0!</v>
      </c>
      <c r="AK59" s="989" t="e">
        <f t="shared" si="11"/>
        <v>#DIV/0!</v>
      </c>
      <c r="AL59" s="990">
        <f t="shared" si="12"/>
        <v>0</v>
      </c>
      <c r="AM59" s="1002">
        <f t="shared" si="13"/>
        <v>0</v>
      </c>
      <c r="AN59" s="991" t="str">
        <f>IF(O59="PASA"," ",IF('CG. MPA'!E49="CONCRETO","F/DISEÑO",IF(AM59&gt;M59,"PASA","NO PASA")))</f>
        <v xml:space="preserve"> </v>
      </c>
      <c r="AO59" s="1110" t="e">
        <f t="shared" si="14"/>
        <v>#VALUE!</v>
      </c>
    </row>
    <row r="60" spans="1:41" ht="15.75" hidden="1" thickBot="1">
      <c r="A60" s="850">
        <f>'CG. MPA'!A61</f>
        <v>33</v>
      </c>
      <c r="B60" s="851">
        <f>'RMCV.PA'!N72/1.3</f>
        <v>0</v>
      </c>
      <c r="C60" s="851">
        <f t="shared" si="31"/>
        <v>0</v>
      </c>
      <c r="D60" s="852">
        <f>IF('CG. MPA'!D61="NO CONFINADO",0.4,0.7)</f>
        <v>0.7</v>
      </c>
      <c r="E60" s="852">
        <f>IF('CG. MPA'!E61="CONCRETO",0.5*(0.8*250)^0.5,F60+G60+J60+K60)</f>
        <v>0</v>
      </c>
      <c r="F60" s="852">
        <f>IF(AND('CG. MPA'!E61="TABIQUE",'CG. MPA'!F61="MACIZO"),IF('RMCV.PA'!$E$17="I",3.5,3),0)</f>
        <v>0</v>
      </c>
      <c r="G60" s="852">
        <f>IF(AND('CG. MPA'!E61="TABIQUE",'CG. MPA'!F61="HUECO"),IF('RMCV.PA'!$E$17="I",3,6.5),0)</f>
        <v>0</v>
      </c>
      <c r="H60" s="852">
        <f>IF('CG. MPA'!E61="ADOBE",0.3,0)</f>
        <v>0</v>
      </c>
      <c r="I60" s="852">
        <f>IF('CG. MPA'!E61="LIGERO",0.5,0)</f>
        <v>0</v>
      </c>
      <c r="J60" s="852">
        <f>IF(AND('CG. MPA'!E61="TABICON",'CG. MPA'!F61="MACIZO"),IF('RMCV.PA'!$E$17="I",3,2),0)</f>
        <v>0</v>
      </c>
      <c r="K60" s="852">
        <f>IF(AND('CG. MPA'!E61="TABICON",'CG. MPA'!F61="HUECO"),IF('RMCV.PA'!$E$17="I",3.5,2.5),0)</f>
        <v>0</v>
      </c>
      <c r="L60" s="853">
        <f>'RMCV.PA'!M72</f>
        <v>0</v>
      </c>
      <c r="M60" s="918">
        <f>ABS('ELEM. MECA.'!O38)</f>
        <v>0</v>
      </c>
      <c r="N60" s="957">
        <f t="shared" si="32"/>
        <v>0</v>
      </c>
      <c r="O60" s="854" t="str">
        <f>IF('CG. MPA'!E61="CONCRETO","F/DISEÑO",IF(M60&gt;N60,"NO PASA","PASA"))</f>
        <v>PASA</v>
      </c>
      <c r="P60" s="466" t="str">
        <f>IF(O60="pasa"," ",$P$24/('RMCV.PA'!C72*100))</f>
        <v xml:space="preserve"> </v>
      </c>
      <c r="Q60" s="861" t="str">
        <f>IF(O60="pasa"," ",IF('CG. MPA'!E61="CONCRETO","F/DISEÑO",IF(AND(X60&gt;P60,P60&gt;Y60),"BIEN","MAL")))</f>
        <v xml:space="preserve"> </v>
      </c>
      <c r="R60" s="860">
        <f>IF('CG. MPA'!F61="MACIZO",12/'RMCS.PA'!$P$25,9/'RMCS.PA'!$P$25)</f>
        <v>2.3999999999999998E-3</v>
      </c>
      <c r="S60" s="860">
        <f t="shared" si="33"/>
        <v>0</v>
      </c>
      <c r="T60" s="860">
        <f>IF(G60=0,0,IF(AND(G60=2,'RMCV.PA'!$E$17="III"),30,40))</f>
        <v>0</v>
      </c>
      <c r="U60" s="860">
        <f>IF(J60=0,0,IF(AND(J60=3,'RMCV.PA'!$E$17="I"),20,15))</f>
        <v>0</v>
      </c>
      <c r="V60" s="860">
        <f>IF(K60=0,0,IF(AND(K60=3.5,'RMCV.PA'!$E$17="I"),20,15))</f>
        <v>0</v>
      </c>
      <c r="W60" s="860">
        <f t="shared" si="34"/>
        <v>0</v>
      </c>
      <c r="X60" s="860">
        <f t="shared" si="35"/>
        <v>0</v>
      </c>
      <c r="Y60" s="860" t="e">
        <f>IF('CG. MPA'!E61="CONCRETO",0,IF(N60/(D60*$P$25*L60)&gt;3/$P$25,N60/(D60*$P$25*L60),3/$P$25))</f>
        <v>#DIV/0!</v>
      </c>
      <c r="Z60" s="862" t="e">
        <f t="shared" si="36"/>
        <v>#VALUE!</v>
      </c>
      <c r="AA60" s="860" t="e">
        <f t="shared" si="37"/>
        <v>#VALUE!</v>
      </c>
      <c r="AB60" s="863" t="e">
        <f t="shared" si="38"/>
        <v>#VALUE!</v>
      </c>
      <c r="AC60" s="864" t="str">
        <f t="shared" si="2"/>
        <v xml:space="preserve"> </v>
      </c>
      <c r="AD60" s="865" t="str">
        <f>IF(O60="pasa"," ",IF('CG. MPA'!E61="CONCRETO","F/DISEÑO",IF(AC60&gt;M60,"PASA","NO PASA")))</f>
        <v xml:space="preserve"> </v>
      </c>
      <c r="AE60" s="992" t="e">
        <f>$AE$23/($AE$26*'RMCV.PA'!C61)</f>
        <v>#DIV/0!</v>
      </c>
      <c r="AF60" s="986" t="e">
        <f t="shared" si="9"/>
        <v>#DIV/0!</v>
      </c>
      <c r="AG60" s="986">
        <f>IF(12/$AF$25&gt;'RMCV.PA'!F61*0.3/$AF$25,'RMCV.PA'!F61*0.3/$AF$25,12/$AF$25)</f>
        <v>0</v>
      </c>
      <c r="AH60" s="987" t="e">
        <f t="shared" si="15"/>
        <v>#DIV/0!</v>
      </c>
      <c r="AI60" s="986">
        <f>IF(9/$AF$25&gt;'RMCV.PA'!F61*0.3/$AF$25,'RMCV.PA'!F61*0.3/$AF$25,9/$AF$25)</f>
        <v>0</v>
      </c>
      <c r="AJ60" s="988" t="e">
        <f t="shared" si="10"/>
        <v>#DIV/0!</v>
      </c>
      <c r="AK60" s="989" t="e">
        <f t="shared" si="11"/>
        <v>#DIV/0!</v>
      </c>
      <c r="AL60" s="990">
        <f t="shared" si="12"/>
        <v>0</v>
      </c>
      <c r="AM60" s="1002">
        <f t="shared" si="13"/>
        <v>0</v>
      </c>
      <c r="AN60" s="991" t="str">
        <f>IF(O60="PASA"," ",IF('CG. MPA'!E50="CONCRETO","F/DISEÑO",IF(AM60&gt;M60,"PASA","NO PASA")))</f>
        <v xml:space="preserve"> </v>
      </c>
      <c r="AO60" s="1110" t="e">
        <f t="shared" si="14"/>
        <v>#VALUE!</v>
      </c>
    </row>
    <row r="61" spans="1:41" ht="15.75" hidden="1" thickBot="1">
      <c r="A61" s="850">
        <f>'CG. MPA'!A62</f>
        <v>34</v>
      </c>
      <c r="B61" s="851">
        <f>'RMCV.PA'!N73/1.3</f>
        <v>0</v>
      </c>
      <c r="C61" s="851">
        <f t="shared" si="31"/>
        <v>0</v>
      </c>
      <c r="D61" s="852">
        <f>IF('CG. MPA'!D62="NO CONFINADO",0.4,0.7)</f>
        <v>0.7</v>
      </c>
      <c r="E61" s="852">
        <f>IF('CG. MPA'!E62="CONCRETO",0.5*(0.8*250)^0.5,F61+G61+J61+K61)</f>
        <v>0</v>
      </c>
      <c r="F61" s="852">
        <f>IF(AND('CG. MPA'!E62="TABIQUE",'CG. MPA'!F62="MACIZO"),IF('RMCV.PA'!$E$17="I",3.5,3),0)</f>
        <v>0</v>
      </c>
      <c r="G61" s="852">
        <f>IF(AND('CG. MPA'!E62="TABIQUE",'CG. MPA'!F62="HUECO"),IF('RMCV.PA'!$E$17="I",3,6.5),0)</f>
        <v>0</v>
      </c>
      <c r="H61" s="852">
        <f>IF('CG. MPA'!E62="ADOBE",0.3,0)</f>
        <v>0</v>
      </c>
      <c r="I61" s="852">
        <f>IF('CG. MPA'!E62="LIGERO",0.5,0)</f>
        <v>0</v>
      </c>
      <c r="J61" s="852">
        <f>IF(AND('CG. MPA'!E62="TABICON",'CG. MPA'!F62="MACIZO"),IF('RMCV.PA'!$E$17="I",3,2),0)</f>
        <v>0</v>
      </c>
      <c r="K61" s="852">
        <f>IF(AND('CG. MPA'!E62="TABICON",'CG. MPA'!F62="HUECO"),IF('RMCV.PA'!$E$17="I",3.5,2.5),0)</f>
        <v>0</v>
      </c>
      <c r="L61" s="853">
        <f>'RMCV.PA'!M73</f>
        <v>0</v>
      </c>
      <c r="M61" s="918">
        <f>ABS('ELEM. MECA.'!O39)</f>
        <v>0</v>
      </c>
      <c r="N61" s="957">
        <f t="shared" si="32"/>
        <v>0</v>
      </c>
      <c r="O61" s="854" t="str">
        <f>IF('CG. MPA'!E62="CONCRETO","F/DISEÑO",IF(M61&gt;N61,"NO PASA","PASA"))</f>
        <v>PASA</v>
      </c>
      <c r="P61" s="466" t="str">
        <f>IF(O61="pasa"," ",$P$24/('RMCV.PA'!C73*100))</f>
        <v xml:space="preserve"> </v>
      </c>
      <c r="Q61" s="861" t="str">
        <f>IF(O61="pasa"," ",IF('CG. MPA'!E62="CONCRETO","F/DISEÑO",IF(AND(X61&gt;P61,P61&gt;Y61),"BIEN","MAL")))</f>
        <v xml:space="preserve"> </v>
      </c>
      <c r="R61" s="860">
        <f>IF('CG. MPA'!F62="MACIZO",12/'RMCS.PA'!$P$25,9/'RMCS.PA'!$P$25)</f>
        <v>2.3999999999999998E-3</v>
      </c>
      <c r="S61" s="860">
        <f t="shared" si="33"/>
        <v>0</v>
      </c>
      <c r="T61" s="860">
        <f>IF(G61=0,0,IF(AND(G61=2,'RMCV.PA'!$E$17="III"),30,40))</f>
        <v>0</v>
      </c>
      <c r="U61" s="860">
        <f>IF(J61=0,0,IF(AND(J61=3,'RMCV.PA'!$E$17="I"),20,15))</f>
        <v>0</v>
      </c>
      <c r="V61" s="860">
        <f>IF(K61=0,0,IF(AND(K61=3.5,'RMCV.PA'!$E$17="I"),20,15))</f>
        <v>0</v>
      </c>
      <c r="W61" s="860">
        <f t="shared" si="34"/>
        <v>0</v>
      </c>
      <c r="X61" s="860">
        <f t="shared" si="35"/>
        <v>0</v>
      </c>
      <c r="Y61" s="860" t="e">
        <f>IF('CG. MPA'!E62="CONCRETO",0,IF(N61/(D61*$P$25*L61)&gt;3/$P$25,N61/(D61*$P$25*L61),3/$P$25))</f>
        <v>#DIV/0!</v>
      </c>
      <c r="Z61" s="862" t="e">
        <f t="shared" si="36"/>
        <v>#VALUE!</v>
      </c>
      <c r="AA61" s="860" t="e">
        <f t="shared" si="37"/>
        <v>#VALUE!</v>
      </c>
      <c r="AB61" s="863" t="e">
        <f t="shared" si="38"/>
        <v>#VALUE!</v>
      </c>
      <c r="AC61" s="864" t="str">
        <f t="shared" si="2"/>
        <v xml:space="preserve"> </v>
      </c>
      <c r="AD61" s="865" t="str">
        <f>IF(O61="pasa"," ",IF('CG. MPA'!E62="CONCRETO","F/DISEÑO",IF(AC61&gt;M61,"PASA","NO PASA")))</f>
        <v xml:space="preserve"> </v>
      </c>
      <c r="AE61" s="992" t="e">
        <f>$AE$23/($AE$26*'RMCV.PA'!C62)</f>
        <v>#DIV/0!</v>
      </c>
      <c r="AF61" s="986" t="e">
        <f t="shared" si="9"/>
        <v>#DIV/0!</v>
      </c>
      <c r="AG61" s="986">
        <f>IF(12/$AF$25&gt;'RMCV.PA'!F62*0.3/$AF$25,'RMCV.PA'!F62*0.3/$AF$25,12/$AF$25)</f>
        <v>0</v>
      </c>
      <c r="AH61" s="987" t="e">
        <f t="shared" si="15"/>
        <v>#DIV/0!</v>
      </c>
      <c r="AI61" s="986">
        <f>IF(9/$AF$25&gt;'RMCV.PA'!F62*0.3/$AF$25,'RMCV.PA'!F62*0.3/$AF$25,9/$AF$25)</f>
        <v>0</v>
      </c>
      <c r="AJ61" s="988" t="e">
        <f t="shared" si="10"/>
        <v>#DIV/0!</v>
      </c>
      <c r="AK61" s="989" t="e">
        <f t="shared" si="11"/>
        <v>#DIV/0!</v>
      </c>
      <c r="AL61" s="990">
        <f t="shared" si="12"/>
        <v>0</v>
      </c>
      <c r="AM61" s="1002">
        <f t="shared" si="13"/>
        <v>0</v>
      </c>
      <c r="AN61" s="991" t="str">
        <f>IF(O61="PASA"," ",IF('CG. MPA'!E51="CONCRETO","F/DISEÑO",IF(AM61&gt;M61,"PASA","NO PASA")))</f>
        <v xml:space="preserve"> </v>
      </c>
      <c r="AO61" s="1110" t="e">
        <f t="shared" si="14"/>
        <v>#VALUE!</v>
      </c>
    </row>
    <row r="62" spans="1:41" ht="15.75" hidden="1" thickBot="1">
      <c r="A62" s="850">
        <f>'CG. MPA'!A63</f>
        <v>35</v>
      </c>
      <c r="B62" s="851">
        <f>'RMCV.PA'!N63/1.3</f>
        <v>0</v>
      </c>
      <c r="C62" s="851">
        <f t="shared" si="22"/>
        <v>0</v>
      </c>
      <c r="D62" s="852">
        <f>IF('CG. MPA'!D63="NO CONFINADO",0.4,0.7)</f>
        <v>0.7</v>
      </c>
      <c r="E62" s="852">
        <f>IF('CG. MPA'!E63="CONCRETO",0.5*(0.8*250)^0.5,F62+G62+J62+K62)</f>
        <v>0</v>
      </c>
      <c r="F62" s="852">
        <f>IF(AND('CG. MPA'!E63="TABIQUE",'CG. MPA'!F63="MACIZO"),IF('RMCV.PA'!$E$17="I",3.5,3),0)</f>
        <v>0</v>
      </c>
      <c r="G62" s="852">
        <f>IF(AND('CG. MPA'!E63="TABIQUE",'CG. MPA'!F63="HUECO"),IF('RMCV.PA'!$E$17="I",3,6.5),0)</f>
        <v>0</v>
      </c>
      <c r="H62" s="852">
        <f>IF('CG. MPA'!E63="ADOBE",0.3,0)</f>
        <v>0</v>
      </c>
      <c r="I62" s="852">
        <f>IF('CG. MPA'!E63="LIGERO",0.5,0)</f>
        <v>0</v>
      </c>
      <c r="J62" s="852">
        <f>IF(AND('CG. MPA'!E63="TABICON",'CG. MPA'!F63="MACIZO"),IF('RMCV.PA'!$E$17="I",3,2),0)</f>
        <v>0</v>
      </c>
      <c r="K62" s="852">
        <f>IF(AND('CG. MPA'!E63="TABICON",'CG. MPA'!F63="HUECO"),IF('RMCV.PA'!$E$17="I",3.5,2.5),0)</f>
        <v>0</v>
      </c>
      <c r="L62" s="853">
        <f>'RMCV.PA'!M63</f>
        <v>0</v>
      </c>
      <c r="M62" s="918">
        <f>ABS('ELEM. MECA.'!O40)</f>
        <v>0</v>
      </c>
      <c r="N62" s="957">
        <f t="shared" si="1"/>
        <v>0</v>
      </c>
      <c r="O62" s="854" t="str">
        <f>IF('CG. MPA'!E52="CONCRETO","F/DISEÑO",IF(M62&gt;N62,"NO PASA","PASA"))</f>
        <v>PASA</v>
      </c>
      <c r="P62" s="466" t="str">
        <f>IF(O62="pasa"," ",$P$24/('RMCV.PA'!C63*100))</f>
        <v xml:space="preserve"> </v>
      </c>
      <c r="Q62" s="861" t="str">
        <f>IF(O62="pasa"," ",IF('CG. MPA'!E63="CONCRETO","F/DISEÑO",IF(AND(X62&gt;P62,P62&gt;Y62),"BIEN","MAL")))</f>
        <v xml:space="preserve"> </v>
      </c>
      <c r="R62" s="860">
        <f>IF('CG. MPA'!F63="MACIZO",12/'RMCS.PA'!$P$25,9/'RMCS.PA'!$P$25)</f>
        <v>2.3999999999999998E-3</v>
      </c>
      <c r="S62" s="860">
        <f t="shared" si="3"/>
        <v>0</v>
      </c>
      <c r="T62" s="860">
        <f>IF(G62=0,0,IF(AND(G62=2,'RMCV.PA'!$E$17="III"),30,40))</f>
        <v>0</v>
      </c>
      <c r="U62" s="860">
        <f>IF(J62=0,0,IF(AND(J62=3,'RMCV.PA'!$E$17="I"),20,15))</f>
        <v>0</v>
      </c>
      <c r="V62" s="860">
        <f>IF(K62=0,0,IF(AND(K62=3.5,'RMCV.PA'!$E$17="I"),20,15))</f>
        <v>0</v>
      </c>
      <c r="W62" s="860">
        <f t="shared" si="4"/>
        <v>0</v>
      </c>
      <c r="X62" s="860">
        <f t="shared" si="5"/>
        <v>0</v>
      </c>
      <c r="Y62" s="860" t="e">
        <f>IF('CG. MPA'!E63="CONCRETO",0,IF(N62/(D62*$P$25*L62)&gt;3/$P$25,N62/(D62*$P$25*L62),3/$P$25))</f>
        <v>#DIV/0!</v>
      </c>
      <c r="Z62" s="862" t="e">
        <f t="shared" si="6"/>
        <v>#VALUE!</v>
      </c>
      <c r="AA62" s="860" t="e">
        <f t="shared" si="7"/>
        <v>#VALUE!</v>
      </c>
      <c r="AB62" s="863" t="e">
        <f t="shared" si="8"/>
        <v>#VALUE!</v>
      </c>
      <c r="AC62" s="864" t="str">
        <f t="shared" si="2"/>
        <v xml:space="preserve"> </v>
      </c>
      <c r="AD62" s="865" t="str">
        <f>IF(O62="pasa"," ",IF('CG. MPA'!E63="CONCRETO","F/DISEÑO",IF(AC62&gt;M62,"PASA","NO PASA")))</f>
        <v xml:space="preserve"> </v>
      </c>
      <c r="AE62" s="992" t="e">
        <f>$AE$23/($AE$26*'RMCV.PA'!C63)</f>
        <v>#DIV/0!</v>
      </c>
      <c r="AF62" s="986" t="e">
        <f t="shared" si="9"/>
        <v>#DIV/0!</v>
      </c>
      <c r="AG62" s="986">
        <f>IF(12/$AF$25&gt;'RMCV.PA'!F63*0.3/$AF$25,'RMCV.PA'!F63*0.3/$AF$25,12/$AF$25)</f>
        <v>0</v>
      </c>
      <c r="AH62" s="987" t="e">
        <f t="shared" si="15"/>
        <v>#DIV/0!</v>
      </c>
      <c r="AI62" s="986">
        <f>IF(9/$AF$25&gt;'RMCV.PA'!F63*0.3/$AF$25,'RMCV.PA'!F63*0.3/$AF$25,9/$AF$25)</f>
        <v>0</v>
      </c>
      <c r="AJ62" s="988" t="e">
        <f t="shared" si="10"/>
        <v>#DIV/0!</v>
      </c>
      <c r="AK62" s="989" t="e">
        <f t="shared" si="11"/>
        <v>#DIV/0!</v>
      </c>
      <c r="AL62" s="990">
        <f t="shared" si="12"/>
        <v>0</v>
      </c>
      <c r="AM62" s="1002">
        <f t="shared" si="13"/>
        <v>0</v>
      </c>
      <c r="AN62" s="991" t="str">
        <f>IF(O62="PASA"," ",IF('CG. MPA'!E52="CONCRETO","F/DISEÑO",IF(AM62&gt;M62,"PASA","NO PASA")))</f>
        <v xml:space="preserve"> </v>
      </c>
      <c r="AO62" s="1110" t="e">
        <f t="shared" si="14"/>
        <v>#VALUE!</v>
      </c>
    </row>
    <row r="63" spans="1:41" ht="15.75" hidden="1" thickBot="1">
      <c r="A63" s="850">
        <f>'CG. MPA'!A64</f>
        <v>36</v>
      </c>
      <c r="B63" s="851">
        <f>'RMCV.PA'!N64/1.3</f>
        <v>0</v>
      </c>
      <c r="C63" s="851">
        <f t="shared" si="22"/>
        <v>0</v>
      </c>
      <c r="D63" s="852">
        <f>IF('CG. MPA'!D64="NO CONFINADO",0.4,0.7)</f>
        <v>0.7</v>
      </c>
      <c r="E63" s="852">
        <f>IF('CG. MPA'!E64="CONCRETO",0.5*(0.8*250)^0.5,F63+G63+J63+K63)</f>
        <v>0</v>
      </c>
      <c r="F63" s="852">
        <f>IF(AND('CG. MPA'!E64="TABIQUE",'CG. MPA'!F64="MACIZO"),IF('RMCV.PA'!$E$17="I",3.5,3),0)</f>
        <v>0</v>
      </c>
      <c r="G63" s="852">
        <f>IF(AND('CG. MPA'!E64="TABIQUE",'CG. MPA'!F64="HUECO"),IF('RMCV.PA'!$E$17="I",3,6.5),0)</f>
        <v>0</v>
      </c>
      <c r="H63" s="852">
        <f>IF('CG. MPA'!E64="ADOBE",0.3,0)</f>
        <v>0</v>
      </c>
      <c r="I63" s="852">
        <f>IF('CG. MPA'!E64="LIGERO",0.5,0)</f>
        <v>0</v>
      </c>
      <c r="J63" s="852">
        <f>IF(AND('CG. MPA'!E64="TABICON",'CG. MPA'!F64="MACIZO"),IF('RMCV.PA'!$E$17="I",3,2),0)</f>
        <v>0</v>
      </c>
      <c r="K63" s="852">
        <f>IF(AND('CG. MPA'!E64="TABICON",'CG. MPA'!F64="HUECO"),IF('RMCV.PA'!$E$17="I",3.5,2.5),0)</f>
        <v>0</v>
      </c>
      <c r="L63" s="853">
        <f>'RMCV.PA'!M64</f>
        <v>0</v>
      </c>
      <c r="M63" s="918">
        <f>ABS('ELEM. MECA.'!O41)</f>
        <v>0</v>
      </c>
      <c r="N63" s="957">
        <f t="shared" si="1"/>
        <v>0</v>
      </c>
      <c r="O63" s="854" t="str">
        <f>IF('CG. MPA'!E53="CONCRETO","F/DISEÑO",IF(M63&gt;N63,"NO PASA","PASA"))</f>
        <v>PASA</v>
      </c>
      <c r="P63" s="466" t="str">
        <f>IF(O63="pasa"," ",$P$24/('RMCV.PA'!C64*100))</f>
        <v xml:space="preserve"> </v>
      </c>
      <c r="Q63" s="861" t="str">
        <f>IF(O63="pasa"," ",IF('CG. MPA'!E64="CONCRETO","F/DISEÑO",IF(AND(X63&gt;P63,P63&gt;Y63),"BIEN","MAL")))</f>
        <v xml:space="preserve"> </v>
      </c>
      <c r="R63" s="860">
        <f>IF('CG. MPA'!F64="MACIZO",12/'RMCS.PA'!$P$25,9/'RMCS.PA'!$P$25)</f>
        <v>2.3999999999999998E-3</v>
      </c>
      <c r="S63" s="860">
        <f t="shared" si="3"/>
        <v>0</v>
      </c>
      <c r="T63" s="860">
        <f>IF(G63=0,0,IF(AND(G63=2,'RMCV.PA'!$E$17="III"),30,40))</f>
        <v>0</v>
      </c>
      <c r="U63" s="860">
        <f>IF(J63=0,0,IF(AND(J63=3,'RMCV.PA'!$E$17="I"),20,15))</f>
        <v>0</v>
      </c>
      <c r="V63" s="860">
        <f>IF(K63=0,0,IF(AND(K63=3.5,'RMCV.PA'!$E$17="I"),20,15))</f>
        <v>0</v>
      </c>
      <c r="W63" s="860">
        <f t="shared" si="4"/>
        <v>0</v>
      </c>
      <c r="X63" s="860">
        <f t="shared" si="5"/>
        <v>0</v>
      </c>
      <c r="Y63" s="860" t="e">
        <f>IF('CG. MPA'!E64="CONCRETO",0,IF(N63/(D63*$P$25*L63)&gt;3/$P$25,N63/(D63*$P$25*L63),3/$P$25))</f>
        <v>#DIV/0!</v>
      </c>
      <c r="Z63" s="862" t="e">
        <f t="shared" si="6"/>
        <v>#VALUE!</v>
      </c>
      <c r="AA63" s="860" t="e">
        <f t="shared" si="7"/>
        <v>#VALUE!</v>
      </c>
      <c r="AB63" s="863" t="e">
        <f t="shared" si="8"/>
        <v>#VALUE!</v>
      </c>
      <c r="AC63" s="864" t="str">
        <f t="shared" si="2"/>
        <v xml:space="preserve"> </v>
      </c>
      <c r="AD63" s="865" t="str">
        <f>IF(O63="pasa"," ",IF('CG. MPA'!E64="CONCRETO","F/DISEÑO",IF(AC63&gt;M63,"PASA","NO PASA")))</f>
        <v xml:space="preserve"> </v>
      </c>
      <c r="AE63" s="992" t="e">
        <f>$AE$23/($AE$26*'RMCV.PA'!C64)</f>
        <v>#DIV/0!</v>
      </c>
      <c r="AF63" s="986" t="e">
        <f t="shared" si="9"/>
        <v>#DIV/0!</v>
      </c>
      <c r="AG63" s="986">
        <f>IF(12/$AF$25&gt;'RMCV.PA'!F64*0.3/$AF$25,'RMCV.PA'!F64*0.3/$AF$25,12/$AF$25)</f>
        <v>0</v>
      </c>
      <c r="AH63" s="987" t="e">
        <f t="shared" si="15"/>
        <v>#DIV/0!</v>
      </c>
      <c r="AI63" s="986">
        <f>IF(9/$AF$25&gt;'RMCV.PA'!F64*0.3/$AF$25,'RMCV.PA'!F64*0.3/$AF$25,9/$AF$25)</f>
        <v>0</v>
      </c>
      <c r="AJ63" s="988" t="e">
        <f t="shared" si="10"/>
        <v>#DIV/0!</v>
      </c>
      <c r="AK63" s="989" t="e">
        <f t="shared" si="11"/>
        <v>#DIV/0!</v>
      </c>
      <c r="AL63" s="990">
        <f t="shared" si="12"/>
        <v>0</v>
      </c>
      <c r="AM63" s="1002">
        <f t="shared" si="13"/>
        <v>0</v>
      </c>
      <c r="AN63" s="991" t="str">
        <f>IF(O63="PASA"," ",IF('CG. MPA'!E53="CONCRETO","F/DISEÑO",IF(AM63&gt;M63,"PASA","NO PASA")))</f>
        <v xml:space="preserve"> </v>
      </c>
      <c r="AO63" s="1110" t="e">
        <f t="shared" si="14"/>
        <v>#VALUE!</v>
      </c>
    </row>
    <row r="64" spans="1:41" ht="15.75" hidden="1" thickBot="1">
      <c r="A64" s="850">
        <f>'CG. MPA'!A65</f>
        <v>37</v>
      </c>
      <c r="B64" s="851">
        <f>'RMCV.PA'!N65/1.3</f>
        <v>0</v>
      </c>
      <c r="C64" s="851">
        <f t="shared" si="22"/>
        <v>0</v>
      </c>
      <c r="D64" s="852">
        <f>IF('CG. MPA'!D65="NO CONFINADO",0.4,0.7)</f>
        <v>0.7</v>
      </c>
      <c r="E64" s="852">
        <f>IF('CG. MPA'!E65="CONCRETO",0.5*(0.8*#REF!)^0.5,F64+G64+J64+K64)</f>
        <v>0</v>
      </c>
      <c r="F64" s="852">
        <f>IF(AND('CG. MPA'!E65="TABIQUE",'CG. MPA'!F65="MACIZO"),IF('RMCV.PA'!$E$17="I",3.5,3),0)</f>
        <v>0</v>
      </c>
      <c r="G64" s="852">
        <f>IF(AND('CG. MPA'!E65="TABIQUE",'CG. MPA'!F65="HUECO"),IF('RMCV.PA'!$E$17="I",3,6.5),0)</f>
        <v>0</v>
      </c>
      <c r="H64" s="852">
        <f>IF('CG. MPA'!E65="ADOBE",0.3,0)</f>
        <v>0</v>
      </c>
      <c r="I64" s="852">
        <f>IF('CG. MPA'!E65="LIGERO",0.5,0)</f>
        <v>0</v>
      </c>
      <c r="J64" s="852">
        <f>IF(AND('CG. MPA'!E65="TABICON",'CG. MPA'!F65="MACIZO"),IF('RMCV.PA'!$E$17="I",3,2),0)</f>
        <v>0</v>
      </c>
      <c r="K64" s="852">
        <f>IF(AND('CG. MPA'!E65="TABICON",'CG. MPA'!F65="HUECO"),IF('RMCV.PA'!$E$17="I",3.5,2.5),0)</f>
        <v>0</v>
      </c>
      <c r="L64" s="853">
        <f>'RMCV.PA'!M65</f>
        <v>0</v>
      </c>
      <c r="M64" s="918">
        <f>ABS('ELEM. MECA.'!O42)</f>
        <v>0</v>
      </c>
      <c r="N64" s="957">
        <f t="shared" si="1"/>
        <v>0</v>
      </c>
      <c r="O64" s="854" t="str">
        <f>IF('CG. MPA'!E54="CONCRETO","F/DISEÑO",IF(M64&gt;N64,"NO PASA","PASA"))</f>
        <v>PASA</v>
      </c>
      <c r="P64" s="466" t="str">
        <f>IF(O64="pasa"," ",$P$24/('RMCV.PA'!C65*100))</f>
        <v xml:space="preserve"> </v>
      </c>
      <c r="Q64" s="861" t="str">
        <f>IF(O64="pasa"," ",IF('CG. MPA'!E65="CONCRETO","F/DISEÑO",IF(AND(X64&gt;P64,P64&gt;Y64),"BIEN","MAL")))</f>
        <v xml:space="preserve"> </v>
      </c>
      <c r="R64" s="860">
        <f>IF('CG. MPA'!F65="MACIZO",12/'RMCS.PA'!$P$25,9/'RMCS.PA'!$P$25)</f>
        <v>2.3999999999999998E-3</v>
      </c>
      <c r="S64" s="860">
        <f t="shared" si="3"/>
        <v>0</v>
      </c>
      <c r="T64" s="860">
        <f>IF(G64=0,0,IF(AND(G64=2,'RMCV.PA'!$E$17="III"),30,40))</f>
        <v>0</v>
      </c>
      <c r="U64" s="860">
        <f>IF(J64=0,0,IF(AND(J64=3,'RMCV.PA'!$E$17="I"),20,15))</f>
        <v>0</v>
      </c>
      <c r="V64" s="860">
        <f>IF(K64=0,0,IF(AND(K64=3.5,'RMCV.PA'!$E$17="I"),20,15))</f>
        <v>0</v>
      </c>
      <c r="W64" s="860">
        <f t="shared" si="4"/>
        <v>0</v>
      </c>
      <c r="X64" s="860">
        <f t="shared" si="5"/>
        <v>0</v>
      </c>
      <c r="Y64" s="860" t="e">
        <f>IF('CG. MPA'!E65="CONCRETO",0,IF(N64/(D64*$P$25*L64)&gt;3/$P$25,N64/(D64*$P$25*L64),3/$P$25))</f>
        <v>#DIV/0!</v>
      </c>
      <c r="Z64" s="862" t="e">
        <f t="shared" si="6"/>
        <v>#VALUE!</v>
      </c>
      <c r="AA64" s="860" t="e">
        <f t="shared" si="7"/>
        <v>#VALUE!</v>
      </c>
      <c r="AB64" s="863" t="e">
        <f t="shared" si="8"/>
        <v>#VALUE!</v>
      </c>
      <c r="AC64" s="864" t="str">
        <f t="shared" si="2"/>
        <v xml:space="preserve"> </v>
      </c>
      <c r="AD64" s="865" t="str">
        <f>IF(O64="pasa"," ",IF('CG. MPA'!E65="CONCRETO","F/DISEÑO",IF(AC64&gt;M64,"PASA","NO PASA")))</f>
        <v xml:space="preserve"> </v>
      </c>
      <c r="AE64" s="992" t="e">
        <f>$AE$23/($AE$26*'RMCV.PA'!C65)</f>
        <v>#DIV/0!</v>
      </c>
      <c r="AF64" s="986" t="e">
        <f t="shared" si="9"/>
        <v>#DIV/0!</v>
      </c>
      <c r="AG64" s="986">
        <f>IF(12/$AF$25&gt;'RMCV.PA'!F65*0.3/$AF$25,'RMCV.PA'!F65*0.3/$AF$25,12/$AF$25)</f>
        <v>0</v>
      </c>
      <c r="AH64" s="987" t="e">
        <f t="shared" si="15"/>
        <v>#DIV/0!</v>
      </c>
      <c r="AI64" s="986">
        <f>IF(9/$AF$25&gt;'RMCV.PA'!F65*0.3/$AF$25,'RMCV.PA'!F65*0.3/$AF$25,9/$AF$25)</f>
        <v>0</v>
      </c>
      <c r="AJ64" s="988" t="e">
        <f t="shared" si="10"/>
        <v>#DIV/0!</v>
      </c>
      <c r="AK64" s="989" t="e">
        <f t="shared" si="11"/>
        <v>#DIV/0!</v>
      </c>
      <c r="AL64" s="990">
        <f t="shared" si="12"/>
        <v>0</v>
      </c>
      <c r="AM64" s="1002">
        <f t="shared" si="13"/>
        <v>0</v>
      </c>
      <c r="AN64" s="991" t="str">
        <f>IF(O64="PASA"," ",IF('CG. MPA'!E54="CONCRETO","F/DISEÑO",IF(AM64&gt;M64,"PASA","NO PASA")))</f>
        <v xml:space="preserve"> </v>
      </c>
      <c r="AO64" s="1110" t="e">
        <f t="shared" si="14"/>
        <v>#VALUE!</v>
      </c>
    </row>
    <row r="65" spans="1:41" ht="15.75" hidden="1" thickBot="1">
      <c r="A65" s="850">
        <f>'CG. MPA'!A66</f>
        <v>38</v>
      </c>
      <c r="B65" s="851">
        <f>'RMCV.PA'!N66/1.3</f>
        <v>0</v>
      </c>
      <c r="C65" s="851">
        <f t="shared" si="22"/>
        <v>0</v>
      </c>
      <c r="D65" s="852">
        <f>IF('CG. MPA'!D66="NO CONFINADO",0.4,0.7)</f>
        <v>0.7</v>
      </c>
      <c r="E65" s="852">
        <f>IF('CG. MPA'!E66="CONCRETO",0.5*(0.8*#REF!)^0.5,F65+G65+J65+K65)</f>
        <v>0</v>
      </c>
      <c r="F65" s="852">
        <f>IF(AND('CG. MPA'!E66="TABIQUE",'CG. MPA'!F66="MACIZO"),IF('RMCV.PA'!$E$17="I",3.5,3),0)</f>
        <v>0</v>
      </c>
      <c r="G65" s="852">
        <f>IF(AND('CG. MPA'!E66="TABIQUE",'CG. MPA'!F66="HUECO"),IF('RMCV.PA'!$E$17="I",3,6.5),0)</f>
        <v>0</v>
      </c>
      <c r="H65" s="852">
        <f>IF('CG. MPA'!E66="ADOBE",0.3,0)</f>
        <v>0</v>
      </c>
      <c r="I65" s="852">
        <f>IF('CG. MPA'!E66="LIGERO",0.5,0)</f>
        <v>0</v>
      </c>
      <c r="J65" s="852">
        <f>IF(AND('CG. MPA'!E66="TABICON",'CG. MPA'!F66="MACIZO"),IF('RMCV.PA'!$E$17="I",3,2),0)</f>
        <v>0</v>
      </c>
      <c r="K65" s="852">
        <f>IF(AND('CG. MPA'!E66="TABICON",'CG. MPA'!F66="HUECO"),IF('RMCV.PA'!$E$17="I",3.5,2.5),0)</f>
        <v>0</v>
      </c>
      <c r="L65" s="853">
        <f>'RMCV.PA'!M66</f>
        <v>0</v>
      </c>
      <c r="M65" s="918">
        <f>ABS('ELEM. MECA.'!O43)</f>
        <v>0</v>
      </c>
      <c r="N65" s="957">
        <f t="shared" si="1"/>
        <v>0</v>
      </c>
      <c r="O65" s="854" t="str">
        <f>IF('CG. MPA'!E55="CONCRETO","F/DISEÑO",IF(M65&gt;N65,"NO PASA","PASA"))</f>
        <v>PASA</v>
      </c>
      <c r="P65" s="466" t="str">
        <f>IF(O65="pasa"," ",$P$24/('RMCV.PA'!C66*100))</f>
        <v xml:space="preserve"> </v>
      </c>
      <c r="Q65" s="861" t="str">
        <f>IF(O65="pasa"," ",IF('CG. MPA'!E66="CONCRETO","F/DISEÑO",IF(AND(X65&gt;P65,P65&gt;Y65),"BIEN","MAL")))</f>
        <v xml:space="preserve"> </v>
      </c>
      <c r="R65" s="860">
        <f>IF('CG. MPA'!F66="MACIZO",12/'RMCS.PA'!$P$25,9/'RMCS.PA'!$P$25)</f>
        <v>2.3999999999999998E-3</v>
      </c>
      <c r="S65" s="860">
        <f t="shared" si="3"/>
        <v>0</v>
      </c>
      <c r="T65" s="860">
        <f>IF(G65=0,0,IF(AND(G65=2,'RMCV.PA'!$E$17="III"),30,40))</f>
        <v>0</v>
      </c>
      <c r="U65" s="860">
        <f>IF(J65=0,0,IF(AND(J65=3,'RMCV.PA'!$E$17="I"),20,15))</f>
        <v>0</v>
      </c>
      <c r="V65" s="860">
        <f>IF(K65=0,0,IF(AND(K65=3.5,'RMCV.PA'!$E$17="I"),20,15))</f>
        <v>0</v>
      </c>
      <c r="W65" s="860">
        <f t="shared" si="4"/>
        <v>0</v>
      </c>
      <c r="X65" s="860">
        <f t="shared" si="5"/>
        <v>0</v>
      </c>
      <c r="Y65" s="860" t="e">
        <f>IF('CG. MPA'!E66="CONCRETO",0,IF(N65/(D65*$P$25*L65)&gt;3/$P$25,N65/(D65*$P$25*L65),3/$P$25))</f>
        <v>#DIV/0!</v>
      </c>
      <c r="Z65" s="862" t="e">
        <f t="shared" si="6"/>
        <v>#VALUE!</v>
      </c>
      <c r="AA65" s="860" t="e">
        <f t="shared" si="7"/>
        <v>#VALUE!</v>
      </c>
      <c r="AB65" s="863" t="e">
        <f t="shared" si="8"/>
        <v>#VALUE!</v>
      </c>
      <c r="AC65" s="864" t="str">
        <f t="shared" si="2"/>
        <v xml:space="preserve"> </v>
      </c>
      <c r="AD65" s="865" t="str">
        <f>IF(O65="pasa"," ",IF('CG. MPA'!E66="CONCRETO","F/DISEÑO",IF(AC65&gt;M65,"PASA","NO PASA")))</f>
        <v xml:space="preserve"> </v>
      </c>
      <c r="AE65" s="992" t="e">
        <f>$AE$23/($AE$26*'RMCV.PA'!C66)</f>
        <v>#DIV/0!</v>
      </c>
      <c r="AF65" s="986" t="e">
        <f t="shared" si="9"/>
        <v>#DIV/0!</v>
      </c>
      <c r="AG65" s="986">
        <f>IF(12/$AF$25&gt;'RMCV.PA'!F66*0.3/$AF$25,'RMCV.PA'!F66*0.3/$AF$25,12/$AF$25)</f>
        <v>0</v>
      </c>
      <c r="AH65" s="987" t="e">
        <f t="shared" si="15"/>
        <v>#DIV/0!</v>
      </c>
      <c r="AI65" s="986">
        <f>IF(9/$AF$25&gt;'RMCV.PA'!F66*0.3/$AF$25,'RMCV.PA'!F66*0.3/$AF$25,9/$AF$25)</f>
        <v>0</v>
      </c>
      <c r="AJ65" s="988" t="e">
        <f t="shared" si="10"/>
        <v>#DIV/0!</v>
      </c>
      <c r="AK65" s="989" t="e">
        <f t="shared" si="11"/>
        <v>#DIV/0!</v>
      </c>
      <c r="AL65" s="990">
        <f t="shared" si="12"/>
        <v>0</v>
      </c>
      <c r="AM65" s="1002">
        <f t="shared" si="13"/>
        <v>0</v>
      </c>
      <c r="AN65" s="991" t="str">
        <f>IF(O65="PASA"," ",IF('CG. MPA'!E55="CONCRETO","F/DISEÑO",IF(AM65&gt;M65,"PASA","NO PASA")))</f>
        <v xml:space="preserve"> </v>
      </c>
      <c r="AO65" s="1110" t="e">
        <f t="shared" si="14"/>
        <v>#VALUE!</v>
      </c>
    </row>
    <row r="66" spans="1:41" ht="15.75" hidden="1" thickBot="1">
      <c r="A66" s="850">
        <f>'CG. MPA'!A67</f>
        <v>39</v>
      </c>
      <c r="B66" s="851">
        <f>'RMCV.PA'!N67/1.3</f>
        <v>0</v>
      </c>
      <c r="C66" s="851">
        <f t="shared" si="22"/>
        <v>0</v>
      </c>
      <c r="D66" s="852">
        <f>IF('CG. MPA'!D67="NO CONFINADO",0.4,0.7)</f>
        <v>0.7</v>
      </c>
      <c r="E66" s="852">
        <f>IF('CG. MPA'!E67="CONCRETO",0.5*(0.8*#REF!)^0.5,F66+G66+J66+K66)</f>
        <v>0</v>
      </c>
      <c r="F66" s="852">
        <f>IF(AND('CG. MPA'!E67="TABIQUE",'CG. MPA'!F67="MACIZO"),IF('RMCV.PA'!$E$17="I",3.5,3),0)</f>
        <v>0</v>
      </c>
      <c r="G66" s="852">
        <f>IF(AND('CG. MPA'!E67="TABIQUE",'CG. MPA'!F67="HUECO"),IF('RMCV.PA'!$E$17="I",3,6.5),0)</f>
        <v>0</v>
      </c>
      <c r="H66" s="852">
        <f>IF('CG. MPA'!E67="ADOBE",0.3,0)</f>
        <v>0</v>
      </c>
      <c r="I66" s="852">
        <f>IF('CG. MPA'!E67="LIGERO",0.5,0)</f>
        <v>0</v>
      </c>
      <c r="J66" s="852">
        <f>IF(AND('CG. MPA'!E67="TABICON",'CG. MPA'!F67="MACIZO"),IF('RMCV.PA'!$E$17="I",3,2),0)</f>
        <v>0</v>
      </c>
      <c r="K66" s="852">
        <f>IF(AND('CG. MPA'!E67="TABICON",'CG. MPA'!F67="HUECO"),IF('RMCV.PA'!$E$17="I",3.5,2.5),0)</f>
        <v>0</v>
      </c>
      <c r="L66" s="853">
        <f>'RMCV.PA'!M67</f>
        <v>0</v>
      </c>
      <c r="M66" s="918">
        <f>ABS('ELEM. MECA.'!O44)</f>
        <v>0</v>
      </c>
      <c r="N66" s="957">
        <f t="shared" si="1"/>
        <v>0</v>
      </c>
      <c r="O66" s="854" t="str">
        <f>IF('CG. MPA'!E56="CONCRETO","F/DISEÑO",IF(M66&gt;N66,"NO PASA","PASA"))</f>
        <v>PASA</v>
      </c>
      <c r="P66" s="466" t="str">
        <f>IF(O66="pasa"," ",$P$24/('RMCV.PA'!C67*100))</f>
        <v xml:space="preserve"> </v>
      </c>
      <c r="Q66" s="861" t="str">
        <f>IF(O66="pasa"," ",IF('CG. MPA'!E67="CONCRETO","F/DISEÑO",IF(AND(X66&gt;P66,P66&gt;Y66),"BIEN","MAL")))</f>
        <v xml:space="preserve"> </v>
      </c>
      <c r="R66" s="860">
        <f>IF('CG. MPA'!F67="MACIZO",12/'RMCS.PA'!$P$25,9/'RMCS.PA'!$P$25)</f>
        <v>2.3999999999999998E-3</v>
      </c>
      <c r="S66" s="860">
        <f t="shared" si="3"/>
        <v>0</v>
      </c>
      <c r="T66" s="860">
        <f>IF(G66=0,0,IF(AND(G66=2,'RMCV.PA'!$E$17="III"),30,40))</f>
        <v>0</v>
      </c>
      <c r="U66" s="860">
        <f>IF(J66=0,0,IF(AND(J66=3,'RMCV.PA'!$E$17="I"),20,15))</f>
        <v>0</v>
      </c>
      <c r="V66" s="860">
        <f>IF(K66=0,0,IF(AND(K66=3.5,'RMCV.PA'!$E$17="I"),20,15))</f>
        <v>0</v>
      </c>
      <c r="W66" s="860">
        <f t="shared" si="4"/>
        <v>0</v>
      </c>
      <c r="X66" s="860">
        <f t="shared" si="5"/>
        <v>0</v>
      </c>
      <c r="Y66" s="860" t="e">
        <f>IF('CG. MPA'!E67="CONCRETO",0,IF(N66/(D66*$P$25*L66)&gt;3/$P$25,N66/(D66*$P$25*L66),3/$P$25))</f>
        <v>#DIV/0!</v>
      </c>
      <c r="Z66" s="862" t="e">
        <f t="shared" si="6"/>
        <v>#VALUE!</v>
      </c>
      <c r="AA66" s="860" t="e">
        <f t="shared" si="7"/>
        <v>#VALUE!</v>
      </c>
      <c r="AB66" s="863" t="e">
        <f t="shared" si="8"/>
        <v>#VALUE!</v>
      </c>
      <c r="AC66" s="864" t="str">
        <f t="shared" si="2"/>
        <v xml:space="preserve"> </v>
      </c>
      <c r="AD66" s="865" t="str">
        <f>IF(O66="pasa"," ",IF('CG. MPA'!E67="CONCRETO","F/DISEÑO",IF(AC66&gt;M66,"PASA","NO PASA")))</f>
        <v xml:space="preserve"> </v>
      </c>
      <c r="AE66" s="992" t="e">
        <f>$AE$23/($AE$26*'RMCV.PA'!C67)</f>
        <v>#DIV/0!</v>
      </c>
      <c r="AF66" s="986" t="e">
        <f t="shared" si="9"/>
        <v>#DIV/0!</v>
      </c>
      <c r="AG66" s="986">
        <f>IF(12/$AF$25&gt;'RMCV.PA'!F67*0.3/$AF$25,'RMCV.PA'!F67*0.3/$AF$25,12/$AF$25)</f>
        <v>0</v>
      </c>
      <c r="AH66" s="987" t="e">
        <f t="shared" si="15"/>
        <v>#DIV/0!</v>
      </c>
      <c r="AI66" s="986">
        <f>IF(9/$AF$25&gt;'RMCV.PA'!F67*0.3/$AF$25,'RMCV.PA'!F67*0.3/$AF$25,9/$AF$25)</f>
        <v>0</v>
      </c>
      <c r="AJ66" s="988" t="e">
        <f t="shared" si="10"/>
        <v>#DIV/0!</v>
      </c>
      <c r="AK66" s="989" t="e">
        <f t="shared" si="11"/>
        <v>#DIV/0!</v>
      </c>
      <c r="AL66" s="990">
        <f t="shared" si="12"/>
        <v>0</v>
      </c>
      <c r="AM66" s="1002">
        <f t="shared" si="13"/>
        <v>0</v>
      </c>
      <c r="AN66" s="991" t="str">
        <f>IF(O66="PASA"," ",IF('CG. MPA'!E56="CONCRETO","F/DISEÑO",IF(AM66&gt;M66,"PASA","NO PASA")))</f>
        <v xml:space="preserve"> </v>
      </c>
      <c r="AO66" s="1110" t="e">
        <f t="shared" si="14"/>
        <v>#VALUE!</v>
      </c>
    </row>
    <row r="67" spans="1:41" ht="15.75" hidden="1" thickBot="1">
      <c r="A67" s="850">
        <f>'CG. MPA'!A68</f>
        <v>40</v>
      </c>
      <c r="B67" s="851">
        <f>'RMCV.PA'!N68/1.3</f>
        <v>0</v>
      </c>
      <c r="C67" s="851">
        <f t="shared" si="22"/>
        <v>0</v>
      </c>
      <c r="D67" s="852">
        <f>IF('CG. MPA'!D68="NO CONFINADO",0.4,0.7)</f>
        <v>0.7</v>
      </c>
      <c r="E67" s="852">
        <f>IF('CG. MPA'!E68="CONCRETO",0.5*(0.8*#REF!)^0.5,F67+G67+J67+K67)</f>
        <v>0</v>
      </c>
      <c r="F67" s="852">
        <f>IF(AND('CG. MPA'!E68="TABIQUE",'CG. MPA'!F68="MACIZO"),IF('RMCV.PA'!$E$17="I",3.5,3),0)</f>
        <v>0</v>
      </c>
      <c r="G67" s="852">
        <f>IF(AND('CG. MPA'!E68="TABIQUE",'CG. MPA'!F68="HUECO"),IF('RMCV.PA'!$E$17="I",3,6.5),0)</f>
        <v>0</v>
      </c>
      <c r="H67" s="852">
        <f>IF('CG. MPA'!E68="ADOBE",0.3,0)</f>
        <v>0</v>
      </c>
      <c r="I67" s="852">
        <f>IF('CG. MPA'!E68="LIGERO",0.5,0)</f>
        <v>0</v>
      </c>
      <c r="J67" s="852">
        <f>IF(AND('CG. MPA'!E68="TABICON",'CG. MPA'!F68="MACIZO"),IF('RMCV.PA'!$E$17="I",3,2),0)</f>
        <v>0</v>
      </c>
      <c r="K67" s="852">
        <f>IF(AND('CG. MPA'!E68="TABICON",'CG. MPA'!F68="HUECO"),IF('RMCV.PA'!$E$17="I",3.5,2.5),0)</f>
        <v>0</v>
      </c>
      <c r="L67" s="853">
        <f>'RMCV.PA'!M68</f>
        <v>0</v>
      </c>
      <c r="M67" s="918">
        <f>ABS('ELEM. MECA.'!O45)</f>
        <v>0</v>
      </c>
      <c r="N67" s="957">
        <f t="shared" si="1"/>
        <v>0</v>
      </c>
      <c r="O67" s="854" t="str">
        <f>IF('CG. MPA'!E57="CONCRETO","F/DISEÑO",IF(M67&gt;N67,"NO PASA","PASA"))</f>
        <v>PASA</v>
      </c>
      <c r="P67" s="466" t="str">
        <f>IF(O67="pasa"," ",$P$24/('RMCV.PA'!C68*100))</f>
        <v xml:space="preserve"> </v>
      </c>
      <c r="Q67" s="861" t="str">
        <f>IF(O67="pasa"," ",IF('CG. MPA'!E68="CONCRETO","F/DISEÑO",IF(AND(X67&gt;P67,P67&gt;Y67),"BIEN","MAL")))</f>
        <v xml:space="preserve"> </v>
      </c>
      <c r="R67" s="860">
        <f>IF('CG. MPA'!F68="MACIZO",12/'RMCS.PA'!$P$25,9/'RMCS.PA'!$P$25)</f>
        <v>2.3999999999999998E-3</v>
      </c>
      <c r="S67" s="860">
        <f t="shared" si="3"/>
        <v>0</v>
      </c>
      <c r="T67" s="860">
        <f>IF(G67=0,0,IF(AND(G67=2,'RMCV.PA'!$E$17="III"),30,40))</f>
        <v>0</v>
      </c>
      <c r="U67" s="860">
        <f>IF(J67=0,0,IF(AND(J67=3,'RMCV.PA'!$E$17="I"),20,15))</f>
        <v>0</v>
      </c>
      <c r="V67" s="860">
        <f>IF(K67=0,0,IF(AND(K67=3.5,'RMCV.PA'!$E$17="I"),20,15))</f>
        <v>0</v>
      </c>
      <c r="W67" s="860">
        <f t="shared" si="4"/>
        <v>0</v>
      </c>
      <c r="X67" s="860">
        <f t="shared" si="5"/>
        <v>0</v>
      </c>
      <c r="Y67" s="860" t="e">
        <f>IF('CG. MPA'!E68="CONCRETO",0,IF(N67/(D67*$P$25*L67)&gt;3/$P$25,N67/(D67*$P$25*L67),3/$P$25))</f>
        <v>#DIV/0!</v>
      </c>
      <c r="Z67" s="862" t="e">
        <f t="shared" si="6"/>
        <v>#VALUE!</v>
      </c>
      <c r="AA67" s="860" t="e">
        <f t="shared" si="7"/>
        <v>#VALUE!</v>
      </c>
      <c r="AB67" s="863" t="e">
        <f t="shared" si="8"/>
        <v>#VALUE!</v>
      </c>
      <c r="AC67" s="864" t="str">
        <f t="shared" si="2"/>
        <v xml:space="preserve"> </v>
      </c>
      <c r="AD67" s="865" t="str">
        <f>IF(O67="pasa"," ",IF('CG. MPA'!E68="CONCRETO","F/DISEÑO",IF(AC67&gt;M67,"PASA","NO PASA")))</f>
        <v xml:space="preserve"> </v>
      </c>
      <c r="AE67" s="992" t="e">
        <f>$AE$23/($AE$26*'RMCV.PA'!C68)</f>
        <v>#DIV/0!</v>
      </c>
      <c r="AF67" s="986" t="e">
        <f t="shared" si="9"/>
        <v>#DIV/0!</v>
      </c>
      <c r="AG67" s="986">
        <f>IF(12/$AF$25&gt;'RMCV.PA'!F68*0.3/$AF$25,'RMCV.PA'!F68*0.3/$AF$25,12/$AF$25)</f>
        <v>0</v>
      </c>
      <c r="AH67" s="987" t="e">
        <f t="shared" si="15"/>
        <v>#DIV/0!</v>
      </c>
      <c r="AI67" s="986">
        <f>IF(9/$AF$25&gt;'RMCV.PA'!F68*0.3/$AF$25,'RMCV.PA'!F68*0.3/$AF$25,9/$AF$25)</f>
        <v>0</v>
      </c>
      <c r="AJ67" s="988" t="e">
        <f t="shared" si="10"/>
        <v>#DIV/0!</v>
      </c>
      <c r="AK67" s="989" t="e">
        <f t="shared" si="11"/>
        <v>#DIV/0!</v>
      </c>
      <c r="AL67" s="990">
        <f t="shared" si="12"/>
        <v>0</v>
      </c>
      <c r="AM67" s="1002">
        <f t="shared" si="13"/>
        <v>0</v>
      </c>
      <c r="AN67" s="991" t="str">
        <f>IF(O67="PASA"," ",IF('CG. MPA'!E57="CONCRETO","F/DISEÑO",IF(AM67&gt;M67,"PASA","NO PASA")))</f>
        <v xml:space="preserve"> </v>
      </c>
      <c r="AO67" s="1110" t="e">
        <f t="shared" si="14"/>
        <v>#VALUE!</v>
      </c>
    </row>
    <row r="68" spans="1:41" ht="15.75" hidden="1" thickBot="1">
      <c r="A68" s="850">
        <f>'CG. MPA'!A69</f>
        <v>41</v>
      </c>
      <c r="B68" s="851">
        <f>'RMCV.PA'!N69/1.3</f>
        <v>0</v>
      </c>
      <c r="C68" s="851">
        <f t="shared" ref="C68:C77" si="39">(0.3*B68)</f>
        <v>0</v>
      </c>
      <c r="D68" s="852">
        <f>IF('CG. MPA'!D69="NO CONFINADO",0.4,0.7)</f>
        <v>0.7</v>
      </c>
      <c r="E68" s="852">
        <f>IF('CG. MPA'!E69="CONCRETO",0.5*(0.8*#REF!)^0.5,F68+G68+J68+K68)</f>
        <v>0</v>
      </c>
      <c r="F68" s="852">
        <f>IF(AND('CG. MPA'!E69="TABIQUE",'CG. MPA'!F69="MACIZO"),IF('RMCV.PA'!$E$17="I",3.5,3),0)</f>
        <v>0</v>
      </c>
      <c r="G68" s="852">
        <f>IF(AND('CG. MPA'!E69="TABIQUE",'CG. MPA'!F69="HUECO"),IF('RMCV.PA'!$E$17="I",3,6.5),0)</f>
        <v>0</v>
      </c>
      <c r="H68" s="852">
        <f>IF('CG. MPA'!E69="ADOBE",0.3,0)</f>
        <v>0</v>
      </c>
      <c r="I68" s="852">
        <f>IF('CG. MPA'!E69="LIGERO",0.5,0)</f>
        <v>0</v>
      </c>
      <c r="J68" s="852">
        <f>IF(AND('CG. MPA'!E69="TABICON",'CG. MPA'!F69="MACIZO"),IF('RMCV.PA'!$E$17="I",3,2),0)</f>
        <v>0</v>
      </c>
      <c r="K68" s="852">
        <f>IF(AND('CG. MPA'!E69="TABICON",'CG. MPA'!F69="HUECO"),IF('RMCV.PA'!$E$17="I",3.5,2.5),0)</f>
        <v>0</v>
      </c>
      <c r="L68" s="853">
        <f>'RMCV.PA'!M69</f>
        <v>0</v>
      </c>
      <c r="M68" s="918">
        <f>ABS('ELEM. MECA.'!O46)</f>
        <v>0</v>
      </c>
      <c r="N68" s="957">
        <f t="shared" ref="N68:N77" si="40">IF(((D68*E68*L68*0.5)+(D68*C68))&lt;(D68*E68*L68*1.5),((D68*E68*L68*0.5)+(D68*C68)),(D68*E68*L68*1.5))</f>
        <v>0</v>
      </c>
      <c r="O68" s="854" t="str">
        <f>IF('CG. MPA'!E58="CONCRETO","F/DISEÑO",IF(M68&gt;N68,"NO PASA","PASA"))</f>
        <v>PASA</v>
      </c>
      <c r="P68" s="466" t="str">
        <f>IF(O68="pasa"," ",$P$24/('RMCV.PA'!C69*100))</f>
        <v xml:space="preserve"> </v>
      </c>
      <c r="Q68" s="861" t="str">
        <f>IF(O68="pasa"," ",IF('CG. MPA'!E69="CONCRETO","F/DISEÑO",IF(AND(X68&gt;P68,P68&gt;Y68),"BIEN","MAL")))</f>
        <v xml:space="preserve"> </v>
      </c>
      <c r="R68" s="860">
        <f>IF('CG. MPA'!F69="MACIZO",12/'RMCS.PA'!$P$25,9/'RMCS.PA'!$P$25)</f>
        <v>2.3999999999999998E-3</v>
      </c>
      <c r="S68" s="860">
        <f t="shared" ref="S68:S77" si="41">IF(F68&gt;0,15,0)</f>
        <v>0</v>
      </c>
      <c r="T68" s="860">
        <f>IF(G68=0,0,IF(AND(G68=2,'RMCV.PA'!$E$17="III"),30,40))</f>
        <v>0</v>
      </c>
      <c r="U68" s="860">
        <f>IF(J68=0,0,IF(AND(J68=3,'RMCV.PA'!$E$17="I"),20,15))</f>
        <v>0</v>
      </c>
      <c r="V68" s="860">
        <f>IF(K68=0,0,IF(AND(K68=3.5,'RMCV.PA'!$E$17="I"),20,15))</f>
        <v>0</v>
      </c>
      <c r="W68" s="860">
        <f t="shared" ref="W68:W77" si="42">(S68+T68+U68+V68)*0.3/$P$25</f>
        <v>0</v>
      </c>
      <c r="X68" s="860">
        <f t="shared" ref="X68:X77" si="43">IF(R68&gt;W68,W68,R68)</f>
        <v>0</v>
      </c>
      <c r="Y68" s="860" t="e">
        <f>IF('CG. MPA'!E69="CONCRETO",0,IF(N68/(D68*$P$25*L68)&gt;3/$P$25,N68/(D68*$P$25*L68),3/$P$25))</f>
        <v>#DIV/0!</v>
      </c>
      <c r="Z68" s="862" t="e">
        <f t="shared" ref="Z68:Z77" si="44">P68*$P$25</f>
        <v>#VALUE!</v>
      </c>
      <c r="AA68" s="860" t="e">
        <f t="shared" ref="AA68:AA77" si="45">IF(6&gt;Z68,0.6,IF(Z68&gt;9,0.2,(0.4*(9-Z68)/3)+0.2))</f>
        <v>#VALUE!</v>
      </c>
      <c r="AB68" s="863" t="e">
        <f t="shared" ref="AB68:AB77" si="46">D68*AA68*P68*$P$25*L68</f>
        <v>#VALUE!</v>
      </c>
      <c r="AC68" s="864" t="str">
        <f t="shared" si="2"/>
        <v xml:space="preserve"> </v>
      </c>
      <c r="AD68" s="865" t="str">
        <f>IF(O68="pasa"," ",IF('CG. MPA'!E69="CONCRETO","F/DISEÑO",IF(AC68&gt;M68,"PASA","NO PASA")))</f>
        <v xml:space="preserve"> </v>
      </c>
      <c r="AE68" s="992" t="e">
        <f>$AE$23/($AE$26*'RMCV.PA'!C69)</f>
        <v>#DIV/0!</v>
      </c>
      <c r="AF68" s="986" t="e">
        <f t="shared" si="9"/>
        <v>#DIV/0!</v>
      </c>
      <c r="AG68" s="986">
        <f>IF(12/$AF$25&gt;'RMCV.PA'!F69*0.3/$AF$25,'RMCV.PA'!F69*0.3/$AF$25,12/$AF$25)</f>
        <v>0</v>
      </c>
      <c r="AH68" s="987" t="e">
        <f t="shared" si="15"/>
        <v>#DIV/0!</v>
      </c>
      <c r="AI68" s="986">
        <f>IF(9/$AF$25&gt;'RMCV.PA'!F69*0.3/$AF$25,'RMCV.PA'!F69*0.3/$AF$25,9/$AF$25)</f>
        <v>0</v>
      </c>
      <c r="AJ68" s="988" t="e">
        <f t="shared" si="10"/>
        <v>#DIV/0!</v>
      </c>
      <c r="AK68" s="989" t="e">
        <f t="shared" si="11"/>
        <v>#DIV/0!</v>
      </c>
      <c r="AL68" s="990">
        <f t="shared" si="12"/>
        <v>0</v>
      </c>
      <c r="AM68" s="1002">
        <f t="shared" si="13"/>
        <v>0</v>
      </c>
      <c r="AN68" s="991" t="str">
        <f>IF(O68="PASA"," ",IF('CG. MPA'!E58="CONCRETO","F/DISEÑO",IF(AM68&gt;M68,"PASA","NO PASA")))</f>
        <v xml:space="preserve"> </v>
      </c>
      <c r="AO68" s="1110" t="e">
        <f t="shared" si="14"/>
        <v>#VALUE!</v>
      </c>
    </row>
    <row r="69" spans="1:41" ht="15.75" hidden="1" thickBot="1">
      <c r="A69" s="850">
        <f>'CG. MPA'!A70</f>
        <v>42</v>
      </c>
      <c r="B69" s="851">
        <f>'RMCV.PA'!N70/1.3</f>
        <v>0</v>
      </c>
      <c r="C69" s="851">
        <f t="shared" si="39"/>
        <v>0</v>
      </c>
      <c r="D69" s="852">
        <f>IF('CG. MPA'!D70="NO CONFINADO",0.4,0.7)</f>
        <v>0.7</v>
      </c>
      <c r="E69" s="852">
        <f>IF('CG. MPA'!E70="CONCRETO",0.5*(0.8*#REF!)^0.5,F69+G69+J69+K69)</f>
        <v>0</v>
      </c>
      <c r="F69" s="852">
        <f>IF(AND('CG. MPA'!E70="TABIQUE",'CG. MPA'!F70="MACIZO"),IF('RMCV.PA'!$E$17="I",3.5,3),0)</f>
        <v>0</v>
      </c>
      <c r="G69" s="852">
        <f>IF(AND('CG. MPA'!E70="TABIQUE",'CG. MPA'!F70="HUECO"),IF('RMCV.PA'!$E$17="I",3,6.5),0)</f>
        <v>0</v>
      </c>
      <c r="H69" s="852">
        <f>IF('CG. MPA'!E70="ADOBE",0.3,0)</f>
        <v>0</v>
      </c>
      <c r="I69" s="852">
        <f>IF('CG. MPA'!E70="LIGERO",0.5,0)</f>
        <v>0</v>
      </c>
      <c r="J69" s="852">
        <f>IF(AND('CG. MPA'!E70="TABICON",'CG. MPA'!F70="MACIZO"),IF('RMCV.PA'!$E$17="I",3,2),0)</f>
        <v>0</v>
      </c>
      <c r="K69" s="852">
        <f>IF(AND('CG. MPA'!E70="TABICON",'CG. MPA'!F70="HUECO"),IF('RMCV.PA'!$E$17="I",3.5,2.5),0)</f>
        <v>0</v>
      </c>
      <c r="L69" s="853">
        <f>'RMCV.PA'!M70</f>
        <v>0</v>
      </c>
      <c r="M69" s="918">
        <f>ABS('ELEM. MECA.'!O47)</f>
        <v>0</v>
      </c>
      <c r="N69" s="957">
        <f t="shared" si="40"/>
        <v>0</v>
      </c>
      <c r="O69" s="854" t="str">
        <f>IF('CG. MPA'!E59="CONCRETO","F/DISEÑO",IF(M69&gt;N69,"NO PASA","PASA"))</f>
        <v>PASA</v>
      </c>
      <c r="P69" s="466" t="str">
        <f>IF(O69="pasa"," ",$P$24/('RMCV.PA'!C70*100))</f>
        <v xml:space="preserve"> </v>
      </c>
      <c r="Q69" s="861" t="str">
        <f>IF(O69="pasa"," ",IF('CG. MPA'!E70="CONCRETO","F/DISEÑO",IF(AND(X69&gt;P69,P69&gt;Y69),"BIEN","MAL")))</f>
        <v xml:space="preserve"> </v>
      </c>
      <c r="R69" s="860">
        <f>IF('CG. MPA'!F70="MACIZO",12/'RMCS.PA'!$P$25,9/'RMCS.PA'!$P$25)</f>
        <v>2.3999999999999998E-3</v>
      </c>
      <c r="S69" s="860">
        <f t="shared" si="41"/>
        <v>0</v>
      </c>
      <c r="T69" s="860">
        <f>IF(G69=0,0,IF(AND(G69=2,'RMCV.PA'!$E$17="III"),30,40))</f>
        <v>0</v>
      </c>
      <c r="U69" s="860">
        <f>IF(J69=0,0,IF(AND(J69=3,'RMCV.PA'!$E$17="I"),20,15))</f>
        <v>0</v>
      </c>
      <c r="V69" s="860">
        <f>IF(K69=0,0,IF(AND(K69=3.5,'RMCV.PA'!$E$17="I"),20,15))</f>
        <v>0</v>
      </c>
      <c r="W69" s="860">
        <f t="shared" si="42"/>
        <v>0</v>
      </c>
      <c r="X69" s="860">
        <f t="shared" si="43"/>
        <v>0</v>
      </c>
      <c r="Y69" s="860" t="e">
        <f>IF('CG. MPA'!E70="CONCRETO",0,IF(N69/(D69*$P$25*L69)&gt;3/$P$25,N69/(D69*$P$25*L69),3/$P$25))</f>
        <v>#DIV/0!</v>
      </c>
      <c r="Z69" s="862" t="e">
        <f t="shared" si="44"/>
        <v>#VALUE!</v>
      </c>
      <c r="AA69" s="860" t="e">
        <f t="shared" si="45"/>
        <v>#VALUE!</v>
      </c>
      <c r="AB69" s="863" t="e">
        <f t="shared" si="46"/>
        <v>#VALUE!</v>
      </c>
      <c r="AC69" s="864" t="str">
        <f t="shared" si="2"/>
        <v xml:space="preserve"> </v>
      </c>
      <c r="AD69" s="865" t="str">
        <f>IF(O69="pasa"," ",IF('CG. MPA'!E70="CONCRETO","F/DISEÑO",IF(AC69&gt;M69,"PASA","NO PASA")))</f>
        <v xml:space="preserve"> </v>
      </c>
      <c r="AE69" s="992" t="e">
        <f>$AE$23/($AE$26*'RMCV.PA'!C70)</f>
        <v>#DIV/0!</v>
      </c>
      <c r="AF69" s="986" t="e">
        <f t="shared" ref="AF69:AF77" si="47">IF(3/$AF$25&gt;N69/(D69*L69*$AF$25),3/$AF$25,N69/(D69*L69*$AF$25))</f>
        <v>#DIV/0!</v>
      </c>
      <c r="AG69" s="986">
        <f>IF(12/$AF$25&gt;'RMCV.PA'!F70*0.3/$AF$25,'RMCV.PA'!F70*0.3/$AF$25,12/$AF$25)</f>
        <v>0</v>
      </c>
      <c r="AH69" s="987" t="e">
        <f t="shared" ref="AH69:AH77" si="48">IF(AND(AE69&gt;AF69,AG69&gt;AE69),"BIEN","MAL")</f>
        <v>#DIV/0!</v>
      </c>
      <c r="AI69" s="986">
        <f>IF(9/$AF$25&gt;'RMCV.PA'!F70*0.3/$AF$25,'RMCV.PA'!F70*0.3/$AF$25,9/$AF$25)</f>
        <v>0</v>
      </c>
      <c r="AJ69" s="988" t="e">
        <f t="shared" ref="AJ69:AJ77" si="49">IF(AND(AE69&gt;AF69,AI69&gt;AE69),"BIEN","MAL")</f>
        <v>#DIV/0!</v>
      </c>
      <c r="AK69" s="989" t="e">
        <f t="shared" ref="AK69:AK77" si="50">IF(6&gt;AE69*$AF$25,0.6,IF(AE69*$AF$25&gt;9,0.2,0.6-(0.4*(AE69*$AF$25-6))/3))</f>
        <v>#DIV/0!</v>
      </c>
      <c r="AL69" s="990">
        <f t="shared" ref="AL69:AL77" si="51">IF(O69="PASA",0,D69*AK69*AE69*$AF$25*L69)</f>
        <v>0</v>
      </c>
      <c r="AM69" s="1002">
        <f t="shared" ref="AM69:AM77" si="52">AL69+N69</f>
        <v>0</v>
      </c>
      <c r="AN69" s="991" t="str">
        <f>IF(O69="PASA"," ",IF('CG. MPA'!E59="CONCRETO","F/DISEÑO",IF(AM69&gt;M69,"PASA","NO PASA")))</f>
        <v xml:space="preserve"> </v>
      </c>
      <c r="AO69" s="1110" t="e">
        <f t="shared" si="14"/>
        <v>#VALUE!</v>
      </c>
    </row>
    <row r="70" spans="1:41" ht="15.75" hidden="1" thickBot="1">
      <c r="A70" s="850">
        <f>'CG. MPA'!A71</f>
        <v>43</v>
      </c>
      <c r="B70" s="851">
        <f>'RMCV.PA'!N71/1.3</f>
        <v>0</v>
      </c>
      <c r="C70" s="851">
        <f t="shared" si="39"/>
        <v>0</v>
      </c>
      <c r="D70" s="852">
        <f>IF('CG. MPA'!D71="NO CONFINADO",0.4,0.7)</f>
        <v>0.7</v>
      </c>
      <c r="E70" s="852">
        <f>IF('CG. MPA'!E71="CONCRETO",0.5*(0.8*#REF!)^0.5,F70+G70+J70+K70)</f>
        <v>0</v>
      </c>
      <c r="F70" s="852">
        <f>IF(AND('CG. MPA'!E71="TABIQUE",'CG. MPA'!F71="MACIZO"),IF('RMCV.PA'!$E$17="I",3.5,3),0)</f>
        <v>0</v>
      </c>
      <c r="G70" s="852">
        <f>IF(AND('CG. MPA'!E71="TABIQUE",'CG. MPA'!F71="HUECO"),IF('RMCV.PA'!$E$17="I",3,6.5),0)</f>
        <v>0</v>
      </c>
      <c r="H70" s="852">
        <f>IF('CG. MPA'!E71="ADOBE",0.3,0)</f>
        <v>0</v>
      </c>
      <c r="I70" s="852">
        <f>IF('CG. MPA'!E71="LIGERO",0.5,0)</f>
        <v>0</v>
      </c>
      <c r="J70" s="852">
        <f>IF(AND('CG. MPA'!E71="TABICON",'CG. MPA'!F71="MACIZO"),IF('RMCV.PA'!$E$17="I",3,2),0)</f>
        <v>0</v>
      </c>
      <c r="K70" s="852">
        <f>IF(AND('CG. MPA'!E71="TABICON",'CG. MPA'!F71="HUECO"),IF('RMCV.PA'!$E$17="I",3.5,2.5),0)</f>
        <v>0</v>
      </c>
      <c r="L70" s="853">
        <f>'RMCV.PA'!M71</f>
        <v>0</v>
      </c>
      <c r="M70" s="918">
        <f>ABS('ELEM. MECA.'!O48)</f>
        <v>0</v>
      </c>
      <c r="N70" s="957">
        <f t="shared" si="40"/>
        <v>0</v>
      </c>
      <c r="O70" s="854" t="str">
        <f>IF('CG. MPA'!E60="CONCRETO","F/DISEÑO",IF(M70&gt;N70,"NO PASA","PASA"))</f>
        <v>PASA</v>
      </c>
      <c r="P70" s="466" t="str">
        <f>IF(O70="pasa"," ",$P$24/('RMCV.PA'!C71*100))</f>
        <v xml:space="preserve"> </v>
      </c>
      <c r="Q70" s="861" t="str">
        <f>IF(O70="pasa"," ",IF('CG. MPA'!E71="CONCRETO","F/DISEÑO",IF(AND(X70&gt;P70,P70&gt;Y70),"BIEN","MAL")))</f>
        <v xml:space="preserve"> </v>
      </c>
      <c r="R70" s="860">
        <f>IF('CG. MPA'!F71="MACIZO",12/'RMCS.PA'!$P$25,9/'RMCS.PA'!$P$25)</f>
        <v>2.3999999999999998E-3</v>
      </c>
      <c r="S70" s="860">
        <f t="shared" si="41"/>
        <v>0</v>
      </c>
      <c r="T70" s="860">
        <f>IF(G70=0,0,IF(AND(G70=2,'RMCV.PA'!$E$17="III"),30,40))</f>
        <v>0</v>
      </c>
      <c r="U70" s="860">
        <f>IF(J70=0,0,IF(AND(J70=3,'RMCV.PA'!$E$17="I"),20,15))</f>
        <v>0</v>
      </c>
      <c r="V70" s="860">
        <f>IF(K70=0,0,IF(AND(K70=3.5,'RMCV.PA'!$E$17="I"),20,15))</f>
        <v>0</v>
      </c>
      <c r="W70" s="860">
        <f t="shared" si="42"/>
        <v>0</v>
      </c>
      <c r="X70" s="860">
        <f t="shared" si="43"/>
        <v>0</v>
      </c>
      <c r="Y70" s="860" t="e">
        <f>IF('CG. MPA'!E71="CONCRETO",0,IF(N70/(D70*$P$25*L70)&gt;3/$P$25,N70/(D70*$P$25*L70),3/$P$25))</f>
        <v>#DIV/0!</v>
      </c>
      <c r="Z70" s="862" t="e">
        <f t="shared" si="44"/>
        <v>#VALUE!</v>
      </c>
      <c r="AA70" s="860" t="e">
        <f t="shared" si="45"/>
        <v>#VALUE!</v>
      </c>
      <c r="AB70" s="863" t="e">
        <f t="shared" si="46"/>
        <v>#VALUE!</v>
      </c>
      <c r="AC70" s="864" t="str">
        <f t="shared" si="2"/>
        <v xml:space="preserve"> </v>
      </c>
      <c r="AD70" s="865" t="str">
        <f>IF(O70="pasa"," ",IF('CG. MPA'!E71="CONCRETO","F/DISEÑO",IF(AC70&gt;M70,"PASA","NO PASA")))</f>
        <v xml:space="preserve"> </v>
      </c>
      <c r="AE70" s="992" t="e">
        <f>$AE$23/($AE$26*'RMCV.PA'!C71)</f>
        <v>#DIV/0!</v>
      </c>
      <c r="AF70" s="986" t="e">
        <f t="shared" si="47"/>
        <v>#DIV/0!</v>
      </c>
      <c r="AG70" s="986">
        <f>IF(12/$AF$25&gt;'RMCV.PA'!F71*0.3/$AF$25,'RMCV.PA'!F71*0.3/$AF$25,12/$AF$25)</f>
        <v>0</v>
      </c>
      <c r="AH70" s="987" t="e">
        <f t="shared" si="48"/>
        <v>#DIV/0!</v>
      </c>
      <c r="AI70" s="986">
        <f>IF(9/$AF$25&gt;'RMCV.PA'!F71*0.3/$AF$25,'RMCV.PA'!F71*0.3/$AF$25,9/$AF$25)</f>
        <v>0</v>
      </c>
      <c r="AJ70" s="988" t="e">
        <f t="shared" si="49"/>
        <v>#DIV/0!</v>
      </c>
      <c r="AK70" s="989" t="e">
        <f t="shared" si="50"/>
        <v>#DIV/0!</v>
      </c>
      <c r="AL70" s="990">
        <f t="shared" si="51"/>
        <v>0</v>
      </c>
      <c r="AM70" s="1002">
        <f t="shared" si="52"/>
        <v>0</v>
      </c>
      <c r="AN70" s="991" t="str">
        <f>IF(O70="PASA"," ",IF('CG. MPA'!E60="CONCRETO","F/DISEÑO",IF(AM70&gt;M70,"PASA","NO PASA")))</f>
        <v xml:space="preserve"> </v>
      </c>
      <c r="AO70" s="1110" t="e">
        <f t="shared" si="14"/>
        <v>#VALUE!</v>
      </c>
    </row>
    <row r="71" spans="1:41" ht="15.75" hidden="1" thickBot="1">
      <c r="A71" s="850">
        <f>'CG. MPA'!A72</f>
        <v>44</v>
      </c>
      <c r="B71" s="851">
        <f>'RMCV.PA'!N72/1.3</f>
        <v>0</v>
      </c>
      <c r="C71" s="851">
        <f t="shared" si="39"/>
        <v>0</v>
      </c>
      <c r="D71" s="852">
        <f>IF('CG. MPA'!D72="NO CONFINADO",0.4,0.7)</f>
        <v>0.7</v>
      </c>
      <c r="E71" s="852">
        <f>IF('CG. MPA'!E72="CONCRETO",0.5*(0.8*#REF!)^0.5,F71+G71+J71+K71)</f>
        <v>0</v>
      </c>
      <c r="F71" s="852">
        <f>IF(AND('CG. MPA'!E72="TABIQUE",'CG. MPA'!F72="MACIZO"),IF('RMCV.PA'!$E$17="I",3.5,3),0)</f>
        <v>0</v>
      </c>
      <c r="G71" s="852">
        <f>IF(AND('CG. MPA'!E72="TABIQUE",'CG. MPA'!F72="HUECO"),IF('RMCV.PA'!$E$17="I",3,6.5),0)</f>
        <v>0</v>
      </c>
      <c r="H71" s="852">
        <f>IF('CG. MPA'!E72="ADOBE",0.3,0)</f>
        <v>0</v>
      </c>
      <c r="I71" s="852">
        <f>IF('CG. MPA'!E72="LIGERO",0.5,0)</f>
        <v>0</v>
      </c>
      <c r="J71" s="852">
        <f>IF(AND('CG. MPA'!E72="TABICON",'CG. MPA'!F72="MACIZO"),IF('RMCV.PA'!$E$17="I",3,2),0)</f>
        <v>0</v>
      </c>
      <c r="K71" s="852">
        <f>IF(AND('CG. MPA'!E72="TABICON",'CG. MPA'!F72="HUECO"),IF('RMCV.PA'!$E$17="I",3.5,2.5),0)</f>
        <v>0</v>
      </c>
      <c r="L71" s="853">
        <f>'RMCV.PA'!M72</f>
        <v>0</v>
      </c>
      <c r="M71" s="918">
        <f>ABS('ELEM. MECA.'!O49)</f>
        <v>0</v>
      </c>
      <c r="N71" s="957">
        <f t="shared" si="40"/>
        <v>0</v>
      </c>
      <c r="O71" s="854" t="str">
        <f>IF('CG. MPA'!E61="CONCRETO","F/DISEÑO",IF(M71&gt;N71,"NO PASA","PASA"))</f>
        <v>PASA</v>
      </c>
      <c r="P71" s="466" t="str">
        <f>IF(O71="pasa"," ",$P$24/('RMCV.PA'!C72*100))</f>
        <v xml:space="preserve"> </v>
      </c>
      <c r="Q71" s="861" t="str">
        <f>IF(O71="pasa"," ",IF('CG. MPA'!E72="CONCRETO","F/DISEÑO",IF(AND(X71&gt;P71,P71&gt;Y71),"BIEN","MAL")))</f>
        <v xml:space="preserve"> </v>
      </c>
      <c r="R71" s="860">
        <f>IF('CG. MPA'!F72="MACIZO",12/'RMCS.PA'!$P$25,9/'RMCS.PA'!$P$25)</f>
        <v>2.3999999999999998E-3</v>
      </c>
      <c r="S71" s="860">
        <f t="shared" si="41"/>
        <v>0</v>
      </c>
      <c r="T71" s="860">
        <f>IF(G71=0,0,IF(AND(G71=2,'RMCV.PA'!$E$17="III"),30,40))</f>
        <v>0</v>
      </c>
      <c r="U71" s="860">
        <f>IF(J71=0,0,IF(AND(J71=3,'RMCV.PA'!$E$17="I"),20,15))</f>
        <v>0</v>
      </c>
      <c r="V71" s="860">
        <f>IF(K71=0,0,IF(AND(K71=3.5,'RMCV.PA'!$E$17="I"),20,15))</f>
        <v>0</v>
      </c>
      <c r="W71" s="860">
        <f t="shared" si="42"/>
        <v>0</v>
      </c>
      <c r="X71" s="860">
        <f t="shared" si="43"/>
        <v>0</v>
      </c>
      <c r="Y71" s="860" t="e">
        <f>IF('CG. MPA'!E72="CONCRETO",0,IF(N71/(D71*$P$25*L71)&gt;3/$P$25,N71/(D71*$P$25*L71),3/$P$25))</f>
        <v>#DIV/0!</v>
      </c>
      <c r="Z71" s="862" t="e">
        <f t="shared" si="44"/>
        <v>#VALUE!</v>
      </c>
      <c r="AA71" s="860" t="e">
        <f t="shared" si="45"/>
        <v>#VALUE!</v>
      </c>
      <c r="AB71" s="863" t="e">
        <f t="shared" si="46"/>
        <v>#VALUE!</v>
      </c>
      <c r="AC71" s="864" t="str">
        <f t="shared" si="2"/>
        <v xml:space="preserve"> </v>
      </c>
      <c r="AD71" s="865" t="str">
        <f>IF(O71="pasa"," ",IF('CG. MPA'!E72="CONCRETO","F/DISEÑO",IF(AC71&gt;M71,"PASA","NO PASA")))</f>
        <v xml:space="preserve"> </v>
      </c>
      <c r="AE71" s="992" t="e">
        <f>$AE$23/($AE$26*'RMCV.PA'!C72)</f>
        <v>#DIV/0!</v>
      </c>
      <c r="AF71" s="986" t="e">
        <f t="shared" si="47"/>
        <v>#DIV/0!</v>
      </c>
      <c r="AG71" s="986">
        <f>IF(12/$AF$25&gt;'RMCV.PA'!F72*0.3/$AF$25,'RMCV.PA'!F72*0.3/$AF$25,12/$AF$25)</f>
        <v>0</v>
      </c>
      <c r="AH71" s="987" t="e">
        <f t="shared" si="48"/>
        <v>#DIV/0!</v>
      </c>
      <c r="AI71" s="986">
        <f>IF(9/$AF$25&gt;'RMCV.PA'!F72*0.3/$AF$25,'RMCV.PA'!F72*0.3/$AF$25,9/$AF$25)</f>
        <v>0</v>
      </c>
      <c r="AJ71" s="988" t="e">
        <f t="shared" si="49"/>
        <v>#DIV/0!</v>
      </c>
      <c r="AK71" s="989" t="e">
        <f t="shared" si="50"/>
        <v>#DIV/0!</v>
      </c>
      <c r="AL71" s="990">
        <f t="shared" si="51"/>
        <v>0</v>
      </c>
      <c r="AM71" s="1002">
        <f t="shared" si="52"/>
        <v>0</v>
      </c>
      <c r="AN71" s="991" t="str">
        <f>IF(O71="PASA"," ",IF('CG. MPA'!E61="CONCRETO","F/DISEÑO",IF(AM71&gt;M71,"PASA","NO PASA")))</f>
        <v xml:space="preserve"> </v>
      </c>
      <c r="AO71" s="1110" t="e">
        <f t="shared" si="14"/>
        <v>#VALUE!</v>
      </c>
    </row>
    <row r="72" spans="1:41" ht="15.75" hidden="1" thickBot="1">
      <c r="A72" s="850">
        <f>'CG. MPA'!A73</f>
        <v>45</v>
      </c>
      <c r="B72" s="851">
        <f>'RMCV.PA'!N73/1.3</f>
        <v>0</v>
      </c>
      <c r="C72" s="851">
        <f t="shared" si="39"/>
        <v>0</v>
      </c>
      <c r="D72" s="852">
        <f>IF('CG. MPA'!D73="NO CONFINADO",0.4,0.7)</f>
        <v>0.7</v>
      </c>
      <c r="E72" s="852">
        <f>IF('CG. MPA'!E73="CONCRETO",0.5*(0.8*#REF!)^0.5,F72+G72+J72+K72)</f>
        <v>0</v>
      </c>
      <c r="F72" s="852">
        <f>IF(AND('CG. MPA'!E73="TABIQUE",'CG. MPA'!F73="MACIZO"),IF('RMCV.PA'!$E$17="I",3.5,3),0)</f>
        <v>0</v>
      </c>
      <c r="G72" s="852">
        <f>IF(AND('CG. MPA'!E73="TABIQUE",'CG. MPA'!F73="HUECO"),IF('RMCV.PA'!$E$17="I",3,6.5),0)</f>
        <v>0</v>
      </c>
      <c r="H72" s="852">
        <f>IF('CG. MPA'!E73="ADOBE",0.3,0)</f>
        <v>0</v>
      </c>
      <c r="I72" s="852">
        <f>IF('CG. MPA'!E73="LIGERO",0.5,0)</f>
        <v>0</v>
      </c>
      <c r="J72" s="852">
        <f>IF(AND('CG. MPA'!E73="TABICON",'CG. MPA'!F73="MACIZO"),IF('RMCV.PA'!$E$17="I",3,2),0)</f>
        <v>0</v>
      </c>
      <c r="K72" s="852">
        <f>IF(AND('CG. MPA'!E73="TABICON",'CG. MPA'!F73="HUECO"),IF('RMCV.PA'!$E$17="I",3.5,2.5),0)</f>
        <v>0</v>
      </c>
      <c r="L72" s="853">
        <f>'RMCV.PA'!M73</f>
        <v>0</v>
      </c>
      <c r="M72" s="918">
        <f>ABS('ELEM. MECA.'!O50)</f>
        <v>0</v>
      </c>
      <c r="N72" s="957">
        <f t="shared" si="40"/>
        <v>0</v>
      </c>
      <c r="O72" s="854" t="str">
        <f>IF('CG. MPA'!E62="CONCRETO","F/DISEÑO",IF(M72&gt;N72,"NO PASA","PASA"))</f>
        <v>PASA</v>
      </c>
      <c r="P72" s="466" t="str">
        <f>IF(O72="pasa"," ",$P$24/('RMCV.PA'!C73*100))</f>
        <v xml:space="preserve"> </v>
      </c>
      <c r="Q72" s="861" t="str">
        <f>IF(O72="pasa"," ",IF('CG. MPA'!E73="CONCRETO","F/DISEÑO",IF(AND(X72&gt;P72,P72&gt;Y72),"BIEN","MAL")))</f>
        <v xml:space="preserve"> </v>
      </c>
      <c r="R72" s="860">
        <f>IF('CG. MPA'!F73="MACIZO",12/'RMCS.PA'!$P$25,9/'RMCS.PA'!$P$25)</f>
        <v>2.3999999999999998E-3</v>
      </c>
      <c r="S72" s="860">
        <f t="shared" si="41"/>
        <v>0</v>
      </c>
      <c r="T72" s="860">
        <f>IF(G72=0,0,IF(AND(G72=2,'RMCV.PA'!$E$17="III"),30,40))</f>
        <v>0</v>
      </c>
      <c r="U72" s="860">
        <f>IF(J72=0,0,IF(AND(J72=3,'RMCV.PA'!$E$17="I"),20,15))</f>
        <v>0</v>
      </c>
      <c r="V72" s="860">
        <f>IF(K72=0,0,IF(AND(K72=3.5,'RMCV.PA'!$E$17="I"),20,15))</f>
        <v>0</v>
      </c>
      <c r="W72" s="860">
        <f t="shared" si="42"/>
        <v>0</v>
      </c>
      <c r="X72" s="860">
        <f t="shared" si="43"/>
        <v>0</v>
      </c>
      <c r="Y72" s="860" t="e">
        <f>IF('CG. MPA'!E73="CONCRETO",0,IF(N72/(D72*$P$25*L72)&gt;3/$P$25,N72/(D72*$P$25*L72),3/$P$25))</f>
        <v>#DIV/0!</v>
      </c>
      <c r="Z72" s="862" t="e">
        <f t="shared" si="44"/>
        <v>#VALUE!</v>
      </c>
      <c r="AA72" s="860" t="e">
        <f t="shared" si="45"/>
        <v>#VALUE!</v>
      </c>
      <c r="AB72" s="863" t="e">
        <f t="shared" si="46"/>
        <v>#VALUE!</v>
      </c>
      <c r="AC72" s="864" t="str">
        <f t="shared" si="2"/>
        <v xml:space="preserve"> </v>
      </c>
      <c r="AD72" s="865" t="str">
        <f>IF(O72="pasa"," ",IF('CG. MPA'!E73="CONCRETO","F/DISEÑO",IF(AC72&gt;M72,"PASA","NO PASA")))</f>
        <v xml:space="preserve"> </v>
      </c>
      <c r="AE72" s="992" t="e">
        <f>$AE$23/($AE$26*'RMCV.PA'!C73)</f>
        <v>#DIV/0!</v>
      </c>
      <c r="AF72" s="986" t="e">
        <f t="shared" si="47"/>
        <v>#DIV/0!</v>
      </c>
      <c r="AG72" s="986">
        <f>IF(12/$AF$25&gt;'RMCV.PA'!F73*0.3/$AF$25,'RMCV.PA'!F73*0.3/$AF$25,12/$AF$25)</f>
        <v>0</v>
      </c>
      <c r="AH72" s="987" t="e">
        <f t="shared" si="48"/>
        <v>#DIV/0!</v>
      </c>
      <c r="AI72" s="986">
        <f>IF(9/$AF$25&gt;'RMCV.PA'!F73*0.3/$AF$25,'RMCV.PA'!F73*0.3/$AF$25,9/$AF$25)</f>
        <v>0</v>
      </c>
      <c r="AJ72" s="988" t="e">
        <f t="shared" si="49"/>
        <v>#DIV/0!</v>
      </c>
      <c r="AK72" s="989" t="e">
        <f t="shared" si="50"/>
        <v>#DIV/0!</v>
      </c>
      <c r="AL72" s="990">
        <f t="shared" si="51"/>
        <v>0</v>
      </c>
      <c r="AM72" s="1002">
        <f t="shared" si="52"/>
        <v>0</v>
      </c>
      <c r="AN72" s="991" t="str">
        <f>IF(O72="PASA"," ",IF('CG. MPA'!E62="CONCRETO","F/DISEÑO",IF(AM72&gt;M72,"PASA","NO PASA")))</f>
        <v xml:space="preserve"> </v>
      </c>
      <c r="AO72" s="1110" t="e">
        <f t="shared" si="14"/>
        <v>#VALUE!</v>
      </c>
    </row>
    <row r="73" spans="1:41" ht="15.75" hidden="1" thickBot="1">
      <c r="A73" s="850">
        <f>'CG. MPA'!A74</f>
        <v>46</v>
      </c>
      <c r="B73" s="851">
        <f>'RMCV.PA'!N74/1.3</f>
        <v>0</v>
      </c>
      <c r="C73" s="851">
        <f t="shared" si="39"/>
        <v>0</v>
      </c>
      <c r="D73" s="852">
        <f>IF('CG. MPA'!D74="NO CONFINADO",0.4,0.7)</f>
        <v>0.7</v>
      </c>
      <c r="E73" s="852">
        <f>IF('CG. MPA'!E74="CONCRETO",0.5*(0.8*#REF!)^0.5,F73+G73+J73+K73)</f>
        <v>0</v>
      </c>
      <c r="F73" s="852">
        <f>IF(AND('CG. MPA'!E74="TABIQUE",'CG. MPA'!F74="MACIZO"),IF('RMCV.PA'!$E$17="I",3.5,3),0)</f>
        <v>0</v>
      </c>
      <c r="G73" s="852">
        <f>IF(AND('CG. MPA'!E74="TABIQUE",'CG. MPA'!F74="HUECO"),IF('RMCV.PA'!$E$17="I",3,6.5),0)</f>
        <v>0</v>
      </c>
      <c r="H73" s="852">
        <f>IF('CG. MPA'!E74="ADOBE",0.3,0)</f>
        <v>0</v>
      </c>
      <c r="I73" s="852">
        <f>IF('CG. MPA'!E74="LIGERO",0.5,0)</f>
        <v>0</v>
      </c>
      <c r="J73" s="852">
        <f>IF(AND('CG. MPA'!E74="TABICON",'CG. MPA'!F74="MACIZO"),IF('RMCV.PA'!$E$17="I",3,2),0)</f>
        <v>0</v>
      </c>
      <c r="K73" s="852">
        <f>IF(AND('CG. MPA'!E74="TABICON",'CG. MPA'!F74="HUECO"),IF('RMCV.PA'!$E$17="I",3.5,2.5),0)</f>
        <v>0</v>
      </c>
      <c r="L73" s="853">
        <f>'RMCV.PA'!M74</f>
        <v>0</v>
      </c>
      <c r="M73" s="918">
        <f>ABS('ELEM. MECA.'!O51)</f>
        <v>0</v>
      </c>
      <c r="N73" s="957">
        <f t="shared" si="40"/>
        <v>0</v>
      </c>
      <c r="O73" s="854" t="str">
        <f>IF('CG. MPA'!E63="CONCRETO","F/DISEÑO",IF(M73&gt;N73,"NO PASA","PASA"))</f>
        <v>PASA</v>
      </c>
      <c r="P73" s="466" t="str">
        <f>IF(O73="pasa"," ",$P$24/('RMCV.PA'!C74*100))</f>
        <v xml:space="preserve"> </v>
      </c>
      <c r="Q73" s="861" t="str">
        <f>IF(O73="pasa"," ",IF('CG. MPA'!E74="CONCRETO","F/DISEÑO",IF(AND(X73&gt;P73,P73&gt;Y73),"BIEN","MAL")))</f>
        <v xml:space="preserve"> </v>
      </c>
      <c r="R73" s="860">
        <f>IF('CG. MPA'!F74="MACIZO",12/'RMCS.PA'!$P$25,9/'RMCS.PA'!$P$25)</f>
        <v>2.3999999999999998E-3</v>
      </c>
      <c r="S73" s="860">
        <f t="shared" si="41"/>
        <v>0</v>
      </c>
      <c r="T73" s="860">
        <f>IF(G73=0,0,IF(AND(G73=2,'RMCV.PA'!$E$17="III"),30,40))</f>
        <v>0</v>
      </c>
      <c r="U73" s="860">
        <f>IF(J73=0,0,IF(AND(J73=3,'RMCV.PA'!$E$17="I"),20,15))</f>
        <v>0</v>
      </c>
      <c r="V73" s="860">
        <f>IF(K73=0,0,IF(AND(K73=3.5,'RMCV.PA'!$E$17="I"),20,15))</f>
        <v>0</v>
      </c>
      <c r="W73" s="860">
        <f t="shared" si="42"/>
        <v>0</v>
      </c>
      <c r="X73" s="860">
        <f t="shared" si="43"/>
        <v>0</v>
      </c>
      <c r="Y73" s="860" t="e">
        <f>IF('CG. MPA'!E74="CONCRETO",0,IF(N73/(D73*$P$25*L73)&gt;3/$P$25,N73/(D73*$P$25*L73),3/$P$25))</f>
        <v>#DIV/0!</v>
      </c>
      <c r="Z73" s="862" t="e">
        <f t="shared" si="44"/>
        <v>#VALUE!</v>
      </c>
      <c r="AA73" s="860" t="e">
        <f t="shared" si="45"/>
        <v>#VALUE!</v>
      </c>
      <c r="AB73" s="863" t="e">
        <f t="shared" si="46"/>
        <v>#VALUE!</v>
      </c>
      <c r="AC73" s="864" t="str">
        <f t="shared" si="2"/>
        <v xml:space="preserve"> </v>
      </c>
      <c r="AD73" s="865" t="str">
        <f>IF(O73="pasa"," ",IF('CG. MPA'!E74="CONCRETO","F/DISEÑO",IF(AC73&gt;M73,"PASA","NO PASA")))</f>
        <v xml:space="preserve"> </v>
      </c>
      <c r="AE73" s="992" t="e">
        <f>$AE$23/($AE$26*'RMCV.PA'!C74)</f>
        <v>#DIV/0!</v>
      </c>
      <c r="AF73" s="986" t="e">
        <f t="shared" si="47"/>
        <v>#DIV/0!</v>
      </c>
      <c r="AG73" s="986">
        <f>IF(12/$AF$25&gt;'RMCV.PA'!F74*0.3/$AF$25,'RMCV.PA'!F74*0.3/$AF$25,12/$AF$25)</f>
        <v>0</v>
      </c>
      <c r="AH73" s="987" t="e">
        <f t="shared" si="48"/>
        <v>#DIV/0!</v>
      </c>
      <c r="AI73" s="986">
        <f>IF(9/$AF$25&gt;'RMCV.PA'!F74*0.3/$AF$25,'RMCV.PA'!F74*0.3/$AF$25,9/$AF$25)</f>
        <v>0</v>
      </c>
      <c r="AJ73" s="988" t="e">
        <f t="shared" si="49"/>
        <v>#DIV/0!</v>
      </c>
      <c r="AK73" s="989" t="e">
        <f t="shared" si="50"/>
        <v>#DIV/0!</v>
      </c>
      <c r="AL73" s="990">
        <f t="shared" si="51"/>
        <v>0</v>
      </c>
      <c r="AM73" s="1002">
        <f t="shared" si="52"/>
        <v>0</v>
      </c>
      <c r="AN73" s="991" t="str">
        <f>IF(O73="PASA"," ",IF('CG. MPA'!E63="CONCRETO","F/DISEÑO",IF(AM73&gt;M73,"PASA","NO PASA")))</f>
        <v xml:space="preserve"> </v>
      </c>
      <c r="AO73" s="1110" t="e">
        <f t="shared" si="14"/>
        <v>#VALUE!</v>
      </c>
    </row>
    <row r="74" spans="1:41" ht="15.75" hidden="1" thickBot="1">
      <c r="A74" s="850">
        <f>'CG. MPA'!A75</f>
        <v>47</v>
      </c>
      <c r="B74" s="851">
        <f>'RMCV.PA'!N75/1.3</f>
        <v>0</v>
      </c>
      <c r="C74" s="851">
        <f t="shared" si="39"/>
        <v>0</v>
      </c>
      <c r="D74" s="852">
        <f>IF('CG. MPA'!D75="NO CONFINADO",0.4,0.7)</f>
        <v>0.7</v>
      </c>
      <c r="E74" s="852">
        <f>IF('CG. MPA'!E75="CONCRETO",0.5*(0.8*#REF!)^0.5,F74+G74+J74+K74)</f>
        <v>0</v>
      </c>
      <c r="F74" s="852">
        <f>IF(AND('CG. MPA'!E75="TABIQUE",'CG. MPA'!F75="MACIZO"),IF('RMCV.PA'!$E$17="I",3.5,3),0)</f>
        <v>0</v>
      </c>
      <c r="G74" s="852">
        <f>IF(AND('CG. MPA'!E75="TABIQUE",'CG. MPA'!F75="HUECO"),IF('RMCV.PA'!$E$17="I",3,6.5),0)</f>
        <v>0</v>
      </c>
      <c r="H74" s="852">
        <f>IF('CG. MPA'!E75="ADOBE",0.3,0)</f>
        <v>0</v>
      </c>
      <c r="I74" s="852">
        <f>IF('CG. MPA'!E75="LIGERO",0.5,0)</f>
        <v>0</v>
      </c>
      <c r="J74" s="852">
        <f>IF(AND('CG. MPA'!E75="TABICON",'CG. MPA'!F75="MACIZO"),IF('RMCV.PA'!$E$17="I",3,2),0)</f>
        <v>0</v>
      </c>
      <c r="K74" s="852">
        <f>IF(AND('CG. MPA'!E75="TABICON",'CG. MPA'!F75="HUECO"),IF('RMCV.PA'!$E$17="I",3.5,2.5),0)</f>
        <v>0</v>
      </c>
      <c r="L74" s="853">
        <f>'RMCV.PA'!M75</f>
        <v>0</v>
      </c>
      <c r="M74" s="918">
        <f>ABS('ELEM. MECA.'!O52)</f>
        <v>0</v>
      </c>
      <c r="N74" s="957">
        <f t="shared" si="40"/>
        <v>0</v>
      </c>
      <c r="O74" s="854" t="str">
        <f>IF('CG. MPA'!E64="CONCRETO","F/DISEÑO",IF(M74&gt;N74,"NO PASA","PASA"))</f>
        <v>PASA</v>
      </c>
      <c r="P74" s="466" t="str">
        <f>IF(O74="pasa"," ",$P$24/('RMCV.PA'!C75*100))</f>
        <v xml:space="preserve"> </v>
      </c>
      <c r="Q74" s="861" t="str">
        <f>IF(O74="pasa"," ",IF('CG. MPA'!E75="CONCRETO","F/DISEÑO",IF(AND(X74&gt;P74,P74&gt;Y74),"BIEN","MAL")))</f>
        <v xml:space="preserve"> </v>
      </c>
      <c r="R74" s="860">
        <f>IF('CG. MPA'!F75="MACIZO",12/'RMCS.PA'!$P$25,9/'RMCS.PA'!$P$25)</f>
        <v>2.3999999999999998E-3</v>
      </c>
      <c r="S74" s="860">
        <f t="shared" si="41"/>
        <v>0</v>
      </c>
      <c r="T74" s="860">
        <f>IF(G74=0,0,IF(AND(G74=2,'RMCV.PA'!$E$17="III"),30,40))</f>
        <v>0</v>
      </c>
      <c r="U74" s="860">
        <f>IF(J74=0,0,IF(AND(J74=3,'RMCV.PA'!$E$17="I"),20,15))</f>
        <v>0</v>
      </c>
      <c r="V74" s="860">
        <f>IF(K74=0,0,IF(AND(K74=3.5,'RMCV.PA'!$E$17="I"),20,15))</f>
        <v>0</v>
      </c>
      <c r="W74" s="860">
        <f t="shared" si="42"/>
        <v>0</v>
      </c>
      <c r="X74" s="860">
        <f t="shared" si="43"/>
        <v>0</v>
      </c>
      <c r="Y74" s="860" t="e">
        <f>IF('CG. MPA'!E75="CONCRETO",0,IF(N74/(D74*$P$25*L74)&gt;3/$P$25,N74/(D74*$P$25*L74),3/$P$25))</f>
        <v>#DIV/0!</v>
      </c>
      <c r="Z74" s="862" t="e">
        <f t="shared" si="44"/>
        <v>#VALUE!</v>
      </c>
      <c r="AA74" s="860" t="e">
        <f t="shared" si="45"/>
        <v>#VALUE!</v>
      </c>
      <c r="AB74" s="863" t="e">
        <f t="shared" si="46"/>
        <v>#VALUE!</v>
      </c>
      <c r="AC74" s="864" t="str">
        <f t="shared" si="2"/>
        <v xml:space="preserve"> </v>
      </c>
      <c r="AD74" s="865" t="str">
        <f>IF(O74="pasa"," ",IF('CG. MPA'!E75="CONCRETO","F/DISEÑO",IF(AC74&gt;M74,"PASA","NO PASA")))</f>
        <v xml:space="preserve"> </v>
      </c>
      <c r="AE74" s="992" t="e">
        <f>$AE$23/($AE$26*'RMCV.PA'!C75)</f>
        <v>#DIV/0!</v>
      </c>
      <c r="AF74" s="986" t="e">
        <f t="shared" si="47"/>
        <v>#DIV/0!</v>
      </c>
      <c r="AG74" s="986">
        <f>IF(12/$AF$25&gt;'RMCV.PA'!F75*0.3/$AF$25,'RMCV.PA'!F75*0.3/$AF$25,12/$AF$25)</f>
        <v>0</v>
      </c>
      <c r="AH74" s="987" t="e">
        <f t="shared" si="48"/>
        <v>#DIV/0!</v>
      </c>
      <c r="AI74" s="986">
        <f>IF(9/$AF$25&gt;'RMCV.PA'!F75*0.3/$AF$25,'RMCV.PA'!F75*0.3/$AF$25,9/$AF$25)</f>
        <v>0</v>
      </c>
      <c r="AJ74" s="988" t="e">
        <f t="shared" si="49"/>
        <v>#DIV/0!</v>
      </c>
      <c r="AK74" s="989" t="e">
        <f t="shared" si="50"/>
        <v>#DIV/0!</v>
      </c>
      <c r="AL74" s="990">
        <f t="shared" si="51"/>
        <v>0</v>
      </c>
      <c r="AM74" s="1002">
        <f t="shared" si="52"/>
        <v>0</v>
      </c>
      <c r="AN74" s="991" t="str">
        <f>IF(O74="PASA"," ",IF('CG. MPA'!E64="CONCRETO","F/DISEÑO",IF(AM74&gt;M74,"PASA","NO PASA")))</f>
        <v xml:space="preserve"> </v>
      </c>
      <c r="AO74" s="1110" t="e">
        <f t="shared" si="14"/>
        <v>#VALUE!</v>
      </c>
    </row>
    <row r="75" spans="1:41" ht="15.75" hidden="1" thickBot="1">
      <c r="A75" s="850">
        <f>'CG. MPA'!A76</f>
        <v>48</v>
      </c>
      <c r="B75" s="851">
        <f>'RMCV.PA'!N76/1.3</f>
        <v>0</v>
      </c>
      <c r="C75" s="851">
        <f t="shared" si="39"/>
        <v>0</v>
      </c>
      <c r="D75" s="852">
        <f>IF('CG. MPA'!D76="NO CONFINADO",0.4,0.7)</f>
        <v>0.7</v>
      </c>
      <c r="E75" s="852">
        <f>IF('CG. MPA'!E76="CONCRETO",0.5*(0.8*#REF!)^0.5,F75+G75+J75+K75)</f>
        <v>0</v>
      </c>
      <c r="F75" s="852">
        <f>IF(AND('CG. MPA'!E76="TABIQUE",'CG. MPA'!F76="MACIZO"),IF('RMCV.PA'!$E$17="I",3.5,3),0)</f>
        <v>0</v>
      </c>
      <c r="G75" s="852">
        <f>IF(AND('CG. MPA'!E76="TABIQUE",'CG. MPA'!F76="HUECO"),IF('RMCV.PA'!$E$17="I",3,6.5),0)</f>
        <v>0</v>
      </c>
      <c r="H75" s="852">
        <f>IF('CG. MPA'!E76="ADOBE",0.3,0)</f>
        <v>0</v>
      </c>
      <c r="I75" s="852">
        <f>IF('CG. MPA'!E76="LIGERO",0.5,0)</f>
        <v>0</v>
      </c>
      <c r="J75" s="852">
        <f>IF(AND('CG. MPA'!E76="TABICON",'CG. MPA'!F76="MACIZO"),IF('RMCV.PA'!$E$17="I",3,2),0)</f>
        <v>0</v>
      </c>
      <c r="K75" s="852">
        <f>IF(AND('CG. MPA'!E76="TABICON",'CG. MPA'!F76="HUECO"),IF('RMCV.PA'!$E$17="I",3.5,2.5),0)</f>
        <v>0</v>
      </c>
      <c r="L75" s="853">
        <f>'RMCV.PA'!M76</f>
        <v>0</v>
      </c>
      <c r="M75" s="918">
        <f>ABS('ELEM. MECA.'!O53)</f>
        <v>0</v>
      </c>
      <c r="N75" s="957">
        <f t="shared" si="40"/>
        <v>0</v>
      </c>
      <c r="O75" s="854" t="str">
        <f>IF('CG. MPA'!E65="CONCRETO","F/DISEÑO",IF(M75&gt;N75,"NO PASA","PASA"))</f>
        <v>PASA</v>
      </c>
      <c r="P75" s="466" t="str">
        <f>IF(O75="pasa"," ",$P$24/('RMCV.PA'!C76*100))</f>
        <v xml:space="preserve"> </v>
      </c>
      <c r="Q75" s="861" t="str">
        <f>IF(O75="pasa"," ",IF('CG. MPA'!E76="CONCRETO","F/DISEÑO",IF(AND(X75&gt;P75,P75&gt;Y75),"BIEN","MAL")))</f>
        <v xml:space="preserve"> </v>
      </c>
      <c r="R75" s="860">
        <f>IF('CG. MPA'!F76="MACIZO",12/'RMCS.PA'!$P$25,9/'RMCS.PA'!$P$25)</f>
        <v>2.3999999999999998E-3</v>
      </c>
      <c r="S75" s="860">
        <f t="shared" si="41"/>
        <v>0</v>
      </c>
      <c r="T75" s="860">
        <f>IF(G75=0,0,IF(AND(G75=2,'RMCV.PA'!$E$17="III"),30,40))</f>
        <v>0</v>
      </c>
      <c r="U75" s="860">
        <f>IF(J75=0,0,IF(AND(J75=3,'RMCV.PA'!$E$17="I"),20,15))</f>
        <v>0</v>
      </c>
      <c r="V75" s="860">
        <f>IF(K75=0,0,IF(AND(K75=3.5,'RMCV.PA'!$E$17="I"),20,15))</f>
        <v>0</v>
      </c>
      <c r="W75" s="860">
        <f t="shared" si="42"/>
        <v>0</v>
      </c>
      <c r="X75" s="860">
        <f t="shared" si="43"/>
        <v>0</v>
      </c>
      <c r="Y75" s="860" t="e">
        <f>IF('CG. MPA'!E76="CONCRETO",0,IF(N75/(D75*$P$25*L75)&gt;3/$P$25,N75/(D75*$P$25*L75),3/$P$25))</f>
        <v>#DIV/0!</v>
      </c>
      <c r="Z75" s="862" t="e">
        <f t="shared" si="44"/>
        <v>#VALUE!</v>
      </c>
      <c r="AA75" s="860" t="e">
        <f t="shared" si="45"/>
        <v>#VALUE!</v>
      </c>
      <c r="AB75" s="863" t="e">
        <f t="shared" si="46"/>
        <v>#VALUE!</v>
      </c>
      <c r="AC75" s="864" t="str">
        <f t="shared" si="2"/>
        <v xml:space="preserve"> </v>
      </c>
      <c r="AD75" s="865" t="str">
        <f>IF(O75="pasa"," ",IF('CG. MPA'!E76="CONCRETO","F/DISEÑO",IF(AC75&gt;M75,"PASA","NO PASA")))</f>
        <v xml:space="preserve"> </v>
      </c>
      <c r="AE75" s="992" t="e">
        <f>$AE$23/($AE$26*'RMCV.PA'!C76)</f>
        <v>#DIV/0!</v>
      </c>
      <c r="AF75" s="986" t="e">
        <f t="shared" si="47"/>
        <v>#DIV/0!</v>
      </c>
      <c r="AG75" s="986">
        <f>IF(12/$AF$25&gt;'RMCV.PA'!F76*0.3/$AF$25,'RMCV.PA'!F76*0.3/$AF$25,12/$AF$25)</f>
        <v>0</v>
      </c>
      <c r="AH75" s="987" t="e">
        <f t="shared" si="48"/>
        <v>#DIV/0!</v>
      </c>
      <c r="AI75" s="986">
        <f>IF(9/$AF$25&gt;'RMCV.PA'!F76*0.3/$AF$25,'RMCV.PA'!F76*0.3/$AF$25,9/$AF$25)</f>
        <v>0</v>
      </c>
      <c r="AJ75" s="988" t="e">
        <f t="shared" si="49"/>
        <v>#DIV/0!</v>
      </c>
      <c r="AK75" s="989" t="e">
        <f t="shared" si="50"/>
        <v>#DIV/0!</v>
      </c>
      <c r="AL75" s="990">
        <f t="shared" si="51"/>
        <v>0</v>
      </c>
      <c r="AM75" s="1002">
        <f t="shared" si="52"/>
        <v>0</v>
      </c>
      <c r="AN75" s="991" t="str">
        <f>IF(O75="PASA"," ",IF('CG. MPA'!E65="CONCRETO","F/DISEÑO",IF(AM75&gt;M75,"PASA","NO PASA")))</f>
        <v xml:space="preserve"> </v>
      </c>
      <c r="AO75" s="1110" t="e">
        <f t="shared" si="14"/>
        <v>#VALUE!</v>
      </c>
    </row>
    <row r="76" spans="1:41" ht="15.75" hidden="1" thickBot="1">
      <c r="A76" s="850">
        <f>'CG. MPA'!A77</f>
        <v>49</v>
      </c>
      <c r="B76" s="851">
        <f>'RMCV.PA'!N77/1.3</f>
        <v>0</v>
      </c>
      <c r="C76" s="851">
        <f t="shared" si="39"/>
        <v>0</v>
      </c>
      <c r="D76" s="852">
        <f>IF('CG. MPA'!D77="NO CONFINADO",0.4,0.7)</f>
        <v>0.7</v>
      </c>
      <c r="E76" s="852">
        <f>IF('CG. MPA'!E77="CONCRETO",0.5*(0.8*#REF!)^0.5,F76+G76+J76+K76)</f>
        <v>0</v>
      </c>
      <c r="F76" s="852">
        <f>IF(AND('CG. MPA'!E77="TABIQUE",'CG. MPA'!F77="MACIZO"),IF('RMCV.PA'!$E$17="I",3.5,3),0)</f>
        <v>0</v>
      </c>
      <c r="G76" s="852">
        <f>IF(AND('CG. MPA'!E77="TABIQUE",'CG. MPA'!F77="HUECO"),IF('RMCV.PA'!$E$17="I",3,6.5),0)</f>
        <v>0</v>
      </c>
      <c r="H76" s="852">
        <f>IF('CG. MPA'!E77="ADOBE",0.3,0)</f>
        <v>0</v>
      </c>
      <c r="I76" s="852">
        <f>IF('CG. MPA'!E77="LIGERO",0.5,0)</f>
        <v>0</v>
      </c>
      <c r="J76" s="852">
        <f>IF(AND('CG. MPA'!E77="TABICON",'CG. MPA'!F77="MACIZO"),IF('RMCV.PA'!$E$17="I",3,2),0)</f>
        <v>0</v>
      </c>
      <c r="K76" s="852">
        <f>IF(AND('CG. MPA'!E77="TABICON",'CG. MPA'!F77="HUECO"),IF('RMCV.PA'!$E$17="I",3.5,2.5),0)</f>
        <v>0</v>
      </c>
      <c r="L76" s="853">
        <f>'RMCV.PA'!M77</f>
        <v>0</v>
      </c>
      <c r="M76" s="918">
        <f>ABS('ELEM. MECA.'!O54)</f>
        <v>0</v>
      </c>
      <c r="N76" s="957">
        <f t="shared" si="40"/>
        <v>0</v>
      </c>
      <c r="O76" s="854" t="str">
        <f>IF('CG. MPA'!E66="CONCRETO","F/DISEÑO",IF(M76&gt;N76,"NO PASA","PASA"))</f>
        <v>PASA</v>
      </c>
      <c r="P76" s="466" t="str">
        <f>IF(O76="pasa"," ",$P$24/('RMCV.PA'!C77*100))</f>
        <v xml:space="preserve"> </v>
      </c>
      <c r="Q76" s="861" t="str">
        <f>IF(O76="pasa"," ",IF('CG. MPA'!E77="CONCRETO","F/DISEÑO",IF(AND(X76&gt;P76,P76&gt;Y76),"BIEN","MAL")))</f>
        <v xml:space="preserve"> </v>
      </c>
      <c r="R76" s="860">
        <f>IF('CG. MPA'!F77="MACIZO",12/'RMCS.PA'!$P$25,9/'RMCS.PA'!$P$25)</f>
        <v>2.3999999999999998E-3</v>
      </c>
      <c r="S76" s="860">
        <f t="shared" si="41"/>
        <v>0</v>
      </c>
      <c r="T76" s="860">
        <f>IF(G76=0,0,IF(AND(G76=2,'RMCV.PA'!$E$17="III"),30,40))</f>
        <v>0</v>
      </c>
      <c r="U76" s="860">
        <f>IF(J76=0,0,IF(AND(J76=3,'RMCV.PA'!$E$17="I"),20,15))</f>
        <v>0</v>
      </c>
      <c r="V76" s="860">
        <f>IF(K76=0,0,IF(AND(K76=3.5,'RMCV.PA'!$E$17="I"),20,15))</f>
        <v>0</v>
      </c>
      <c r="W76" s="860">
        <f t="shared" si="42"/>
        <v>0</v>
      </c>
      <c r="X76" s="860">
        <f t="shared" si="43"/>
        <v>0</v>
      </c>
      <c r="Y76" s="860" t="e">
        <f>IF('CG. MPA'!E77="CONCRETO",0,IF(N76/(D76*$P$25*L76)&gt;3/$P$25,N76/(D76*$P$25*L76),3/$P$25))</f>
        <v>#DIV/0!</v>
      </c>
      <c r="Z76" s="862" t="e">
        <f t="shared" si="44"/>
        <v>#VALUE!</v>
      </c>
      <c r="AA76" s="860" t="e">
        <f t="shared" si="45"/>
        <v>#VALUE!</v>
      </c>
      <c r="AB76" s="863" t="e">
        <f t="shared" si="46"/>
        <v>#VALUE!</v>
      </c>
      <c r="AC76" s="864" t="str">
        <f t="shared" si="2"/>
        <v xml:space="preserve"> </v>
      </c>
      <c r="AD76" s="865" t="str">
        <f>IF(O76="pasa"," ",IF('CG. MPA'!E77="CONCRETO","F/DISEÑO",IF(AC76&gt;M76,"PASA","NO PASA")))</f>
        <v xml:space="preserve"> </v>
      </c>
      <c r="AE76" s="992" t="e">
        <f>$AE$23/($AE$26*'RMCV.PA'!C77)</f>
        <v>#DIV/0!</v>
      </c>
      <c r="AF76" s="986" t="e">
        <f t="shared" si="47"/>
        <v>#DIV/0!</v>
      </c>
      <c r="AG76" s="986">
        <f>IF(12/$AF$25&gt;'RMCV.PA'!F77*0.3/$AF$25,'RMCV.PA'!F77*0.3/$AF$25,12/$AF$25)</f>
        <v>0</v>
      </c>
      <c r="AH76" s="987" t="e">
        <f t="shared" si="48"/>
        <v>#DIV/0!</v>
      </c>
      <c r="AI76" s="986">
        <f>IF(9/$AF$25&gt;'RMCV.PA'!F77*0.3/$AF$25,'RMCV.PA'!F77*0.3/$AF$25,9/$AF$25)</f>
        <v>0</v>
      </c>
      <c r="AJ76" s="988" t="e">
        <f t="shared" si="49"/>
        <v>#DIV/0!</v>
      </c>
      <c r="AK76" s="989" t="e">
        <f t="shared" si="50"/>
        <v>#DIV/0!</v>
      </c>
      <c r="AL76" s="990">
        <f t="shared" si="51"/>
        <v>0</v>
      </c>
      <c r="AM76" s="1002">
        <f t="shared" si="52"/>
        <v>0</v>
      </c>
      <c r="AN76" s="991" t="str">
        <f>IF(O76="PASA"," ",IF('CG. MPA'!E66="CONCRETO","F/DISEÑO",IF(AM76&gt;M76,"PASA","NO PASA")))</f>
        <v xml:space="preserve"> </v>
      </c>
      <c r="AO76" s="1110" t="e">
        <f t="shared" si="14"/>
        <v>#VALUE!</v>
      </c>
    </row>
    <row r="77" spans="1:41" ht="15.75" hidden="1" thickBot="1">
      <c r="A77" s="850">
        <f>'CG. MPA'!A78</f>
        <v>50</v>
      </c>
      <c r="B77" s="851">
        <f>'RMCV.PA'!N78/1.3</f>
        <v>0</v>
      </c>
      <c r="C77" s="851">
        <f t="shared" si="39"/>
        <v>0</v>
      </c>
      <c r="D77" s="852">
        <f>IF('CG. MPA'!D78="NO CONFINADO",0.4,0.7)</f>
        <v>0.7</v>
      </c>
      <c r="E77" s="852">
        <f>IF('CG. MPA'!E78="CONCRETO",0.5*(0.8*#REF!)^0.5,F77+G77+J77+K77)</f>
        <v>0</v>
      </c>
      <c r="F77" s="852">
        <f>IF(AND('CG. MPA'!E78="TABIQUE",'CG. MPA'!F78="MACIZO"),IF('RMCV.PA'!$E$17="I",3.5,3),0)</f>
        <v>0</v>
      </c>
      <c r="G77" s="852">
        <f>IF(AND('CG. MPA'!E78="TABIQUE",'CG. MPA'!F78="HUECO"),IF('RMCV.PA'!$E$17="I",3,6.5),0)</f>
        <v>0</v>
      </c>
      <c r="H77" s="852">
        <f>IF('CG. MPA'!E78="ADOBE",0.3,0)</f>
        <v>0</v>
      </c>
      <c r="I77" s="852">
        <f>IF('CG. MPA'!E78="LIGERO",0.5,0)</f>
        <v>0</v>
      </c>
      <c r="J77" s="852">
        <f>IF(AND('CG. MPA'!E78="TABICON",'CG. MPA'!F78="MACIZO"),IF('RMCV.PA'!$E$17="I",3,2),0)</f>
        <v>0</v>
      </c>
      <c r="K77" s="852">
        <f>IF(AND('CG. MPA'!E78="TABICON",'CG. MPA'!F78="HUECO"),IF('RMCV.PA'!$E$17="I",3.5,2.5),0)</f>
        <v>0</v>
      </c>
      <c r="L77" s="853">
        <f>'RMCV.PA'!M78</f>
        <v>0</v>
      </c>
      <c r="M77" s="918">
        <f>ABS('ELEM. MECA.'!O55)</f>
        <v>0</v>
      </c>
      <c r="N77" s="957">
        <f t="shared" si="40"/>
        <v>0</v>
      </c>
      <c r="O77" s="854" t="str">
        <f>IF('CG. MPA'!E67="CONCRETO","F/DISEÑO",IF(M77&gt;N77,"NO PASA","PASA"))</f>
        <v>PASA</v>
      </c>
      <c r="P77" s="466" t="str">
        <f>IF(O77="pasa"," ",$P$24/('RMCV.PA'!C78*100))</f>
        <v xml:space="preserve"> </v>
      </c>
      <c r="Q77" s="861" t="str">
        <f>IF(O77="pasa"," ",IF('CG. MPA'!E78="CONCRETO","F/DISEÑO",IF(AND(X77&gt;P77,P77&gt;Y77),"BIEN","MAL")))</f>
        <v xml:space="preserve"> </v>
      </c>
      <c r="R77" s="860">
        <f>IF('CG. MPA'!F78="MACIZO",12/'RMCS.PA'!$P$25,9/'RMCS.PA'!$P$25)</f>
        <v>2.3999999999999998E-3</v>
      </c>
      <c r="S77" s="860">
        <f t="shared" si="41"/>
        <v>0</v>
      </c>
      <c r="T77" s="860">
        <f>IF(G77=0,0,IF(AND(G77=2,'RMCV.PA'!$E$17="III"),30,40))</f>
        <v>0</v>
      </c>
      <c r="U77" s="860">
        <f>IF(J77=0,0,IF(AND(J77=3,'RMCV.PA'!$E$17="I"),20,15))</f>
        <v>0</v>
      </c>
      <c r="V77" s="860">
        <f>IF(K77=0,0,IF(AND(K77=3.5,'RMCV.PA'!$E$17="I"),20,15))</f>
        <v>0</v>
      </c>
      <c r="W77" s="860">
        <f t="shared" si="42"/>
        <v>0</v>
      </c>
      <c r="X77" s="860">
        <f t="shared" si="43"/>
        <v>0</v>
      </c>
      <c r="Y77" s="860" t="e">
        <f>IF('CG. MPA'!E78="CONCRETO",0,IF(N77/(D77*$P$25*L77)&gt;3/$P$25,N77/(D77*$P$25*L77),3/$P$25))</f>
        <v>#DIV/0!</v>
      </c>
      <c r="Z77" s="862" t="e">
        <f t="shared" si="44"/>
        <v>#VALUE!</v>
      </c>
      <c r="AA77" s="860" t="e">
        <f t="shared" si="45"/>
        <v>#VALUE!</v>
      </c>
      <c r="AB77" s="863" t="e">
        <f t="shared" si="46"/>
        <v>#VALUE!</v>
      </c>
      <c r="AC77" s="864" t="str">
        <f t="shared" si="2"/>
        <v xml:space="preserve"> </v>
      </c>
      <c r="AD77" s="865" t="str">
        <f>IF(O77="pasa"," ",IF('CG. MPA'!E78="CONCRETO","F/DISEÑO",IF(AC77&gt;M77,"PASA","NO PASA")))</f>
        <v xml:space="preserve"> </v>
      </c>
      <c r="AE77" s="992" t="e">
        <f>$AE$23/($AE$26*'RMCV.PA'!C78)</f>
        <v>#DIV/0!</v>
      </c>
      <c r="AF77" s="986" t="e">
        <f t="shared" si="47"/>
        <v>#DIV/0!</v>
      </c>
      <c r="AG77" s="986">
        <f>IF(12/$AF$25&gt;'RMCV.PA'!F78*0.3/$AF$25,'RMCV.PA'!F78*0.3/$AF$25,12/$AF$25)</f>
        <v>0</v>
      </c>
      <c r="AH77" s="987" t="e">
        <f t="shared" si="48"/>
        <v>#DIV/0!</v>
      </c>
      <c r="AI77" s="986">
        <f>IF(9/$AF$25&gt;'RMCV.PA'!F78*0.3/$AF$25,'RMCV.PA'!F78*0.3/$AF$25,9/$AF$25)</f>
        <v>0</v>
      </c>
      <c r="AJ77" s="988" t="e">
        <f t="shared" si="49"/>
        <v>#DIV/0!</v>
      </c>
      <c r="AK77" s="989" t="e">
        <f t="shared" si="50"/>
        <v>#DIV/0!</v>
      </c>
      <c r="AL77" s="990">
        <f t="shared" si="51"/>
        <v>0</v>
      </c>
      <c r="AM77" s="1002">
        <f t="shared" si="52"/>
        <v>0</v>
      </c>
      <c r="AN77" s="991" t="str">
        <f>IF(O77="PASA"," ",IF('CG. MPA'!E67="CONCRETO","F/DISEÑO",IF(AM77&gt;M77,"PASA","NO PASA")))</f>
        <v xml:space="preserve"> </v>
      </c>
      <c r="AO77" s="1110" t="e">
        <f t="shared" si="14"/>
        <v>#VALUE!</v>
      </c>
    </row>
    <row r="78" spans="1:41" ht="15.75">
      <c r="A78" s="855" t="s">
        <v>88</v>
      </c>
      <c r="B78" s="856"/>
      <c r="C78" s="856"/>
      <c r="D78" s="857"/>
      <c r="E78" s="857"/>
      <c r="F78" s="857"/>
      <c r="G78" s="857"/>
      <c r="H78" s="857"/>
      <c r="I78" s="857"/>
      <c r="J78" s="857"/>
      <c r="K78" s="857"/>
      <c r="L78" s="858"/>
      <c r="M78" s="958"/>
      <c r="N78" s="959"/>
      <c r="O78" s="859"/>
      <c r="P78" s="866"/>
      <c r="Q78" s="867"/>
      <c r="R78" s="866"/>
      <c r="S78" s="866"/>
      <c r="T78" s="866"/>
      <c r="U78" s="866">
        <f>IF(J78=0,0,IF(AND(J78=3,'RMCV.PA'!$E$17="I"),20,15))</f>
        <v>0</v>
      </c>
      <c r="V78" s="866">
        <f>IF(K78=0,0,IF(AND(K78=3.5,'RMCV.PA'!$E$17="I"),20,15))</f>
        <v>0</v>
      </c>
      <c r="W78" s="866"/>
      <c r="X78" s="866"/>
      <c r="Y78" s="866"/>
      <c r="Z78" s="866"/>
      <c r="AA78" s="866"/>
      <c r="AB78" s="866"/>
      <c r="AC78" s="868"/>
      <c r="AD78" s="869"/>
      <c r="AE78" s="993"/>
      <c r="AF78" s="993"/>
      <c r="AG78" s="993"/>
      <c r="AH78" s="993"/>
      <c r="AI78" s="993"/>
      <c r="AJ78" s="993"/>
      <c r="AK78" s="993"/>
      <c r="AL78" s="993"/>
      <c r="AM78" s="1003"/>
      <c r="AN78" s="994"/>
      <c r="AO78" s="1110" t="e">
        <f t="shared" si="14"/>
        <v>#DIV/0!</v>
      </c>
    </row>
    <row r="79" spans="1:41">
      <c r="A79" s="850">
        <f>'CG. MPA'!A80</f>
        <v>1</v>
      </c>
      <c r="B79" s="851">
        <f>'RMCV.PA'!N80/1.3</f>
        <v>2756.0190772144979</v>
      </c>
      <c r="C79" s="851">
        <f>(0.3*B79)</f>
        <v>826.80572316434939</v>
      </c>
      <c r="D79" s="852">
        <f>IF('CG. MPA'!D80="NO CONFINADO",0.4,0.7)</f>
        <v>0.7</v>
      </c>
      <c r="E79" s="852">
        <f>IF('CG. MPA'!E80="CONCRETO",0.5*(0.8*250)^0.5,F79+G79+J79+K79)</f>
        <v>3</v>
      </c>
      <c r="F79" s="852">
        <f>IF(AND('CG. MPA'!E80="TABIQUE",'CG. MPA'!F80="MACIZO"),IF('RMCV.PA'!$E$17="I",3.5,3),0)</f>
        <v>0</v>
      </c>
      <c r="G79" s="852">
        <f>IF(AND('CG. MPA'!E80="TABIQUE",'CG. MPA'!F80="HUECO"),IF('RMCV.PA'!$E$17="I",3,5.5),0)</f>
        <v>0</v>
      </c>
      <c r="H79" s="852">
        <f>IF('CG. MPA'!E80="ADOBE",0.3,0)</f>
        <v>0</v>
      </c>
      <c r="I79" s="852">
        <f>IF('CG. MPA'!E80="LIGERO",0.5,0)</f>
        <v>0</v>
      </c>
      <c r="J79" s="852">
        <f>IF(AND('CG. MPA'!E80="TABICON",'CG. MPA'!F80="MACIZO"),IF('RMCV.PA'!$E$17="I",3,2),0)</f>
        <v>3</v>
      </c>
      <c r="K79" s="852">
        <f>IF(AND('CG. MPA'!E80="TABICON",'CG. MPA'!F80="HUECO"),IF('RMCV.PA'!$E$17="I",3.5,2.5),0)</f>
        <v>0</v>
      </c>
      <c r="L79" s="853">
        <f>'RMCV.PA'!M80</f>
        <v>1538.2499999999991</v>
      </c>
      <c r="M79" s="960">
        <f>ABS('ELEM. MECA.'!O207)</f>
        <v>2110.0551019103332</v>
      </c>
      <c r="N79" s="957">
        <f t="shared" ref="N79:N80" si="53">IF(((D79*E79*L79*0.5)+(D79*C79))&lt;(D79*E79*L79*1.5),((D79*E79*L79*0.5)+(D79*C79)),(D79*E79*L79*1.5))</f>
        <v>2193.9265062150434</v>
      </c>
      <c r="O79" s="854" t="str">
        <f>IF('CG. MPA'!E80="CONCRETO","F/DISEÑO",IF(M79&gt;N79,"NO PASA","PASA"))</f>
        <v>PASA</v>
      </c>
      <c r="P79" s="860" t="str">
        <f>IF(O79="pasa"," ",$P$24/('RMCV.PA'!C80*100))</f>
        <v xml:space="preserve"> </v>
      </c>
      <c r="Q79" s="861" t="str">
        <f>IF(O79="pasa"," ",IF('CG. MPA'!E80="CONCRETO","F/DISEÑO",IF(AND(X79&gt;P79,P79&gt;Y79),"BIEN","MAL")))</f>
        <v xml:space="preserve"> </v>
      </c>
      <c r="R79" s="860">
        <f>IF('CG. MPA'!F80="MACIZO",12/'RMCS.PA'!$P$25,9/'RMCS.PA'!$P$25)</f>
        <v>2.3999999999999998E-3</v>
      </c>
      <c r="S79" s="860">
        <f>IF(F79&gt;0,15,0)</f>
        <v>0</v>
      </c>
      <c r="T79" s="860">
        <f>IF(G79=0,0,IF(AND(G79=2,'RMCV.PA'!E17="III"),30,40))</f>
        <v>0</v>
      </c>
      <c r="U79" s="860">
        <f>IF(J79=0,0,IF(AND(J79=3,'RMCV.PA'!$E$17="I"),20,15))</f>
        <v>20</v>
      </c>
      <c r="V79" s="860">
        <f>IF(K79=0,0,IF(AND(K79=3.5,'RMCV.PA'!$E$17="I"),20,15))</f>
        <v>0</v>
      </c>
      <c r="W79" s="860">
        <f>(S79+T79+U79+V79)*0.3/$P$25</f>
        <v>1.1999999999999999E-3</v>
      </c>
      <c r="X79" s="860">
        <f>IF(R79&gt;W79,W79,R79)</f>
        <v>1.1999999999999999E-3</v>
      </c>
      <c r="Y79" s="860">
        <f>IF('CG. MPA'!E80="CONCRETO",0,IF(N79/(D79*$P$25*L79)&gt;3/$P$25,N79/(D79*$P$25*L79),3/$P$25))</f>
        <v>5.9999999999999995E-4</v>
      </c>
      <c r="Z79" s="862" t="e">
        <f>P79*$P$25</f>
        <v>#VALUE!</v>
      </c>
      <c r="AA79" s="860" t="e">
        <f>IF(6&gt;Z79,0.6,IF(Z79&gt;9,0.2,(0.4*(9-Z79)/3)+0.2))</f>
        <v>#VALUE!</v>
      </c>
      <c r="AB79" s="863" t="e">
        <f>D79*AA79*P79*$P$25*L79</f>
        <v>#VALUE!</v>
      </c>
      <c r="AC79" s="864" t="str">
        <f>IF(O79="pasa"," ",AB79+N79)</f>
        <v xml:space="preserve"> </v>
      </c>
      <c r="AD79" s="865" t="str">
        <f>IF(O79="pasa"," ",IF('CG. MPA'!E80="CONCRETO","F/DISEÑO",IF(AC79&gt;M79,"PASA","NO PASA")))</f>
        <v xml:space="preserve"> </v>
      </c>
      <c r="AE79" s="986">
        <f>$AE$23/($AE$26*'RMCV.PA'!C80)</f>
        <v>2.3333333333333331E-3</v>
      </c>
      <c r="AF79" s="986">
        <f t="shared" ref="AF79:AF82" si="54">IF(3/$AF$25&gt;N79/(D79*L79*$AF$25),3/$AF$25,N79/(D79*L79*$AF$25))</f>
        <v>5.0000000000000001E-4</v>
      </c>
      <c r="AG79" s="986">
        <f>IF(12/$AF$25&gt;'RMCV.PA'!F80*0.3/$AF$25,'RMCV.PA'!F80*0.3/$AF$25,12/$AF$25)</f>
        <v>1E-3</v>
      </c>
      <c r="AH79" s="987" t="str">
        <f>IF(AND(AE79&gt;AF79,AG79&gt;AE79),"BIEN","MAL")</f>
        <v>MAL</v>
      </c>
      <c r="AI79" s="986">
        <f>IF(9/$AF$25&gt;'RMCV.PA'!F80*0.3/$AF$25,'RMCV.PA'!F80*0.3/$AF$25,9/$AF$25)</f>
        <v>1E-3</v>
      </c>
      <c r="AJ79" s="988" t="str">
        <f>IF(AND(AE79&gt;AF79,AI79&gt;AE79),"BIEN","MAL")</f>
        <v>MAL</v>
      </c>
      <c r="AK79" s="989">
        <f>IF(6&gt;AE79*$AF$25,0.6,IF(AE79*$AF$25&gt;9,0.2,0.6-(0.4*(AE79*$AF$25-6))/3))</f>
        <v>0.2</v>
      </c>
      <c r="AL79" s="990">
        <f t="shared" ref="AL79:AL82" si="55">IF(O79="PASA",0,D79*AK79*AE79*$AF$25*L79)</f>
        <v>0</v>
      </c>
      <c r="AM79" s="1002">
        <f>AL79+N79</f>
        <v>2193.9265062150434</v>
      </c>
      <c r="AN79" s="991" t="str">
        <f>IF(O79="PASA"," ",IF('CG. MPA'!E80="CONCRETO","F/DISEÑO",IF(AM79&gt;N79,"PASA","NO PASA")))</f>
        <v xml:space="preserve"> </v>
      </c>
      <c r="AO79" s="1110" t="e">
        <f>IF(M79/AC79&gt;0,M79/AC79," ")</f>
        <v>#VALUE!</v>
      </c>
    </row>
    <row r="80" spans="1:41">
      <c r="A80" s="850">
        <f>'CG. MPA'!A81</f>
        <v>2</v>
      </c>
      <c r="B80" s="851">
        <f>'RMCV.PA'!N81/1.3</f>
        <v>4437.5101660872715</v>
      </c>
      <c r="C80" s="851">
        <f>(0.3*B80)</f>
        <v>1331.2530498261815</v>
      </c>
      <c r="D80" s="852">
        <f>IF('CG. MPA'!D81="NO CONFINADO",0.4,0.7)</f>
        <v>0.7</v>
      </c>
      <c r="E80" s="852">
        <f>IF('CG. MPA'!E81="CONCRETO",0.5*(0.8*250)^0.5,F80+G80+J80+K80)</f>
        <v>3</v>
      </c>
      <c r="F80" s="852">
        <f>IF(AND('CG. MPA'!E81="TABIQUE",'CG. MPA'!F81="MACIZO"),IF('RMCV.PA'!$E$17="I",3.5,3),0)</f>
        <v>0</v>
      </c>
      <c r="G80" s="852">
        <f>IF(AND('CG. MPA'!E81="TABIQUE",'CG. MPA'!F81="HUECO"),IF('RMCV.PA'!$E$17="I",3,5.5),0)</f>
        <v>0</v>
      </c>
      <c r="H80" s="852">
        <f>IF('CG. MPA'!E81="ADOBE",0.3,0)</f>
        <v>0</v>
      </c>
      <c r="I80" s="852">
        <f>IF('CG. MPA'!E81="LIGERO",0.5,0)</f>
        <v>0</v>
      </c>
      <c r="J80" s="852">
        <f>IF(AND('CG. MPA'!E81="TABICON",'CG. MPA'!F81="MACIZO"),IF('RMCV.PA'!$E$17="I",3,2),0)</f>
        <v>3</v>
      </c>
      <c r="K80" s="852">
        <f>IF(AND('CG. MPA'!E81="TABICON",'CG. MPA'!F81="HUECO"),IF('RMCV.PA'!$E$17="I",3.5,2.5),0)</f>
        <v>0</v>
      </c>
      <c r="L80" s="853">
        <f>'RMCV.PA'!M81</f>
        <v>1955.2500000000007</v>
      </c>
      <c r="M80" s="960">
        <f>ABS('ELEM. MECA.'!O208)</f>
        <v>5421.1790329408459</v>
      </c>
      <c r="N80" s="957">
        <f t="shared" si="53"/>
        <v>2984.8896348783273</v>
      </c>
      <c r="O80" s="854" t="str">
        <f>IF('CG. MPA'!E81="CONCRETO","F/DISEÑO",IF(M80&gt;N80,"NO PASA","PASA"))</f>
        <v>NO PASA</v>
      </c>
      <c r="P80" s="860">
        <f>IF(O80="pasa"," ",$P$24/('RMCV.PA'!C81*100))</f>
        <v>8.1333333333333333E-4</v>
      </c>
      <c r="Q80" s="861" t="str">
        <f>IF(O80="pasa"," ",IF('CG. MPA'!E81="CONCRETO","F/DISEÑO",IF(AND(X80&gt;P80,P80&gt;Y80),"BIEN","MAL")))</f>
        <v>BIEN</v>
      </c>
      <c r="R80" s="860">
        <f>IF('CG. MPA'!F81="MACIZO",12/'RMCS.PA'!$P$25,9/'RMCS.PA'!$P$25)</f>
        <v>2.3999999999999998E-3</v>
      </c>
      <c r="S80" s="860">
        <f>IF(F80&gt;0,15,0)</f>
        <v>0</v>
      </c>
      <c r="T80" s="860">
        <f>IF(G80=0,0,IF(AND(G80=2,'RMCV.PA'!E18="III"),30,40))</f>
        <v>0</v>
      </c>
      <c r="U80" s="860">
        <f>IF(J80=0,0,IF(AND(J80=3,'RMCV.PA'!$E$17="I"),20,15))</f>
        <v>20</v>
      </c>
      <c r="V80" s="860">
        <f>IF(K80=0,0,IF(AND(K80=3.5,'RMCV.PA'!$E$17="I"),20,15))</f>
        <v>0</v>
      </c>
      <c r="W80" s="860">
        <f>(S80+T80+U80+V80)*0.3/$P$25</f>
        <v>1.1999999999999999E-3</v>
      </c>
      <c r="X80" s="860">
        <f>IF(R80&gt;W80,W80,R80)</f>
        <v>1.1999999999999999E-3</v>
      </c>
      <c r="Y80" s="860">
        <f>IF('CG. MPA'!E81="CONCRETO",0,IF(N80/(D80*$P$25*L80)&gt;3/$P$25,N80/(D80*$P$25*L80),3/$P$25))</f>
        <v>5.9999999999999995E-4</v>
      </c>
      <c r="Z80" s="862">
        <f>P80*$P$25</f>
        <v>4.0666666666666664</v>
      </c>
      <c r="AA80" s="860">
        <f>IF(6&gt;Z80,0.6,IF(Z80&gt;9,0.2,(0.4*(9-Z80)/3)+0.2))</f>
        <v>0.6</v>
      </c>
      <c r="AB80" s="863">
        <f>D80*AA80*P80*$P$25*L80</f>
        <v>3339.5670000000009</v>
      </c>
      <c r="AC80" s="864">
        <f>IF(O80="pasa"," ",AB80+N80)</f>
        <v>6324.4566348783283</v>
      </c>
      <c r="AD80" s="865" t="str">
        <f>IF(O80="pasa"," ",IF('CG. MPA'!E81="CONCRETO","F/DISEÑO",IF(AC80&gt;M80,"PASA","NO PASA")))</f>
        <v>PASA</v>
      </c>
      <c r="AE80" s="986">
        <f>$AE$23/($AE$26*'RMCV.PA'!C81)</f>
        <v>2.3333333333333331E-3</v>
      </c>
      <c r="AF80" s="986">
        <f t="shared" si="54"/>
        <v>5.0000000000000001E-4</v>
      </c>
      <c r="AG80" s="986">
        <f>IF(12/$AF$25&gt;'RMCV.PA'!F81*0.3/$AF$25,'RMCV.PA'!F81*0.3/$AF$25,12/$AF$25)</f>
        <v>7.5000000000000002E-4</v>
      </c>
      <c r="AH80" s="987" t="str">
        <f t="shared" ref="AH80:AH82" si="56">IF(AND(AE80&gt;AF80,AG80&gt;AE80),"BIEN","MAL")</f>
        <v>MAL</v>
      </c>
      <c r="AI80" s="986">
        <f>IF(9/$AF$25&gt;'RMCV.PA'!F81*0.3/$AF$25,'RMCV.PA'!F81*0.3/$AF$25,9/$AF$25)</f>
        <v>7.5000000000000002E-4</v>
      </c>
      <c r="AJ80" s="988" t="str">
        <f t="shared" ref="AJ80:AJ82" si="57">IF(AND(AE80&gt;AF80,AI80&gt;AE80),"BIEN","MAL")</f>
        <v>MAL</v>
      </c>
      <c r="AK80" s="989">
        <f t="shared" ref="AK80:AK82" si="58">IF(6&gt;AE80*$AF$25,0.6,IF(AE80*$AF$25&gt;9,0.2,0.6-(0.4*(AE80*$AF$25-6))/3))</f>
        <v>0.2</v>
      </c>
      <c r="AL80" s="990">
        <f t="shared" si="55"/>
        <v>3832.2900000000009</v>
      </c>
      <c r="AM80" s="1002">
        <f t="shared" ref="AM80:AM82" si="59">AL80+N80</f>
        <v>6817.1796348783282</v>
      </c>
      <c r="AN80" s="991" t="str">
        <f>IF(O80="PASA"," ",IF('CG. MPA'!E81="CONCRETO","F/DISEÑO",IF(AM80&gt;N80,"PASA","NO PASA")))</f>
        <v>PASA</v>
      </c>
      <c r="AO80" s="1110">
        <f t="shared" si="14"/>
        <v>0.85717704237925252</v>
      </c>
    </row>
    <row r="81" spans="1:41">
      <c r="A81" s="850">
        <f>'CG. MPA'!A82</f>
        <v>3</v>
      </c>
      <c r="B81" s="851">
        <f>'RMCV.PA'!N82/1.3</f>
        <v>2527.2745005855559</v>
      </c>
      <c r="C81" s="851">
        <f>(0.3*B81)</f>
        <v>758.18235017566678</v>
      </c>
      <c r="D81" s="852">
        <f>IF('CG. MPA'!D82="NO CONFINADO",0.4,0.7)</f>
        <v>0.7</v>
      </c>
      <c r="E81" s="852">
        <f>IF('CG. MPA'!E82="CONCRETO",0.5*(0.8*250)^0.5,F81+G81+J81+K81)</f>
        <v>3</v>
      </c>
      <c r="F81" s="852">
        <f>IF(AND('CG. MPA'!E82="TABIQUE",'CG. MPA'!F82="MACIZO"),IF('RMCV.PA'!$E$17="I",3.5,3),0)</f>
        <v>0</v>
      </c>
      <c r="G81" s="852">
        <f>IF(AND('CG. MPA'!E82="TABIQUE",'CG. MPA'!F82="HUECO"),IF('RMCV.PA'!$E$17="I",3,5.5),0)</f>
        <v>0</v>
      </c>
      <c r="H81" s="852">
        <f>IF('CG. MPA'!E82="ADOBE",0.3,0)</f>
        <v>0</v>
      </c>
      <c r="I81" s="852">
        <f>IF('CG. MPA'!E82="LIGERO",0.5,0)</f>
        <v>0</v>
      </c>
      <c r="J81" s="852">
        <f>IF(AND('CG. MPA'!E82="TABICON",'CG. MPA'!F82="MACIZO"),IF('RMCV.PA'!$E$17="I",3,2),0)</f>
        <v>3</v>
      </c>
      <c r="K81" s="852">
        <f>IF(AND('CG. MPA'!E82="TABICON",'CG. MPA'!F82="HUECO"),IF('RMCV.PA'!$E$17="I",3.5,2.5),0)</f>
        <v>0</v>
      </c>
      <c r="L81" s="853">
        <f>'RMCV.PA'!M82</f>
        <v>3970.4999999999991</v>
      </c>
      <c r="M81" s="960">
        <f>ABS('ELEM. MECA.'!O209)</f>
        <v>7902.2754432398497</v>
      </c>
      <c r="N81" s="957">
        <f>IF(((D81*E81*L81*0.5)+(D81*C81))&lt;(D81*E81*L81*1.5),((D81*E81*L81*0.5)+(D81*C81)),(D81*E81*L81*1.5))</f>
        <v>4699.7526451229651</v>
      </c>
      <c r="O81" s="854" t="str">
        <f>IF('CG. MPA'!E82="CONCRETO","F/DISEÑO",IF(M81&gt;N81,"NO PASA","PASA"))</f>
        <v>NO PASA</v>
      </c>
      <c r="P81" s="860">
        <f>IF(O81="pasa"," ",$P$24/('RMCV.PA'!C82*100))</f>
        <v>8.1333333333333333E-4</v>
      </c>
      <c r="Q81" s="861" t="str">
        <f>IF(O81="pasa"," ",IF('CG. MPA'!E82="CONCRETO","F/DISEÑO",IF(AND(X81&gt;P81,P81&gt;Y81),"BIEN","MAL")))</f>
        <v>BIEN</v>
      </c>
      <c r="R81" s="860">
        <f>IF('CG. MPA'!F82="MACIZO",12/'RMCS.PA'!$P$25,9/'RMCS.PA'!$P$25)</f>
        <v>2.3999999999999998E-3</v>
      </c>
      <c r="S81" s="860">
        <f>IF(F81&gt;0,15,0)</f>
        <v>0</v>
      </c>
      <c r="T81" s="860">
        <f>IF(G81=0,0,IF(AND(G81=2,'RMCV.PA'!E19="III"),30,40))</f>
        <v>0</v>
      </c>
      <c r="U81" s="860">
        <f>IF(J81=0,0,IF(AND(J81=3,'RMCV.PA'!$E$17="I"),20,15))</f>
        <v>20</v>
      </c>
      <c r="V81" s="860">
        <f>IF(K81=0,0,IF(AND(K81=3.5,'RMCV.PA'!$E$17="I"),20,15))</f>
        <v>0</v>
      </c>
      <c r="W81" s="860">
        <f>(S81+T81+U81+V81)*0.3/$P$25</f>
        <v>1.1999999999999999E-3</v>
      </c>
      <c r="X81" s="860">
        <f>IF(R81&gt;W81,W81,R81)</f>
        <v>1.1999999999999999E-3</v>
      </c>
      <c r="Y81" s="860">
        <f>IF('CG. MPA'!E82="CONCRETO",0,IF(N81/(D81*$P$25*L81)&gt;3/$P$25,N81/(D81*$P$25*L81),3/$P$25))</f>
        <v>5.9999999999999995E-4</v>
      </c>
      <c r="Z81" s="862">
        <f>P81*$P$25</f>
        <v>4.0666666666666664</v>
      </c>
      <c r="AA81" s="860">
        <f>IF(6&gt;Z81,0.6,IF(Z81&gt;9,0.2,(0.4*(9-Z81)/3)+0.2))</f>
        <v>0.6</v>
      </c>
      <c r="AB81" s="863">
        <f>D81*AA81*P81*$P$25*L81</f>
        <v>6781.6139999999987</v>
      </c>
      <c r="AC81" s="864">
        <f>IF(O81="pasa"," ",AB81+N81)</f>
        <v>11481.366645122964</v>
      </c>
      <c r="AD81" s="865" t="str">
        <f>IF(O81="pasa"," ",IF('CG. MPA'!E82="CONCRETO","F/DISEÑO",IF(AC81&gt;M81,"PASA","NO PASA")))</f>
        <v>PASA</v>
      </c>
      <c r="AE81" s="986">
        <f>$AE$23/($AE$26*'RMCV.PA'!C82)</f>
        <v>2.3333333333333331E-3</v>
      </c>
      <c r="AF81" s="986">
        <f t="shared" si="54"/>
        <v>5.0000000000000001E-4</v>
      </c>
      <c r="AG81" s="986">
        <f>IF(12/$AF$25&gt;'RMCV.PA'!F82*0.3/$AF$25,'RMCV.PA'!F82*0.3/$AF$25,12/$AF$25)</f>
        <v>7.5000000000000002E-4</v>
      </c>
      <c r="AH81" s="987" t="str">
        <f t="shared" si="56"/>
        <v>MAL</v>
      </c>
      <c r="AI81" s="986">
        <f>IF(9/$AF$25&gt;'RMCV.PA'!F82*0.3/$AF$25,'RMCV.PA'!F82*0.3/$AF$25,9/$AF$25)</f>
        <v>7.5000000000000002E-4</v>
      </c>
      <c r="AJ81" s="988" t="str">
        <f t="shared" si="57"/>
        <v>MAL</v>
      </c>
      <c r="AK81" s="989">
        <f t="shared" si="58"/>
        <v>0.2</v>
      </c>
      <c r="AL81" s="990">
        <f t="shared" si="55"/>
        <v>7782.1799999999976</v>
      </c>
      <c r="AM81" s="1002">
        <f t="shared" si="59"/>
        <v>12481.932645122963</v>
      </c>
      <c r="AN81" s="991" t="str">
        <f>IF(O81="PASA"," ",IF('CG. MPA'!E82="CONCRETO","F/DISEÑO",IF(AM81&gt;N81,"PASA","NO PASA")))</f>
        <v>PASA</v>
      </c>
      <c r="AO81" s="1110">
        <f t="shared" si="14"/>
        <v>0.68826958388238257</v>
      </c>
    </row>
    <row r="82" spans="1:41">
      <c r="A82" s="850">
        <f>'CG. MPA'!A83</f>
        <v>4</v>
      </c>
      <c r="B82" s="851">
        <f>'RMCV.PA'!N83/1.3</f>
        <v>70086.906289123886</v>
      </c>
      <c r="C82" s="851">
        <f>(0.3*B82)</f>
        <v>21026.071886737165</v>
      </c>
      <c r="D82" s="852">
        <f>IF('CG. MPA'!D83="NO CONFINADO",0.4,0.7)</f>
        <v>0.7</v>
      </c>
      <c r="E82" s="852">
        <f>IF('CG. MPA'!E83="CONCRETO",0.5*(0.8*250)^0.5,F82+G82+J82+K82)</f>
        <v>7.0710678118654755</v>
      </c>
      <c r="F82" s="852">
        <f>IF(AND('CG. MPA'!E83="TABIQUE",'CG. MPA'!F83="MACIZO"),IF('RMCV.PA'!$E$17="I",3.5,3),0)</f>
        <v>0</v>
      </c>
      <c r="G82" s="852">
        <f>IF(AND('CG. MPA'!E83="TABIQUE",'CG. MPA'!F83="HUECO"),IF('RMCV.PA'!$E$17="I",3,5.5),0)</f>
        <v>0</v>
      </c>
      <c r="H82" s="852">
        <f>IF('CG. MPA'!E83="ADOBE",0.3,0)</f>
        <v>0</v>
      </c>
      <c r="I82" s="852">
        <f>IF('CG. MPA'!E83="LIGERO",0.5,0)</f>
        <v>0</v>
      </c>
      <c r="J82" s="852">
        <f>IF(AND('CG. MPA'!E83="TABICON",'CG. MPA'!F83="MACIZO"),IF('RMCV.PA'!$E$17="I",3,2),0)</f>
        <v>0</v>
      </c>
      <c r="K82" s="852">
        <f>IF(AND('CG. MPA'!E83="TABICON",'CG. MPA'!F83="HUECO"),IF('RMCV.PA'!$E$17="I",3.5,2.5),0)</f>
        <v>0</v>
      </c>
      <c r="L82" s="853">
        <f>'RMCV.PA'!M83</f>
        <v>5774.9999999999991</v>
      </c>
      <c r="M82" s="960">
        <f>ABS('ELEM. MECA.'!O210)</f>
        <v>69583.31868167092</v>
      </c>
      <c r="N82" s="957">
        <f>IF(((D82*E82*L82*0.5)+(D82*C82))&lt;(D82*E82*L82*1.5),((D82*E82*L82*0.5)+(D82*C82)),(D82*E82*L82*1.5))</f>
        <v>29010.646135449104</v>
      </c>
      <c r="O82" s="854" t="str">
        <f>IF('CG. MPA'!E83="CONCRETO","F/DISEÑO",IF(M82&gt;N82,"NO PASA","PASA"))</f>
        <v>F/DISEÑO</v>
      </c>
      <c r="P82" s="860">
        <f>IF(O82="pasa"," ",$P$24/('RMCV.PA'!C83*100))</f>
        <v>8.1333333333333333E-4</v>
      </c>
      <c r="Q82" s="861" t="str">
        <f>IF(O82="pasa"," ",IF('CG. MPA'!E83="CONCRETO","F/DISEÑO",IF(AND(X82&gt;P82,P82&gt;Y82),"BIEN","MAL")))</f>
        <v>F/DISEÑO</v>
      </c>
      <c r="R82" s="860">
        <f>IF('CG. MPA'!F83="MACIZO",12/'RMCS.PA'!$P$25,9/'RMCS.PA'!$P$25)</f>
        <v>2.3999999999999998E-3</v>
      </c>
      <c r="S82" s="860">
        <f>IF(F82&gt;0,15,0)</f>
        <v>0</v>
      </c>
      <c r="T82" s="860">
        <f>IF(G82=0,0,IF(AND(G82=2,'RMCV.PA'!E20="III"),30,40))</f>
        <v>0</v>
      </c>
      <c r="U82" s="860">
        <f>IF(J82=0,0,IF(AND(J82=3,'RMCV.PA'!$E$17="I"),20,15))</f>
        <v>0</v>
      </c>
      <c r="V82" s="860">
        <f>IF(K82=0,0,IF(AND(K82=3.5,'RMCV.PA'!$E$17="I"),20,15))</f>
        <v>0</v>
      </c>
      <c r="W82" s="860">
        <f>(S82+T82+U82+V82)*0.3/$P$25</f>
        <v>0</v>
      </c>
      <c r="X82" s="860">
        <f>IF(R82&gt;W82,W82,R82)</f>
        <v>0</v>
      </c>
      <c r="Y82" s="860">
        <f>IF('CG. MPA'!E83="CONCRETO",0,IF(N82/(D82*$P$25*L82)&gt;3/$P$25,N82/(D82*$P$25*L82),3/$P$25))</f>
        <v>0</v>
      </c>
      <c r="Z82" s="862">
        <f>P82*$P$25</f>
        <v>4.0666666666666664</v>
      </c>
      <c r="AA82" s="860">
        <f>IF(6&gt;Z82,0.6,IF(Z82&gt;9,0.2,(0.4*(9-Z82)/3)+0.2))</f>
        <v>0.6</v>
      </c>
      <c r="AB82" s="863">
        <f>D82*AA82*P82*$P$25*L82</f>
        <v>9863.6999999999989</v>
      </c>
      <c r="AC82" s="864">
        <f>IF(O82="pasa"," ",AB82+N82)</f>
        <v>38874.346135449101</v>
      </c>
      <c r="AD82" s="865" t="str">
        <f>IF(O82="pasa"," ",IF('CG. MPA'!E83="CONCRETO","F/DISEÑO",IF(AC82&gt;M82,"PASA","NO PASA")))</f>
        <v>F/DISEÑO</v>
      </c>
      <c r="AE82" s="986">
        <f>$AE$23/($AE$26*'RMCV.PA'!C83)</f>
        <v>2.3333333333333331E-3</v>
      </c>
      <c r="AF82" s="986">
        <f t="shared" si="54"/>
        <v>1.1960686924530656E-3</v>
      </c>
      <c r="AG82" s="986">
        <f>IF(12/$AF$25&gt;'RMCV.PA'!F83*0.3/$AF$25,'RMCV.PA'!F83*0.3/$AF$25,12/$AF$25)</f>
        <v>2E-3</v>
      </c>
      <c r="AH82" s="987" t="str">
        <f t="shared" si="56"/>
        <v>MAL</v>
      </c>
      <c r="AI82" s="986">
        <f>IF(9/$AF$25&gt;'RMCV.PA'!F83*0.3/$AF$25,'RMCV.PA'!F83*0.3/$AF$25,9/$AF$25)</f>
        <v>1.5E-3</v>
      </c>
      <c r="AJ82" s="988" t="str">
        <f t="shared" si="57"/>
        <v>MAL</v>
      </c>
      <c r="AK82" s="989">
        <f t="shared" si="58"/>
        <v>0.2</v>
      </c>
      <c r="AL82" s="990">
        <f t="shared" si="55"/>
        <v>11318.999999999996</v>
      </c>
      <c r="AM82" s="1002">
        <f t="shared" si="59"/>
        <v>40329.646135449104</v>
      </c>
      <c r="AN82" s="991" t="str">
        <f>IF(O82="PASA"," ",IF('CG. MPA'!E83="CONCRETO","F/DISEÑO",IF(AM82&gt;N82,"PASA","NO PASA")))</f>
        <v>F/DISEÑO</v>
      </c>
      <c r="AO82" s="1110">
        <f t="shared" si="14"/>
        <v>1.7899547027549523</v>
      </c>
    </row>
    <row r="83" spans="1:41">
      <c r="A83" s="850">
        <f>'CG. MPA'!A84</f>
        <v>5</v>
      </c>
      <c r="B83" s="851">
        <f>'RMCV.PA'!N84/1.3</f>
        <v>12869.517233691126</v>
      </c>
      <c r="C83" s="851">
        <f t="shared" ref="C83:C87" si="60">(0.3*B83)</f>
        <v>3860.8551701073375</v>
      </c>
      <c r="D83" s="852">
        <f>IF('CG. MPA'!D84="NO CONFINADO",0.4,0.7)</f>
        <v>0.7</v>
      </c>
      <c r="E83" s="852">
        <f>IF('CG. MPA'!E84="CONCRETO",0.5*(0.8*250)^0.5,F83+G83+J83+K83)</f>
        <v>7.0710678118654755</v>
      </c>
      <c r="F83" s="852">
        <f>IF(AND('CG. MPA'!E84="TABIQUE",'CG. MPA'!F84="MACIZO"),IF('RMCV.PA'!$E$17="I",3.5,3),0)</f>
        <v>0</v>
      </c>
      <c r="G83" s="852">
        <f>IF(AND('CG. MPA'!E84="TABIQUE",'CG. MPA'!F84="HUECO"),IF('RMCV.PA'!$E$17="I",3,5.5),0)</f>
        <v>0</v>
      </c>
      <c r="H83" s="852">
        <f>IF('CG. MPA'!E84="ADOBE",0.3,0)</f>
        <v>0</v>
      </c>
      <c r="I83" s="852">
        <f>IF('CG. MPA'!E84="LIGERO",0.5,0)</f>
        <v>0</v>
      </c>
      <c r="J83" s="852">
        <f>IF(AND('CG. MPA'!E84="TABICON",'CG. MPA'!F84="MACIZO"),IF('RMCV.PA'!$E$17="I",3,2),0)</f>
        <v>0</v>
      </c>
      <c r="K83" s="852">
        <f>IF(AND('CG. MPA'!E84="TABICON",'CG. MPA'!F84="HUECO"),IF('RMCV.PA'!$E$17="I",3.5,2.5),0)</f>
        <v>0</v>
      </c>
      <c r="L83" s="853">
        <f>'RMCV.PA'!M84</f>
        <v>888.0000000000008</v>
      </c>
      <c r="M83" s="960">
        <f>ABS('ELEM. MECA.'!O211)</f>
        <v>4062.8456158001572</v>
      </c>
      <c r="N83" s="957">
        <f t="shared" ref="N83:N87" si="61">IF(((D83*E83*L83*0.5)+(D83*C83))&lt;(D83*E83*L83*1.5),((D83*E83*L83*0.5)+(D83*C83)),(D83*E83*L83*1.5))</f>
        <v>4900.286495002927</v>
      </c>
      <c r="O83" s="854" t="str">
        <f>IF('CG. MPA'!E84="CONCRETO","F/DISEÑO",IF(M83&gt;N83,"NO PASA","PASA"))</f>
        <v>F/DISEÑO</v>
      </c>
      <c r="P83" s="860">
        <f>IF(O83="pasa"," ",$P$24/('RMCV.PA'!C84*100))</f>
        <v>8.1333333333333333E-4</v>
      </c>
      <c r="Q83" s="861" t="str">
        <f>IF(O83="pasa"," ",IF('CG. MPA'!E84="CONCRETO","F/DISEÑO",IF(AND(X83&gt;P83,P83&gt;Y83),"BIEN","MAL")))</f>
        <v>F/DISEÑO</v>
      </c>
      <c r="R83" s="860">
        <f>IF('CG. MPA'!F84="MACIZO",12/'RMCS.PA'!$P$25,9/'RMCS.PA'!$P$25)</f>
        <v>2.3999999999999998E-3</v>
      </c>
      <c r="S83" s="860">
        <f t="shared" ref="S83:S87" si="62">IF(F83&gt;0,15,0)</f>
        <v>0</v>
      </c>
      <c r="T83" s="860">
        <f>IF(G83=0,0,IF(AND(G83=2,'RMCV.PA'!E21="III"),30,40))</f>
        <v>0</v>
      </c>
      <c r="U83" s="860">
        <f>IF(J83=0,0,IF(AND(J83=3,'RMCV.PA'!$E$17="I"),20,15))</f>
        <v>0</v>
      </c>
      <c r="V83" s="860">
        <f>IF(K83=0,0,IF(AND(K83=3.5,'RMCV.PA'!$E$17="I"),20,15))</f>
        <v>0</v>
      </c>
      <c r="W83" s="860">
        <f t="shared" ref="W83:W87" si="63">(S83+T83+U83+V83)*0.3/$P$25</f>
        <v>0</v>
      </c>
      <c r="X83" s="860">
        <f t="shared" ref="X83:X87" si="64">IF(R83&gt;W83,W83,R83)</f>
        <v>0</v>
      </c>
      <c r="Y83" s="860">
        <f>IF('CG. MPA'!E84="CONCRETO",0,IF(N83/(D83*$P$25*L83)&gt;3/$P$25,N83/(D83*$P$25*L83),3/$P$25))</f>
        <v>0</v>
      </c>
      <c r="Z83" s="862">
        <f t="shared" ref="Z83:Z87" si="65">P83*$P$25</f>
        <v>4.0666666666666664</v>
      </c>
      <c r="AA83" s="860">
        <f t="shared" ref="AA83:AA87" si="66">IF(6&gt;Z83,0.6,IF(Z83&gt;9,0.2,(0.4*(9-Z83)/3)+0.2))</f>
        <v>0.6</v>
      </c>
      <c r="AB83" s="863">
        <f t="shared" ref="AB83:AB87" si="67">D83*AA83*P83*$P$25*L83</f>
        <v>1516.7040000000013</v>
      </c>
      <c r="AC83" s="864">
        <f t="shared" ref="AC83:AC87" si="68">IF(O83="pasa"," ",AB83+N83)</f>
        <v>6416.9904950029286</v>
      </c>
      <c r="AD83" s="865" t="str">
        <f>IF(O83="pasa"," ",IF('CG. MPA'!E84="CONCRETO","F/DISEÑO",IF(AC83&gt;M83,"PASA","NO PASA")))</f>
        <v>F/DISEÑO</v>
      </c>
      <c r="AE83" s="986">
        <f>$AE$23/($AE$26*'RMCV.PA'!C84)</f>
        <v>2.3333333333333331E-3</v>
      </c>
      <c r="AF83" s="986">
        <f t="shared" ref="AF83:AF128" si="69">IF(3/$AF$25&gt;N83/(D83*L83*$AF$25),3/$AF$25,N83/(D83*L83*$AF$25))</f>
        <v>1.3138906303632892E-3</v>
      </c>
      <c r="AG83" s="986">
        <f>IF(12/$AF$25&gt;'RMCV.PA'!F84*0.3/$AF$25,'RMCV.PA'!F84*0.3/$AF$25,12/$AF$25)</f>
        <v>2E-3</v>
      </c>
      <c r="AH83" s="987" t="str">
        <f t="shared" ref="AH83:AH128" si="70">IF(AND(AE83&gt;AF83,AG83&gt;AE83),"BIEN","MAL")</f>
        <v>MAL</v>
      </c>
      <c r="AI83" s="986">
        <f>IF(9/$AF$25&gt;'RMCV.PA'!F84*0.3/$AF$25,'RMCV.PA'!F84*0.3/$AF$25,9/$AF$25)</f>
        <v>1.5E-3</v>
      </c>
      <c r="AJ83" s="988" t="str">
        <f t="shared" ref="AJ83:AJ128" si="71">IF(AND(AE83&gt;AF83,AI83&gt;AE83),"BIEN","MAL")</f>
        <v>MAL</v>
      </c>
      <c r="AK83" s="989">
        <f t="shared" ref="AK83:AK128" si="72">IF(6&gt;AE83*$AF$25,0.6,IF(AE83*$AF$25&gt;9,0.2,0.6-(0.4*(AE83*$AF$25-6))/3))</f>
        <v>0.2</v>
      </c>
      <c r="AL83" s="990">
        <f t="shared" ref="AL83:AL128" si="73">IF(O83="PASA",0,D83*AK83*AE83*$AF$25*L83)</f>
        <v>1740.4800000000014</v>
      </c>
      <c r="AM83" s="1002">
        <f t="shared" ref="AM83:AM128" si="74">AL83+N83</f>
        <v>6640.7664950029284</v>
      </c>
      <c r="AN83" s="991" t="str">
        <f>IF(O83="PASA"," ",IF('CG. MPA'!E84="CONCRETO","F/DISEÑO",IF(AM83&gt;N83,"PASA","NO PASA")))</f>
        <v>F/DISEÑO</v>
      </c>
      <c r="AO83" s="1110">
        <f t="shared" si="14"/>
        <v>0.63313879285998587</v>
      </c>
    </row>
    <row r="84" spans="1:41">
      <c r="A84" s="850">
        <f>'CG. MPA'!A85</f>
        <v>6</v>
      </c>
      <c r="B84" s="851">
        <f>'RMCV.PA'!N85/1.3</f>
        <v>9176.4332428662037</v>
      </c>
      <c r="C84" s="851">
        <f t="shared" si="60"/>
        <v>2752.9299728598612</v>
      </c>
      <c r="D84" s="852">
        <f>IF('CG. MPA'!D85="NO CONFINADO",0.4,0.7)</f>
        <v>0.7</v>
      </c>
      <c r="E84" s="852">
        <f>IF('CG. MPA'!E85="CONCRETO",0.5*(0.8*250)^0.5,F84+G84+J84+K84)</f>
        <v>7.0710678118654755</v>
      </c>
      <c r="F84" s="852">
        <f>IF(AND('CG. MPA'!E85="TABIQUE",'CG. MPA'!F85="MACIZO"),IF('RMCV.PA'!$E$17="I",3.5,3),0)</f>
        <v>0</v>
      </c>
      <c r="G84" s="852">
        <f>IF(AND('CG. MPA'!E85="TABIQUE",'CG. MPA'!F85="HUECO"),IF('RMCV.PA'!$E$17="I",3,5.5),0)</f>
        <v>0</v>
      </c>
      <c r="H84" s="852">
        <f>IF('CG. MPA'!E85="ADOBE",0.3,0)</f>
        <v>0</v>
      </c>
      <c r="I84" s="852">
        <f>IF('CG. MPA'!E85="LIGERO",0.5,0)</f>
        <v>0</v>
      </c>
      <c r="J84" s="852">
        <f>IF(AND('CG. MPA'!E85="TABICON",'CG. MPA'!F85="MACIZO"),IF('RMCV.PA'!$E$17="I",3,2),0)</f>
        <v>0</v>
      </c>
      <c r="K84" s="852">
        <f>IF(AND('CG. MPA'!E85="TABICON",'CG. MPA'!F85="HUECO"),IF('RMCV.PA'!$E$17="I",3.5,2.5),0)</f>
        <v>0</v>
      </c>
      <c r="L84" s="853">
        <f>'RMCV.PA'!M85</f>
        <v>1538.2499999999991</v>
      </c>
      <c r="M84" s="960">
        <f>ABS('ELEM. MECA.'!O212)</f>
        <v>14504.908258551837</v>
      </c>
      <c r="N84" s="957">
        <f t="shared" si="61"/>
        <v>5734.0255025626238</v>
      </c>
      <c r="O84" s="854" t="str">
        <f>IF('CG. MPA'!E85="CONCRETO","F/DISEÑO",IF(M84&gt;N84,"NO PASA","PASA"))</f>
        <v>F/DISEÑO</v>
      </c>
      <c r="P84" s="860">
        <f>IF(O84="pasa"," ",$P$24/('RMCV.PA'!C85*100))</f>
        <v>8.1333333333333333E-4</v>
      </c>
      <c r="Q84" s="861" t="str">
        <f>IF(O84="pasa"," ",IF('CG. MPA'!E85="CONCRETO","F/DISEÑO",IF(AND(X84&gt;P84,P84&gt;Y84),"BIEN","MAL")))</f>
        <v>F/DISEÑO</v>
      </c>
      <c r="R84" s="860">
        <f>IF('CG. MPA'!F85="MACIZO",12/'RMCS.PA'!$P$25,9/'RMCS.PA'!$P$25)</f>
        <v>2.3999999999999998E-3</v>
      </c>
      <c r="S84" s="860">
        <f t="shared" si="62"/>
        <v>0</v>
      </c>
      <c r="T84" s="860">
        <f>IF(G84=0,0,IF(AND(G84=2,'RMCV.PA'!E22="III"),30,40))</f>
        <v>0</v>
      </c>
      <c r="U84" s="860">
        <f>IF(J84=0,0,IF(AND(J84=3,'RMCV.PA'!$E$17="I"),20,15))</f>
        <v>0</v>
      </c>
      <c r="V84" s="860">
        <f>IF(K84=0,0,IF(AND(K84=3.5,'RMCV.PA'!$E$17="I"),20,15))</f>
        <v>0</v>
      </c>
      <c r="W84" s="860">
        <f t="shared" si="63"/>
        <v>0</v>
      </c>
      <c r="X84" s="860">
        <f t="shared" si="64"/>
        <v>0</v>
      </c>
      <c r="Y84" s="860">
        <f>IF('CG. MPA'!E85="CONCRETO",0,IF(N84/(D84*$P$25*L84)&gt;3/$P$25,N84/(D84*$P$25*L84),3/$P$25))</f>
        <v>0</v>
      </c>
      <c r="Z84" s="862">
        <f t="shared" si="65"/>
        <v>4.0666666666666664</v>
      </c>
      <c r="AA84" s="860">
        <f t="shared" si="66"/>
        <v>0.6</v>
      </c>
      <c r="AB84" s="863">
        <f t="shared" si="67"/>
        <v>2627.3309999999983</v>
      </c>
      <c r="AC84" s="864">
        <f t="shared" si="68"/>
        <v>8361.3565025626231</v>
      </c>
      <c r="AD84" s="865" t="str">
        <f>IF(O84="pasa"," ",IF('CG. MPA'!E85="CONCRETO","F/DISEÑO",IF(AC84&gt;M84,"PASA","NO PASA")))</f>
        <v>F/DISEÑO</v>
      </c>
      <c r="AE84" s="986">
        <f>$AE$23/($AE$26*'RMCV.PA'!C85)</f>
        <v>2.3333333333333331E-3</v>
      </c>
      <c r="AF84" s="986">
        <f t="shared" si="69"/>
        <v>8.8753074420725906E-4</v>
      </c>
      <c r="AG84" s="986">
        <f>IF(12/$AF$25&gt;'RMCV.PA'!F85*0.3/$AF$25,'RMCV.PA'!F85*0.3/$AF$25,12/$AF$25)</f>
        <v>2E-3</v>
      </c>
      <c r="AH84" s="987" t="str">
        <f t="shared" si="70"/>
        <v>MAL</v>
      </c>
      <c r="AI84" s="986">
        <f>IF(9/$AF$25&gt;'RMCV.PA'!F85*0.3/$AF$25,'RMCV.PA'!F85*0.3/$AF$25,9/$AF$25)</f>
        <v>1.5E-3</v>
      </c>
      <c r="AJ84" s="988" t="str">
        <f t="shared" si="71"/>
        <v>MAL</v>
      </c>
      <c r="AK84" s="989">
        <f t="shared" si="72"/>
        <v>0.2</v>
      </c>
      <c r="AL84" s="990">
        <f t="shared" si="73"/>
        <v>3014.969999999998</v>
      </c>
      <c r="AM84" s="1002">
        <f t="shared" si="74"/>
        <v>8748.9955025626223</v>
      </c>
      <c r="AN84" s="991" t="str">
        <f>IF(O84="PASA"," ",IF('CG. MPA'!E85="CONCRETO","F/DISEÑO",IF(AM84&gt;N84,"PASA","NO PASA")))</f>
        <v>F/DISEÑO</v>
      </c>
      <c r="AO84" s="1110">
        <f t="shared" si="14"/>
        <v>1.7347553897631698</v>
      </c>
    </row>
    <row r="85" spans="1:41">
      <c r="A85" s="850">
        <f>'CG. MPA'!A86</f>
        <v>7</v>
      </c>
      <c r="B85" s="851">
        <f>'RMCV.PA'!N86/1.3</f>
        <v>4921.3587559875987</v>
      </c>
      <c r="C85" s="851">
        <f t="shared" si="60"/>
        <v>1476.4076267962796</v>
      </c>
      <c r="D85" s="852">
        <f>IF('CG. MPA'!D86="NO CONFINADO",0.4,0.7)</f>
        <v>0.7</v>
      </c>
      <c r="E85" s="852">
        <f>IF('CG. MPA'!E86="CONCRETO",0.5*(0.8*250)^0.5,F85+G85+J85+K85)</f>
        <v>3</v>
      </c>
      <c r="F85" s="852">
        <f>IF(AND('CG. MPA'!E86="TABIQUE",'CG. MPA'!F86="MACIZO"),IF('RMCV.PA'!$E$17="I",3.5,3),0)</f>
        <v>0</v>
      </c>
      <c r="G85" s="852">
        <f>IF(AND('CG. MPA'!E86="TABIQUE",'CG. MPA'!F86="HUECO"),IF('RMCV.PA'!$E$17="I",3,5.5),0)</f>
        <v>0</v>
      </c>
      <c r="H85" s="852">
        <f>IF('CG. MPA'!E86="ADOBE",0.3,0)</f>
        <v>0</v>
      </c>
      <c r="I85" s="852">
        <f>IF('CG. MPA'!E86="LIGERO",0.5,0)</f>
        <v>0</v>
      </c>
      <c r="J85" s="852">
        <f>IF(AND('CG. MPA'!E86="TABICON",'CG. MPA'!F86="MACIZO"),IF('RMCV.PA'!$E$17="I",3,2),0)</f>
        <v>3</v>
      </c>
      <c r="K85" s="852">
        <f>IF(AND('CG. MPA'!E86="TABICON",'CG. MPA'!F86="HUECO"),IF('RMCV.PA'!$E$17="I",3.5,2.5),0)</f>
        <v>0</v>
      </c>
      <c r="L85" s="853">
        <f>'RMCV.PA'!M86</f>
        <v>5122.5</v>
      </c>
      <c r="M85" s="960">
        <f>ABS('ELEM. MECA.'!O213)*0.94</f>
        <v>14619.118748495403</v>
      </c>
      <c r="N85" s="957">
        <f t="shared" si="61"/>
        <v>6412.1103387573949</v>
      </c>
      <c r="O85" s="854" t="str">
        <f>IF('CG. MPA'!E86="CONCRETO","F/DISEÑO",IF(M85&gt;N85,"NO PASA","PASA"))</f>
        <v>NO PASA</v>
      </c>
      <c r="P85" s="860">
        <f>IF(O85="pasa"," ",$P$24/('RMCV.PA'!C86*100))</f>
        <v>8.1333333333333333E-4</v>
      </c>
      <c r="Q85" s="861" t="str">
        <f>IF(O85="pasa"," ",IF('CG. MPA'!E86="CONCRETO","F/DISEÑO",IF(AND(X85&gt;P85,P85&gt;Y85),"BIEN","MAL")))</f>
        <v>BIEN</v>
      </c>
      <c r="R85" s="860">
        <f>IF('CG. MPA'!F86="MACIZO",12/'RMCS.PA'!$P$25,9/'RMCS.PA'!$P$25)</f>
        <v>2.3999999999999998E-3</v>
      </c>
      <c r="S85" s="860">
        <f t="shared" si="62"/>
        <v>0</v>
      </c>
      <c r="T85" s="860">
        <f>IF(G85=0,0,IF(AND(G85=2,'RMCV.PA'!E23="III"),30,40))</f>
        <v>0</v>
      </c>
      <c r="U85" s="860">
        <f>IF(J85=0,0,IF(AND(J85=3,'RMCV.PA'!$E$17="I"),20,15))</f>
        <v>20</v>
      </c>
      <c r="V85" s="860">
        <f>IF(K85=0,0,IF(AND(K85=3.5,'RMCV.PA'!$E$17="I"),20,15))</f>
        <v>0</v>
      </c>
      <c r="W85" s="860">
        <f t="shared" si="63"/>
        <v>1.1999999999999999E-3</v>
      </c>
      <c r="X85" s="860">
        <f t="shared" si="64"/>
        <v>1.1999999999999999E-3</v>
      </c>
      <c r="Y85" s="860">
        <f>IF('CG. MPA'!E86="CONCRETO",0,IF(N85/(D85*$P$25*L85)&gt;3/$P$25,N85/(D85*$P$25*L85),3/$P$25))</f>
        <v>5.9999999999999995E-4</v>
      </c>
      <c r="Z85" s="862">
        <f t="shared" si="65"/>
        <v>4.0666666666666664</v>
      </c>
      <c r="AA85" s="860">
        <f t="shared" si="66"/>
        <v>0.6</v>
      </c>
      <c r="AB85" s="863">
        <f t="shared" si="67"/>
        <v>8749.23</v>
      </c>
      <c r="AC85" s="864">
        <f t="shared" si="68"/>
        <v>15161.340338757394</v>
      </c>
      <c r="AD85" s="865" t="str">
        <f>IF(O85="pasa"," ",IF('CG. MPA'!E86="CONCRETO","F/DISEÑO",IF(AC85&gt;M85,"PASA","NO PASA")))</f>
        <v>PASA</v>
      </c>
      <c r="AE85" s="986">
        <f>$AE$23/($AE$26*'RMCV.PA'!C86)</f>
        <v>2.3333333333333331E-3</v>
      </c>
      <c r="AF85" s="986">
        <f t="shared" si="69"/>
        <v>5.0000000000000001E-4</v>
      </c>
      <c r="AG85" s="986">
        <f>IF(12/$AF$25&gt;'RMCV.PA'!F86*0.3/$AF$25,'RMCV.PA'!F86*0.3/$AF$25,12/$AF$25)</f>
        <v>7.5000000000000002E-4</v>
      </c>
      <c r="AH85" s="987" t="str">
        <f t="shared" si="70"/>
        <v>MAL</v>
      </c>
      <c r="AI85" s="986">
        <f>IF(9/$AF$25&gt;'RMCV.PA'!F86*0.3/$AF$25,'RMCV.PA'!F86*0.3/$AF$25,9/$AF$25)</f>
        <v>7.5000000000000002E-4</v>
      </c>
      <c r="AJ85" s="988" t="str">
        <f t="shared" si="71"/>
        <v>MAL</v>
      </c>
      <c r="AK85" s="989">
        <f t="shared" si="72"/>
        <v>0.2</v>
      </c>
      <c r="AL85" s="990">
        <f t="shared" si="73"/>
        <v>10040.099999999999</v>
      </c>
      <c r="AM85" s="1002">
        <f t="shared" si="74"/>
        <v>16452.210338757395</v>
      </c>
      <c r="AN85" s="991" t="str">
        <f>IF(O85="PASA"," ",IF('CG. MPA'!E86="CONCRETO","F/DISEÑO",IF(AM85&gt;N85,"PASA","NO PASA")))</f>
        <v>PASA</v>
      </c>
      <c r="AO85" s="1110">
        <f t="shared" si="14"/>
        <v>0.96423656628326626</v>
      </c>
    </row>
    <row r="86" spans="1:41">
      <c r="A86" s="850">
        <f>'CG. MPA'!A87</f>
        <v>8</v>
      </c>
      <c r="B86" s="851" t="e">
        <f>'RMCV.PA'!N87/1.3</f>
        <v>#VALUE!</v>
      </c>
      <c r="C86" s="851" t="e">
        <f t="shared" si="60"/>
        <v>#VALUE!</v>
      </c>
      <c r="D86" s="852">
        <f>IF('CG. MPA'!D87="NO CONFINADO",0.4,0.7)</f>
        <v>0.7</v>
      </c>
      <c r="E86" s="852">
        <f>IF('CG. MPA'!E87="CONCRETO",0.5*(0.8*250)^0.5,F86+G86+J86+K86)</f>
        <v>0</v>
      </c>
      <c r="F86" s="852">
        <f>IF(AND('CG. MPA'!E87="TABIQUE",'CG. MPA'!F87="MACIZO"),IF('RMCV.PA'!$E$17="I",3.5,3),0)</f>
        <v>0</v>
      </c>
      <c r="G86" s="852">
        <f>IF(AND('CG. MPA'!E87="TABIQUE",'CG. MPA'!F87="HUECO"),IF('RMCV.PA'!$E$17="I",3,5.5),0)</f>
        <v>0</v>
      </c>
      <c r="H86" s="852">
        <f>IF('CG. MPA'!E87="ADOBE",0.3,0)</f>
        <v>0</v>
      </c>
      <c r="I86" s="852">
        <f>IF('CG. MPA'!E87="LIGERO",0.5,0)</f>
        <v>0</v>
      </c>
      <c r="J86" s="852">
        <f>IF(AND('CG. MPA'!E87="TABICON",'CG. MPA'!F87="MACIZO"),IF('RMCV.PA'!$E$17="I",3,2),0)</f>
        <v>0</v>
      </c>
      <c r="K86" s="852">
        <f>IF(AND('CG. MPA'!E87="TABICON",'CG. MPA'!F87="HUECO"),IF('RMCV.PA'!$E$17="I",3.5,2.5),0)</f>
        <v>0</v>
      </c>
      <c r="L86" s="853" t="e">
        <f>'RMCV.PA'!M87</f>
        <v>#VALUE!</v>
      </c>
      <c r="M86" s="960" t="e">
        <f>ABS('ELEM. MECA.'!O214)</f>
        <v>#VALUE!</v>
      </c>
      <c r="N86" s="957" t="e">
        <f t="shared" si="61"/>
        <v>#VALUE!</v>
      </c>
      <c r="O86" s="854" t="e">
        <f>IF('CG. MPA'!E87="CONCRETO","F/DISEÑO",IF(M86&gt;N86,"NO PASA","PASA"))</f>
        <v>#VALUE!</v>
      </c>
      <c r="P86" s="860" t="e">
        <f>IF(O86="pasa"," ",$P$24/('RMCV.PA'!C87*100))</f>
        <v>#VALUE!</v>
      </c>
      <c r="Q86" s="861" t="e">
        <f>IF(O86="pasa"," ",IF('CG. MPA'!E87="CONCRETO","F/DISEÑO",IF(AND(X86&gt;P86,P86&gt;Y86),"BIEN","MAL")))</f>
        <v>#VALUE!</v>
      </c>
      <c r="R86" s="860">
        <f>IF('CG. MPA'!F87="MACIZO",12/'RMCS.PA'!$P$25,9/'RMCS.PA'!$P$25)</f>
        <v>2.3999999999999998E-3</v>
      </c>
      <c r="S86" s="860">
        <f t="shared" si="62"/>
        <v>0</v>
      </c>
      <c r="T86" s="860">
        <f>IF(G86=0,0,IF(AND(G86=2,'RMCV.PA'!E24="III"),30,40))</f>
        <v>0</v>
      </c>
      <c r="U86" s="860">
        <f>IF(J86=0,0,IF(AND(J86=3,'RMCV.PA'!$E$17="I"),20,15))</f>
        <v>0</v>
      </c>
      <c r="V86" s="860">
        <f>IF(K86=0,0,IF(AND(K86=3.5,'RMCV.PA'!$E$17="I"),20,15))</f>
        <v>0</v>
      </c>
      <c r="W86" s="860">
        <f t="shared" si="63"/>
        <v>0</v>
      </c>
      <c r="X86" s="860">
        <f t="shared" si="64"/>
        <v>0</v>
      </c>
      <c r="Y86" s="860" t="e">
        <f>IF('CG. MPA'!E87="CONCRETO",0,IF(N86/(D86*$P$25*L86)&gt;3/$P$25,N86/(D86*$P$25*L86),3/$P$25))</f>
        <v>#VALUE!</v>
      </c>
      <c r="Z86" s="862" t="e">
        <f t="shared" si="65"/>
        <v>#VALUE!</v>
      </c>
      <c r="AA86" s="860" t="e">
        <f t="shared" si="66"/>
        <v>#VALUE!</v>
      </c>
      <c r="AB86" s="863" t="e">
        <f t="shared" si="67"/>
        <v>#VALUE!</v>
      </c>
      <c r="AC86" s="864" t="e">
        <f t="shared" si="68"/>
        <v>#VALUE!</v>
      </c>
      <c r="AD86" s="865" t="e">
        <f>IF(O86="pasa"," ",IF('CG. MPA'!E87="CONCRETO","F/DISEÑO",IF(AC86&gt;M86,"PASA","NO PASA")))</f>
        <v>#VALUE!</v>
      </c>
      <c r="AE86" s="986" t="e">
        <f>$AE$23/($AE$26*'RMCV.PA'!C87)</f>
        <v>#VALUE!</v>
      </c>
      <c r="AF86" s="986" t="e">
        <f t="shared" si="69"/>
        <v>#VALUE!</v>
      </c>
      <c r="AG86" s="986">
        <f>IF(12/$AF$25&gt;'RMCV.PA'!F87*0.3/$AF$25,'RMCV.PA'!F87*0.3/$AF$25,12/$AF$25)</f>
        <v>0</v>
      </c>
      <c r="AH86" s="987" t="e">
        <f t="shared" si="70"/>
        <v>#VALUE!</v>
      </c>
      <c r="AI86" s="986">
        <f>IF(9/$AF$25&gt;'RMCV.PA'!F87*0.3/$AF$25,'RMCV.PA'!F87*0.3/$AF$25,9/$AF$25)</f>
        <v>0</v>
      </c>
      <c r="AJ86" s="988" t="e">
        <f t="shared" si="71"/>
        <v>#VALUE!</v>
      </c>
      <c r="AK86" s="989" t="e">
        <f t="shared" si="72"/>
        <v>#VALUE!</v>
      </c>
      <c r="AL86" s="990" t="e">
        <f t="shared" si="73"/>
        <v>#VALUE!</v>
      </c>
      <c r="AM86" s="1002" t="e">
        <f t="shared" si="74"/>
        <v>#VALUE!</v>
      </c>
      <c r="AN86" s="991" t="e">
        <f>IF(O86="PASA"," ",IF('CG. MPA'!E87="CONCRETO","F/DISEÑO",IF(AM86&gt;N86,"PASA","NO PASA")))</f>
        <v>#VALUE!</v>
      </c>
      <c r="AO86" s="1110" t="e">
        <f t="shared" si="14"/>
        <v>#VALUE!</v>
      </c>
    </row>
    <row r="87" spans="1:41">
      <c r="A87" s="850">
        <f>'CG. MPA'!A88</f>
        <v>9</v>
      </c>
      <c r="B87" s="851" t="e">
        <f>'RMCV.PA'!N88/1.3</f>
        <v>#VALUE!</v>
      </c>
      <c r="C87" s="851" t="e">
        <f t="shared" si="60"/>
        <v>#VALUE!</v>
      </c>
      <c r="D87" s="852">
        <f>IF('CG. MPA'!D88="NO CONFINADO",0.4,0.7)</f>
        <v>0.7</v>
      </c>
      <c r="E87" s="852">
        <f>IF('CG. MPA'!E88="CONCRETO",0.5*(0.8*250)^0.5,F87+G87+J87+K87)</f>
        <v>0</v>
      </c>
      <c r="F87" s="852">
        <f>IF(AND('CG. MPA'!E88="TABIQUE",'CG. MPA'!F88="MACIZO"),IF('RMCV.PA'!$E$17="I",3.5,3),0)</f>
        <v>0</v>
      </c>
      <c r="G87" s="852">
        <f>IF(AND('CG. MPA'!E88="TABIQUE",'CG. MPA'!F88="HUECO"),IF('RMCV.PA'!$E$17="I",3,5.5),0)</f>
        <v>0</v>
      </c>
      <c r="H87" s="852">
        <f>IF('CG. MPA'!E88="ADOBE",0.3,0)</f>
        <v>0</v>
      </c>
      <c r="I87" s="852">
        <f>IF('CG. MPA'!E88="LIGERO",0.5,0)</f>
        <v>0</v>
      </c>
      <c r="J87" s="852">
        <f>IF(AND('CG. MPA'!E88="TABICON",'CG. MPA'!F88="MACIZO"),IF('RMCV.PA'!$E$17="I",3,2),0)</f>
        <v>0</v>
      </c>
      <c r="K87" s="852">
        <f>IF(AND('CG. MPA'!E88="TABICON",'CG. MPA'!F88="HUECO"),IF('RMCV.PA'!$E$17="I",3.5,2.5),0)</f>
        <v>0</v>
      </c>
      <c r="L87" s="853" t="e">
        <f>'RMCV.PA'!M88</f>
        <v>#VALUE!</v>
      </c>
      <c r="M87" s="960" t="e">
        <f>ABS('ELEM. MECA.'!O215)</f>
        <v>#VALUE!</v>
      </c>
      <c r="N87" s="957" t="e">
        <f t="shared" si="61"/>
        <v>#VALUE!</v>
      </c>
      <c r="O87" s="854" t="e">
        <f>IF('CG. MPA'!E88="CONCRETO","F/DISEÑO",IF(M87&gt;N87,"NO PASA","PASA"))</f>
        <v>#VALUE!</v>
      </c>
      <c r="P87" s="860" t="e">
        <f>IF(O87="pasa"," ",$P$24/('RMCV.PA'!C88*100))</f>
        <v>#VALUE!</v>
      </c>
      <c r="Q87" s="861" t="e">
        <f>IF(O87="pasa"," ",IF('CG. MPA'!E88="CONCRETO","F/DISEÑO",IF(AND(X87&gt;P87,P87&gt;Y87),"BIEN","MAL")))</f>
        <v>#VALUE!</v>
      </c>
      <c r="R87" s="860">
        <f>IF('CG. MPA'!F88="MACIZO",12/'RMCS.PA'!$P$25,9/'RMCS.PA'!$P$25)</f>
        <v>2.3999999999999998E-3</v>
      </c>
      <c r="S87" s="860">
        <f t="shared" si="62"/>
        <v>0</v>
      </c>
      <c r="T87" s="860">
        <f>IF(G87=0,0,IF(AND(G87=2,'RMCV.PA'!E25="III"),30,40))</f>
        <v>0</v>
      </c>
      <c r="U87" s="860">
        <f>IF(J87=0,0,IF(AND(J87=3,'RMCV.PA'!$E$17="I"),20,15))</f>
        <v>0</v>
      </c>
      <c r="V87" s="860">
        <f>IF(K87=0,0,IF(AND(K87=3.5,'RMCV.PA'!$E$17="I"),20,15))</f>
        <v>0</v>
      </c>
      <c r="W87" s="860">
        <f t="shared" si="63"/>
        <v>0</v>
      </c>
      <c r="X87" s="860">
        <f t="shared" si="64"/>
        <v>0</v>
      </c>
      <c r="Y87" s="860" t="e">
        <f>IF('CG. MPA'!E88="CONCRETO",0,IF(N87/(D87*$P$25*L87)&gt;3/$P$25,N87/(D87*$P$25*L87),3/$P$25))</f>
        <v>#VALUE!</v>
      </c>
      <c r="Z87" s="862" t="e">
        <f t="shared" si="65"/>
        <v>#VALUE!</v>
      </c>
      <c r="AA87" s="860" t="e">
        <f t="shared" si="66"/>
        <v>#VALUE!</v>
      </c>
      <c r="AB87" s="863" t="e">
        <f t="shared" si="67"/>
        <v>#VALUE!</v>
      </c>
      <c r="AC87" s="864" t="e">
        <f t="shared" si="68"/>
        <v>#VALUE!</v>
      </c>
      <c r="AD87" s="865" t="e">
        <f>IF(O87="pasa"," ",IF('CG. MPA'!E88="CONCRETO","F/DISEÑO",IF(AC87&gt;M87,"PASA","NO PASA")))</f>
        <v>#VALUE!</v>
      </c>
      <c r="AE87" s="986" t="e">
        <f>$AE$23/($AE$26*'RMCV.PA'!C88)</f>
        <v>#VALUE!</v>
      </c>
      <c r="AF87" s="986" t="e">
        <f t="shared" si="69"/>
        <v>#VALUE!</v>
      </c>
      <c r="AG87" s="986">
        <f>IF(12/$AF$25&gt;'RMCV.PA'!F88*0.3/$AF$25,'RMCV.PA'!F88*0.3/$AF$25,12/$AF$25)</f>
        <v>0</v>
      </c>
      <c r="AH87" s="987" t="e">
        <f t="shared" si="70"/>
        <v>#VALUE!</v>
      </c>
      <c r="AI87" s="986">
        <f>IF(9/$AF$25&gt;'RMCV.PA'!F88*0.3/$AF$25,'RMCV.PA'!F88*0.3/$AF$25,9/$AF$25)</f>
        <v>0</v>
      </c>
      <c r="AJ87" s="988" t="e">
        <f t="shared" si="71"/>
        <v>#VALUE!</v>
      </c>
      <c r="AK87" s="989" t="e">
        <f t="shared" si="72"/>
        <v>#VALUE!</v>
      </c>
      <c r="AL87" s="990" t="e">
        <f t="shared" si="73"/>
        <v>#VALUE!</v>
      </c>
      <c r="AM87" s="1002" t="e">
        <f t="shared" si="74"/>
        <v>#VALUE!</v>
      </c>
      <c r="AN87" s="991" t="e">
        <f>IF(O87="PASA"," ",IF('CG. MPA'!E88="CONCRETO","F/DISEÑO",IF(AM87&gt;N87,"PASA","NO PASA")))</f>
        <v>#VALUE!</v>
      </c>
      <c r="AO87" s="1110" t="e">
        <f t="shared" si="14"/>
        <v>#VALUE!</v>
      </c>
    </row>
    <row r="88" spans="1:41">
      <c r="A88" s="850">
        <f>'CG. MPA'!A89</f>
        <v>10</v>
      </c>
      <c r="B88" s="851">
        <f>'RMCV.PA'!N89/1.3</f>
        <v>0</v>
      </c>
      <c r="C88" s="851">
        <f>(0.3*B88)</f>
        <v>0</v>
      </c>
      <c r="D88" s="852">
        <f>IF('CG. MPA'!D89="NO CONFINADO",0.4,0.7)</f>
        <v>0.7</v>
      </c>
      <c r="E88" s="852">
        <f>IF('CG. MPA'!E89="CONCRETO",0.5*(0.8*250)^0.5,F88+G88+J88+K88)</f>
        <v>0</v>
      </c>
      <c r="F88" s="852">
        <f>IF(AND('CG. MPA'!E89="TABIQUE",'CG. MPA'!F89="MACIZO"),IF('RMCV.PA'!$E$17="I",3.5,3),0)</f>
        <v>0</v>
      </c>
      <c r="G88" s="852">
        <f>IF(AND('CG. MPA'!E89="TABIQUE",'CG. MPA'!F89="HUECO"),IF('RMCV.PA'!$E$17="I",3,5.5),0)</f>
        <v>0</v>
      </c>
      <c r="H88" s="852">
        <f>IF('CG. MPA'!E89="ADOBE",0.3,0)</f>
        <v>0</v>
      </c>
      <c r="I88" s="852">
        <f>IF('CG. MPA'!E89="LIGERO",0.5,0)</f>
        <v>0</v>
      </c>
      <c r="J88" s="852">
        <f>IF(AND('CG. MPA'!E89="TABICON",'CG. MPA'!F89="MACIZO"),IF('RMCV.PA'!$E$17="I",3,2),0)</f>
        <v>0</v>
      </c>
      <c r="K88" s="852">
        <f>IF(AND('CG. MPA'!E89="TABICON",'CG. MPA'!F89="HUECO"),IF('RMCV.PA'!$E$17="I",3.5,2.5),0)</f>
        <v>0</v>
      </c>
      <c r="L88" s="853">
        <f>'RMCV.PA'!M89</f>
        <v>0</v>
      </c>
      <c r="M88" s="960">
        <f>ABS('ELEM. MECA.'!O216)</f>
        <v>0</v>
      </c>
      <c r="N88" s="957">
        <f>IF(((D88*E88*L88*0.5)+(D88*C88))&lt;(D88*E88*L88*1.5),((D88*E88*L88*0.5)+(D88*C88)),(D88*E88*L88*1.5))</f>
        <v>0</v>
      </c>
      <c r="O88" s="854" t="str">
        <f>IF('CG. MPA'!E89="CONCRETO","F/DISEÑO",IF(M88&gt;N88,"NO PASA","PASA"))</f>
        <v>PASA</v>
      </c>
      <c r="P88" s="860" t="str">
        <f>IF(O88="pasa"," ",$P$24/('RMCV.PA'!C89*100))</f>
        <v xml:space="preserve"> </v>
      </c>
      <c r="Q88" s="861" t="str">
        <f>IF(O88="pasa"," ",IF('CG. MPA'!E89="CONCRETO","F/DISEÑO",IF(AND(X88&gt;P88,P88&gt;Y88),"BIEN","MAL")))</f>
        <v xml:space="preserve"> </v>
      </c>
      <c r="R88" s="860">
        <f>IF('CG. MPA'!F89="MACIZO",12/'RMCS.PA'!$P$25,9/'RMCS.PA'!$P$25)</f>
        <v>2.3999999999999998E-3</v>
      </c>
      <c r="S88" s="860">
        <f>IF(F88&gt;0,15,0)</f>
        <v>0</v>
      </c>
      <c r="T88" s="860">
        <f>IF(G88=0,0,IF(AND(G88=2,'RMCV.PA'!E26="III"),30,40))</f>
        <v>0</v>
      </c>
      <c r="U88" s="860">
        <f>IF(J88=0,0,IF(AND(J88=3,'RMCV.PA'!$E$17="I"),20,15))</f>
        <v>0</v>
      </c>
      <c r="V88" s="860">
        <f>IF(K88=0,0,IF(AND(K88=3.5,'RMCV.PA'!$E$17="I"),20,15))</f>
        <v>0</v>
      </c>
      <c r="W88" s="860">
        <f>(S88+T88+U88+V88)*0.3/$P$25</f>
        <v>0</v>
      </c>
      <c r="X88" s="860">
        <f>IF(R88&gt;W88,W88,R88)</f>
        <v>0</v>
      </c>
      <c r="Y88" s="860" t="e">
        <f>IF('CG. MPA'!E89="CONCRETO",0,IF(N88/(D88*$P$25*L88)&gt;3/$P$25,N88/(D88*$P$25*L88),3/$P$25))</f>
        <v>#DIV/0!</v>
      </c>
      <c r="Z88" s="862" t="e">
        <f>P88*$P$25</f>
        <v>#VALUE!</v>
      </c>
      <c r="AA88" s="860" t="e">
        <f>IF(6&gt;Z88,0.6,IF(Z88&gt;9,0.2,(0.4*(9-Z88)/3)+0.2))</f>
        <v>#VALUE!</v>
      </c>
      <c r="AB88" s="863" t="e">
        <f>D88*AA88*P88*$P$25*L88</f>
        <v>#VALUE!</v>
      </c>
      <c r="AC88" s="864" t="str">
        <f>IF(O88="pasa"," ",AB88+N88)</f>
        <v xml:space="preserve"> </v>
      </c>
      <c r="AD88" s="865" t="str">
        <f>IF(O88="pasa"," ",IF('CG. MPA'!E89="CONCRETO","F/DISEÑO",IF(AC88&gt;M88,"PASA","NO PASA")))</f>
        <v xml:space="preserve"> </v>
      </c>
      <c r="AE88" s="986" t="e">
        <f>$AE$23/($AE$26*'RMCV.PA'!C89)</f>
        <v>#DIV/0!</v>
      </c>
      <c r="AF88" s="986" t="e">
        <f t="shared" si="69"/>
        <v>#DIV/0!</v>
      </c>
      <c r="AG88" s="986">
        <f>IF(12/$AF$25&gt;'RMCV.PA'!F89*0.3/$AF$25,'RMCV.PA'!F89*0.3/$AF$25,12/$AF$25)</f>
        <v>0</v>
      </c>
      <c r="AH88" s="987" t="e">
        <f t="shared" si="70"/>
        <v>#DIV/0!</v>
      </c>
      <c r="AI88" s="986">
        <f>IF(9/$AF$25&gt;'RMCV.PA'!F89*0.3/$AF$25,'RMCV.PA'!F89*0.3/$AF$25,9/$AF$25)</f>
        <v>0</v>
      </c>
      <c r="AJ88" s="988" t="e">
        <f t="shared" si="71"/>
        <v>#DIV/0!</v>
      </c>
      <c r="AK88" s="989" t="e">
        <f t="shared" si="72"/>
        <v>#DIV/0!</v>
      </c>
      <c r="AL88" s="990">
        <f t="shared" si="73"/>
        <v>0</v>
      </c>
      <c r="AM88" s="1002">
        <f t="shared" si="74"/>
        <v>0</v>
      </c>
      <c r="AN88" s="991" t="str">
        <f>IF(O88="PASA"," ",IF('CG. MPA'!E89="CONCRETO","F/DISEÑO",IF(AM88&gt;N88,"PASA","NO PASA")))</f>
        <v xml:space="preserve"> </v>
      </c>
      <c r="AO88" s="1110" t="e">
        <f t="shared" si="14"/>
        <v>#VALUE!</v>
      </c>
    </row>
    <row r="89" spans="1:41">
      <c r="A89" s="850">
        <f>'CG. MPA'!A90</f>
        <v>11</v>
      </c>
      <c r="B89" s="851">
        <f>'RMCV.PA'!N90/1.3</f>
        <v>0</v>
      </c>
      <c r="C89" s="851">
        <f t="shared" ref="C89:C128" si="75">(0.3*B89)</f>
        <v>0</v>
      </c>
      <c r="D89" s="852">
        <f>IF('CG. MPA'!D90="NO CONFINADO",0.4,0.7)</f>
        <v>0.7</v>
      </c>
      <c r="E89" s="852">
        <f>IF('CG. MPA'!E90="CONCRETO",0.5*(0.8*250)^0.5,F89+G89+J89+K89)</f>
        <v>0</v>
      </c>
      <c r="F89" s="852">
        <f>IF(AND('CG. MPA'!E90="TABIQUE",'CG. MPA'!F90="MACIZO"),IF('RMCV.PA'!$E$17="I",3.5,3),0)</f>
        <v>0</v>
      </c>
      <c r="G89" s="852">
        <f>IF(AND('CG. MPA'!E90="TABIQUE",'CG. MPA'!F90="HUECO"),IF('RMCV.PA'!$E$17="I",3,5.5),0)</f>
        <v>0</v>
      </c>
      <c r="H89" s="852">
        <f>IF('CG. MPA'!E90="ADOBE",0.3,0)</f>
        <v>0</v>
      </c>
      <c r="I89" s="852">
        <f>IF('CG. MPA'!E90="LIGERO",0.5,0)</f>
        <v>0</v>
      </c>
      <c r="J89" s="852">
        <f>IF(AND('CG. MPA'!E90="TABICON",'CG. MPA'!F90="MACIZO"),IF('RMCV.PA'!$E$17="I",3,2),0)</f>
        <v>0</v>
      </c>
      <c r="K89" s="852">
        <f>IF(AND('CG. MPA'!E90="TABICON",'CG. MPA'!F90="HUECO"),IF('RMCV.PA'!$E$17="I",3.5,2.5),0)</f>
        <v>0</v>
      </c>
      <c r="L89" s="853">
        <f>'RMCV.PA'!M90</f>
        <v>0</v>
      </c>
      <c r="M89" s="960">
        <f>ABS('ELEM. MECA.'!O217)</f>
        <v>0</v>
      </c>
      <c r="N89" s="957">
        <f t="shared" ref="N89:N128" si="76">IF(((D89*E89*L89*0.5)+(D89*C89))&lt;(D89*E89*L89*1.5),((D89*E89*L89*0.5)+(D89*C89)),(D89*E89*L89*1.5))</f>
        <v>0</v>
      </c>
      <c r="O89" s="854" t="str">
        <f>IF('CG. MPA'!E90="CONCRETO","F/DISEÑO",IF(M89&gt;N89,"NO PASA","PASA"))</f>
        <v>PASA</v>
      </c>
      <c r="P89" s="860" t="str">
        <f>IF(O89="pasa"," ",$P$24/('RMCV.PA'!C90*100))</f>
        <v xml:space="preserve"> </v>
      </c>
      <c r="Q89" s="861" t="str">
        <f>IF(O89="pasa"," ",IF('CG. MPA'!E90="CONCRETO","F/DISEÑO",IF(AND(X89&gt;P89,P89&gt;Y89),"BIEN","MAL")))</f>
        <v xml:space="preserve"> </v>
      </c>
      <c r="R89" s="860">
        <f>IF('CG. MPA'!F90="MACIZO",12/'RMCS.PA'!$P$25,9/'RMCS.PA'!$P$25)</f>
        <v>2.3999999999999998E-3</v>
      </c>
      <c r="S89" s="860">
        <f t="shared" ref="S89:S128" si="77">IF(F89&gt;0,15,0)</f>
        <v>0</v>
      </c>
      <c r="T89" s="860">
        <f>IF(G89=0,0,IF(AND(G89=2,'RMCV.PA'!E27="III"),30,40))</f>
        <v>0</v>
      </c>
      <c r="U89" s="860">
        <f>IF(J89=0,0,IF(AND(J89=3,'RMCV.PA'!$E$17="I"),20,15))</f>
        <v>0</v>
      </c>
      <c r="V89" s="860">
        <f>IF(K89=0,0,IF(AND(K89=3.5,'RMCV.PA'!$E$17="I"),20,15))</f>
        <v>0</v>
      </c>
      <c r="W89" s="860">
        <f t="shared" ref="W89:W128" si="78">(S89+T89+U89+V89)*0.3/$P$25</f>
        <v>0</v>
      </c>
      <c r="X89" s="860">
        <f t="shared" ref="X89:X128" si="79">IF(R89&gt;W89,W89,R89)</f>
        <v>0</v>
      </c>
      <c r="Y89" s="860" t="e">
        <f>IF('CG. MPA'!E90="CONCRETO",0,IF(N89/(D89*$P$25*L89)&gt;3/$P$25,N89/(D89*$P$25*L89),3/$P$25))</f>
        <v>#DIV/0!</v>
      </c>
      <c r="Z89" s="862" t="e">
        <f t="shared" ref="Z89:Z128" si="80">P89*$P$25</f>
        <v>#VALUE!</v>
      </c>
      <c r="AA89" s="860" t="e">
        <f t="shared" ref="AA89:AA128" si="81">IF(6&gt;Z89,0.6,IF(Z89&gt;9,0.2,(0.4*(9-Z89)/3)+0.2))</f>
        <v>#VALUE!</v>
      </c>
      <c r="AB89" s="863" t="e">
        <f t="shared" ref="AB89:AB128" si="82">D89*AA89*P89*$P$25*L89</f>
        <v>#VALUE!</v>
      </c>
      <c r="AC89" s="864" t="str">
        <f t="shared" ref="AC89:AC128" si="83">IF(O89="pasa"," ",AB89+N89)</f>
        <v xml:space="preserve"> </v>
      </c>
      <c r="AD89" s="865" t="str">
        <f>IF(O89="pasa"," ",IF('CG. MPA'!E90="CONCRETO","F/DISEÑO",IF(AC89&gt;M89,"PASA","NO PASA")))</f>
        <v xml:space="preserve"> </v>
      </c>
      <c r="AE89" s="986" t="e">
        <f>$AE$23/($AE$26*'RMCV.PA'!C90)</f>
        <v>#DIV/0!</v>
      </c>
      <c r="AF89" s="986" t="e">
        <f t="shared" si="69"/>
        <v>#DIV/0!</v>
      </c>
      <c r="AG89" s="986">
        <f>IF(12/$AF$25&gt;'RMCV.PA'!F90*0.3/$AF$25,'RMCV.PA'!F90*0.3/$AF$25,12/$AF$25)</f>
        <v>0</v>
      </c>
      <c r="AH89" s="987" t="e">
        <f t="shared" si="70"/>
        <v>#DIV/0!</v>
      </c>
      <c r="AI89" s="986">
        <f>IF(9/$AF$25&gt;'RMCV.PA'!F90*0.3/$AF$25,'RMCV.PA'!F90*0.3/$AF$25,9/$AF$25)</f>
        <v>0</v>
      </c>
      <c r="AJ89" s="988" t="e">
        <f t="shared" si="71"/>
        <v>#DIV/0!</v>
      </c>
      <c r="AK89" s="989" t="e">
        <f t="shared" si="72"/>
        <v>#DIV/0!</v>
      </c>
      <c r="AL89" s="990">
        <f t="shared" si="73"/>
        <v>0</v>
      </c>
      <c r="AM89" s="1002">
        <f t="shared" si="74"/>
        <v>0</v>
      </c>
      <c r="AN89" s="991" t="str">
        <f>IF(O89="PASA"," ",IF('CG. MPA'!E90="CONCRETO","F/DISEÑO",IF(AM89&gt;N89,"PASA","NO PASA")))</f>
        <v xml:space="preserve"> </v>
      </c>
      <c r="AO89" s="1110" t="e">
        <f t="shared" si="14"/>
        <v>#VALUE!</v>
      </c>
    </row>
    <row r="90" spans="1:41">
      <c r="A90" s="850">
        <f>'CG. MPA'!A91</f>
        <v>12</v>
      </c>
      <c r="B90" s="851">
        <f>'RMCV.PA'!N91/1.3</f>
        <v>0</v>
      </c>
      <c r="C90" s="851">
        <f t="shared" ref="C90:C93" si="84">(0.3*B90)</f>
        <v>0</v>
      </c>
      <c r="D90" s="852">
        <f>IF('CG. MPA'!D91="NO CONFINADO",0.4,0.7)</f>
        <v>0.7</v>
      </c>
      <c r="E90" s="852">
        <f>IF('CG. MPA'!E91="CONCRETO",0.5*(0.8*250)^0.5,F90+G90+J90+K90)</f>
        <v>0</v>
      </c>
      <c r="F90" s="852">
        <f>IF(AND('CG. MPA'!E91="TABIQUE",'CG. MPA'!F91="MACIZO"),IF('RMCV.PA'!$E$17="I",3.5,3),0)</f>
        <v>0</v>
      </c>
      <c r="G90" s="852">
        <f>IF(AND('CG. MPA'!E91="TABIQUE",'CG. MPA'!F91="HUECO"),IF('RMCV.PA'!$E$17="I",3,5.5),0)</f>
        <v>0</v>
      </c>
      <c r="H90" s="852">
        <f>IF('CG. MPA'!E91="ADOBE",0.3,0)</f>
        <v>0</v>
      </c>
      <c r="I90" s="852">
        <f>IF('CG. MPA'!E91="LIGERO",0.5,0)</f>
        <v>0</v>
      </c>
      <c r="J90" s="852">
        <f>IF(AND('CG. MPA'!E91="TABICON",'CG. MPA'!F91="MACIZO"),IF('RMCV.PA'!$E$17="I",3,2),0)</f>
        <v>0</v>
      </c>
      <c r="K90" s="852">
        <f>IF(AND('CG. MPA'!E91="TABICON",'CG. MPA'!F91="HUECO"),IF('RMCV.PA'!$E$17="I",3.5,2.5),0)</f>
        <v>0</v>
      </c>
      <c r="L90" s="853">
        <f>'RMCV.PA'!M91</f>
        <v>0</v>
      </c>
      <c r="M90" s="960">
        <f>ABS('ELEM. MECA.'!O218)</f>
        <v>0</v>
      </c>
      <c r="N90" s="957">
        <f t="shared" ref="N90:N93" si="85">IF(((D90*E90*L90*0.5)+(D90*C90))&lt;(D90*E90*L90*1.5),((D90*E90*L90*0.5)+(D90*C90)),(D90*E90*L90*1.5))</f>
        <v>0</v>
      </c>
      <c r="O90" s="854" t="str">
        <f>IF('CG. MPA'!E91="CONCRETO","F/DISEÑO",IF(M90&gt;N90,"NO PASA","PASA"))</f>
        <v>PASA</v>
      </c>
      <c r="P90" s="860" t="str">
        <f>IF(O90="pasa"," ",$P$24/('RMCV.PA'!C91*100))</f>
        <v xml:space="preserve"> </v>
      </c>
      <c r="Q90" s="861" t="str">
        <f>IF(O90="pasa"," ",IF('CG. MPA'!E91="CONCRETO","F/DISEÑO",IF(AND(X90&gt;P90,P90&gt;Y90),"BIEN","MAL")))</f>
        <v xml:space="preserve"> </v>
      </c>
      <c r="R90" s="860">
        <f>IF('CG. MPA'!F91="MACIZO",12/'RMCS.PA'!$P$25,9/'RMCS.PA'!$P$25)</f>
        <v>2.3999999999999998E-3</v>
      </c>
      <c r="S90" s="860">
        <f t="shared" ref="S90:S93" si="86">IF(F90&gt;0,15,0)</f>
        <v>0</v>
      </c>
      <c r="T90" s="860">
        <f>IF(G90=0,0,IF(AND(G90=2,'RMCV.PA'!E28="III"),30,40))</f>
        <v>0</v>
      </c>
      <c r="U90" s="860">
        <f>IF(J90=0,0,IF(AND(J90=3,'RMCV.PA'!$E$17="I"),20,15))</f>
        <v>0</v>
      </c>
      <c r="V90" s="860">
        <f>IF(K90=0,0,IF(AND(K90=3.5,'RMCV.PA'!$E$17="I"),20,15))</f>
        <v>0</v>
      </c>
      <c r="W90" s="860">
        <f t="shared" ref="W90:W93" si="87">(S90+T90+U90+V90)*0.3/$P$25</f>
        <v>0</v>
      </c>
      <c r="X90" s="860">
        <f t="shared" ref="X90:X93" si="88">IF(R90&gt;W90,W90,R90)</f>
        <v>0</v>
      </c>
      <c r="Y90" s="860" t="e">
        <f>IF('CG. MPA'!E91="CONCRETO",0,IF(N90/(D90*$P$25*L90)&gt;3/$P$25,N90/(D90*$P$25*L90),3/$P$25))</f>
        <v>#DIV/0!</v>
      </c>
      <c r="Z90" s="862" t="e">
        <f t="shared" ref="Z90:Z93" si="89">P90*$P$25</f>
        <v>#VALUE!</v>
      </c>
      <c r="AA90" s="860" t="e">
        <f t="shared" ref="AA90:AA93" si="90">IF(6&gt;Z90,0.6,IF(Z90&gt;9,0.2,(0.4*(9-Z90)/3)+0.2))</f>
        <v>#VALUE!</v>
      </c>
      <c r="AB90" s="863" t="e">
        <f t="shared" ref="AB90:AB93" si="91">D90*AA90*P90*$P$25*L90</f>
        <v>#VALUE!</v>
      </c>
      <c r="AC90" s="864" t="str">
        <f t="shared" ref="AC90:AC93" si="92">IF(O90="pasa"," ",AB90+N90)</f>
        <v xml:space="preserve"> </v>
      </c>
      <c r="AD90" s="865" t="str">
        <f>IF(O90="pasa"," ",IF('CG. MPA'!E91="CONCRETO","F/DISEÑO",IF(AC90&gt;M90,"PASA","NO PASA")))</f>
        <v xml:space="preserve"> </v>
      </c>
      <c r="AE90" s="986" t="e">
        <f>$AE$23/($AE$26*'RMCV.PA'!C91)</f>
        <v>#DIV/0!</v>
      </c>
      <c r="AF90" s="986" t="e">
        <f t="shared" si="69"/>
        <v>#DIV/0!</v>
      </c>
      <c r="AG90" s="986">
        <f>IF(12/$AF$25&gt;'RMCV.PA'!F91*0.3/$AF$25,'RMCV.PA'!F91*0.3/$AF$25,12/$AF$25)</f>
        <v>0</v>
      </c>
      <c r="AH90" s="987" t="e">
        <f t="shared" si="70"/>
        <v>#DIV/0!</v>
      </c>
      <c r="AI90" s="986">
        <f>IF(9/$AF$25&gt;'RMCV.PA'!F91*0.3/$AF$25,'RMCV.PA'!F91*0.3/$AF$25,9/$AF$25)</f>
        <v>0</v>
      </c>
      <c r="AJ90" s="988" t="e">
        <f t="shared" si="71"/>
        <v>#DIV/0!</v>
      </c>
      <c r="AK90" s="989" t="e">
        <f t="shared" si="72"/>
        <v>#DIV/0!</v>
      </c>
      <c r="AL90" s="990">
        <f t="shared" si="73"/>
        <v>0</v>
      </c>
      <c r="AM90" s="1002">
        <f t="shared" si="74"/>
        <v>0</v>
      </c>
      <c r="AN90" s="991" t="str">
        <f>IF(O90="PASA"," ",IF('CG. MPA'!E91="CONCRETO","F/DISEÑO",IF(AM90&gt;N90,"PASA","NO PASA")))</f>
        <v xml:space="preserve"> </v>
      </c>
      <c r="AO90" s="1110" t="e">
        <f t="shared" si="14"/>
        <v>#VALUE!</v>
      </c>
    </row>
    <row r="91" spans="1:41">
      <c r="A91" s="850">
        <f>'CG. MPA'!A92</f>
        <v>13</v>
      </c>
      <c r="B91" s="851">
        <f>'RMCV.PA'!N92/1.3</f>
        <v>0</v>
      </c>
      <c r="C91" s="851">
        <f t="shared" si="84"/>
        <v>0</v>
      </c>
      <c r="D91" s="852">
        <f>IF('CG. MPA'!D92="NO CONFINADO",0.4,0.7)</f>
        <v>0.7</v>
      </c>
      <c r="E91" s="852">
        <f>IF('CG. MPA'!E92="CONCRETO",0.5*(0.8*250)^0.5,F91+G91+J91+K91)</f>
        <v>0</v>
      </c>
      <c r="F91" s="852">
        <f>IF(AND('CG. MPA'!E92="TABIQUE",'CG. MPA'!F92="MACIZO"),IF('RMCV.PA'!$E$17="I",3.5,3),0)</f>
        <v>0</v>
      </c>
      <c r="G91" s="852">
        <f>IF(AND('CG. MPA'!E92="TABIQUE",'CG. MPA'!F92="HUECO"),IF('RMCV.PA'!$E$17="I",3,5.5),0)</f>
        <v>0</v>
      </c>
      <c r="H91" s="852">
        <f>IF('CG. MPA'!E92="ADOBE",0.3,0)</f>
        <v>0</v>
      </c>
      <c r="I91" s="852">
        <f>IF('CG. MPA'!E92="LIGERO",0.5,0)</f>
        <v>0</v>
      </c>
      <c r="J91" s="852">
        <f>IF(AND('CG. MPA'!E92="TABICON",'CG. MPA'!F92="MACIZO"),IF('RMCV.PA'!$E$17="I",3,2),0)</f>
        <v>0</v>
      </c>
      <c r="K91" s="852">
        <f>IF(AND('CG. MPA'!E92="TABICON",'CG. MPA'!F92="HUECO"),IF('RMCV.PA'!$E$17="I",3.5,2.5),0)</f>
        <v>0</v>
      </c>
      <c r="L91" s="853">
        <f>'RMCV.PA'!M92</f>
        <v>0</v>
      </c>
      <c r="M91" s="960">
        <f>ABS('ELEM. MECA.'!O219)</f>
        <v>0</v>
      </c>
      <c r="N91" s="957">
        <f t="shared" si="85"/>
        <v>0</v>
      </c>
      <c r="O91" s="854" t="str">
        <f>IF('CG. MPA'!E92="CONCRETO","F/DISEÑO",IF(M91&gt;N91,"NO PASA","PASA"))</f>
        <v>PASA</v>
      </c>
      <c r="P91" s="860" t="str">
        <f>IF(O91="pasa"," ",$P$24/('RMCV.PA'!C92*100))</f>
        <v xml:space="preserve"> </v>
      </c>
      <c r="Q91" s="861" t="str">
        <f>IF(O91="pasa"," ",IF('CG. MPA'!E92="CONCRETO","F/DISEÑO",IF(AND(X91&gt;P91,P91&gt;Y91),"BIEN","MAL")))</f>
        <v xml:space="preserve"> </v>
      </c>
      <c r="R91" s="860">
        <f>IF('CG. MPA'!F92="MACIZO",12/'RMCS.PA'!$P$25,9/'RMCS.PA'!$P$25)</f>
        <v>2.3999999999999998E-3</v>
      </c>
      <c r="S91" s="860">
        <f t="shared" si="86"/>
        <v>0</v>
      </c>
      <c r="T91" s="860">
        <f>IF(G91=0,0,IF(AND(G91=2,'RMCV.PA'!E29="III"),30,40))</f>
        <v>0</v>
      </c>
      <c r="U91" s="860">
        <f>IF(J91=0,0,IF(AND(J91=3,'RMCV.PA'!$E$17="I"),20,15))</f>
        <v>0</v>
      </c>
      <c r="V91" s="860">
        <f>IF(K91=0,0,IF(AND(K91=3.5,'RMCV.PA'!$E$17="I"),20,15))</f>
        <v>0</v>
      </c>
      <c r="W91" s="860">
        <f t="shared" si="87"/>
        <v>0</v>
      </c>
      <c r="X91" s="860">
        <f t="shared" si="88"/>
        <v>0</v>
      </c>
      <c r="Y91" s="860" t="e">
        <f>IF('CG. MPA'!E92="CONCRETO",0,IF(N91/(D91*$P$25*L91)&gt;3/$P$25,N91/(D91*$P$25*L91),3/$P$25))</f>
        <v>#DIV/0!</v>
      </c>
      <c r="Z91" s="862" t="e">
        <f t="shared" si="89"/>
        <v>#VALUE!</v>
      </c>
      <c r="AA91" s="860" t="e">
        <f t="shared" si="90"/>
        <v>#VALUE!</v>
      </c>
      <c r="AB91" s="863" t="e">
        <f t="shared" si="91"/>
        <v>#VALUE!</v>
      </c>
      <c r="AC91" s="864" t="str">
        <f t="shared" si="92"/>
        <v xml:space="preserve"> </v>
      </c>
      <c r="AD91" s="865" t="str">
        <f>IF(O91="pasa"," ",IF('CG. MPA'!E92="CONCRETO","F/DISEÑO",IF(AC91&gt;M91,"PASA","NO PASA")))</f>
        <v xml:space="preserve"> </v>
      </c>
      <c r="AE91" s="986" t="e">
        <f>$AE$23/($AE$26*'RMCV.PA'!C92)</f>
        <v>#DIV/0!</v>
      </c>
      <c r="AF91" s="986" t="e">
        <f t="shared" si="69"/>
        <v>#DIV/0!</v>
      </c>
      <c r="AG91" s="986">
        <f>IF(12/$AF$25&gt;'RMCV.PA'!F92*0.3/$AF$25,'RMCV.PA'!F92*0.3/$AF$25,12/$AF$25)</f>
        <v>0</v>
      </c>
      <c r="AH91" s="987" t="e">
        <f t="shared" si="70"/>
        <v>#DIV/0!</v>
      </c>
      <c r="AI91" s="986">
        <f>IF(9/$AF$25&gt;'RMCV.PA'!F92*0.3/$AF$25,'RMCV.PA'!F92*0.3/$AF$25,9/$AF$25)</f>
        <v>0</v>
      </c>
      <c r="AJ91" s="988" t="e">
        <f t="shared" si="71"/>
        <v>#DIV/0!</v>
      </c>
      <c r="AK91" s="989" t="e">
        <f t="shared" si="72"/>
        <v>#DIV/0!</v>
      </c>
      <c r="AL91" s="990">
        <f t="shared" si="73"/>
        <v>0</v>
      </c>
      <c r="AM91" s="1002">
        <f t="shared" si="74"/>
        <v>0</v>
      </c>
      <c r="AN91" s="991" t="str">
        <f>IF(O91="PASA"," ",IF('CG. MPA'!E92="CONCRETO","F/DISEÑO",IF(AM91&gt;N91,"PASA","NO PASA")))</f>
        <v xml:space="preserve"> </v>
      </c>
      <c r="AO91" s="1110" t="e">
        <f t="shared" si="14"/>
        <v>#VALUE!</v>
      </c>
    </row>
    <row r="92" spans="1:41">
      <c r="A92" s="850">
        <f>'CG. MPA'!A93</f>
        <v>14</v>
      </c>
      <c r="B92" s="851">
        <f>'RMCV.PA'!N93/1.3</f>
        <v>0</v>
      </c>
      <c r="C92" s="851">
        <f t="shared" si="84"/>
        <v>0</v>
      </c>
      <c r="D92" s="852">
        <f>IF('CG. MPA'!D93="NO CONFINADO",0.4,0.7)</f>
        <v>0.7</v>
      </c>
      <c r="E92" s="852">
        <f>IF('CG. MPA'!E93="CONCRETO",0.5*(0.8*250)^0.5,F92+G92+J92+K92)</f>
        <v>0</v>
      </c>
      <c r="F92" s="852">
        <f>IF(AND('CG. MPA'!E93="TABIQUE",'CG. MPA'!F93="MACIZO"),IF('RMCV.PA'!$E$17="I",3.5,3),0)</f>
        <v>0</v>
      </c>
      <c r="G92" s="852">
        <f>IF(AND('CG. MPA'!E93="TABIQUE",'CG. MPA'!F93="HUECO"),IF('RMCV.PA'!$E$17="I",3,5.5),0)</f>
        <v>0</v>
      </c>
      <c r="H92" s="852">
        <f>IF('CG. MPA'!E93="ADOBE",0.3,0)</f>
        <v>0</v>
      </c>
      <c r="I92" s="852">
        <f>IF('CG. MPA'!E93="LIGERO",0.5,0)</f>
        <v>0</v>
      </c>
      <c r="J92" s="852">
        <f>IF(AND('CG. MPA'!E93="TABICON",'CG. MPA'!F93="MACIZO"),IF('RMCV.PA'!$E$17="I",3,2),0)</f>
        <v>0</v>
      </c>
      <c r="K92" s="852">
        <f>IF(AND('CG. MPA'!E93="TABICON",'CG. MPA'!F93="HUECO"),IF('RMCV.PA'!$E$17="I",3.5,2.5),0)</f>
        <v>0</v>
      </c>
      <c r="L92" s="853">
        <f>'RMCV.PA'!M93</f>
        <v>0</v>
      </c>
      <c r="M92" s="960">
        <f>ABS('ELEM. MECA.'!O220)</f>
        <v>0</v>
      </c>
      <c r="N92" s="957">
        <f t="shared" si="85"/>
        <v>0</v>
      </c>
      <c r="O92" s="854" t="str">
        <f>IF('CG. MPA'!E93="CONCRETO","F/DISEÑO",IF(M92&gt;N92,"NO PASA","PASA"))</f>
        <v>PASA</v>
      </c>
      <c r="P92" s="860" t="str">
        <f>IF(O92="pasa"," ",$P$24/('RMCV.PA'!C93*100))</f>
        <v xml:space="preserve"> </v>
      </c>
      <c r="Q92" s="861" t="str">
        <f>IF(O92="pasa"," ",IF('CG. MPA'!E93="CONCRETO","F/DISEÑO",IF(AND(X92&gt;P92,P92&gt;Y92),"BIEN","MAL")))</f>
        <v xml:space="preserve"> </v>
      </c>
      <c r="R92" s="860">
        <f>IF('CG. MPA'!F93="MACIZO",12/'RMCS.PA'!$P$25,9/'RMCS.PA'!$P$25)</f>
        <v>2.3999999999999998E-3</v>
      </c>
      <c r="S92" s="860">
        <f t="shared" si="86"/>
        <v>0</v>
      </c>
      <c r="T92" s="860">
        <f>IF(G92=0,0,IF(AND(G92=2,'RMCV.PA'!E30="III"),30,40))</f>
        <v>0</v>
      </c>
      <c r="U92" s="860">
        <f>IF(J92=0,0,IF(AND(J92=3,'RMCV.PA'!$E$17="I"),20,15))</f>
        <v>0</v>
      </c>
      <c r="V92" s="860">
        <f>IF(K92=0,0,IF(AND(K92=3.5,'RMCV.PA'!$E$17="I"),20,15))</f>
        <v>0</v>
      </c>
      <c r="W92" s="860">
        <f t="shared" si="87"/>
        <v>0</v>
      </c>
      <c r="X92" s="860">
        <f t="shared" si="88"/>
        <v>0</v>
      </c>
      <c r="Y92" s="860" t="e">
        <f>IF('CG. MPA'!E93="CONCRETO",0,IF(N92/(D92*$P$25*L92)&gt;3/$P$25,N92/(D92*$P$25*L92),3/$P$25))</f>
        <v>#DIV/0!</v>
      </c>
      <c r="Z92" s="862" t="e">
        <f t="shared" si="89"/>
        <v>#VALUE!</v>
      </c>
      <c r="AA92" s="860" t="e">
        <f t="shared" si="90"/>
        <v>#VALUE!</v>
      </c>
      <c r="AB92" s="863" t="e">
        <f t="shared" si="91"/>
        <v>#VALUE!</v>
      </c>
      <c r="AC92" s="864" t="str">
        <f t="shared" si="92"/>
        <v xml:space="preserve"> </v>
      </c>
      <c r="AD92" s="865" t="str">
        <f>IF(O92="pasa"," ",IF('CG. MPA'!E93="CONCRETO","F/DISEÑO",IF(AC92&gt;M92,"PASA","NO PASA")))</f>
        <v xml:space="preserve"> </v>
      </c>
      <c r="AE92" s="986" t="e">
        <f>$AE$23/($AE$26*'RMCV.PA'!C93)</f>
        <v>#DIV/0!</v>
      </c>
      <c r="AF92" s="986" t="e">
        <f t="shared" si="69"/>
        <v>#DIV/0!</v>
      </c>
      <c r="AG92" s="986">
        <f>IF(12/$AF$25&gt;'RMCV.PA'!F93*0.3/$AF$25,'RMCV.PA'!F93*0.3/$AF$25,12/$AF$25)</f>
        <v>0</v>
      </c>
      <c r="AH92" s="987" t="e">
        <f t="shared" si="70"/>
        <v>#DIV/0!</v>
      </c>
      <c r="AI92" s="986">
        <f>IF(9/$AF$25&gt;'RMCV.PA'!F93*0.3/$AF$25,'RMCV.PA'!F93*0.3/$AF$25,9/$AF$25)</f>
        <v>0</v>
      </c>
      <c r="AJ92" s="988" t="e">
        <f t="shared" si="71"/>
        <v>#DIV/0!</v>
      </c>
      <c r="AK92" s="989" t="e">
        <f t="shared" si="72"/>
        <v>#DIV/0!</v>
      </c>
      <c r="AL92" s="990">
        <f t="shared" si="73"/>
        <v>0</v>
      </c>
      <c r="AM92" s="1002">
        <f t="shared" si="74"/>
        <v>0</v>
      </c>
      <c r="AN92" s="991" t="str">
        <f>IF(O92="PASA"," ",IF('CG. MPA'!E93="CONCRETO","F/DISEÑO",IF(AM92&gt;N92,"PASA","NO PASA")))</f>
        <v xml:space="preserve"> </v>
      </c>
      <c r="AO92" s="1110" t="e">
        <f t="shared" si="14"/>
        <v>#VALUE!</v>
      </c>
    </row>
    <row r="93" spans="1:41">
      <c r="A93" s="850">
        <f>'CG. MPA'!A94</f>
        <v>15</v>
      </c>
      <c r="B93" s="851">
        <f>'RMCV.PA'!N94/1.3</f>
        <v>0</v>
      </c>
      <c r="C93" s="851">
        <f t="shared" si="84"/>
        <v>0</v>
      </c>
      <c r="D93" s="852">
        <f>IF('CG. MPA'!D94="NO CONFINADO",0.4,0.7)</f>
        <v>0.7</v>
      </c>
      <c r="E93" s="852">
        <f>IF('CG. MPA'!E94="CONCRETO",0.5*(0.8*250)^0.5,F93+G93+J93+K93)</f>
        <v>0</v>
      </c>
      <c r="F93" s="852">
        <f>IF(AND('CG. MPA'!E94="TABIQUE",'CG. MPA'!F94="MACIZO"),IF('RMCV.PA'!$E$17="I",3.5,3),0)</f>
        <v>0</v>
      </c>
      <c r="G93" s="852">
        <f>IF(AND('CG. MPA'!E94="TABIQUE",'CG. MPA'!F94="HUECO"),IF('RMCV.PA'!$E$17="I",3,5.5),0)</f>
        <v>0</v>
      </c>
      <c r="H93" s="852">
        <f>IF('CG. MPA'!E94="ADOBE",0.3,0)</f>
        <v>0</v>
      </c>
      <c r="I93" s="852">
        <f>IF('CG. MPA'!E94="LIGERO",0.5,0)</f>
        <v>0</v>
      </c>
      <c r="J93" s="852">
        <f>IF(AND('CG. MPA'!E94="TABICON",'CG. MPA'!F94="MACIZO"),IF('RMCV.PA'!$E$17="I",3,2),0)</f>
        <v>0</v>
      </c>
      <c r="K93" s="852">
        <f>IF(AND('CG. MPA'!E94="TABICON",'CG. MPA'!F94="HUECO"),IF('RMCV.PA'!$E$17="I",3.5,2.5),0)</f>
        <v>0</v>
      </c>
      <c r="L93" s="853">
        <f>'RMCV.PA'!M94</f>
        <v>0</v>
      </c>
      <c r="M93" s="960">
        <f>ABS('ELEM. MECA.'!O221)</f>
        <v>0</v>
      </c>
      <c r="N93" s="957">
        <f t="shared" si="85"/>
        <v>0</v>
      </c>
      <c r="O93" s="854" t="str">
        <f>IF('CG. MPA'!E94="CONCRETO","F/DISEÑO",IF(M93&gt;N93,"NO PASA","PASA"))</f>
        <v>PASA</v>
      </c>
      <c r="P93" s="860" t="str">
        <f>IF(O93="pasa"," ",$P$24/('RMCV.PA'!C94*100))</f>
        <v xml:space="preserve"> </v>
      </c>
      <c r="Q93" s="861" t="str">
        <f>IF(O93="pasa"," ",IF('CG. MPA'!E94="CONCRETO","F/DISEÑO",IF(AND(X93&gt;P93,P93&gt;Y93),"BIEN","MAL")))</f>
        <v xml:space="preserve"> </v>
      </c>
      <c r="R93" s="860">
        <f>IF('CG. MPA'!F94="MACIZO",12/'RMCS.PA'!$P$25,9/'RMCS.PA'!$P$25)</f>
        <v>2.3999999999999998E-3</v>
      </c>
      <c r="S93" s="860">
        <f t="shared" si="86"/>
        <v>0</v>
      </c>
      <c r="T93" s="860">
        <f>IF(G93=0,0,IF(AND(G93=2,'RMCV.PA'!E31="III"),30,40))</f>
        <v>0</v>
      </c>
      <c r="U93" s="860">
        <f>IF(J93=0,0,IF(AND(J93=3,'RMCV.PA'!$E$17="I"),20,15))</f>
        <v>0</v>
      </c>
      <c r="V93" s="860">
        <f>IF(K93=0,0,IF(AND(K93=3.5,'RMCV.PA'!$E$17="I"),20,15))</f>
        <v>0</v>
      </c>
      <c r="W93" s="860">
        <f t="shared" si="87"/>
        <v>0</v>
      </c>
      <c r="X93" s="860">
        <f t="shared" si="88"/>
        <v>0</v>
      </c>
      <c r="Y93" s="860" t="e">
        <f>IF('CG. MPA'!E94="CONCRETO",0,IF(N93/(D93*$P$25*L93)&gt;3/$P$25,N93/(D93*$P$25*L93),3/$P$25))</f>
        <v>#DIV/0!</v>
      </c>
      <c r="Z93" s="862" t="e">
        <f t="shared" si="89"/>
        <v>#VALUE!</v>
      </c>
      <c r="AA93" s="860" t="e">
        <f t="shared" si="90"/>
        <v>#VALUE!</v>
      </c>
      <c r="AB93" s="863" t="e">
        <f t="shared" si="91"/>
        <v>#VALUE!</v>
      </c>
      <c r="AC93" s="864" t="str">
        <f t="shared" si="92"/>
        <v xml:space="preserve"> </v>
      </c>
      <c r="AD93" s="865" t="str">
        <f>IF(O93="pasa"," ",IF('CG. MPA'!E94="CONCRETO","F/DISEÑO",IF(AC93&gt;M93,"PASA","NO PASA")))</f>
        <v xml:space="preserve"> </v>
      </c>
      <c r="AE93" s="986" t="e">
        <f>$AE$23/($AE$26*'RMCV.PA'!C94)</f>
        <v>#DIV/0!</v>
      </c>
      <c r="AF93" s="986" t="e">
        <f t="shared" si="69"/>
        <v>#DIV/0!</v>
      </c>
      <c r="AG93" s="986">
        <f>IF(12/$AF$25&gt;'RMCV.PA'!F94*0.3/$AF$25,'RMCV.PA'!F94*0.3/$AF$25,12/$AF$25)</f>
        <v>0</v>
      </c>
      <c r="AH93" s="987" t="e">
        <f t="shared" si="70"/>
        <v>#DIV/0!</v>
      </c>
      <c r="AI93" s="986">
        <f>IF(9/$AF$25&gt;'RMCV.PA'!F94*0.3/$AF$25,'RMCV.PA'!F94*0.3/$AF$25,9/$AF$25)</f>
        <v>0</v>
      </c>
      <c r="AJ93" s="988" t="e">
        <f t="shared" si="71"/>
        <v>#DIV/0!</v>
      </c>
      <c r="AK93" s="989" t="e">
        <f t="shared" si="72"/>
        <v>#DIV/0!</v>
      </c>
      <c r="AL93" s="990">
        <f t="shared" si="73"/>
        <v>0</v>
      </c>
      <c r="AM93" s="1002">
        <f t="shared" si="74"/>
        <v>0</v>
      </c>
      <c r="AN93" s="991" t="str">
        <f>IF(O93="PASA"," ",IF('CG. MPA'!E94="CONCRETO","F/DISEÑO",IF(AM93&gt;N93,"PASA","NO PASA")))</f>
        <v xml:space="preserve"> </v>
      </c>
      <c r="AO93" s="1110" t="e">
        <f t="shared" ref="AO93:AO128" si="93">IF(M93/AC93&gt;0,M93/AC93,"")</f>
        <v>#VALUE!</v>
      </c>
    </row>
    <row r="94" spans="1:41">
      <c r="A94" s="850">
        <f>'CG. MPA'!A95</f>
        <v>16</v>
      </c>
      <c r="B94" s="851">
        <f>'RMCV.PA'!N95/1.3</f>
        <v>0</v>
      </c>
      <c r="C94" s="851">
        <f t="shared" ref="C94" si="94">(0.3*B94)</f>
        <v>0</v>
      </c>
      <c r="D94" s="852">
        <f>IF('CG. MPA'!D95="NO CONFINADO",0.4,0.7)</f>
        <v>0.7</v>
      </c>
      <c r="E94" s="852">
        <f>IF('CG. MPA'!E95="CONCRETO",0.5*(0.8*250)^0.5,F94+G94+J94+K94)</f>
        <v>0</v>
      </c>
      <c r="F94" s="852">
        <f>IF(AND('CG. MPA'!E95="TABIQUE",'CG. MPA'!F95="MACIZO"),IF('RMCV.PA'!$E$17="I",3.5,3),0)</f>
        <v>0</v>
      </c>
      <c r="G94" s="852">
        <f>IF(AND('CG. MPA'!E95="TABIQUE",'CG. MPA'!F95="HUECO"),IF('RMCV.PA'!$E$17="I",3,5.5),0)</f>
        <v>0</v>
      </c>
      <c r="H94" s="852">
        <f>IF('CG. MPA'!E95="ADOBE",0.3,0)</f>
        <v>0</v>
      </c>
      <c r="I94" s="852">
        <f>IF('CG. MPA'!E95="LIGERO",0.5,0)</f>
        <v>0</v>
      </c>
      <c r="J94" s="852">
        <f>IF(AND('CG. MPA'!E95="TABICON",'CG. MPA'!F95="MACIZO"),IF('RMCV.PA'!$E$17="I",3,2),0)</f>
        <v>0</v>
      </c>
      <c r="K94" s="852">
        <f>IF(AND('CG. MPA'!E95="TABICON",'CG. MPA'!F95="HUECO"),IF('RMCV.PA'!$E$17="I",3.5,2.5),0)</f>
        <v>0</v>
      </c>
      <c r="L94" s="853">
        <f>'RMCV.PA'!M95</f>
        <v>0</v>
      </c>
      <c r="M94" s="960">
        <f>ABS('ELEM. MECA.'!O222)</f>
        <v>0</v>
      </c>
      <c r="N94" s="957">
        <f t="shared" ref="N94" si="95">IF(((D94*E94*L94*0.5)+(D94*C94))&lt;(D94*E94*L94*1.5),((D94*E94*L94*0.5)+(D94*C94)),(D94*E94*L94*1.5))</f>
        <v>0</v>
      </c>
      <c r="O94" s="854" t="str">
        <f>IF('CG. MPA'!E95="CONCRETO","F/DISEÑO",IF(M94&gt;N94,"NO PASA","PASA"))</f>
        <v>PASA</v>
      </c>
      <c r="P94" s="860" t="str">
        <f>IF(O94="pasa"," ",$P$24/('RMCV.PA'!C95*100))</f>
        <v xml:space="preserve"> </v>
      </c>
      <c r="Q94" s="861" t="str">
        <f>IF(O94="pasa"," ",IF('CG. MPA'!E95="CONCRETO","F/DISEÑO",IF(AND(X94&gt;P94,P94&gt;Y94),"BIEN","MAL")))</f>
        <v xml:space="preserve"> </v>
      </c>
      <c r="R94" s="860">
        <f>IF('CG. MPA'!F95="MACIZO",12/'RMCS.PA'!$P$25,9/'RMCS.PA'!$P$25)</f>
        <v>2.3999999999999998E-3</v>
      </c>
      <c r="S94" s="860">
        <f t="shared" ref="S94" si="96">IF(F94&gt;0,15,0)</f>
        <v>0</v>
      </c>
      <c r="T94" s="860">
        <f>IF(G94=0,0,IF(AND(G94=2,'RMCV.PA'!E32="III"),30,40))</f>
        <v>0</v>
      </c>
      <c r="U94" s="860">
        <f>IF(J94=0,0,IF(AND(J94=3,'RMCV.PA'!$E$17="I"),20,15))</f>
        <v>0</v>
      </c>
      <c r="V94" s="860">
        <f>IF(K94=0,0,IF(AND(K94=3.5,'RMCV.PA'!$E$17="I"),20,15))</f>
        <v>0</v>
      </c>
      <c r="W94" s="860">
        <f t="shared" ref="W94" si="97">(S94+T94+U94+V94)*0.3/$P$25</f>
        <v>0</v>
      </c>
      <c r="X94" s="860">
        <f t="shared" ref="X94" si="98">IF(R94&gt;W94,W94,R94)</f>
        <v>0</v>
      </c>
      <c r="Y94" s="860" t="e">
        <f>IF('CG. MPA'!E95="CONCRETO",0,IF(N94/(D94*$P$25*L94)&gt;3/$P$25,N94/(D94*$P$25*L94),3/$P$25))</f>
        <v>#DIV/0!</v>
      </c>
      <c r="Z94" s="862" t="e">
        <f t="shared" ref="Z94" si="99">P94*$P$25</f>
        <v>#VALUE!</v>
      </c>
      <c r="AA94" s="860" t="e">
        <f t="shared" ref="AA94" si="100">IF(6&gt;Z94,0.6,IF(Z94&gt;9,0.2,(0.4*(9-Z94)/3)+0.2))</f>
        <v>#VALUE!</v>
      </c>
      <c r="AB94" s="863" t="e">
        <f t="shared" ref="AB94" si="101">D94*AA94*P94*$P$25*L94</f>
        <v>#VALUE!</v>
      </c>
      <c r="AC94" s="864" t="str">
        <f t="shared" ref="AC94" si="102">IF(O94="pasa"," ",AB94+N94)</f>
        <v xml:space="preserve"> </v>
      </c>
      <c r="AD94" s="865" t="str">
        <f>IF(O94="pasa"," ",IF('CG. MPA'!E95="CONCRETO","F/DISEÑO",IF(AC94&gt;M94,"PASA","NO PASA")))</f>
        <v xml:space="preserve"> </v>
      </c>
      <c r="AE94" s="986" t="e">
        <f>$AE$23/($AE$26*'RMCV.PA'!C95)</f>
        <v>#DIV/0!</v>
      </c>
      <c r="AF94" s="986" t="e">
        <f t="shared" si="69"/>
        <v>#DIV/0!</v>
      </c>
      <c r="AG94" s="986">
        <f>IF(12/$AF$25&gt;'RMCV.PA'!F95*0.3/$AF$25,'RMCV.PA'!F95*0.3/$AF$25,12/$AF$25)</f>
        <v>0</v>
      </c>
      <c r="AH94" s="987" t="e">
        <f t="shared" si="70"/>
        <v>#DIV/0!</v>
      </c>
      <c r="AI94" s="986">
        <f>IF(9/$AF$25&gt;'RMCV.PA'!F95*0.3/$AF$25,'RMCV.PA'!F95*0.3/$AF$25,9/$AF$25)</f>
        <v>0</v>
      </c>
      <c r="AJ94" s="988" t="e">
        <f t="shared" si="71"/>
        <v>#DIV/0!</v>
      </c>
      <c r="AK94" s="989" t="e">
        <f t="shared" si="72"/>
        <v>#DIV/0!</v>
      </c>
      <c r="AL94" s="990">
        <f t="shared" si="73"/>
        <v>0</v>
      </c>
      <c r="AM94" s="1002">
        <f t="shared" si="74"/>
        <v>0</v>
      </c>
      <c r="AN94" s="991" t="str">
        <f>IF(O94="PASA"," ",IF('CG. MPA'!E95="CONCRETO","F/DISEÑO",IF(AM94&gt;N94,"PASA","NO PASA")))</f>
        <v xml:space="preserve"> </v>
      </c>
      <c r="AO94" s="1110" t="e">
        <f t="shared" si="93"/>
        <v>#VALUE!</v>
      </c>
    </row>
    <row r="95" spans="1:41">
      <c r="A95" s="850">
        <f>'CG. MPA'!A96</f>
        <v>17</v>
      </c>
      <c r="B95" s="851">
        <f>'RMCV.PA'!N96/1.3</f>
        <v>0</v>
      </c>
      <c r="C95" s="851">
        <f t="shared" si="75"/>
        <v>0</v>
      </c>
      <c r="D95" s="852">
        <f>IF('CG. MPA'!D96="NO CONFINADO",0.4,0.7)</f>
        <v>0.7</v>
      </c>
      <c r="E95" s="852">
        <f>IF('CG. MPA'!E96="CONCRETO",0.5*(0.8*250)^0.5,F95+G95+J95+K95)</f>
        <v>0</v>
      </c>
      <c r="F95" s="852">
        <f>IF(AND('CG. MPA'!E96="TABIQUE",'CG. MPA'!F96="MACIZO"),IF('RMCV.PA'!$E$17="I",3.5,3),0)</f>
        <v>0</v>
      </c>
      <c r="G95" s="852">
        <f>IF(AND('CG. MPA'!E96="TABIQUE",'CG. MPA'!F96="HUECO"),IF('RMCV.PA'!$E$17="I",3,5.5),0)</f>
        <v>0</v>
      </c>
      <c r="H95" s="852">
        <f>IF('CG. MPA'!E96="ADOBE",0.3,0)</f>
        <v>0</v>
      </c>
      <c r="I95" s="852">
        <f>IF('CG. MPA'!E96="LIGERO",0.5,0)</f>
        <v>0</v>
      </c>
      <c r="J95" s="852">
        <f>IF(AND('CG. MPA'!E96="TABICON",'CG. MPA'!F96="MACIZO"),IF('RMCV.PA'!$E$17="I",3,2),0)</f>
        <v>0</v>
      </c>
      <c r="K95" s="852">
        <f>IF(AND('CG. MPA'!E96="TABICON",'CG. MPA'!F96="HUECO"),IF('RMCV.PA'!$E$17="I",3.5,2.5),0)</f>
        <v>0</v>
      </c>
      <c r="L95" s="853">
        <f>'RMCV.PA'!M96</f>
        <v>0</v>
      </c>
      <c r="M95" s="960">
        <f>ABS('ELEM. MECA.'!O223)</f>
        <v>0</v>
      </c>
      <c r="N95" s="957">
        <f t="shared" si="76"/>
        <v>0</v>
      </c>
      <c r="O95" s="854" t="str">
        <f>IF('CG. MPA'!E96="CONCRETO","F/DISEÑO",IF(M95&gt;N95,"NO PASA","PASA"))</f>
        <v>PASA</v>
      </c>
      <c r="P95" s="860" t="str">
        <f>IF(O95="pasa"," ",$P$24/('RMCV.PA'!C96*100))</f>
        <v xml:space="preserve"> </v>
      </c>
      <c r="Q95" s="861" t="str">
        <f>IF(O95="pasa"," ",IF('CG. MPA'!E96="CONCRETO","F/DISEÑO",IF(AND(X95&gt;P95,P95&gt;Y95),"BIEN","MAL")))</f>
        <v xml:space="preserve"> </v>
      </c>
      <c r="R95" s="860">
        <f>IF('CG. MPA'!F96="MACIZO",12/'RMCS.PA'!$P$25,9/'RMCS.PA'!$P$25)</f>
        <v>2.3999999999999998E-3</v>
      </c>
      <c r="S95" s="860">
        <f t="shared" si="77"/>
        <v>0</v>
      </c>
      <c r="T95" s="860">
        <f>IF(G95=0,0,IF(AND(G95=2,'RMCV.PA'!E33="III"),30,40))</f>
        <v>0</v>
      </c>
      <c r="U95" s="860">
        <f>IF(J95=0,0,IF(AND(J95=3,'RMCV.PA'!$E$17="I"),20,15))</f>
        <v>0</v>
      </c>
      <c r="V95" s="860">
        <f>IF(K95=0,0,IF(AND(K95=3.5,'RMCV.PA'!$E$17="I"),20,15))</f>
        <v>0</v>
      </c>
      <c r="W95" s="860">
        <f t="shared" si="78"/>
        <v>0</v>
      </c>
      <c r="X95" s="860">
        <f t="shared" si="79"/>
        <v>0</v>
      </c>
      <c r="Y95" s="860" t="e">
        <f>IF('CG. MPA'!E96="CONCRETO",0,IF(N95/(D95*$P$25*L95)&gt;3/$P$25,N95/(D95*$P$25*L95),3/$P$25))</f>
        <v>#DIV/0!</v>
      </c>
      <c r="Z95" s="862" t="e">
        <f t="shared" si="80"/>
        <v>#VALUE!</v>
      </c>
      <c r="AA95" s="860" t="e">
        <f t="shared" si="81"/>
        <v>#VALUE!</v>
      </c>
      <c r="AB95" s="863" t="e">
        <f t="shared" si="82"/>
        <v>#VALUE!</v>
      </c>
      <c r="AC95" s="864" t="str">
        <f t="shared" si="83"/>
        <v xml:space="preserve"> </v>
      </c>
      <c r="AD95" s="865" t="str">
        <f>IF(O95="pasa"," ",IF('CG. MPA'!E96="CONCRETO","F/DISEÑO",IF(AC95&gt;M95,"PASA","NO PASA")))</f>
        <v xml:space="preserve"> </v>
      </c>
      <c r="AE95" s="986" t="e">
        <f>$AE$23/($AE$26*'RMCV.PA'!C96)</f>
        <v>#DIV/0!</v>
      </c>
      <c r="AF95" s="986" t="e">
        <f t="shared" si="69"/>
        <v>#DIV/0!</v>
      </c>
      <c r="AG95" s="986">
        <f>IF(12/$AF$25&gt;'RMCV.PA'!F96*0.3/$AF$25,'RMCV.PA'!F96*0.3/$AF$25,12/$AF$25)</f>
        <v>0</v>
      </c>
      <c r="AH95" s="987" t="e">
        <f t="shared" si="70"/>
        <v>#DIV/0!</v>
      </c>
      <c r="AI95" s="986">
        <f>IF(9/$AF$25&gt;'RMCV.PA'!F96*0.3/$AF$25,'RMCV.PA'!F96*0.3/$AF$25,9/$AF$25)</f>
        <v>0</v>
      </c>
      <c r="AJ95" s="988" t="e">
        <f t="shared" si="71"/>
        <v>#DIV/0!</v>
      </c>
      <c r="AK95" s="989" t="e">
        <f t="shared" si="72"/>
        <v>#DIV/0!</v>
      </c>
      <c r="AL95" s="990">
        <f t="shared" si="73"/>
        <v>0</v>
      </c>
      <c r="AM95" s="1002">
        <f t="shared" si="74"/>
        <v>0</v>
      </c>
      <c r="AN95" s="991" t="str">
        <f>IF(O95="PASA"," ",IF('CG. MPA'!E96="CONCRETO","F/DISEÑO",IF(AM95&gt;N95,"PASA","NO PASA")))</f>
        <v xml:space="preserve"> </v>
      </c>
      <c r="AO95" s="1110" t="e">
        <f t="shared" si="93"/>
        <v>#VALUE!</v>
      </c>
    </row>
    <row r="96" spans="1:41">
      <c r="A96" s="850">
        <f>'CG. MPA'!A97</f>
        <v>18</v>
      </c>
      <c r="B96" s="851">
        <f>'RMCV.PA'!N97/1.3</f>
        <v>0</v>
      </c>
      <c r="C96" s="851">
        <f t="shared" si="75"/>
        <v>0</v>
      </c>
      <c r="D96" s="852">
        <f>IF('CG. MPA'!D97="NO CONFINADO",0.4,0.7)</f>
        <v>0.7</v>
      </c>
      <c r="E96" s="852">
        <f>IF('CG. MPA'!E97="CONCRETO",0.5*(0.8*250)^0.5,F96+G96+J96+K96)</f>
        <v>0</v>
      </c>
      <c r="F96" s="852">
        <f>IF(AND('CG. MPA'!E97="TABIQUE",'CG. MPA'!F97="MACIZO"),IF('RMCV.PA'!$E$17="I",3.5,3),0)</f>
        <v>0</v>
      </c>
      <c r="G96" s="852">
        <f>IF(AND('CG. MPA'!E97="TABIQUE",'CG. MPA'!F97="HUECO"),IF('RMCV.PA'!$E$17="I",3,5.5),0)</f>
        <v>0</v>
      </c>
      <c r="H96" s="852">
        <f>IF('CG. MPA'!E97="ADOBE",0.3,0)</f>
        <v>0</v>
      </c>
      <c r="I96" s="852">
        <f>IF('CG. MPA'!E97="LIGERO",0.5,0)</f>
        <v>0</v>
      </c>
      <c r="J96" s="852">
        <f>IF(AND('CG. MPA'!E97="TABICON",'CG. MPA'!F97="MACIZO"),IF('RMCV.PA'!$E$17="I",3,2),0)</f>
        <v>0</v>
      </c>
      <c r="K96" s="852">
        <f>IF(AND('CG. MPA'!E97="TABICON",'CG. MPA'!F97="HUECO"),IF('RMCV.PA'!$E$17="I",3.5,2.5),0)</f>
        <v>0</v>
      </c>
      <c r="L96" s="853">
        <f>'RMCV.PA'!M97</f>
        <v>0</v>
      </c>
      <c r="M96" s="960">
        <f>ABS('ELEM. MECA.'!O224)</f>
        <v>0</v>
      </c>
      <c r="N96" s="957">
        <f t="shared" si="76"/>
        <v>0</v>
      </c>
      <c r="O96" s="854" t="str">
        <f>IF('CG. MPA'!E97="CONCRETO","F/DISEÑO",IF(M96&gt;N96,"NO PASA","PASA"))</f>
        <v>PASA</v>
      </c>
      <c r="P96" s="860" t="str">
        <f>IF(O96="pasa"," ",$P$24/('RMCV.PA'!C97*100))</f>
        <v xml:space="preserve"> </v>
      </c>
      <c r="Q96" s="861" t="str">
        <f>IF(O96="pasa"," ",IF('CG. MPA'!E97="CONCRETO","F/DISEÑO",IF(AND(X96&gt;P96,P96&gt;Y96),"BIEN","MAL")))</f>
        <v xml:space="preserve"> </v>
      </c>
      <c r="R96" s="860">
        <f>IF('CG. MPA'!F97="MACIZO",12/'RMCS.PA'!$P$25,9/'RMCS.PA'!$P$25)</f>
        <v>2.3999999999999998E-3</v>
      </c>
      <c r="S96" s="860">
        <f t="shared" si="77"/>
        <v>0</v>
      </c>
      <c r="T96" s="860">
        <f>IF(G96=0,0,IF(AND(G96=2,'RMCV.PA'!E34="III"),30,40))</f>
        <v>0</v>
      </c>
      <c r="U96" s="860">
        <f>IF(J96=0,0,IF(AND(J96=3,'RMCV.PA'!$E$17="I"),20,15))</f>
        <v>0</v>
      </c>
      <c r="V96" s="860">
        <f>IF(K96=0,0,IF(AND(K96=3.5,'RMCV.PA'!$E$17="I"),20,15))</f>
        <v>0</v>
      </c>
      <c r="W96" s="860">
        <f t="shared" si="78"/>
        <v>0</v>
      </c>
      <c r="X96" s="860">
        <f t="shared" si="79"/>
        <v>0</v>
      </c>
      <c r="Y96" s="860" t="e">
        <f>IF('CG. MPA'!E97="CONCRETO",0,IF(N96/(D96*$P$25*L96)&gt;3/$P$25,N96/(D96*$P$25*L96),3/$P$25))</f>
        <v>#DIV/0!</v>
      </c>
      <c r="Z96" s="862" t="e">
        <f t="shared" si="80"/>
        <v>#VALUE!</v>
      </c>
      <c r="AA96" s="860" t="e">
        <f t="shared" si="81"/>
        <v>#VALUE!</v>
      </c>
      <c r="AB96" s="863" t="e">
        <f t="shared" si="82"/>
        <v>#VALUE!</v>
      </c>
      <c r="AC96" s="864" t="str">
        <f t="shared" si="83"/>
        <v xml:space="preserve"> </v>
      </c>
      <c r="AD96" s="865" t="str">
        <f>IF(O96="pasa"," ",IF('CG. MPA'!E97="CONCRETO","F/DISEÑO",IF(AC96&gt;M96,"PASA","NO PASA")))</f>
        <v xml:space="preserve"> </v>
      </c>
      <c r="AE96" s="986" t="e">
        <f>$AE$23/($AE$26*'RMCV.PA'!C97)</f>
        <v>#DIV/0!</v>
      </c>
      <c r="AF96" s="986" t="e">
        <f t="shared" si="69"/>
        <v>#DIV/0!</v>
      </c>
      <c r="AG96" s="986">
        <f>IF(12/$AF$25&gt;'RMCV.PA'!F97*0.3/$AF$25,'RMCV.PA'!F97*0.3/$AF$25,12/$AF$25)</f>
        <v>0</v>
      </c>
      <c r="AH96" s="987" t="e">
        <f t="shared" si="70"/>
        <v>#DIV/0!</v>
      </c>
      <c r="AI96" s="986">
        <f>IF(9/$AF$25&gt;'RMCV.PA'!F97*0.3/$AF$25,'RMCV.PA'!F97*0.3/$AF$25,9/$AF$25)</f>
        <v>0</v>
      </c>
      <c r="AJ96" s="988" t="e">
        <f t="shared" si="71"/>
        <v>#DIV/0!</v>
      </c>
      <c r="AK96" s="989" t="e">
        <f t="shared" si="72"/>
        <v>#DIV/0!</v>
      </c>
      <c r="AL96" s="990">
        <f t="shared" si="73"/>
        <v>0</v>
      </c>
      <c r="AM96" s="1002">
        <f t="shared" si="74"/>
        <v>0</v>
      </c>
      <c r="AN96" s="991" t="str">
        <f>IF(O96="PASA"," ",IF('CG. MPA'!E97="CONCRETO","F/DISEÑO",IF(AM96&gt;N96,"PASA","NO PASA")))</f>
        <v xml:space="preserve"> </v>
      </c>
      <c r="AO96" s="1110" t="e">
        <f t="shared" si="93"/>
        <v>#VALUE!</v>
      </c>
    </row>
    <row r="97" spans="1:41">
      <c r="A97" s="850">
        <f>'CG. MPA'!A98</f>
        <v>19</v>
      </c>
      <c r="B97" s="851">
        <f>'RMCV.PA'!N98/1.3</f>
        <v>0</v>
      </c>
      <c r="C97" s="851">
        <f t="shared" si="75"/>
        <v>0</v>
      </c>
      <c r="D97" s="852">
        <f>IF('CG. MPA'!D98="NO CONFINADO",0.4,0.7)</f>
        <v>0.7</v>
      </c>
      <c r="E97" s="852">
        <f>IF('CG. MPA'!E98="CONCRETO",0.5*(0.8*250)^0.5,F97+G97+J97+K97)</f>
        <v>0</v>
      </c>
      <c r="F97" s="852">
        <f>IF(AND('CG. MPA'!E98="TABIQUE",'CG. MPA'!F98="MACIZO"),IF('RMCV.PA'!$E$17="I",3.5,3),0)</f>
        <v>0</v>
      </c>
      <c r="G97" s="852">
        <f>IF(AND('CG. MPA'!E98="TABIQUE",'CG. MPA'!F98="HUECO"),IF('RMCV.PA'!$E$17="I",3,5.5),0)</f>
        <v>0</v>
      </c>
      <c r="H97" s="852">
        <f>IF('CG. MPA'!E98="ADOBE",0.3,0)</f>
        <v>0</v>
      </c>
      <c r="I97" s="852">
        <f>IF('CG. MPA'!E98="LIGERO",0.5,0)</f>
        <v>0</v>
      </c>
      <c r="J97" s="852">
        <f>IF(AND('CG. MPA'!E98="TABICON",'CG. MPA'!F98="MACIZO"),IF('RMCV.PA'!$E$17="I",3,2),0)</f>
        <v>0</v>
      </c>
      <c r="K97" s="852">
        <f>IF(AND('CG. MPA'!E98="TABICON",'CG. MPA'!F98="HUECO"),IF('RMCV.PA'!$E$17="I",3.5,2.5),0)</f>
        <v>0</v>
      </c>
      <c r="L97" s="853">
        <f>'RMCV.PA'!M98</f>
        <v>0</v>
      </c>
      <c r="M97" s="960">
        <f>ABS('ELEM. MECA.'!O225)</f>
        <v>0</v>
      </c>
      <c r="N97" s="957">
        <f t="shared" si="76"/>
        <v>0</v>
      </c>
      <c r="O97" s="854" t="str">
        <f>IF('CG. MPA'!E98="CONCRETO","F/DISEÑO",IF(M97&gt;N97,"NO PASA","PASA"))</f>
        <v>PASA</v>
      </c>
      <c r="P97" s="860" t="str">
        <f>IF(O97="pasa"," ",$P$24/('RMCV.PA'!C98*100))</f>
        <v xml:space="preserve"> </v>
      </c>
      <c r="Q97" s="861" t="str">
        <f>IF(O97="pasa"," ",IF('CG. MPA'!E98="CONCRETO","F/DISEÑO",IF(AND(X97&gt;P97,P97&gt;Y97),"BIEN","MAL")))</f>
        <v xml:space="preserve"> </v>
      </c>
      <c r="R97" s="860">
        <f>IF('CG. MPA'!F98="MACIZO",12/'RMCS.PA'!$P$25,9/'RMCS.PA'!$P$25)</f>
        <v>2.3999999999999998E-3</v>
      </c>
      <c r="S97" s="860">
        <f t="shared" si="77"/>
        <v>0</v>
      </c>
      <c r="T97" s="860">
        <f>IF(G97=0,0,IF(AND(G97=2,'RMCV.PA'!E35="III"),30,40))</f>
        <v>0</v>
      </c>
      <c r="U97" s="860">
        <f>IF(J97=0,0,IF(AND(J97=3,'RMCV.PA'!$E$17="I"),20,15))</f>
        <v>0</v>
      </c>
      <c r="V97" s="860">
        <f>IF(K97=0,0,IF(AND(K97=3.5,'RMCV.PA'!$E$17="I"),20,15))</f>
        <v>0</v>
      </c>
      <c r="W97" s="860">
        <f t="shared" si="78"/>
        <v>0</v>
      </c>
      <c r="X97" s="860">
        <f t="shared" si="79"/>
        <v>0</v>
      </c>
      <c r="Y97" s="860" t="e">
        <f>IF('CG. MPA'!E98="CONCRETO",0,IF(N97/(D97*$P$25*L97)&gt;3/$P$25,N97/(D97*$P$25*L97),3/$P$25))</f>
        <v>#DIV/0!</v>
      </c>
      <c r="Z97" s="862" t="e">
        <f t="shared" si="80"/>
        <v>#VALUE!</v>
      </c>
      <c r="AA97" s="860" t="e">
        <f t="shared" si="81"/>
        <v>#VALUE!</v>
      </c>
      <c r="AB97" s="863" t="e">
        <f t="shared" si="82"/>
        <v>#VALUE!</v>
      </c>
      <c r="AC97" s="864" t="str">
        <f t="shared" si="83"/>
        <v xml:space="preserve"> </v>
      </c>
      <c r="AD97" s="865" t="str">
        <f>IF(O97="pasa"," ",IF('CG. MPA'!E98="CONCRETO","F/DISEÑO",IF(AC97&gt;M97,"PASA","NO PASA")))</f>
        <v xml:space="preserve"> </v>
      </c>
      <c r="AE97" s="986" t="e">
        <f>$AE$23/($AE$26*'RMCV.PA'!C98)</f>
        <v>#DIV/0!</v>
      </c>
      <c r="AF97" s="986" t="e">
        <f t="shared" si="69"/>
        <v>#DIV/0!</v>
      </c>
      <c r="AG97" s="986">
        <f>IF(12/$AF$25&gt;'RMCV.PA'!F98*0.3/$AF$25,'RMCV.PA'!F98*0.3/$AF$25,12/$AF$25)</f>
        <v>0</v>
      </c>
      <c r="AH97" s="987" t="e">
        <f t="shared" si="70"/>
        <v>#DIV/0!</v>
      </c>
      <c r="AI97" s="986">
        <f>IF(9/$AF$25&gt;'RMCV.PA'!F98*0.3/$AF$25,'RMCV.PA'!F98*0.3/$AF$25,9/$AF$25)</f>
        <v>0</v>
      </c>
      <c r="AJ97" s="988" t="e">
        <f t="shared" si="71"/>
        <v>#DIV/0!</v>
      </c>
      <c r="AK97" s="989" t="e">
        <f t="shared" si="72"/>
        <v>#DIV/0!</v>
      </c>
      <c r="AL97" s="990">
        <f t="shared" si="73"/>
        <v>0</v>
      </c>
      <c r="AM97" s="1002">
        <f t="shared" si="74"/>
        <v>0</v>
      </c>
      <c r="AN97" s="991" t="str">
        <f>IF(O97="PASA"," ",IF('CG. MPA'!E98="CONCRETO","F/DISEÑO",IF(AM97&gt;N97,"PASA","NO PASA")))</f>
        <v xml:space="preserve"> </v>
      </c>
      <c r="AO97" s="1110" t="e">
        <f t="shared" si="93"/>
        <v>#VALUE!</v>
      </c>
    </row>
    <row r="98" spans="1:41">
      <c r="A98" s="850">
        <f>'CG. MPA'!A99</f>
        <v>20</v>
      </c>
      <c r="B98" s="851">
        <f>'RMCV.PA'!N99/1.3</f>
        <v>0</v>
      </c>
      <c r="C98" s="851">
        <f t="shared" si="75"/>
        <v>0</v>
      </c>
      <c r="D98" s="852">
        <f>IF('CG. MPA'!D99="NO CONFINADO",0.4,0.7)</f>
        <v>0.7</v>
      </c>
      <c r="E98" s="852">
        <f>IF('CG. MPA'!E99="CONCRETO",0.5*(0.8*250)^0.5,F98+G98+J98+K98)</f>
        <v>0</v>
      </c>
      <c r="F98" s="852">
        <f>IF(AND('CG. MPA'!E99="TABIQUE",'CG. MPA'!F99="MACIZO"),IF('RMCV.PA'!$E$17="I",3.5,3),0)</f>
        <v>0</v>
      </c>
      <c r="G98" s="852">
        <f>IF(AND('CG. MPA'!E99="TABIQUE",'CG. MPA'!F99="HUECO"),IF('RMCV.PA'!$E$17="I",3,5.5),0)</f>
        <v>0</v>
      </c>
      <c r="H98" s="852">
        <f>IF('CG. MPA'!E99="ADOBE",0.3,0)</f>
        <v>0</v>
      </c>
      <c r="I98" s="852">
        <f>IF('CG. MPA'!E99="LIGERO",0.5,0)</f>
        <v>0</v>
      </c>
      <c r="J98" s="852">
        <f>IF(AND('CG. MPA'!E99="TABICON",'CG. MPA'!F99="MACIZO"),IF('RMCV.PA'!$E$17="I",3,2),0)</f>
        <v>0</v>
      </c>
      <c r="K98" s="852">
        <f>IF(AND('CG. MPA'!E99="TABICON",'CG. MPA'!F99="HUECO"),IF('RMCV.PA'!$E$17="I",3.5,2.5),0)</f>
        <v>0</v>
      </c>
      <c r="L98" s="853">
        <f>'RMCV.PA'!M99</f>
        <v>0</v>
      </c>
      <c r="M98" s="960">
        <f>ABS('ELEM. MECA.'!O226)</f>
        <v>0</v>
      </c>
      <c r="N98" s="957">
        <f t="shared" si="76"/>
        <v>0</v>
      </c>
      <c r="O98" s="854" t="str">
        <f>IF('CG. MPA'!E99="CONCRETO","F/DISEÑO",IF(M98&gt;N98,"NO PASA","PASA"))</f>
        <v>PASA</v>
      </c>
      <c r="P98" s="860" t="str">
        <f>IF(O98="pasa"," ",$P$24/('RMCV.PA'!C99*100))</f>
        <v xml:space="preserve"> </v>
      </c>
      <c r="Q98" s="861" t="str">
        <f>IF(O98="pasa"," ",IF('CG. MPA'!E99="CONCRETO","F/DISEÑO",IF(AND(X98&gt;P98,P98&gt;Y98),"BIEN","MAL")))</f>
        <v xml:space="preserve"> </v>
      </c>
      <c r="R98" s="860">
        <f>IF('CG. MPA'!F99="MACIZO",12/'RMCS.PA'!$P$25,9/'RMCS.PA'!$P$25)</f>
        <v>2.3999999999999998E-3</v>
      </c>
      <c r="S98" s="860">
        <f t="shared" si="77"/>
        <v>0</v>
      </c>
      <c r="T98" s="860">
        <f>IF(G98=0,0,IF(AND(G98=2,'RMCV.PA'!E36="III"),30,40))</f>
        <v>0</v>
      </c>
      <c r="U98" s="860">
        <f>IF(J98=0,0,IF(AND(J98=3,'RMCV.PA'!$E$17="I"),20,15))</f>
        <v>0</v>
      </c>
      <c r="V98" s="860">
        <f>IF(K98=0,0,IF(AND(K98=3.5,'RMCV.PA'!$E$17="I"),20,15))</f>
        <v>0</v>
      </c>
      <c r="W98" s="860">
        <f t="shared" si="78"/>
        <v>0</v>
      </c>
      <c r="X98" s="860">
        <f t="shared" si="79"/>
        <v>0</v>
      </c>
      <c r="Y98" s="860" t="e">
        <f>IF('CG. MPA'!E99="CONCRETO",0,IF(N98/(D98*$P$25*L98)&gt;3/$P$25,N98/(D98*$P$25*L98),3/$P$25))</f>
        <v>#DIV/0!</v>
      </c>
      <c r="Z98" s="862" t="e">
        <f t="shared" si="80"/>
        <v>#VALUE!</v>
      </c>
      <c r="AA98" s="860" t="e">
        <f t="shared" si="81"/>
        <v>#VALUE!</v>
      </c>
      <c r="AB98" s="863" t="e">
        <f t="shared" si="82"/>
        <v>#VALUE!</v>
      </c>
      <c r="AC98" s="864" t="str">
        <f t="shared" si="83"/>
        <v xml:space="preserve"> </v>
      </c>
      <c r="AD98" s="865" t="str">
        <f>IF(O98="pasa"," ",IF('CG. MPA'!E99="CONCRETO","F/DISEÑO",IF(AC98&gt;M98,"PASA","NO PASA")))</f>
        <v xml:space="preserve"> </v>
      </c>
      <c r="AE98" s="986" t="e">
        <f>$AE$23/($AE$26*'RMCV.PA'!C99)</f>
        <v>#DIV/0!</v>
      </c>
      <c r="AF98" s="986" t="e">
        <f t="shared" si="69"/>
        <v>#DIV/0!</v>
      </c>
      <c r="AG98" s="986">
        <f>IF(12/$AF$25&gt;'RMCV.PA'!F99*0.3/$AF$25,'RMCV.PA'!F99*0.3/$AF$25,12/$AF$25)</f>
        <v>0</v>
      </c>
      <c r="AH98" s="987" t="e">
        <f t="shared" si="70"/>
        <v>#DIV/0!</v>
      </c>
      <c r="AI98" s="986">
        <f>IF(9/$AF$25&gt;'RMCV.PA'!F99*0.3/$AF$25,'RMCV.PA'!F99*0.3/$AF$25,9/$AF$25)</f>
        <v>0</v>
      </c>
      <c r="AJ98" s="988" t="e">
        <f t="shared" si="71"/>
        <v>#DIV/0!</v>
      </c>
      <c r="AK98" s="989" t="e">
        <f t="shared" si="72"/>
        <v>#DIV/0!</v>
      </c>
      <c r="AL98" s="990">
        <f t="shared" si="73"/>
        <v>0</v>
      </c>
      <c r="AM98" s="1002">
        <f t="shared" si="74"/>
        <v>0</v>
      </c>
      <c r="AN98" s="991" t="str">
        <f>IF(O98="PASA"," ",IF('CG. MPA'!E99="CONCRETO","F/DISEÑO",IF(AM98&gt;N98,"PASA","NO PASA")))</f>
        <v xml:space="preserve"> </v>
      </c>
      <c r="AO98" s="1110" t="e">
        <f t="shared" si="93"/>
        <v>#VALUE!</v>
      </c>
    </row>
    <row r="99" spans="1:41">
      <c r="A99" s="850">
        <f>'CG. MPA'!A100</f>
        <v>21</v>
      </c>
      <c r="B99" s="851">
        <f>'RMCV.PA'!N100/1.3</f>
        <v>0</v>
      </c>
      <c r="C99" s="851">
        <f t="shared" si="75"/>
        <v>0</v>
      </c>
      <c r="D99" s="852">
        <f>IF('CG. MPA'!D100="NO CONFINADO",0.4,0.7)</f>
        <v>0.7</v>
      </c>
      <c r="E99" s="852">
        <f>IF('CG. MPA'!E100="CONCRETO",0.5*(0.8*250)^0.5,F99+G99+J99+K99)</f>
        <v>0</v>
      </c>
      <c r="F99" s="852">
        <f>IF(AND('CG. MPA'!E100="TABIQUE",'CG. MPA'!F100="MACIZO"),IF('RMCV.PA'!$E$17="I",3.5,3),0)</f>
        <v>0</v>
      </c>
      <c r="G99" s="852">
        <f>IF(AND('CG. MPA'!E100="TABIQUE",'CG. MPA'!F100="HUECO"),IF('RMCV.PA'!$E$17="I",3,5.5),0)</f>
        <v>0</v>
      </c>
      <c r="H99" s="852">
        <f>IF('CG. MPA'!E100="ADOBE",0.3,0)</f>
        <v>0</v>
      </c>
      <c r="I99" s="852">
        <f>IF('CG. MPA'!E100="LIGERO",0.5,0)</f>
        <v>0</v>
      </c>
      <c r="J99" s="852">
        <f>IF(AND('CG. MPA'!E100="TABICON",'CG. MPA'!F100="MACIZO"),IF('RMCV.PA'!$E$17="I",3,2),0)</f>
        <v>0</v>
      </c>
      <c r="K99" s="852">
        <f>IF(AND('CG. MPA'!E100="TABICON",'CG. MPA'!F100="HUECO"),IF('RMCV.PA'!$E$17="I",3.5,2.5),0)</f>
        <v>0</v>
      </c>
      <c r="L99" s="853">
        <f>'RMCV.PA'!M100</f>
        <v>0</v>
      </c>
      <c r="M99" s="960">
        <f>ABS('ELEM. MECA.'!O227)</f>
        <v>0</v>
      </c>
      <c r="N99" s="957">
        <f t="shared" si="76"/>
        <v>0</v>
      </c>
      <c r="O99" s="854" t="str">
        <f>IF('CG. MPA'!E100="CONCRETO","F/DISEÑO",IF(M99&gt;N99,"NO PASA","PASA"))</f>
        <v>PASA</v>
      </c>
      <c r="P99" s="860" t="str">
        <f>IF(O99="pasa"," ",$P$24/('RMCV.PA'!C100*100))</f>
        <v xml:space="preserve"> </v>
      </c>
      <c r="Q99" s="861" t="str">
        <f>IF(O99="pasa"," ",IF('CG. MPA'!E100="CONCRETO","F/DISEÑO",IF(AND(X99&gt;P99,P99&gt;Y99),"BIEN","MAL")))</f>
        <v xml:space="preserve"> </v>
      </c>
      <c r="R99" s="860">
        <f>IF('CG. MPA'!F100="MACIZO",12/'RMCS.PA'!$P$25,9/'RMCS.PA'!$P$25)</f>
        <v>2.3999999999999998E-3</v>
      </c>
      <c r="S99" s="860">
        <f t="shared" si="77"/>
        <v>0</v>
      </c>
      <c r="T99" s="860">
        <f>IF(G99=0,0,IF(AND(G99=2,'RMCV.PA'!E37="III"),30,40))</f>
        <v>0</v>
      </c>
      <c r="U99" s="860">
        <f>IF(J99=0,0,IF(AND(J99=3,'RMCV.PA'!$E$17="I"),20,15))</f>
        <v>0</v>
      </c>
      <c r="V99" s="860">
        <f>IF(K99=0,0,IF(AND(K99=3.5,'RMCV.PA'!$E$17="I"),20,15))</f>
        <v>0</v>
      </c>
      <c r="W99" s="860">
        <f t="shared" si="78"/>
        <v>0</v>
      </c>
      <c r="X99" s="860">
        <f t="shared" si="79"/>
        <v>0</v>
      </c>
      <c r="Y99" s="860" t="e">
        <f>IF('CG. MPA'!E100="CONCRETO",0,IF(N99/(D99*$P$25*L99)&gt;3/$P$25,N99/(D99*$P$25*L99),3/$P$25))</f>
        <v>#DIV/0!</v>
      </c>
      <c r="Z99" s="862" t="e">
        <f t="shared" si="80"/>
        <v>#VALUE!</v>
      </c>
      <c r="AA99" s="860" t="e">
        <f t="shared" si="81"/>
        <v>#VALUE!</v>
      </c>
      <c r="AB99" s="863" t="e">
        <f t="shared" si="82"/>
        <v>#VALUE!</v>
      </c>
      <c r="AC99" s="864" t="str">
        <f t="shared" si="83"/>
        <v xml:space="preserve"> </v>
      </c>
      <c r="AD99" s="865" t="str">
        <f>IF(O99="pasa"," ",IF('CG. MPA'!E100="CONCRETO","F/DISEÑO",IF(AC99&gt;M99,"PASA","NO PASA")))</f>
        <v xml:space="preserve"> </v>
      </c>
      <c r="AE99" s="986" t="e">
        <f>$AE$23/($AE$26*'RMCV.PA'!C100)</f>
        <v>#DIV/0!</v>
      </c>
      <c r="AF99" s="986" t="e">
        <f t="shared" si="69"/>
        <v>#DIV/0!</v>
      </c>
      <c r="AG99" s="986">
        <f>IF(12/$AF$25&gt;'RMCV.PA'!F100*0.3/$AF$25,'RMCV.PA'!F100*0.3/$AF$25,12/$AF$25)</f>
        <v>0</v>
      </c>
      <c r="AH99" s="987" t="e">
        <f t="shared" si="70"/>
        <v>#DIV/0!</v>
      </c>
      <c r="AI99" s="986">
        <f>IF(9/$AF$25&gt;'RMCV.PA'!F100*0.3/$AF$25,'RMCV.PA'!F100*0.3/$AF$25,9/$AF$25)</f>
        <v>0</v>
      </c>
      <c r="AJ99" s="988" t="e">
        <f t="shared" si="71"/>
        <v>#DIV/0!</v>
      </c>
      <c r="AK99" s="989" t="e">
        <f t="shared" si="72"/>
        <v>#DIV/0!</v>
      </c>
      <c r="AL99" s="990">
        <f t="shared" si="73"/>
        <v>0</v>
      </c>
      <c r="AM99" s="1002">
        <f t="shared" si="74"/>
        <v>0</v>
      </c>
      <c r="AN99" s="991" t="str">
        <f>IF(O99="PASA"," ",IF('CG. MPA'!E100="CONCRETO","F/DISEÑO",IF(AM99&gt;N99,"PASA","NO PASA")))</f>
        <v xml:space="preserve"> </v>
      </c>
      <c r="AO99" s="1110" t="e">
        <f t="shared" si="93"/>
        <v>#VALUE!</v>
      </c>
    </row>
    <row r="100" spans="1:41">
      <c r="A100" s="850">
        <f>'CG. MPA'!A101</f>
        <v>22</v>
      </c>
      <c r="B100" s="851">
        <f>'RMCV.PA'!N101/1.3</f>
        <v>0</v>
      </c>
      <c r="C100" s="851">
        <f t="shared" si="75"/>
        <v>0</v>
      </c>
      <c r="D100" s="852">
        <f>IF('CG. MPA'!D101="NO CONFINADO",0.4,0.7)</f>
        <v>0.7</v>
      </c>
      <c r="E100" s="852">
        <f>IF('CG. MPA'!E101="CONCRETO",0.5*(0.8*250)^0.5,F100+G100+J100+K100)</f>
        <v>0</v>
      </c>
      <c r="F100" s="852">
        <f>IF(AND('CG. MPA'!E101="TABIQUE",'CG. MPA'!F101="MACIZO"),IF('RMCV.PA'!$E$17="I",3.5,3),0)</f>
        <v>0</v>
      </c>
      <c r="G100" s="852">
        <f>IF(AND('CG. MPA'!E101="TABIQUE",'CG. MPA'!F101="HUECO"),IF('RMCV.PA'!$E$17="I",3,5.5),0)</f>
        <v>0</v>
      </c>
      <c r="H100" s="852">
        <f>IF('CG. MPA'!E101="ADOBE",0.3,0)</f>
        <v>0</v>
      </c>
      <c r="I100" s="852">
        <f>IF('CG. MPA'!E101="LIGERO",0.5,0)</f>
        <v>0</v>
      </c>
      <c r="J100" s="852">
        <f>IF(AND('CG. MPA'!E101="TABICON",'CG. MPA'!F101="MACIZO"),IF('RMCV.PA'!$E$17="I",3,2),0)</f>
        <v>0</v>
      </c>
      <c r="K100" s="852">
        <f>IF(AND('CG. MPA'!E101="TABICON",'CG. MPA'!F101="HUECO"),IF('RMCV.PA'!$E$17="I",3.5,2.5),0)</f>
        <v>0</v>
      </c>
      <c r="L100" s="853">
        <f>'RMCV.PA'!M101</f>
        <v>0</v>
      </c>
      <c r="M100" s="960">
        <f>ABS('ELEM. MECA.'!O228)</f>
        <v>0</v>
      </c>
      <c r="N100" s="957">
        <f t="shared" si="76"/>
        <v>0</v>
      </c>
      <c r="O100" s="854" t="str">
        <f>IF('CG. MPA'!E101="CONCRETO","F/DISEÑO",IF(M100&gt;N100,"NO PASA","PASA"))</f>
        <v>PASA</v>
      </c>
      <c r="P100" s="860" t="str">
        <f>IF(O100="pasa"," ",$P$24/('RMCV.PA'!C101*100))</f>
        <v xml:space="preserve"> </v>
      </c>
      <c r="Q100" s="861" t="str">
        <f>IF(O100="pasa"," ",IF('CG. MPA'!E101="CONCRETO","F/DISEÑO",IF(AND(X100&gt;P100,P100&gt;Y100),"BIEN","MAL")))</f>
        <v xml:space="preserve"> </v>
      </c>
      <c r="R100" s="860">
        <f>IF('CG. MPA'!F101="MACIZO",12/'RMCS.PA'!$P$25,9/'RMCS.PA'!$P$25)</f>
        <v>2.3999999999999998E-3</v>
      </c>
      <c r="S100" s="860">
        <f t="shared" si="77"/>
        <v>0</v>
      </c>
      <c r="T100" s="860">
        <f>IF(G100=0,0,IF(AND(G100=2,'RMCV.PA'!E38="III"),30,40))</f>
        <v>0</v>
      </c>
      <c r="U100" s="860">
        <f>IF(J100=0,0,IF(AND(J100=3,'RMCV.PA'!$E$17="I"),20,15))</f>
        <v>0</v>
      </c>
      <c r="V100" s="860">
        <f>IF(K100=0,0,IF(AND(K100=3.5,'RMCV.PA'!$E$17="I"),20,15))</f>
        <v>0</v>
      </c>
      <c r="W100" s="860">
        <f t="shared" si="78"/>
        <v>0</v>
      </c>
      <c r="X100" s="860">
        <f t="shared" si="79"/>
        <v>0</v>
      </c>
      <c r="Y100" s="860" t="e">
        <f>IF('CG. MPA'!E101="CONCRETO",0,IF(N100/(D100*$P$25*L100)&gt;3/$P$25,N100/(D100*$P$25*L100),3/$P$25))</f>
        <v>#DIV/0!</v>
      </c>
      <c r="Z100" s="862" t="e">
        <f t="shared" si="80"/>
        <v>#VALUE!</v>
      </c>
      <c r="AA100" s="860" t="e">
        <f t="shared" si="81"/>
        <v>#VALUE!</v>
      </c>
      <c r="AB100" s="863" t="e">
        <f t="shared" si="82"/>
        <v>#VALUE!</v>
      </c>
      <c r="AC100" s="864" t="str">
        <f t="shared" si="83"/>
        <v xml:space="preserve"> </v>
      </c>
      <c r="AD100" s="865" t="str">
        <f>IF(O100="pasa"," ",IF('CG. MPA'!E101="CONCRETO","F/DISEÑO",IF(AC100&gt;M100,"PASA","NO PASA")))</f>
        <v xml:space="preserve"> </v>
      </c>
      <c r="AE100" s="986" t="e">
        <f>$AE$23/($AE$26*'RMCV.PA'!C101)</f>
        <v>#DIV/0!</v>
      </c>
      <c r="AF100" s="986" t="e">
        <f t="shared" si="69"/>
        <v>#DIV/0!</v>
      </c>
      <c r="AG100" s="986">
        <f>IF(12/$AF$25&gt;'RMCV.PA'!F101*0.3/$AF$25,'RMCV.PA'!F101*0.3/$AF$25,12/$AF$25)</f>
        <v>0</v>
      </c>
      <c r="AH100" s="987" t="e">
        <f t="shared" si="70"/>
        <v>#DIV/0!</v>
      </c>
      <c r="AI100" s="986">
        <f>IF(9/$AF$25&gt;'RMCV.PA'!F101*0.3/$AF$25,'RMCV.PA'!F101*0.3/$AF$25,9/$AF$25)</f>
        <v>0</v>
      </c>
      <c r="AJ100" s="988" t="e">
        <f t="shared" si="71"/>
        <v>#DIV/0!</v>
      </c>
      <c r="AK100" s="989" t="e">
        <f t="shared" si="72"/>
        <v>#DIV/0!</v>
      </c>
      <c r="AL100" s="990">
        <f t="shared" si="73"/>
        <v>0</v>
      </c>
      <c r="AM100" s="1002">
        <f t="shared" si="74"/>
        <v>0</v>
      </c>
      <c r="AN100" s="991" t="str">
        <f>IF(O100="PASA"," ",IF('CG. MPA'!E101="CONCRETO","F/DISEÑO",IF(AM100&gt;N100,"PASA","NO PASA")))</f>
        <v xml:space="preserve"> </v>
      </c>
      <c r="AO100" s="1110" t="e">
        <f t="shared" si="93"/>
        <v>#VALUE!</v>
      </c>
    </row>
    <row r="101" spans="1:41">
      <c r="A101" s="850">
        <f>'CG. MPA'!A102</f>
        <v>23</v>
      </c>
      <c r="B101" s="851">
        <f>'RMCV.PA'!N102/1.3</f>
        <v>0</v>
      </c>
      <c r="C101" s="851">
        <f t="shared" si="75"/>
        <v>0</v>
      </c>
      <c r="D101" s="852">
        <f>IF('CG. MPA'!D102="NO CONFINADO",0.4,0.7)</f>
        <v>0.7</v>
      </c>
      <c r="E101" s="852">
        <f>IF('CG. MPA'!E102="CONCRETO",0.5*(0.8*250)^0.5,F101+G101+J101+K101)</f>
        <v>0</v>
      </c>
      <c r="F101" s="852">
        <f>IF(AND('CG. MPA'!E102="TABIQUE",'CG. MPA'!F102="MACIZO"),IF('RMCV.PA'!$E$17="I",3.5,3),0)</f>
        <v>0</v>
      </c>
      <c r="G101" s="852">
        <f>IF(AND('CG. MPA'!E102="TABIQUE",'CG. MPA'!F102="HUECO"),IF('RMCV.PA'!$E$17="I",3,5.5),0)</f>
        <v>0</v>
      </c>
      <c r="H101" s="852">
        <f>IF('CG. MPA'!E102="ADOBE",0.3,0)</f>
        <v>0</v>
      </c>
      <c r="I101" s="852">
        <f>IF('CG. MPA'!E102="LIGERO",0.5,0)</f>
        <v>0</v>
      </c>
      <c r="J101" s="852">
        <f>IF(AND('CG. MPA'!E102="TABICON",'CG. MPA'!F102="MACIZO"),IF('RMCV.PA'!$E$17="I",3,2),0)</f>
        <v>0</v>
      </c>
      <c r="K101" s="852">
        <f>IF(AND('CG. MPA'!E102="TABICON",'CG. MPA'!F102="HUECO"),IF('RMCV.PA'!$E$17="I",3.5,2.5),0)</f>
        <v>0</v>
      </c>
      <c r="L101" s="853">
        <f>'RMCV.PA'!M102</f>
        <v>0</v>
      </c>
      <c r="M101" s="960">
        <f>ABS('ELEM. MECA.'!O229)</f>
        <v>0</v>
      </c>
      <c r="N101" s="957">
        <f t="shared" si="76"/>
        <v>0</v>
      </c>
      <c r="O101" s="854" t="str">
        <f>IF('CG. MPA'!E102="CONCRETO","F/DISEÑO",IF(M101&gt;N101,"NO PASA","PASA"))</f>
        <v>PASA</v>
      </c>
      <c r="P101" s="860" t="str">
        <f>IF(O101="pasa"," ",$P$24/('RMCV.PA'!C102*100))</f>
        <v xml:space="preserve"> </v>
      </c>
      <c r="Q101" s="861" t="str">
        <f>IF(O101="pasa"," ",IF('CG. MPA'!E102="CONCRETO","F/DISEÑO",IF(AND(X101&gt;P101,P101&gt;Y101),"BIEN","MAL")))</f>
        <v xml:space="preserve"> </v>
      </c>
      <c r="R101" s="860">
        <f>IF('CG. MPA'!F102="MACIZO",12/'RMCS.PA'!$P$25,9/'RMCS.PA'!$P$25)</f>
        <v>2.3999999999999998E-3</v>
      </c>
      <c r="S101" s="860">
        <f t="shared" si="77"/>
        <v>0</v>
      </c>
      <c r="T101" s="860">
        <f>IF(G101=0,0,IF(AND(G101=2,'RMCV.PA'!E39="III"),30,40))</f>
        <v>0</v>
      </c>
      <c r="U101" s="860">
        <f>IF(J101=0,0,IF(AND(J101=3,'RMCV.PA'!$E$17="I"),20,15))</f>
        <v>0</v>
      </c>
      <c r="V101" s="860">
        <f>IF(K101=0,0,IF(AND(K101=3.5,'RMCV.PA'!$E$17="I"),20,15))</f>
        <v>0</v>
      </c>
      <c r="W101" s="860">
        <f t="shared" si="78"/>
        <v>0</v>
      </c>
      <c r="X101" s="860">
        <f t="shared" si="79"/>
        <v>0</v>
      </c>
      <c r="Y101" s="860" t="e">
        <f>IF('CG. MPA'!E102="CONCRETO",0,IF(N101/(D101*$P$25*L101)&gt;3/$P$25,N101/(D101*$P$25*L101),3/$P$25))</f>
        <v>#DIV/0!</v>
      </c>
      <c r="Z101" s="862" t="e">
        <f t="shared" si="80"/>
        <v>#VALUE!</v>
      </c>
      <c r="AA101" s="860" t="e">
        <f t="shared" si="81"/>
        <v>#VALUE!</v>
      </c>
      <c r="AB101" s="863" t="e">
        <f t="shared" si="82"/>
        <v>#VALUE!</v>
      </c>
      <c r="AC101" s="864" t="str">
        <f t="shared" si="83"/>
        <v xml:space="preserve"> </v>
      </c>
      <c r="AD101" s="865" t="str">
        <f>IF(O101="pasa"," ",IF('CG. MPA'!E102="CONCRETO","F/DISEÑO",IF(AC101&gt;M101,"PASA","NO PASA")))</f>
        <v xml:space="preserve"> </v>
      </c>
      <c r="AE101" s="986" t="e">
        <f>$AE$23/($AE$26*'RMCV.PA'!C102)</f>
        <v>#DIV/0!</v>
      </c>
      <c r="AF101" s="986" t="e">
        <f t="shared" si="69"/>
        <v>#DIV/0!</v>
      </c>
      <c r="AG101" s="986">
        <f>IF(12/$AF$25&gt;'RMCV.PA'!F102*0.3/$AF$25,'RMCV.PA'!F102*0.3/$AF$25,12/$AF$25)</f>
        <v>0</v>
      </c>
      <c r="AH101" s="987" t="e">
        <f t="shared" si="70"/>
        <v>#DIV/0!</v>
      </c>
      <c r="AI101" s="986">
        <f>IF(9/$AF$25&gt;'RMCV.PA'!F102*0.3/$AF$25,'RMCV.PA'!F102*0.3/$AF$25,9/$AF$25)</f>
        <v>0</v>
      </c>
      <c r="AJ101" s="988" t="e">
        <f t="shared" si="71"/>
        <v>#DIV/0!</v>
      </c>
      <c r="AK101" s="989" t="e">
        <f t="shared" si="72"/>
        <v>#DIV/0!</v>
      </c>
      <c r="AL101" s="990">
        <f t="shared" si="73"/>
        <v>0</v>
      </c>
      <c r="AM101" s="1002">
        <f t="shared" si="74"/>
        <v>0</v>
      </c>
      <c r="AN101" s="991" t="str">
        <f>IF(O101="PASA"," ",IF('CG. MPA'!E102="CONCRETO","F/DISEÑO",IF(AM101&gt;N101,"PASA","NO PASA")))</f>
        <v xml:space="preserve"> </v>
      </c>
      <c r="AO101" s="1110" t="e">
        <f t="shared" si="93"/>
        <v>#VALUE!</v>
      </c>
    </row>
    <row r="102" spans="1:41">
      <c r="A102" s="850">
        <f>'CG. MPA'!A103</f>
        <v>24</v>
      </c>
      <c r="B102" s="851">
        <f>'RMCV.PA'!N103/1.3</f>
        <v>0</v>
      </c>
      <c r="C102" s="851">
        <f t="shared" si="75"/>
        <v>0</v>
      </c>
      <c r="D102" s="852">
        <f>IF('CG. MPA'!D103="NO CONFINADO",0.4,0.7)</f>
        <v>0.7</v>
      </c>
      <c r="E102" s="852">
        <f>IF('CG. MPA'!E103="CONCRETO",0.5*(0.8*250)^0.5,F102+G102+J102+K102)</f>
        <v>0</v>
      </c>
      <c r="F102" s="852">
        <f>IF(AND('CG. MPA'!E103="TABIQUE",'CG. MPA'!F103="MACIZO"),IF('RMCV.PA'!$E$17="I",3.5,3),0)</f>
        <v>0</v>
      </c>
      <c r="G102" s="852">
        <f>IF(AND('CG. MPA'!E103="TABIQUE",'CG. MPA'!F103="HUECO"),IF('RMCV.PA'!$E$17="I",3,5.5),0)</f>
        <v>0</v>
      </c>
      <c r="H102" s="852">
        <f>IF('CG. MPA'!E103="ADOBE",0.3,0)</f>
        <v>0</v>
      </c>
      <c r="I102" s="852">
        <f>IF('CG. MPA'!E103="LIGERO",0.5,0)</f>
        <v>0</v>
      </c>
      <c r="J102" s="852">
        <f>IF(AND('CG. MPA'!E103="TABICON",'CG. MPA'!F103="MACIZO"),IF('RMCV.PA'!$E$17="I",3,2),0)</f>
        <v>0</v>
      </c>
      <c r="K102" s="852">
        <f>IF(AND('CG. MPA'!E103="TABICON",'CG. MPA'!F103="HUECO"),IF('RMCV.PA'!$E$17="I",3.5,2.5),0)</f>
        <v>0</v>
      </c>
      <c r="L102" s="853">
        <f>'RMCV.PA'!M103</f>
        <v>0</v>
      </c>
      <c r="M102" s="960">
        <f>ABS('ELEM. MECA.'!O230)</f>
        <v>0</v>
      </c>
      <c r="N102" s="957">
        <f t="shared" si="76"/>
        <v>0</v>
      </c>
      <c r="O102" s="854" t="str">
        <f>IF('CG. MPA'!E103="CONCRETO","F/DISEÑO",IF(M102&gt;N102,"NO PASA","PASA"))</f>
        <v>PASA</v>
      </c>
      <c r="P102" s="860" t="str">
        <f>IF(O102="pasa"," ",$P$24/('RMCV.PA'!C103*100))</f>
        <v xml:space="preserve"> </v>
      </c>
      <c r="Q102" s="861" t="str">
        <f>IF(O102="pasa"," ",IF('CG. MPA'!E103="CONCRETO","F/DISEÑO",IF(AND(X102&gt;P102,P102&gt;Y102),"BIEN","MAL")))</f>
        <v xml:space="preserve"> </v>
      </c>
      <c r="R102" s="860">
        <f>IF('CG. MPA'!F103="MACIZO",12/'RMCS.PA'!$P$25,9/'RMCS.PA'!$P$25)</f>
        <v>2.3999999999999998E-3</v>
      </c>
      <c r="S102" s="860">
        <f t="shared" si="77"/>
        <v>0</v>
      </c>
      <c r="T102" s="860">
        <f>IF(G102=0,0,IF(AND(G102=2,'RMCV.PA'!E40="III"),30,40))</f>
        <v>0</v>
      </c>
      <c r="U102" s="860">
        <f>IF(J102=0,0,IF(AND(J102=3,'RMCV.PA'!$E$17="I"),20,15))</f>
        <v>0</v>
      </c>
      <c r="V102" s="860">
        <f>IF(K102=0,0,IF(AND(K102=3.5,'RMCV.PA'!$E$17="I"),20,15))</f>
        <v>0</v>
      </c>
      <c r="W102" s="860">
        <f t="shared" si="78"/>
        <v>0</v>
      </c>
      <c r="X102" s="860">
        <f t="shared" si="79"/>
        <v>0</v>
      </c>
      <c r="Y102" s="860" t="e">
        <f>IF('CG. MPA'!E103="CONCRETO",0,IF(N102/(D102*$P$25*L102)&gt;3/$P$25,N102/(D102*$P$25*L102),3/$P$25))</f>
        <v>#DIV/0!</v>
      </c>
      <c r="Z102" s="862" t="e">
        <f t="shared" si="80"/>
        <v>#VALUE!</v>
      </c>
      <c r="AA102" s="860" t="e">
        <f t="shared" si="81"/>
        <v>#VALUE!</v>
      </c>
      <c r="AB102" s="863" t="e">
        <f t="shared" si="82"/>
        <v>#VALUE!</v>
      </c>
      <c r="AC102" s="864" t="str">
        <f t="shared" si="83"/>
        <v xml:space="preserve"> </v>
      </c>
      <c r="AD102" s="865" t="str">
        <f>IF(O102="pasa"," ",IF('CG. MPA'!E103="CONCRETO","F/DISEÑO",IF(AC102&gt;M102,"PASA","NO PASA")))</f>
        <v xml:space="preserve"> </v>
      </c>
      <c r="AE102" s="986" t="e">
        <f>$AE$23/($AE$26*'RMCV.PA'!C103)</f>
        <v>#DIV/0!</v>
      </c>
      <c r="AF102" s="986" t="e">
        <f t="shared" si="69"/>
        <v>#DIV/0!</v>
      </c>
      <c r="AG102" s="986">
        <f>IF(12/$AF$25&gt;'RMCV.PA'!F103*0.3/$AF$25,'RMCV.PA'!F103*0.3/$AF$25,12/$AF$25)</f>
        <v>0</v>
      </c>
      <c r="AH102" s="987" t="e">
        <f t="shared" si="70"/>
        <v>#DIV/0!</v>
      </c>
      <c r="AI102" s="986">
        <f>IF(9/$AF$25&gt;'RMCV.PA'!F103*0.3/$AF$25,'RMCV.PA'!F103*0.3/$AF$25,9/$AF$25)</f>
        <v>0</v>
      </c>
      <c r="AJ102" s="988" t="e">
        <f t="shared" si="71"/>
        <v>#DIV/0!</v>
      </c>
      <c r="AK102" s="989" t="e">
        <f t="shared" si="72"/>
        <v>#DIV/0!</v>
      </c>
      <c r="AL102" s="990">
        <f t="shared" si="73"/>
        <v>0</v>
      </c>
      <c r="AM102" s="1002">
        <f t="shared" si="74"/>
        <v>0</v>
      </c>
      <c r="AN102" s="991" t="str">
        <f>IF(O102="PASA"," ",IF('CG. MPA'!E103="CONCRETO","F/DISEÑO",IF(AM102&gt;N102,"PASA","NO PASA")))</f>
        <v xml:space="preserve"> </v>
      </c>
      <c r="AO102" s="1110" t="e">
        <f t="shared" si="93"/>
        <v>#VALUE!</v>
      </c>
    </row>
    <row r="103" spans="1:41">
      <c r="A103" s="850">
        <f>'CG. MPA'!A104</f>
        <v>25</v>
      </c>
      <c r="B103" s="851">
        <f>'RMCV.PA'!N104/1.3</f>
        <v>0</v>
      </c>
      <c r="C103" s="851">
        <f t="shared" si="75"/>
        <v>0</v>
      </c>
      <c r="D103" s="852">
        <f>IF('CG. MPA'!D104="NO CONFINADO",0.4,0.7)</f>
        <v>0.7</v>
      </c>
      <c r="E103" s="852">
        <f>IF('CG. MPA'!E104="CONCRETO",0.5*(0.8*250)^0.5,F103+G103+J103+K103)</f>
        <v>0</v>
      </c>
      <c r="F103" s="852">
        <f>IF(AND('CG. MPA'!E104="TABIQUE",'CG. MPA'!F104="MACIZO"),IF('RMCV.PA'!$E$17="I",3.5,3),0)</f>
        <v>0</v>
      </c>
      <c r="G103" s="852">
        <f>IF(AND('CG. MPA'!E104="TABIQUE",'CG. MPA'!F104="HUECO"),IF('RMCV.PA'!$E$17="I",3,5.5),0)</f>
        <v>0</v>
      </c>
      <c r="H103" s="852">
        <f>IF('CG. MPA'!E104="ADOBE",0.3,0)</f>
        <v>0</v>
      </c>
      <c r="I103" s="852">
        <f>IF('CG. MPA'!E104="LIGERO",0.5,0)</f>
        <v>0</v>
      </c>
      <c r="J103" s="852">
        <f>IF(AND('CG. MPA'!E104="TABICON",'CG. MPA'!F104="MACIZO"),IF('RMCV.PA'!$E$17="I",3,2),0)</f>
        <v>0</v>
      </c>
      <c r="K103" s="852">
        <f>IF(AND('CG. MPA'!E104="TABICON",'CG. MPA'!F104="HUECO"),IF('RMCV.PA'!$E$17="I",3.5,2.5),0)</f>
        <v>0</v>
      </c>
      <c r="L103" s="853">
        <f>'RMCV.PA'!M104</f>
        <v>0</v>
      </c>
      <c r="M103" s="960">
        <f>ABS('ELEM. MECA.'!O231)</f>
        <v>0</v>
      </c>
      <c r="N103" s="957">
        <f t="shared" si="76"/>
        <v>0</v>
      </c>
      <c r="O103" s="854" t="str">
        <f>IF('CG. MPA'!E104="CONCRETO","F/DISEÑO",IF(M103&gt;N103,"NO PASA","PASA"))</f>
        <v>PASA</v>
      </c>
      <c r="P103" s="860" t="str">
        <f>IF(O103="pasa"," ",$P$24/('RMCV.PA'!C104*100))</f>
        <v xml:space="preserve"> </v>
      </c>
      <c r="Q103" s="861" t="str">
        <f>IF(O103="pasa"," ",IF('CG. MPA'!E104="CONCRETO","F/DISEÑO",IF(AND(X103&gt;P103,P103&gt;Y103),"BIEN","MAL")))</f>
        <v xml:space="preserve"> </v>
      </c>
      <c r="R103" s="860">
        <f>IF('CG. MPA'!F104="MACIZO",12/'RMCS.PA'!$P$25,9/'RMCS.PA'!$P$25)</f>
        <v>2.3999999999999998E-3</v>
      </c>
      <c r="S103" s="860">
        <f t="shared" si="77"/>
        <v>0</v>
      </c>
      <c r="T103" s="860">
        <f>IF(G103=0,0,IF(AND(G103=2,'RMCV.PA'!E41="III"),30,40))</f>
        <v>0</v>
      </c>
      <c r="U103" s="860">
        <f>IF(J103=0,0,IF(AND(J103=3,'RMCV.PA'!$E$17="I"),20,15))</f>
        <v>0</v>
      </c>
      <c r="V103" s="860">
        <f>IF(K103=0,0,IF(AND(K103=3.5,'RMCV.PA'!$E$17="I"),20,15))</f>
        <v>0</v>
      </c>
      <c r="W103" s="860">
        <f t="shared" si="78"/>
        <v>0</v>
      </c>
      <c r="X103" s="860">
        <f t="shared" si="79"/>
        <v>0</v>
      </c>
      <c r="Y103" s="860" t="e">
        <f>IF('CG. MPA'!E104="CONCRETO",0,IF(N103/(D103*$P$25*L103)&gt;3/$P$25,N103/(D103*$P$25*L103),3/$P$25))</f>
        <v>#DIV/0!</v>
      </c>
      <c r="Z103" s="862" t="e">
        <f t="shared" si="80"/>
        <v>#VALUE!</v>
      </c>
      <c r="AA103" s="860" t="e">
        <f t="shared" si="81"/>
        <v>#VALUE!</v>
      </c>
      <c r="AB103" s="863" t="e">
        <f t="shared" si="82"/>
        <v>#VALUE!</v>
      </c>
      <c r="AC103" s="864" t="str">
        <f t="shared" si="83"/>
        <v xml:space="preserve"> </v>
      </c>
      <c r="AD103" s="865" t="str">
        <f>IF(O103="pasa"," ",IF('CG. MPA'!E104="CONCRETO","F/DISEÑO",IF(AC103&gt;M103,"PASA","NO PASA")))</f>
        <v xml:space="preserve"> </v>
      </c>
      <c r="AE103" s="986" t="e">
        <f>$AE$23/($AE$26*'RMCV.PA'!C104)</f>
        <v>#DIV/0!</v>
      </c>
      <c r="AF103" s="986" t="e">
        <f t="shared" si="69"/>
        <v>#DIV/0!</v>
      </c>
      <c r="AG103" s="986">
        <f>IF(12/$AF$25&gt;'RMCV.PA'!F104*0.3/$AF$25,'RMCV.PA'!F104*0.3/$AF$25,12/$AF$25)</f>
        <v>0</v>
      </c>
      <c r="AH103" s="987" t="e">
        <f t="shared" si="70"/>
        <v>#DIV/0!</v>
      </c>
      <c r="AI103" s="986">
        <f>IF(9/$AF$25&gt;'RMCV.PA'!F104*0.3/$AF$25,'RMCV.PA'!F104*0.3/$AF$25,9/$AF$25)</f>
        <v>0</v>
      </c>
      <c r="AJ103" s="988" t="e">
        <f t="shared" si="71"/>
        <v>#DIV/0!</v>
      </c>
      <c r="AK103" s="989" t="e">
        <f t="shared" si="72"/>
        <v>#DIV/0!</v>
      </c>
      <c r="AL103" s="990">
        <f t="shared" si="73"/>
        <v>0</v>
      </c>
      <c r="AM103" s="1002">
        <f t="shared" si="74"/>
        <v>0</v>
      </c>
      <c r="AN103" s="991" t="str">
        <f>IF(O103="PASA"," ",IF('CG. MPA'!E104="CONCRETO","F/DISEÑO",IF(AM103&gt;N103,"PASA","NO PASA")))</f>
        <v xml:space="preserve"> </v>
      </c>
      <c r="AO103" s="1110" t="e">
        <f t="shared" si="93"/>
        <v>#VALUE!</v>
      </c>
    </row>
    <row r="104" spans="1:41">
      <c r="A104" s="850">
        <f>'CG. MPA'!A105</f>
        <v>26</v>
      </c>
      <c r="B104" s="851">
        <f>'RMCV.PA'!N105/1.3</f>
        <v>0</v>
      </c>
      <c r="C104" s="851">
        <f t="shared" si="75"/>
        <v>0</v>
      </c>
      <c r="D104" s="852">
        <f>IF('CG. MPA'!D105="NO CONFINADO",0.4,0.7)</f>
        <v>0.7</v>
      </c>
      <c r="E104" s="852">
        <f>IF('CG. MPA'!E105="CONCRETO",0.5*(0.8*250)^0.5,F104+G104+J104+K104)</f>
        <v>0</v>
      </c>
      <c r="F104" s="852">
        <f>IF(AND('CG. MPA'!E105="TABIQUE",'CG. MPA'!F105="MACIZO"),IF('RMCV.PA'!$E$17="I",3.5,3),0)</f>
        <v>0</v>
      </c>
      <c r="G104" s="852">
        <f>IF(AND('CG. MPA'!E105="TABIQUE",'CG. MPA'!F105="HUECO"),IF('RMCV.PA'!$E$17="I",3,5.5),0)</f>
        <v>0</v>
      </c>
      <c r="H104" s="852">
        <f>IF('CG. MPA'!E105="ADOBE",0.3,0)</f>
        <v>0</v>
      </c>
      <c r="I104" s="852">
        <f>IF('CG. MPA'!E105="LIGERO",0.5,0)</f>
        <v>0</v>
      </c>
      <c r="J104" s="852">
        <f>IF(AND('CG. MPA'!E105="TABICON",'CG. MPA'!F105="MACIZO"),IF('RMCV.PA'!$E$17="I",3,2),0)</f>
        <v>0</v>
      </c>
      <c r="K104" s="852">
        <f>IF(AND('CG. MPA'!E105="TABICON",'CG. MPA'!F105="HUECO"),IF('RMCV.PA'!$E$17="I",3.5,2.5),0)</f>
        <v>0</v>
      </c>
      <c r="L104" s="853">
        <f>'RMCV.PA'!M105</f>
        <v>0</v>
      </c>
      <c r="M104" s="960">
        <f>ABS('ELEM. MECA.'!O232)</f>
        <v>0</v>
      </c>
      <c r="N104" s="957">
        <f t="shared" si="76"/>
        <v>0</v>
      </c>
      <c r="O104" s="854" t="str">
        <f>IF('CG. MPA'!E105="CONCRETO","F/DISEÑO",IF(M104&gt;N104,"NO PASA","PASA"))</f>
        <v>PASA</v>
      </c>
      <c r="P104" s="860" t="str">
        <f>IF(O104="pasa"," ",$P$24/('RMCV.PA'!C105*100))</f>
        <v xml:space="preserve"> </v>
      </c>
      <c r="Q104" s="861" t="str">
        <f>IF(O104="pasa"," ",IF('CG. MPA'!E105="CONCRETO","F/DISEÑO",IF(AND(X104&gt;P104,P104&gt;Y104),"BIEN","MAL")))</f>
        <v xml:space="preserve"> </v>
      </c>
      <c r="R104" s="860">
        <f>IF('CG. MPA'!F105="MACIZO",12/'RMCS.PA'!$P$25,9/'RMCS.PA'!$P$25)</f>
        <v>2.3999999999999998E-3</v>
      </c>
      <c r="S104" s="860">
        <f t="shared" si="77"/>
        <v>0</v>
      </c>
      <c r="T104" s="860">
        <f>IF(G104=0,0,IF(AND(G104=2,'RMCV.PA'!E42="III"),30,40))</f>
        <v>0</v>
      </c>
      <c r="U104" s="860">
        <f>IF(J104=0,0,IF(AND(J104=3,'RMCV.PA'!$E$17="I"),20,15))</f>
        <v>0</v>
      </c>
      <c r="V104" s="860">
        <f>IF(K104=0,0,IF(AND(K104=3.5,'RMCV.PA'!$E$17="I"),20,15))</f>
        <v>0</v>
      </c>
      <c r="W104" s="860">
        <f t="shared" si="78"/>
        <v>0</v>
      </c>
      <c r="X104" s="860">
        <f t="shared" si="79"/>
        <v>0</v>
      </c>
      <c r="Y104" s="860" t="e">
        <f>IF('CG. MPA'!E105="CONCRETO",0,IF(N104/(D104*$P$25*L104)&gt;3/$P$25,N104/(D104*$P$25*L104),3/$P$25))</f>
        <v>#DIV/0!</v>
      </c>
      <c r="Z104" s="862" t="e">
        <f t="shared" si="80"/>
        <v>#VALUE!</v>
      </c>
      <c r="AA104" s="860" t="e">
        <f t="shared" si="81"/>
        <v>#VALUE!</v>
      </c>
      <c r="AB104" s="863" t="e">
        <f t="shared" si="82"/>
        <v>#VALUE!</v>
      </c>
      <c r="AC104" s="864" t="str">
        <f t="shared" si="83"/>
        <v xml:space="preserve"> </v>
      </c>
      <c r="AD104" s="865" t="str">
        <f>IF(O104="pasa"," ",IF('CG. MPA'!E105="CONCRETO","F/DISEÑO",IF(AC104&gt;M104,"PASA","NO PASA")))</f>
        <v xml:space="preserve"> </v>
      </c>
      <c r="AE104" s="986" t="e">
        <f>$AE$23/($AE$26*'RMCV.PA'!C105)</f>
        <v>#DIV/0!</v>
      </c>
      <c r="AF104" s="986" t="e">
        <f t="shared" si="69"/>
        <v>#DIV/0!</v>
      </c>
      <c r="AG104" s="986">
        <f>IF(12/$AF$25&gt;'RMCV.PA'!F105*0.3/$AF$25,'RMCV.PA'!F105*0.3/$AF$25,12/$AF$25)</f>
        <v>0</v>
      </c>
      <c r="AH104" s="987" t="e">
        <f t="shared" si="70"/>
        <v>#DIV/0!</v>
      </c>
      <c r="AI104" s="986">
        <f>IF(9/$AF$25&gt;'RMCV.PA'!F105*0.3/$AF$25,'RMCV.PA'!F105*0.3/$AF$25,9/$AF$25)</f>
        <v>0</v>
      </c>
      <c r="AJ104" s="988" t="e">
        <f t="shared" si="71"/>
        <v>#DIV/0!</v>
      </c>
      <c r="AK104" s="989" t="e">
        <f t="shared" si="72"/>
        <v>#DIV/0!</v>
      </c>
      <c r="AL104" s="990">
        <f t="shared" si="73"/>
        <v>0</v>
      </c>
      <c r="AM104" s="1002">
        <f t="shared" si="74"/>
        <v>0</v>
      </c>
      <c r="AN104" s="991" t="str">
        <f>IF(O104="PASA"," ",IF('CG. MPA'!E105="CONCRETO","F/DISEÑO",IF(AM104&gt;N104,"PASA","NO PASA")))</f>
        <v xml:space="preserve"> </v>
      </c>
      <c r="AO104" s="1110" t="e">
        <f t="shared" si="93"/>
        <v>#VALUE!</v>
      </c>
    </row>
    <row r="105" spans="1:41">
      <c r="A105" s="850">
        <f>'CG. MPA'!A106</f>
        <v>27</v>
      </c>
      <c r="B105" s="851">
        <f>'RMCV.PA'!N106/1.3</f>
        <v>0</v>
      </c>
      <c r="C105" s="851">
        <f t="shared" si="75"/>
        <v>0</v>
      </c>
      <c r="D105" s="852">
        <f>IF('CG. MPA'!D106="NO CONFINADO",0.4,0.7)</f>
        <v>0.7</v>
      </c>
      <c r="E105" s="852">
        <f>IF('CG. MPA'!E106="CONCRETO",0.5*(0.8*250)^0.5,F105+G105+J105+K105)</f>
        <v>0</v>
      </c>
      <c r="F105" s="852">
        <f>IF(AND('CG. MPA'!E106="TABIQUE",'CG. MPA'!F106="MACIZO"),IF('RMCV.PA'!$E$17="I",3.5,3),0)</f>
        <v>0</v>
      </c>
      <c r="G105" s="852">
        <f>IF(AND('CG. MPA'!E106="TABIQUE",'CG. MPA'!F106="HUECO"),IF('RMCV.PA'!$E$17="I",3,5.5),0)</f>
        <v>0</v>
      </c>
      <c r="H105" s="852">
        <f>IF('CG. MPA'!E106="ADOBE",0.3,0)</f>
        <v>0</v>
      </c>
      <c r="I105" s="852">
        <f>IF('CG. MPA'!E106="LIGERO",0.5,0)</f>
        <v>0</v>
      </c>
      <c r="J105" s="852">
        <f>IF(AND('CG. MPA'!E106="TABICON",'CG. MPA'!F106="MACIZO"),IF('RMCV.PA'!$E$17="I",3,2),0)</f>
        <v>0</v>
      </c>
      <c r="K105" s="852">
        <f>IF(AND('CG. MPA'!E106="TABICON",'CG. MPA'!F106="HUECO"),IF('RMCV.PA'!$E$17="I",3.5,2.5),0)</f>
        <v>0</v>
      </c>
      <c r="L105" s="853">
        <f>'RMCV.PA'!M106</f>
        <v>0</v>
      </c>
      <c r="M105" s="960">
        <f>ABS('ELEM. MECA.'!O233)</f>
        <v>0</v>
      </c>
      <c r="N105" s="957">
        <f t="shared" si="76"/>
        <v>0</v>
      </c>
      <c r="O105" s="854" t="str">
        <f>IF('CG. MPA'!E106="CONCRETO","F/DISEÑO",IF(M105&gt;N105,"NO PASA","PASA"))</f>
        <v>PASA</v>
      </c>
      <c r="P105" s="860" t="str">
        <f>IF(O105="pasa"," ",$P$24/('RMCV.PA'!C106*100))</f>
        <v xml:space="preserve"> </v>
      </c>
      <c r="Q105" s="861" t="str">
        <f>IF(O105="pasa"," ",IF('CG. MPA'!E106="CONCRETO","F/DISEÑO",IF(AND(X105&gt;P105,P105&gt;Y105),"BIEN","MAL")))</f>
        <v xml:space="preserve"> </v>
      </c>
      <c r="R105" s="860">
        <f>IF('CG. MPA'!F106="MACIZO",12/'RMCS.PA'!$P$25,9/'RMCS.PA'!$P$25)</f>
        <v>2.3999999999999998E-3</v>
      </c>
      <c r="S105" s="860">
        <f t="shared" si="77"/>
        <v>0</v>
      </c>
      <c r="T105" s="860">
        <f>IF(G105=0,0,IF(AND(G105=2,'RMCV.PA'!E43="III"),30,40))</f>
        <v>0</v>
      </c>
      <c r="U105" s="860">
        <f>IF(J105=0,0,IF(AND(J105=3,'RMCV.PA'!$E$17="I"),20,15))</f>
        <v>0</v>
      </c>
      <c r="V105" s="860">
        <f>IF(K105=0,0,IF(AND(K105=3.5,'RMCV.PA'!$E$17="I"),20,15))</f>
        <v>0</v>
      </c>
      <c r="W105" s="860">
        <f t="shared" si="78"/>
        <v>0</v>
      </c>
      <c r="X105" s="860">
        <f t="shared" si="79"/>
        <v>0</v>
      </c>
      <c r="Y105" s="860" t="e">
        <f>IF('CG. MPA'!E106="CONCRETO",0,IF(N105/(D105*$P$25*L105)&gt;3/$P$25,N105/(D105*$P$25*L105),3/$P$25))</f>
        <v>#DIV/0!</v>
      </c>
      <c r="Z105" s="862" t="e">
        <f t="shared" si="80"/>
        <v>#VALUE!</v>
      </c>
      <c r="AA105" s="860" t="e">
        <f t="shared" si="81"/>
        <v>#VALUE!</v>
      </c>
      <c r="AB105" s="863" t="e">
        <f t="shared" si="82"/>
        <v>#VALUE!</v>
      </c>
      <c r="AC105" s="864" t="str">
        <f t="shared" si="83"/>
        <v xml:space="preserve"> </v>
      </c>
      <c r="AD105" s="865" t="str">
        <f>IF(O105="pasa"," ",IF('CG. MPA'!E106="CONCRETO","F/DISEÑO",IF(AC105&gt;M105,"PASA","NO PASA")))</f>
        <v xml:space="preserve"> </v>
      </c>
      <c r="AE105" s="986" t="e">
        <f>$AE$23/($AE$26*'RMCV.PA'!C106)</f>
        <v>#DIV/0!</v>
      </c>
      <c r="AF105" s="986" t="e">
        <f t="shared" si="69"/>
        <v>#DIV/0!</v>
      </c>
      <c r="AG105" s="986">
        <f>IF(12/$AF$25&gt;'RMCV.PA'!F106*0.3/$AF$25,'RMCV.PA'!F106*0.3/$AF$25,12/$AF$25)</f>
        <v>0</v>
      </c>
      <c r="AH105" s="987" t="e">
        <f t="shared" si="70"/>
        <v>#DIV/0!</v>
      </c>
      <c r="AI105" s="986">
        <f>IF(9/$AF$25&gt;'RMCV.PA'!F106*0.3/$AF$25,'RMCV.PA'!F106*0.3/$AF$25,9/$AF$25)</f>
        <v>0</v>
      </c>
      <c r="AJ105" s="988" t="e">
        <f t="shared" si="71"/>
        <v>#DIV/0!</v>
      </c>
      <c r="AK105" s="989" t="e">
        <f t="shared" si="72"/>
        <v>#DIV/0!</v>
      </c>
      <c r="AL105" s="990">
        <f t="shared" si="73"/>
        <v>0</v>
      </c>
      <c r="AM105" s="1002">
        <f t="shared" si="74"/>
        <v>0</v>
      </c>
      <c r="AN105" s="991" t="str">
        <f>IF(O105="PASA"," ",IF('CG. MPA'!E106="CONCRETO","F/DISEÑO",IF(AM105&gt;N105,"PASA","NO PASA")))</f>
        <v xml:space="preserve"> </v>
      </c>
      <c r="AO105" s="1110" t="e">
        <f t="shared" si="93"/>
        <v>#VALUE!</v>
      </c>
    </row>
    <row r="106" spans="1:41">
      <c r="A106" s="850">
        <f>'CG. MPA'!A107</f>
        <v>28</v>
      </c>
      <c r="B106" s="851">
        <f>'RMCV.PA'!N107/1.3</f>
        <v>0</v>
      </c>
      <c r="C106" s="851">
        <f t="shared" si="75"/>
        <v>0</v>
      </c>
      <c r="D106" s="852">
        <f>IF('CG. MPA'!D107="NO CONFINADO",0.4,0.7)</f>
        <v>0.7</v>
      </c>
      <c r="E106" s="852">
        <f>IF('CG. MPA'!E107="CONCRETO",0.5*(0.8*250)^0.5,F106+G106+J106+K106)</f>
        <v>0</v>
      </c>
      <c r="F106" s="852">
        <f>IF(AND('CG. MPA'!E107="TABIQUE",'CG. MPA'!F107="MACIZO"),IF('RMCV.PA'!$E$17="I",3.5,3),0)</f>
        <v>0</v>
      </c>
      <c r="G106" s="852">
        <f>IF(AND('CG. MPA'!E107="TABIQUE",'CG. MPA'!F107="HUECO"),IF('RMCV.PA'!$E$17="I",3,5.5),0)</f>
        <v>0</v>
      </c>
      <c r="H106" s="852">
        <f>IF('CG. MPA'!E107="ADOBE",0.3,0)</f>
        <v>0</v>
      </c>
      <c r="I106" s="852">
        <f>IF('CG. MPA'!E107="LIGERO",0.5,0)</f>
        <v>0</v>
      </c>
      <c r="J106" s="852">
        <f>IF(AND('CG. MPA'!E107="TABICON",'CG. MPA'!F107="MACIZO"),IF('RMCV.PA'!$E$17="I",3,2),0)</f>
        <v>0</v>
      </c>
      <c r="K106" s="852">
        <f>IF(AND('CG. MPA'!E107="TABICON",'CG. MPA'!F107="HUECO"),IF('RMCV.PA'!$E$17="I",3.5,2.5),0)</f>
        <v>0</v>
      </c>
      <c r="L106" s="853">
        <f>'RMCV.PA'!M107</f>
        <v>0</v>
      </c>
      <c r="M106" s="960">
        <f>ABS('ELEM. MECA.'!O234)</f>
        <v>0</v>
      </c>
      <c r="N106" s="957">
        <f t="shared" si="76"/>
        <v>0</v>
      </c>
      <c r="O106" s="854" t="str">
        <f>IF('CG. MPA'!E107="CONCRETO","F/DISEÑO",IF(M106&gt;N106,"NO PASA","PASA"))</f>
        <v>PASA</v>
      </c>
      <c r="P106" s="860" t="str">
        <f>IF(O106="pasa"," ",$P$24/('RMCV.PA'!C107*100))</f>
        <v xml:space="preserve"> </v>
      </c>
      <c r="Q106" s="861" t="str">
        <f>IF(O106="pasa"," ",IF('CG. MPA'!E107="CONCRETO","F/DISEÑO",IF(AND(X106&gt;P106,P106&gt;Y106),"BIEN","MAL")))</f>
        <v xml:space="preserve"> </v>
      </c>
      <c r="R106" s="860">
        <f>IF('CG. MPA'!F107="MACIZO",12/'RMCS.PA'!$P$25,9/'RMCS.PA'!$P$25)</f>
        <v>2.3999999999999998E-3</v>
      </c>
      <c r="S106" s="860">
        <f t="shared" si="77"/>
        <v>0</v>
      </c>
      <c r="T106" s="860">
        <f>IF(G106=0,0,IF(AND(G106=2,'RMCV.PA'!E44="III"),30,40))</f>
        <v>0</v>
      </c>
      <c r="U106" s="860">
        <f>IF(J106=0,0,IF(AND(J106=3,'RMCV.PA'!$E$17="I"),20,15))</f>
        <v>0</v>
      </c>
      <c r="V106" s="860">
        <f>IF(K106=0,0,IF(AND(K106=3.5,'RMCV.PA'!$E$17="I"),20,15))</f>
        <v>0</v>
      </c>
      <c r="W106" s="860">
        <f t="shared" si="78"/>
        <v>0</v>
      </c>
      <c r="X106" s="860">
        <f t="shared" si="79"/>
        <v>0</v>
      </c>
      <c r="Y106" s="860" t="e">
        <f>IF('CG. MPA'!E107="CONCRETO",0,IF(N106/(D106*$P$25*L106)&gt;3/$P$25,N106/(D106*$P$25*L106),3/$P$25))</f>
        <v>#DIV/0!</v>
      </c>
      <c r="Z106" s="862" t="e">
        <f t="shared" si="80"/>
        <v>#VALUE!</v>
      </c>
      <c r="AA106" s="860" t="e">
        <f t="shared" si="81"/>
        <v>#VALUE!</v>
      </c>
      <c r="AB106" s="863" t="e">
        <f t="shared" si="82"/>
        <v>#VALUE!</v>
      </c>
      <c r="AC106" s="864" t="str">
        <f t="shared" si="83"/>
        <v xml:space="preserve"> </v>
      </c>
      <c r="AD106" s="865" t="str">
        <f>IF(O106="pasa"," ",IF('CG. MPA'!E107="CONCRETO","F/DISEÑO",IF(AC106&gt;M106,"PASA","NO PASA")))</f>
        <v xml:space="preserve"> </v>
      </c>
      <c r="AE106" s="986" t="e">
        <f>$AE$23/($AE$26*'RMCV.PA'!C107)</f>
        <v>#DIV/0!</v>
      </c>
      <c r="AF106" s="986" t="e">
        <f t="shared" si="69"/>
        <v>#DIV/0!</v>
      </c>
      <c r="AG106" s="986">
        <f>IF(12/$AF$25&gt;'RMCV.PA'!F107*0.3/$AF$25,'RMCV.PA'!F107*0.3/$AF$25,12/$AF$25)</f>
        <v>0</v>
      </c>
      <c r="AH106" s="987" t="e">
        <f t="shared" si="70"/>
        <v>#DIV/0!</v>
      </c>
      <c r="AI106" s="986">
        <f>IF(9/$AF$25&gt;'RMCV.PA'!F107*0.3/$AF$25,'RMCV.PA'!F107*0.3/$AF$25,9/$AF$25)</f>
        <v>0</v>
      </c>
      <c r="AJ106" s="988" t="e">
        <f t="shared" si="71"/>
        <v>#DIV/0!</v>
      </c>
      <c r="AK106" s="989" t="e">
        <f t="shared" si="72"/>
        <v>#DIV/0!</v>
      </c>
      <c r="AL106" s="990">
        <f t="shared" si="73"/>
        <v>0</v>
      </c>
      <c r="AM106" s="1002">
        <f t="shared" si="74"/>
        <v>0</v>
      </c>
      <c r="AN106" s="991" t="str">
        <f>IF(O106="PASA"," ",IF('CG. MPA'!E107="CONCRETO","F/DISEÑO",IF(AM106&gt;N106,"PASA","NO PASA")))</f>
        <v xml:space="preserve"> </v>
      </c>
      <c r="AO106" s="1110" t="e">
        <f t="shared" si="93"/>
        <v>#VALUE!</v>
      </c>
    </row>
    <row r="107" spans="1:41">
      <c r="A107" s="850">
        <f>'CG. MPA'!A108</f>
        <v>29</v>
      </c>
      <c r="B107" s="851">
        <f>'RMCV.PA'!N108/1.3</f>
        <v>0</v>
      </c>
      <c r="C107" s="851">
        <f t="shared" si="75"/>
        <v>0</v>
      </c>
      <c r="D107" s="852">
        <f>IF('CG. MPA'!D108="NO CONFINADO",0.4,0.7)</f>
        <v>0.7</v>
      </c>
      <c r="E107" s="852">
        <f>IF('CG. MPA'!E108="CONCRETO",0.5*(0.8*250)^0.5,F107+G107+J107+K107)</f>
        <v>0</v>
      </c>
      <c r="F107" s="852">
        <f>IF(AND('CG. MPA'!E108="TABIQUE",'CG. MPA'!F108="MACIZO"),IF('RMCV.PA'!$E$17="I",3.5,3),0)</f>
        <v>0</v>
      </c>
      <c r="G107" s="852">
        <f>IF(AND('CG. MPA'!E108="TABIQUE",'CG. MPA'!F108="HUECO"),IF('RMCV.PA'!$E$17="I",3,5.5),0)</f>
        <v>0</v>
      </c>
      <c r="H107" s="852">
        <f>IF('CG. MPA'!E108="ADOBE",0.3,0)</f>
        <v>0</v>
      </c>
      <c r="I107" s="852">
        <f>IF('CG. MPA'!E108="LIGERO",0.5,0)</f>
        <v>0</v>
      </c>
      <c r="J107" s="852">
        <f>IF(AND('CG. MPA'!E108="TABICON",'CG. MPA'!F108="MACIZO"),IF('RMCV.PA'!$E$17="I",3,2),0)</f>
        <v>0</v>
      </c>
      <c r="K107" s="852">
        <f>IF(AND('CG. MPA'!E108="TABICON",'CG. MPA'!F108="HUECO"),IF('RMCV.PA'!$E$17="I",3.5,2.5),0)</f>
        <v>0</v>
      </c>
      <c r="L107" s="853">
        <f>'RMCV.PA'!M108</f>
        <v>0</v>
      </c>
      <c r="M107" s="960">
        <f>ABS('ELEM. MECA.'!O235)</f>
        <v>0</v>
      </c>
      <c r="N107" s="957">
        <f t="shared" si="76"/>
        <v>0</v>
      </c>
      <c r="O107" s="854" t="str">
        <f>IF('CG. MPA'!E108="CONCRETO","F/DISEÑO",IF(M107&gt;N107,"NO PASA","PASA"))</f>
        <v>PASA</v>
      </c>
      <c r="P107" s="860" t="str">
        <f>IF(O107="pasa"," ",$P$24/('RMCV.PA'!C108*100))</f>
        <v xml:space="preserve"> </v>
      </c>
      <c r="Q107" s="861" t="str">
        <f>IF(O107="pasa"," ",IF('CG. MPA'!E108="CONCRETO","F/DISEÑO",IF(AND(X107&gt;P107,P107&gt;Y107),"BIEN","MAL")))</f>
        <v xml:space="preserve"> </v>
      </c>
      <c r="R107" s="860">
        <f>IF('CG. MPA'!F108="MACIZO",12/'RMCS.PA'!$P$25,9/'RMCS.PA'!$P$25)</f>
        <v>2.3999999999999998E-3</v>
      </c>
      <c r="S107" s="860">
        <f t="shared" si="77"/>
        <v>0</v>
      </c>
      <c r="T107" s="860">
        <f>IF(G107=0,0,IF(AND(G107=2,'RMCV.PA'!E45="III"),30,40))</f>
        <v>0</v>
      </c>
      <c r="U107" s="860">
        <f>IF(J107=0,0,IF(AND(J107=3,'RMCV.PA'!$E$17="I"),20,15))</f>
        <v>0</v>
      </c>
      <c r="V107" s="860">
        <f>IF(K107=0,0,IF(AND(K107=3.5,'RMCV.PA'!$E$17="I"),20,15))</f>
        <v>0</v>
      </c>
      <c r="W107" s="860">
        <f t="shared" si="78"/>
        <v>0</v>
      </c>
      <c r="X107" s="860">
        <f t="shared" si="79"/>
        <v>0</v>
      </c>
      <c r="Y107" s="860" t="e">
        <f>IF('CG. MPA'!E108="CONCRETO",0,IF(N107/(D107*$P$25*L107)&gt;3/$P$25,N107/(D107*$P$25*L107),3/$P$25))</f>
        <v>#DIV/0!</v>
      </c>
      <c r="Z107" s="862" t="e">
        <f t="shared" si="80"/>
        <v>#VALUE!</v>
      </c>
      <c r="AA107" s="860" t="e">
        <f t="shared" si="81"/>
        <v>#VALUE!</v>
      </c>
      <c r="AB107" s="863" t="e">
        <f t="shared" si="82"/>
        <v>#VALUE!</v>
      </c>
      <c r="AC107" s="864" t="str">
        <f t="shared" si="83"/>
        <v xml:space="preserve"> </v>
      </c>
      <c r="AD107" s="865" t="str">
        <f>IF(O107="pasa"," ",IF('CG. MPA'!E108="CONCRETO","F/DISEÑO",IF(AC107&gt;M107,"PASA","NO PASA")))</f>
        <v xml:space="preserve"> </v>
      </c>
      <c r="AE107" s="986" t="e">
        <f>$AE$23/($AE$26*'RMCV.PA'!C108)</f>
        <v>#DIV/0!</v>
      </c>
      <c r="AF107" s="986" t="e">
        <f t="shared" si="69"/>
        <v>#DIV/0!</v>
      </c>
      <c r="AG107" s="986">
        <f>IF(12/$AF$25&gt;'RMCV.PA'!F108*0.3/$AF$25,'RMCV.PA'!F108*0.3/$AF$25,12/$AF$25)</f>
        <v>0</v>
      </c>
      <c r="AH107" s="987" t="e">
        <f t="shared" si="70"/>
        <v>#DIV/0!</v>
      </c>
      <c r="AI107" s="986">
        <f>IF(9/$AF$25&gt;'RMCV.PA'!F108*0.3/$AF$25,'RMCV.PA'!F108*0.3/$AF$25,9/$AF$25)</f>
        <v>0</v>
      </c>
      <c r="AJ107" s="988" t="e">
        <f t="shared" si="71"/>
        <v>#DIV/0!</v>
      </c>
      <c r="AK107" s="989" t="e">
        <f t="shared" si="72"/>
        <v>#DIV/0!</v>
      </c>
      <c r="AL107" s="990">
        <f t="shared" si="73"/>
        <v>0</v>
      </c>
      <c r="AM107" s="1002">
        <f t="shared" si="74"/>
        <v>0</v>
      </c>
      <c r="AN107" s="991" t="str">
        <f>IF(O107="PASA"," ",IF('CG. MPA'!E108="CONCRETO","F/DISEÑO",IF(AM107&gt;N107,"PASA","NO PASA")))</f>
        <v xml:space="preserve"> </v>
      </c>
      <c r="AO107" s="1110" t="e">
        <f t="shared" si="93"/>
        <v>#VALUE!</v>
      </c>
    </row>
    <row r="108" spans="1:41">
      <c r="A108" s="850">
        <f>'CG. MPA'!A109</f>
        <v>30</v>
      </c>
      <c r="B108" s="851">
        <f>'RMCV.PA'!N109/1.3</f>
        <v>0</v>
      </c>
      <c r="C108" s="851">
        <f t="shared" si="75"/>
        <v>0</v>
      </c>
      <c r="D108" s="852">
        <f>IF('CG. MPA'!D109="NO CONFINADO",0.4,0.7)</f>
        <v>0.7</v>
      </c>
      <c r="E108" s="852">
        <f>IF('CG. MPA'!E109="CONCRETO",0.5*(0.8*250)^0.5,F108+G108+J108+K108)</f>
        <v>0</v>
      </c>
      <c r="F108" s="852">
        <f>IF(AND('CG. MPA'!E109="TABIQUE",'CG. MPA'!F109="MACIZO"),IF('RMCV.PA'!$E$17="I",3.5,3),0)</f>
        <v>0</v>
      </c>
      <c r="G108" s="852">
        <f>IF(AND('CG. MPA'!E109="TABIQUE",'CG. MPA'!F109="HUECO"),IF('RMCV.PA'!$E$17="I",3,5.5),0)</f>
        <v>0</v>
      </c>
      <c r="H108" s="852">
        <f>IF('CG. MPA'!E109="ADOBE",0.3,0)</f>
        <v>0</v>
      </c>
      <c r="I108" s="852">
        <f>IF('CG. MPA'!E109="LIGERO",0.5,0)</f>
        <v>0</v>
      </c>
      <c r="J108" s="852">
        <f>IF(AND('CG. MPA'!E109="TABICON",'CG. MPA'!F109="MACIZO"),IF('RMCV.PA'!$E$17="I",3,2),0)</f>
        <v>0</v>
      </c>
      <c r="K108" s="852">
        <f>IF(AND('CG. MPA'!E109="TABICON",'CG. MPA'!F109="HUECO"),IF('RMCV.PA'!$E$17="I",3.5,2.5),0)</f>
        <v>0</v>
      </c>
      <c r="L108" s="853">
        <f>'RMCV.PA'!M109</f>
        <v>0</v>
      </c>
      <c r="M108" s="960">
        <f>ABS('ELEM. MECA.'!O236)</f>
        <v>0</v>
      </c>
      <c r="N108" s="957">
        <f t="shared" si="76"/>
        <v>0</v>
      </c>
      <c r="O108" s="854" t="str">
        <f>IF('CG. MPA'!E109="CONCRETO","F/DISEÑO",IF(M108&gt;N108,"NO PASA","PASA"))</f>
        <v>PASA</v>
      </c>
      <c r="P108" s="860" t="str">
        <f>IF(O108="pasa"," ",$P$24/('RMCV.PA'!C109*100))</f>
        <v xml:space="preserve"> </v>
      </c>
      <c r="Q108" s="861" t="str">
        <f>IF(O108="pasa"," ",IF('CG. MPA'!E109="CONCRETO","F/DISEÑO",IF(AND(X108&gt;P108,P108&gt;Y108),"BIEN","MAL")))</f>
        <v xml:space="preserve"> </v>
      </c>
      <c r="R108" s="860">
        <f>IF('CG. MPA'!F109="MACIZO",12/'RMCS.PA'!$P$25,9/'RMCS.PA'!$P$25)</f>
        <v>2.3999999999999998E-3</v>
      </c>
      <c r="S108" s="860">
        <f t="shared" si="77"/>
        <v>0</v>
      </c>
      <c r="T108" s="860">
        <f>IF(G108=0,0,IF(AND(G108=2,'RMCV.PA'!E46="III"),30,40))</f>
        <v>0</v>
      </c>
      <c r="U108" s="860">
        <f>IF(J108=0,0,IF(AND(J108=3,'RMCV.PA'!$E$17="I"),20,15))</f>
        <v>0</v>
      </c>
      <c r="V108" s="860">
        <f>IF(K108=0,0,IF(AND(K108=3.5,'RMCV.PA'!$E$17="I"),20,15))</f>
        <v>0</v>
      </c>
      <c r="W108" s="860">
        <f t="shared" si="78"/>
        <v>0</v>
      </c>
      <c r="X108" s="860">
        <f t="shared" si="79"/>
        <v>0</v>
      </c>
      <c r="Y108" s="860" t="e">
        <f>IF('CG. MPA'!E109="CONCRETO",0,IF(N108/(D108*$P$25*L108)&gt;3/$P$25,N108/(D108*$P$25*L108),3/$P$25))</f>
        <v>#DIV/0!</v>
      </c>
      <c r="Z108" s="862" t="e">
        <f t="shared" si="80"/>
        <v>#VALUE!</v>
      </c>
      <c r="AA108" s="860" t="e">
        <f t="shared" si="81"/>
        <v>#VALUE!</v>
      </c>
      <c r="AB108" s="863" t="e">
        <f t="shared" si="82"/>
        <v>#VALUE!</v>
      </c>
      <c r="AC108" s="864" t="str">
        <f t="shared" si="83"/>
        <v xml:space="preserve"> </v>
      </c>
      <c r="AD108" s="865" t="str">
        <f>IF(O108="pasa"," ",IF('CG. MPA'!E109="CONCRETO","F/DISEÑO",IF(AC108&gt;M108,"PASA","NO PASA")))</f>
        <v xml:space="preserve"> </v>
      </c>
      <c r="AE108" s="986" t="e">
        <f>$AE$23/($AE$26*'RMCV.PA'!C109)</f>
        <v>#DIV/0!</v>
      </c>
      <c r="AF108" s="986" t="e">
        <f t="shared" si="69"/>
        <v>#DIV/0!</v>
      </c>
      <c r="AG108" s="986">
        <f>IF(12/$AF$25&gt;'RMCV.PA'!F109*0.3/$AF$25,'RMCV.PA'!F109*0.3/$AF$25,12/$AF$25)</f>
        <v>0</v>
      </c>
      <c r="AH108" s="987" t="e">
        <f t="shared" si="70"/>
        <v>#DIV/0!</v>
      </c>
      <c r="AI108" s="986">
        <f>IF(9/$AF$25&gt;'RMCV.PA'!F109*0.3/$AF$25,'RMCV.PA'!F109*0.3/$AF$25,9/$AF$25)</f>
        <v>0</v>
      </c>
      <c r="AJ108" s="988" t="e">
        <f t="shared" si="71"/>
        <v>#DIV/0!</v>
      </c>
      <c r="AK108" s="989" t="e">
        <f t="shared" si="72"/>
        <v>#DIV/0!</v>
      </c>
      <c r="AL108" s="990">
        <f t="shared" si="73"/>
        <v>0</v>
      </c>
      <c r="AM108" s="1002">
        <f t="shared" si="74"/>
        <v>0</v>
      </c>
      <c r="AN108" s="991" t="str">
        <f>IF(O108="PASA"," ",IF('CG. MPA'!E109="CONCRETO","F/DISEÑO",IF(AM108&gt;N108,"PASA","NO PASA")))</f>
        <v xml:space="preserve"> </v>
      </c>
      <c r="AO108" s="1110" t="e">
        <f t="shared" si="93"/>
        <v>#VALUE!</v>
      </c>
    </row>
    <row r="109" spans="1:41">
      <c r="A109" s="850">
        <f>'CG. MPA'!A110</f>
        <v>31</v>
      </c>
      <c r="B109" s="851">
        <f>'RMCV.PA'!N110/1.3</f>
        <v>0</v>
      </c>
      <c r="C109" s="851">
        <f t="shared" si="75"/>
        <v>0</v>
      </c>
      <c r="D109" s="852">
        <f>IF('CG. MPA'!D110="NO CONFINADO",0.4,0.7)</f>
        <v>0.7</v>
      </c>
      <c r="E109" s="852">
        <f>IF('CG. MPA'!E110="CONCRETO",0.5*(0.8*250)^0.5,F109+G109+J109+K109)</f>
        <v>0</v>
      </c>
      <c r="F109" s="852">
        <f>IF(AND('CG. MPA'!E110="TABIQUE",'CG. MPA'!F110="MACIZO"),IF('RMCV.PA'!$E$17="I",3.5,3),0)</f>
        <v>0</v>
      </c>
      <c r="G109" s="852">
        <f>IF(AND('CG. MPA'!E110="TABIQUE",'CG. MPA'!F110="HUECO"),IF('RMCV.PA'!$E$17="I",3,5.5),0)</f>
        <v>0</v>
      </c>
      <c r="H109" s="852">
        <f>IF('CG. MPA'!E110="ADOBE",0.3,0)</f>
        <v>0</v>
      </c>
      <c r="I109" s="852">
        <f>IF('CG. MPA'!E110="LIGERO",0.5,0)</f>
        <v>0</v>
      </c>
      <c r="J109" s="852">
        <f>IF(AND('CG. MPA'!E110="TABICON",'CG. MPA'!F110="MACIZO"),IF('RMCV.PA'!$E$17="I",3,2),0)</f>
        <v>0</v>
      </c>
      <c r="K109" s="852">
        <f>IF(AND('CG. MPA'!E110="TABICON",'CG. MPA'!F110="HUECO"),IF('RMCV.PA'!$E$17="I",3.5,2.5),0)</f>
        <v>0</v>
      </c>
      <c r="L109" s="853">
        <f>'RMCV.PA'!M110</f>
        <v>0</v>
      </c>
      <c r="M109" s="960">
        <f>ABS('ELEM. MECA.'!O237)</f>
        <v>0</v>
      </c>
      <c r="N109" s="957">
        <f t="shared" si="76"/>
        <v>0</v>
      </c>
      <c r="O109" s="854" t="str">
        <f>IF('CG. MPA'!E110="CONCRETO","F/DISEÑO",IF(M109&gt;N109,"NO PASA","PASA"))</f>
        <v>PASA</v>
      </c>
      <c r="P109" s="860" t="str">
        <f>IF(O109="pasa"," ",$P$24/('RMCV.PA'!C110*100))</f>
        <v xml:space="preserve"> </v>
      </c>
      <c r="Q109" s="861" t="str">
        <f>IF(O109="pasa"," ",IF('CG. MPA'!E110="CONCRETO","F/DISEÑO",IF(AND(X109&gt;P109,P109&gt;Y109),"BIEN","MAL")))</f>
        <v xml:space="preserve"> </v>
      </c>
      <c r="R109" s="860">
        <f>IF('CG. MPA'!F110="MACIZO",12/'RMCS.PA'!$P$25,9/'RMCS.PA'!$P$25)</f>
        <v>2.3999999999999998E-3</v>
      </c>
      <c r="S109" s="860">
        <f t="shared" si="77"/>
        <v>0</v>
      </c>
      <c r="T109" s="860">
        <f>IF(G109=0,0,IF(AND(G109=2,'RMCV.PA'!E47="III"),30,40))</f>
        <v>0</v>
      </c>
      <c r="U109" s="860">
        <f>IF(J109=0,0,IF(AND(J109=3,'RMCV.PA'!$E$17="I"),20,15))</f>
        <v>0</v>
      </c>
      <c r="V109" s="860">
        <f>IF(K109=0,0,IF(AND(K109=3.5,'RMCV.PA'!$E$17="I"),20,15))</f>
        <v>0</v>
      </c>
      <c r="W109" s="860">
        <f t="shared" si="78"/>
        <v>0</v>
      </c>
      <c r="X109" s="860">
        <f t="shared" si="79"/>
        <v>0</v>
      </c>
      <c r="Y109" s="860" t="e">
        <f>IF('CG. MPA'!E110="CONCRETO",0,IF(N109/(D109*$P$25*L109)&gt;3/$P$25,N109/(D109*$P$25*L109),3/$P$25))</f>
        <v>#DIV/0!</v>
      </c>
      <c r="Z109" s="862" t="e">
        <f t="shared" si="80"/>
        <v>#VALUE!</v>
      </c>
      <c r="AA109" s="860" t="e">
        <f t="shared" si="81"/>
        <v>#VALUE!</v>
      </c>
      <c r="AB109" s="863" t="e">
        <f t="shared" si="82"/>
        <v>#VALUE!</v>
      </c>
      <c r="AC109" s="864" t="str">
        <f t="shared" si="83"/>
        <v xml:space="preserve"> </v>
      </c>
      <c r="AD109" s="865" t="str">
        <f>IF(O109="pasa"," ",IF('CG. MPA'!E110="CONCRETO","F/DISEÑO",IF(AC109&gt;M109,"PASA","NO PASA")))</f>
        <v xml:space="preserve"> </v>
      </c>
      <c r="AE109" s="986" t="e">
        <f>$AE$23/($AE$26*'RMCV.PA'!C110)</f>
        <v>#DIV/0!</v>
      </c>
      <c r="AF109" s="986" t="e">
        <f t="shared" si="69"/>
        <v>#DIV/0!</v>
      </c>
      <c r="AG109" s="986">
        <f>IF(12/$AF$25&gt;'RMCV.PA'!F110*0.3/$AF$25,'RMCV.PA'!F110*0.3/$AF$25,12/$AF$25)</f>
        <v>0</v>
      </c>
      <c r="AH109" s="987" t="e">
        <f t="shared" si="70"/>
        <v>#DIV/0!</v>
      </c>
      <c r="AI109" s="986">
        <f>IF(9/$AF$25&gt;'RMCV.PA'!F110*0.3/$AF$25,'RMCV.PA'!F110*0.3/$AF$25,9/$AF$25)</f>
        <v>0</v>
      </c>
      <c r="AJ109" s="988" t="e">
        <f t="shared" si="71"/>
        <v>#DIV/0!</v>
      </c>
      <c r="AK109" s="989" t="e">
        <f t="shared" si="72"/>
        <v>#DIV/0!</v>
      </c>
      <c r="AL109" s="990">
        <f t="shared" si="73"/>
        <v>0</v>
      </c>
      <c r="AM109" s="1002">
        <f t="shared" si="74"/>
        <v>0</v>
      </c>
      <c r="AN109" s="991" t="str">
        <f>IF(O109="PASA"," ",IF('CG. MPA'!E110="CONCRETO","F/DISEÑO",IF(AM109&gt;N109,"PASA","NO PASA")))</f>
        <v xml:space="preserve"> </v>
      </c>
      <c r="AO109" s="1110" t="e">
        <f t="shared" si="93"/>
        <v>#VALUE!</v>
      </c>
    </row>
    <row r="110" spans="1:41">
      <c r="A110" s="850">
        <f>'CG. MPA'!A111</f>
        <v>32</v>
      </c>
      <c r="B110" s="851">
        <f>'RMCV.PA'!N111/1.3</f>
        <v>0</v>
      </c>
      <c r="C110" s="851">
        <f t="shared" si="75"/>
        <v>0</v>
      </c>
      <c r="D110" s="852">
        <f>IF('CG. MPA'!D111="NO CONFINADO",0.4,0.7)</f>
        <v>0.7</v>
      </c>
      <c r="E110" s="852">
        <f>IF('CG. MPA'!E111="CONCRETO",0.5*(0.8*250)^0.5,F110+G110+J110+K110)</f>
        <v>0</v>
      </c>
      <c r="F110" s="852">
        <f>IF(AND('CG. MPA'!E111="TABIQUE",'CG. MPA'!F111="MACIZO"),IF('RMCV.PA'!$E$17="I",3.5,3),0)</f>
        <v>0</v>
      </c>
      <c r="G110" s="852">
        <f>IF(AND('CG. MPA'!E111="TABIQUE",'CG. MPA'!F111="HUECO"),IF('RMCV.PA'!$E$17="I",3,5.5),0)</f>
        <v>0</v>
      </c>
      <c r="H110" s="852">
        <f>IF('CG. MPA'!E111="ADOBE",0.3,0)</f>
        <v>0</v>
      </c>
      <c r="I110" s="852">
        <f>IF('CG. MPA'!E111="LIGERO",0.5,0)</f>
        <v>0</v>
      </c>
      <c r="J110" s="852">
        <f>IF(AND('CG. MPA'!E111="TABICON",'CG. MPA'!F111="MACIZO"),IF('RMCV.PA'!$E$17="I",3,2),0)</f>
        <v>0</v>
      </c>
      <c r="K110" s="852">
        <f>IF(AND('CG. MPA'!E111="TABICON",'CG. MPA'!F111="HUECO"),IF('RMCV.PA'!$E$17="I",3.5,2.5),0)</f>
        <v>0</v>
      </c>
      <c r="L110" s="853">
        <f>'RMCV.PA'!M111</f>
        <v>0</v>
      </c>
      <c r="M110" s="960">
        <f>ABS('ELEM. MECA.'!O238)</f>
        <v>0</v>
      </c>
      <c r="N110" s="957">
        <f t="shared" si="76"/>
        <v>0</v>
      </c>
      <c r="O110" s="854" t="str">
        <f>IF('CG. MPA'!E111="CONCRETO","F/DISEÑO",IF(M110&gt;N110,"NO PASA","PASA"))</f>
        <v>PASA</v>
      </c>
      <c r="P110" s="860" t="str">
        <f>IF(O110="pasa"," ",$P$24/('RMCV.PA'!C111*100))</f>
        <v xml:space="preserve"> </v>
      </c>
      <c r="Q110" s="861" t="str">
        <f>IF(O110="pasa"," ",IF('CG. MPA'!E111="CONCRETO","F/DISEÑO",IF(AND(X110&gt;P110,P110&gt;Y110),"BIEN","MAL")))</f>
        <v xml:space="preserve"> </v>
      </c>
      <c r="R110" s="860">
        <f>IF('CG. MPA'!F111="MACIZO",12/'RMCS.PA'!$P$25,9/'RMCS.PA'!$P$25)</f>
        <v>2.3999999999999998E-3</v>
      </c>
      <c r="S110" s="860">
        <f t="shared" si="77"/>
        <v>0</v>
      </c>
      <c r="T110" s="860">
        <f>IF(G110=0,0,IF(AND(G110=2,'RMCV.PA'!E48="III"),30,40))</f>
        <v>0</v>
      </c>
      <c r="U110" s="860">
        <f>IF(J110=0,0,IF(AND(J110=3,'RMCV.PA'!$E$17="I"),20,15))</f>
        <v>0</v>
      </c>
      <c r="V110" s="860">
        <f>IF(K110=0,0,IF(AND(K110=3.5,'RMCV.PA'!$E$17="I"),20,15))</f>
        <v>0</v>
      </c>
      <c r="W110" s="860">
        <f t="shared" si="78"/>
        <v>0</v>
      </c>
      <c r="X110" s="860">
        <f t="shared" si="79"/>
        <v>0</v>
      </c>
      <c r="Y110" s="860" t="e">
        <f>IF('CG. MPA'!E111="CONCRETO",0,IF(N110/(D110*$P$25*L110)&gt;3/$P$25,N110/(D110*$P$25*L110),3/$P$25))</f>
        <v>#DIV/0!</v>
      </c>
      <c r="Z110" s="862" t="e">
        <f t="shared" si="80"/>
        <v>#VALUE!</v>
      </c>
      <c r="AA110" s="860" t="e">
        <f t="shared" si="81"/>
        <v>#VALUE!</v>
      </c>
      <c r="AB110" s="863" t="e">
        <f t="shared" si="82"/>
        <v>#VALUE!</v>
      </c>
      <c r="AC110" s="864" t="str">
        <f t="shared" si="83"/>
        <v xml:space="preserve"> </v>
      </c>
      <c r="AD110" s="865" t="str">
        <f>IF(O110="pasa"," ",IF('CG. MPA'!E111="CONCRETO","F/DISEÑO",IF(AC110&gt;M110,"PASA","NO PASA")))</f>
        <v xml:space="preserve"> </v>
      </c>
      <c r="AE110" s="986" t="e">
        <f>$AE$23/($AE$26*'RMCV.PA'!C111)</f>
        <v>#DIV/0!</v>
      </c>
      <c r="AF110" s="986" t="e">
        <f t="shared" si="69"/>
        <v>#DIV/0!</v>
      </c>
      <c r="AG110" s="986">
        <f>IF(12/$AF$25&gt;'RMCV.PA'!F111*0.3/$AF$25,'RMCV.PA'!F111*0.3/$AF$25,12/$AF$25)</f>
        <v>0</v>
      </c>
      <c r="AH110" s="987" t="e">
        <f t="shared" si="70"/>
        <v>#DIV/0!</v>
      </c>
      <c r="AI110" s="986">
        <f>IF(9/$AF$25&gt;'RMCV.PA'!F111*0.3/$AF$25,'RMCV.PA'!F111*0.3/$AF$25,9/$AF$25)</f>
        <v>0</v>
      </c>
      <c r="AJ110" s="988" t="e">
        <f t="shared" si="71"/>
        <v>#DIV/0!</v>
      </c>
      <c r="AK110" s="989" t="e">
        <f t="shared" si="72"/>
        <v>#DIV/0!</v>
      </c>
      <c r="AL110" s="990">
        <f t="shared" si="73"/>
        <v>0</v>
      </c>
      <c r="AM110" s="1002">
        <f t="shared" si="74"/>
        <v>0</v>
      </c>
      <c r="AN110" s="991" t="str">
        <f>IF(O110="PASA"," ",IF('CG. MPA'!E111="CONCRETO","F/DISEÑO",IF(AM110&gt;N110,"PASA","NO PASA")))</f>
        <v xml:space="preserve"> </v>
      </c>
      <c r="AO110" s="1110" t="e">
        <f t="shared" si="93"/>
        <v>#VALUE!</v>
      </c>
    </row>
    <row r="111" spans="1:41">
      <c r="A111" s="850">
        <f>'CG. MPA'!A112</f>
        <v>33</v>
      </c>
      <c r="B111" s="851">
        <f>'RMCV.PA'!N112/1.3</f>
        <v>0</v>
      </c>
      <c r="C111" s="851">
        <f t="shared" si="75"/>
        <v>0</v>
      </c>
      <c r="D111" s="852">
        <f>IF('CG. MPA'!D112="NO CONFINADO",0.4,0.7)</f>
        <v>0.7</v>
      </c>
      <c r="E111" s="852">
        <f>IF('CG. MPA'!E112="CONCRETO",0.5*(0.8*250)^0.5,F111+G111+J111+K111)</f>
        <v>0</v>
      </c>
      <c r="F111" s="852">
        <f>IF(AND('CG. MPA'!E112="TABIQUE",'CG. MPA'!F112="MACIZO"),IF('RMCV.PA'!$E$17="I",3.5,3),0)</f>
        <v>0</v>
      </c>
      <c r="G111" s="852">
        <f>IF(AND('CG. MPA'!E112="TABIQUE",'CG. MPA'!F112="HUECO"),IF('RMCV.PA'!$E$17="I",3,5.5),0)</f>
        <v>0</v>
      </c>
      <c r="H111" s="852">
        <f>IF('CG. MPA'!E112="ADOBE",0.3,0)</f>
        <v>0</v>
      </c>
      <c r="I111" s="852">
        <f>IF('CG. MPA'!E112="LIGERO",0.5,0)</f>
        <v>0</v>
      </c>
      <c r="J111" s="852">
        <f>IF(AND('CG. MPA'!E112="TABICON",'CG. MPA'!F112="MACIZO"),IF('RMCV.PA'!$E$17="I",3,2),0)</f>
        <v>0</v>
      </c>
      <c r="K111" s="852">
        <f>IF(AND('CG. MPA'!E112="TABICON",'CG. MPA'!F112="HUECO"),IF('RMCV.PA'!$E$17="I",3.5,2.5),0)</f>
        <v>0</v>
      </c>
      <c r="L111" s="853">
        <f>'RMCV.PA'!M112</f>
        <v>0</v>
      </c>
      <c r="M111" s="960">
        <f>ABS('ELEM. MECA.'!O239)</f>
        <v>0</v>
      </c>
      <c r="N111" s="957">
        <f t="shared" si="76"/>
        <v>0</v>
      </c>
      <c r="O111" s="854" t="str">
        <f>IF('CG. MPA'!E112="CONCRETO","F/DISEÑO",IF(M111&gt;N111,"NO PASA","PASA"))</f>
        <v>PASA</v>
      </c>
      <c r="P111" s="860" t="str">
        <f>IF(O111="pasa"," ",$P$24/('RMCV.PA'!C112*100))</f>
        <v xml:space="preserve"> </v>
      </c>
      <c r="Q111" s="861" t="str">
        <f>IF(O111="pasa"," ",IF('CG. MPA'!E112="CONCRETO","F/DISEÑO",IF(AND(X111&gt;P111,P111&gt;Y111),"BIEN","MAL")))</f>
        <v xml:space="preserve"> </v>
      </c>
      <c r="R111" s="860">
        <f>IF('CG. MPA'!F112="MACIZO",12/'RMCS.PA'!$P$25,9/'RMCS.PA'!$P$25)</f>
        <v>2.3999999999999998E-3</v>
      </c>
      <c r="S111" s="860">
        <f t="shared" si="77"/>
        <v>0</v>
      </c>
      <c r="T111" s="860">
        <f>IF(G111=0,0,IF(AND(G111=2,'RMCV.PA'!E49="III"),30,40))</f>
        <v>0</v>
      </c>
      <c r="U111" s="860">
        <f>IF(J111=0,0,IF(AND(J111=3,'RMCV.PA'!$E$17="I"),20,15))</f>
        <v>0</v>
      </c>
      <c r="V111" s="860">
        <f>IF(K111=0,0,IF(AND(K111=3.5,'RMCV.PA'!$E$17="I"),20,15))</f>
        <v>0</v>
      </c>
      <c r="W111" s="860">
        <f t="shared" si="78"/>
        <v>0</v>
      </c>
      <c r="X111" s="860">
        <f t="shared" si="79"/>
        <v>0</v>
      </c>
      <c r="Y111" s="860" t="e">
        <f>IF('CG. MPA'!E112="CONCRETO",0,IF(N111/(D111*$P$25*L111)&gt;3/$P$25,N111/(D111*$P$25*L111),3/$P$25))</f>
        <v>#DIV/0!</v>
      </c>
      <c r="Z111" s="862" t="e">
        <f t="shared" si="80"/>
        <v>#VALUE!</v>
      </c>
      <c r="AA111" s="860" t="e">
        <f t="shared" si="81"/>
        <v>#VALUE!</v>
      </c>
      <c r="AB111" s="863" t="e">
        <f t="shared" si="82"/>
        <v>#VALUE!</v>
      </c>
      <c r="AC111" s="864" t="str">
        <f t="shared" si="83"/>
        <v xml:space="preserve"> </v>
      </c>
      <c r="AD111" s="865" t="str">
        <f>IF(O111="pasa"," ",IF('CG. MPA'!E112="CONCRETO","F/DISEÑO",IF(AC111&gt;M111,"PASA","NO PASA")))</f>
        <v xml:space="preserve"> </v>
      </c>
      <c r="AE111" s="986" t="e">
        <f>$AE$23/($AE$26*'RMCV.PA'!C112)</f>
        <v>#DIV/0!</v>
      </c>
      <c r="AF111" s="986" t="e">
        <f t="shared" si="69"/>
        <v>#DIV/0!</v>
      </c>
      <c r="AG111" s="986">
        <f>IF(12/$AF$25&gt;'RMCV.PA'!F112*0.3/$AF$25,'RMCV.PA'!F112*0.3/$AF$25,12/$AF$25)</f>
        <v>0</v>
      </c>
      <c r="AH111" s="987" t="e">
        <f t="shared" si="70"/>
        <v>#DIV/0!</v>
      </c>
      <c r="AI111" s="986">
        <f>IF(9/$AF$25&gt;'RMCV.PA'!F112*0.3/$AF$25,'RMCV.PA'!F112*0.3/$AF$25,9/$AF$25)</f>
        <v>0</v>
      </c>
      <c r="AJ111" s="988" t="e">
        <f t="shared" si="71"/>
        <v>#DIV/0!</v>
      </c>
      <c r="AK111" s="989" t="e">
        <f t="shared" si="72"/>
        <v>#DIV/0!</v>
      </c>
      <c r="AL111" s="990">
        <f t="shared" si="73"/>
        <v>0</v>
      </c>
      <c r="AM111" s="1002">
        <f t="shared" si="74"/>
        <v>0</v>
      </c>
      <c r="AN111" s="991" t="str">
        <f>IF(O111="PASA"," ",IF('CG. MPA'!E112="CONCRETO","F/DISEÑO",IF(AM111&gt;N111,"PASA","NO PASA")))</f>
        <v xml:space="preserve"> </v>
      </c>
      <c r="AO111" s="1110" t="e">
        <f t="shared" si="93"/>
        <v>#VALUE!</v>
      </c>
    </row>
    <row r="112" spans="1:41">
      <c r="A112" s="850">
        <f>'CG. MPA'!A113</f>
        <v>34</v>
      </c>
      <c r="B112" s="851">
        <f>'RMCV.PA'!N113/1.3</f>
        <v>0</v>
      </c>
      <c r="C112" s="851">
        <f t="shared" si="75"/>
        <v>0</v>
      </c>
      <c r="D112" s="852">
        <f>IF('CG. MPA'!D113="NO CONFINADO",0.4,0.7)</f>
        <v>0.7</v>
      </c>
      <c r="E112" s="852">
        <f>IF('CG. MPA'!E113="CONCRETO",0.5*(0.8*250)^0.5,F112+G112+J112+K112)</f>
        <v>0</v>
      </c>
      <c r="F112" s="852">
        <f>IF(AND('CG. MPA'!E113="TABIQUE",'CG. MPA'!F113="MACIZO"),IF('RMCV.PA'!$E$17="I",3.5,3),0)</f>
        <v>0</v>
      </c>
      <c r="G112" s="852">
        <f>IF(AND('CG. MPA'!E113="TABIQUE",'CG. MPA'!F113="HUECO"),IF('RMCV.PA'!$E$17="I",3,5.5),0)</f>
        <v>0</v>
      </c>
      <c r="H112" s="852">
        <f>IF('CG. MPA'!E113="ADOBE",0.3,0)</f>
        <v>0</v>
      </c>
      <c r="I112" s="852">
        <f>IF('CG. MPA'!E113="LIGERO",0.5,0)</f>
        <v>0</v>
      </c>
      <c r="J112" s="852">
        <f>IF(AND('CG. MPA'!E113="TABICON",'CG. MPA'!F113="MACIZO"),IF('RMCV.PA'!$E$17="I",3,2),0)</f>
        <v>0</v>
      </c>
      <c r="K112" s="852">
        <f>IF(AND('CG. MPA'!E113="TABICON",'CG. MPA'!F113="HUECO"),IF('RMCV.PA'!$E$17="I",3.5,2.5),0)</f>
        <v>0</v>
      </c>
      <c r="L112" s="853">
        <f>'RMCV.PA'!M113</f>
        <v>0</v>
      </c>
      <c r="M112" s="960">
        <f>ABS('ELEM. MECA.'!O240)</f>
        <v>0</v>
      </c>
      <c r="N112" s="957">
        <f t="shared" si="76"/>
        <v>0</v>
      </c>
      <c r="O112" s="854" t="str">
        <f>IF('CG. MPA'!E113="CONCRETO","F/DISEÑO",IF(M112&gt;N112,"NO PASA","PASA"))</f>
        <v>PASA</v>
      </c>
      <c r="P112" s="860" t="str">
        <f>IF(O112="pasa"," ",$P$24/('RMCV.PA'!C113*100))</f>
        <v xml:space="preserve"> </v>
      </c>
      <c r="Q112" s="861" t="str">
        <f>IF(O112="pasa"," ",IF('CG. MPA'!E113="CONCRETO","F/DISEÑO",IF(AND(X112&gt;P112,P112&gt;Y112),"BIEN","MAL")))</f>
        <v xml:space="preserve"> </v>
      </c>
      <c r="R112" s="860">
        <f>IF('CG. MPA'!F113="MACIZO",12/'RMCS.PA'!$P$25,9/'RMCS.PA'!$P$25)</f>
        <v>2.3999999999999998E-3</v>
      </c>
      <c r="S112" s="860">
        <f t="shared" si="77"/>
        <v>0</v>
      </c>
      <c r="T112" s="860">
        <f>IF(G112=0,0,IF(AND(G112=2,'RMCV.PA'!E61="III"),30,40))</f>
        <v>0</v>
      </c>
      <c r="U112" s="860">
        <f>IF(J112=0,0,IF(AND(J112=3,'RMCV.PA'!$E$17="I"),20,15))</f>
        <v>0</v>
      </c>
      <c r="V112" s="860">
        <f>IF(K112=0,0,IF(AND(K112=3.5,'RMCV.PA'!$E$17="I"),20,15))</f>
        <v>0</v>
      </c>
      <c r="W112" s="860">
        <f t="shared" si="78"/>
        <v>0</v>
      </c>
      <c r="X112" s="860">
        <f t="shared" si="79"/>
        <v>0</v>
      </c>
      <c r="Y112" s="860" t="e">
        <f>IF('CG. MPA'!E113="CONCRETO",0,IF(N112/(D112*$P$25*L112)&gt;3/$P$25,N112/(D112*$P$25*L112),3/$P$25))</f>
        <v>#DIV/0!</v>
      </c>
      <c r="Z112" s="862" t="e">
        <f t="shared" si="80"/>
        <v>#VALUE!</v>
      </c>
      <c r="AA112" s="860" t="e">
        <f t="shared" si="81"/>
        <v>#VALUE!</v>
      </c>
      <c r="AB112" s="863" t="e">
        <f t="shared" si="82"/>
        <v>#VALUE!</v>
      </c>
      <c r="AC112" s="864" t="str">
        <f t="shared" si="83"/>
        <v xml:space="preserve"> </v>
      </c>
      <c r="AD112" s="865" t="str">
        <f>IF(O112="pasa"," ",IF('CG. MPA'!E113="CONCRETO","F/DISEÑO",IF(AC112&gt;M112,"PASA","NO PASA")))</f>
        <v xml:space="preserve"> </v>
      </c>
      <c r="AE112" s="986" t="e">
        <f>$AE$23/($AE$26*'RMCV.PA'!C113)</f>
        <v>#DIV/0!</v>
      </c>
      <c r="AF112" s="986" t="e">
        <f t="shared" si="69"/>
        <v>#DIV/0!</v>
      </c>
      <c r="AG112" s="986">
        <f>IF(12/$AF$25&gt;'RMCV.PA'!F113*0.3/$AF$25,'RMCV.PA'!F113*0.3/$AF$25,12/$AF$25)</f>
        <v>0</v>
      </c>
      <c r="AH112" s="987" t="e">
        <f t="shared" si="70"/>
        <v>#DIV/0!</v>
      </c>
      <c r="AI112" s="986">
        <f>IF(9/$AF$25&gt;'RMCV.PA'!F113*0.3/$AF$25,'RMCV.PA'!F113*0.3/$AF$25,9/$AF$25)</f>
        <v>0</v>
      </c>
      <c r="AJ112" s="988" t="e">
        <f t="shared" si="71"/>
        <v>#DIV/0!</v>
      </c>
      <c r="AK112" s="989" t="e">
        <f t="shared" si="72"/>
        <v>#DIV/0!</v>
      </c>
      <c r="AL112" s="990">
        <f t="shared" si="73"/>
        <v>0</v>
      </c>
      <c r="AM112" s="1002">
        <f t="shared" si="74"/>
        <v>0</v>
      </c>
      <c r="AN112" s="991" t="str">
        <f>IF(O112="PASA"," ",IF('CG. MPA'!E113="CONCRETO","F/DISEÑO",IF(AM112&gt;N112,"PASA","NO PASA")))</f>
        <v xml:space="preserve"> </v>
      </c>
      <c r="AO112" s="1110" t="e">
        <f t="shared" si="93"/>
        <v>#VALUE!</v>
      </c>
    </row>
    <row r="113" spans="1:41">
      <c r="A113" s="850">
        <f>'CG. MPA'!A114</f>
        <v>35</v>
      </c>
      <c r="B113" s="851">
        <f>'RMCV.PA'!N114/1.3</f>
        <v>0</v>
      </c>
      <c r="C113" s="851">
        <f t="shared" si="75"/>
        <v>0</v>
      </c>
      <c r="D113" s="852">
        <f>IF('CG. MPA'!D114="NO CONFINADO",0.4,0.7)</f>
        <v>0.7</v>
      </c>
      <c r="E113" s="852">
        <f>IF('CG. MPA'!E114="CONCRETO",0.5*(0.8*250)^0.5,F113+G113+J113+K113)</f>
        <v>0</v>
      </c>
      <c r="F113" s="852">
        <f>IF(AND('CG. MPA'!E114="TABIQUE",'CG. MPA'!F114="MACIZO"),IF('RMCV.PA'!$E$17="I",3.5,3),0)</f>
        <v>0</v>
      </c>
      <c r="G113" s="852">
        <f>IF(AND('CG. MPA'!E114="TABIQUE",'CG. MPA'!F114="HUECO"),IF('RMCV.PA'!$E$17="I",3,5.5),0)</f>
        <v>0</v>
      </c>
      <c r="H113" s="852">
        <f>IF('CG. MPA'!E114="ADOBE",0.3,0)</f>
        <v>0</v>
      </c>
      <c r="I113" s="852">
        <f>IF('CG. MPA'!E114="LIGERO",0.5,0)</f>
        <v>0</v>
      </c>
      <c r="J113" s="852">
        <f>IF(AND('CG. MPA'!E114="TABICON",'CG. MPA'!F114="MACIZO"),IF('RMCV.PA'!$E$17="I",3,2),0)</f>
        <v>0</v>
      </c>
      <c r="K113" s="852">
        <f>IF(AND('CG. MPA'!E114="TABICON",'CG. MPA'!F114="HUECO"),IF('RMCV.PA'!$E$17="I",3.5,2.5),0)</f>
        <v>0</v>
      </c>
      <c r="L113" s="853">
        <f>'RMCV.PA'!M114</f>
        <v>0</v>
      </c>
      <c r="M113" s="960">
        <f>ABS('ELEM. MECA.'!O241)</f>
        <v>0</v>
      </c>
      <c r="N113" s="957">
        <f t="shared" si="76"/>
        <v>0</v>
      </c>
      <c r="O113" s="854" t="str">
        <f>IF('CG. MPA'!E114="CONCRETO","F/DISEÑO",IF(M113&gt;N113,"NO PASA","PASA"))</f>
        <v>PASA</v>
      </c>
      <c r="P113" s="860" t="str">
        <f>IF(O113="pasa"," ",$P$24/('RMCV.PA'!C114*100))</f>
        <v xml:space="preserve"> </v>
      </c>
      <c r="Q113" s="861" t="str">
        <f>IF(O113="pasa"," ",IF('CG. MPA'!E114="CONCRETO","F/DISEÑO",IF(AND(X113&gt;P113,P113&gt;Y113),"BIEN","MAL")))</f>
        <v xml:space="preserve"> </v>
      </c>
      <c r="R113" s="860">
        <f>IF('CG. MPA'!F114="MACIZO",12/'RMCS.PA'!$P$25,9/'RMCS.PA'!$P$25)</f>
        <v>2.3999999999999998E-3</v>
      </c>
      <c r="S113" s="860">
        <f t="shared" si="77"/>
        <v>0</v>
      </c>
      <c r="T113" s="860">
        <f>IF(G113=0,0,IF(AND(G113=2,'RMCV.PA'!E62="III"),30,40))</f>
        <v>0</v>
      </c>
      <c r="U113" s="860">
        <f>IF(J113=0,0,IF(AND(J113=3,'RMCV.PA'!$E$17="I"),20,15))</f>
        <v>0</v>
      </c>
      <c r="V113" s="860">
        <f>IF(K113=0,0,IF(AND(K113=3.5,'RMCV.PA'!$E$17="I"),20,15))</f>
        <v>0</v>
      </c>
      <c r="W113" s="860">
        <f t="shared" si="78"/>
        <v>0</v>
      </c>
      <c r="X113" s="860">
        <f t="shared" si="79"/>
        <v>0</v>
      </c>
      <c r="Y113" s="860" t="e">
        <f>IF('CG. MPA'!E114="CONCRETO",0,IF(N113/(D113*$P$25*L113)&gt;3/$P$25,N113/(D113*$P$25*L113),3/$P$25))</f>
        <v>#DIV/0!</v>
      </c>
      <c r="Z113" s="862" t="e">
        <f t="shared" si="80"/>
        <v>#VALUE!</v>
      </c>
      <c r="AA113" s="860" t="e">
        <f t="shared" si="81"/>
        <v>#VALUE!</v>
      </c>
      <c r="AB113" s="863" t="e">
        <f t="shared" si="82"/>
        <v>#VALUE!</v>
      </c>
      <c r="AC113" s="864" t="str">
        <f t="shared" si="83"/>
        <v xml:space="preserve"> </v>
      </c>
      <c r="AD113" s="865" t="str">
        <f>IF(O113="pasa"," ",IF('CG. MPA'!E114="CONCRETO","F/DISEÑO",IF(AC113&gt;M113,"PASA","NO PASA")))</f>
        <v xml:space="preserve"> </v>
      </c>
      <c r="AE113" s="986" t="e">
        <f>$AE$23/($AE$26*'RMCV.PA'!C114)</f>
        <v>#DIV/0!</v>
      </c>
      <c r="AF113" s="986" t="e">
        <f t="shared" si="69"/>
        <v>#DIV/0!</v>
      </c>
      <c r="AG113" s="986">
        <f>IF(12/$AF$25&gt;'RMCV.PA'!F114*0.3/$AF$25,'RMCV.PA'!F114*0.3/$AF$25,12/$AF$25)</f>
        <v>0</v>
      </c>
      <c r="AH113" s="987" t="e">
        <f t="shared" si="70"/>
        <v>#DIV/0!</v>
      </c>
      <c r="AI113" s="986">
        <f>IF(9/$AF$25&gt;'RMCV.PA'!F114*0.3/$AF$25,'RMCV.PA'!F114*0.3/$AF$25,9/$AF$25)</f>
        <v>0</v>
      </c>
      <c r="AJ113" s="988" t="e">
        <f t="shared" si="71"/>
        <v>#DIV/0!</v>
      </c>
      <c r="AK113" s="989" t="e">
        <f t="shared" si="72"/>
        <v>#DIV/0!</v>
      </c>
      <c r="AL113" s="990">
        <f t="shared" si="73"/>
        <v>0</v>
      </c>
      <c r="AM113" s="1002">
        <f t="shared" si="74"/>
        <v>0</v>
      </c>
      <c r="AN113" s="991" t="str">
        <f>IF(O113="PASA"," ",IF('CG. MPA'!E114="CONCRETO","F/DISEÑO",IF(AM113&gt;N113,"PASA","NO PASA")))</f>
        <v xml:space="preserve"> </v>
      </c>
      <c r="AO113" s="1110" t="e">
        <f t="shared" si="93"/>
        <v>#VALUE!</v>
      </c>
    </row>
    <row r="114" spans="1:41">
      <c r="A114" s="850">
        <f>'CG. MPA'!A115</f>
        <v>36</v>
      </c>
      <c r="B114" s="851">
        <f>'RMCV.PA'!N115/1.3</f>
        <v>0</v>
      </c>
      <c r="C114" s="851">
        <f t="shared" si="75"/>
        <v>0</v>
      </c>
      <c r="D114" s="852">
        <f>IF('CG. MPA'!D115="NO CONFINADO",0.4,0.7)</f>
        <v>0.7</v>
      </c>
      <c r="E114" s="852">
        <f>IF('CG. MPA'!E115="CONCRETO",0.5*(0.8*250)^0.5,F114+G114+J114+K114)</f>
        <v>0</v>
      </c>
      <c r="F114" s="852">
        <f>IF(AND('CG. MPA'!E115="TABIQUE",'CG. MPA'!F115="MACIZO"),IF('RMCV.PA'!$E$17="I",3.5,3),0)</f>
        <v>0</v>
      </c>
      <c r="G114" s="852">
        <f>IF(AND('CG. MPA'!E115="TABIQUE",'CG. MPA'!F115="HUECO"),IF('RMCV.PA'!$E$17="I",3,5.5),0)</f>
        <v>0</v>
      </c>
      <c r="H114" s="852">
        <f>IF('CG. MPA'!E115="ADOBE",0.3,0)</f>
        <v>0</v>
      </c>
      <c r="I114" s="852">
        <f>IF('CG. MPA'!E115="LIGERO",0.5,0)</f>
        <v>0</v>
      </c>
      <c r="J114" s="852">
        <f>IF(AND('CG. MPA'!E115="TABICON",'CG. MPA'!F115="MACIZO"),IF('RMCV.PA'!$E$17="I",3,2),0)</f>
        <v>0</v>
      </c>
      <c r="K114" s="852">
        <f>IF(AND('CG. MPA'!E115="TABICON",'CG. MPA'!F115="HUECO"),IF('RMCV.PA'!$E$17="I",3.5,2.5),0)</f>
        <v>0</v>
      </c>
      <c r="L114" s="853">
        <f>'RMCV.PA'!M115</f>
        <v>0</v>
      </c>
      <c r="M114" s="960">
        <f>ABS('ELEM. MECA.'!O242)</f>
        <v>0</v>
      </c>
      <c r="N114" s="957">
        <f t="shared" si="76"/>
        <v>0</v>
      </c>
      <c r="O114" s="854" t="str">
        <f>IF('CG. MPA'!E115="CONCRETO","F/DISEÑO",IF(M114&gt;N114,"NO PASA","PASA"))</f>
        <v>PASA</v>
      </c>
      <c r="P114" s="860" t="str">
        <f>IF(O114="pasa"," ",$P$24/('RMCV.PA'!C115*100))</f>
        <v xml:space="preserve"> </v>
      </c>
      <c r="Q114" s="861" t="str">
        <f>IF(O114="pasa"," ",IF('CG. MPA'!E115="CONCRETO","F/DISEÑO",IF(AND(X114&gt;P114,P114&gt;Y114),"BIEN","MAL")))</f>
        <v xml:space="preserve"> </v>
      </c>
      <c r="R114" s="860">
        <f>IF('CG. MPA'!F115="MACIZO",12/'RMCS.PA'!$P$25,9/'RMCS.PA'!$P$25)</f>
        <v>2.3999999999999998E-3</v>
      </c>
      <c r="S114" s="860">
        <f t="shared" si="77"/>
        <v>0</v>
      </c>
      <c r="T114" s="860">
        <f>IF(G114=0,0,IF(AND(G114=2,'RMCV.PA'!E63="III"),30,40))</f>
        <v>0</v>
      </c>
      <c r="U114" s="860">
        <f>IF(J114=0,0,IF(AND(J114=3,'RMCV.PA'!$E$17="I"),20,15))</f>
        <v>0</v>
      </c>
      <c r="V114" s="860">
        <f>IF(K114=0,0,IF(AND(K114=3.5,'RMCV.PA'!$E$17="I"),20,15))</f>
        <v>0</v>
      </c>
      <c r="W114" s="860">
        <f t="shared" si="78"/>
        <v>0</v>
      </c>
      <c r="X114" s="860">
        <f t="shared" si="79"/>
        <v>0</v>
      </c>
      <c r="Y114" s="860" t="e">
        <f>IF('CG. MPA'!E115="CONCRETO",0,IF(N114/(D114*$P$25*L114)&gt;3/$P$25,N114/(D114*$P$25*L114),3/$P$25))</f>
        <v>#DIV/0!</v>
      </c>
      <c r="Z114" s="862" t="e">
        <f t="shared" si="80"/>
        <v>#VALUE!</v>
      </c>
      <c r="AA114" s="860" t="e">
        <f t="shared" si="81"/>
        <v>#VALUE!</v>
      </c>
      <c r="AB114" s="863" t="e">
        <f t="shared" si="82"/>
        <v>#VALUE!</v>
      </c>
      <c r="AC114" s="864" t="str">
        <f t="shared" si="83"/>
        <v xml:space="preserve"> </v>
      </c>
      <c r="AD114" s="865" t="str">
        <f>IF(O114="pasa"," ",IF('CG. MPA'!E115="CONCRETO","F/DISEÑO",IF(AC114&gt;M114,"PASA","NO PASA")))</f>
        <v xml:space="preserve"> </v>
      </c>
      <c r="AE114" s="986" t="e">
        <f>$AE$23/($AE$26*'RMCV.PA'!C115)</f>
        <v>#DIV/0!</v>
      </c>
      <c r="AF114" s="986" t="e">
        <f t="shared" si="69"/>
        <v>#DIV/0!</v>
      </c>
      <c r="AG114" s="986">
        <f>IF(12/$AF$25&gt;'RMCV.PA'!F115*0.3/$AF$25,'RMCV.PA'!F115*0.3/$AF$25,12/$AF$25)</f>
        <v>0</v>
      </c>
      <c r="AH114" s="987" t="e">
        <f t="shared" si="70"/>
        <v>#DIV/0!</v>
      </c>
      <c r="AI114" s="986">
        <f>IF(9/$AF$25&gt;'RMCV.PA'!F115*0.3/$AF$25,'RMCV.PA'!F115*0.3/$AF$25,9/$AF$25)</f>
        <v>0</v>
      </c>
      <c r="AJ114" s="988" t="e">
        <f t="shared" si="71"/>
        <v>#DIV/0!</v>
      </c>
      <c r="AK114" s="989" t="e">
        <f t="shared" si="72"/>
        <v>#DIV/0!</v>
      </c>
      <c r="AL114" s="990">
        <f t="shared" si="73"/>
        <v>0</v>
      </c>
      <c r="AM114" s="1002">
        <f t="shared" si="74"/>
        <v>0</v>
      </c>
      <c r="AN114" s="991" t="str">
        <f>IF(O114="PASA"," ",IF('CG. MPA'!E115="CONCRETO","F/DISEÑO",IF(AM114&gt;N114,"PASA","NO PASA")))</f>
        <v xml:space="preserve"> </v>
      </c>
      <c r="AO114" s="1110" t="e">
        <f t="shared" si="93"/>
        <v>#VALUE!</v>
      </c>
    </row>
    <row r="115" spans="1:41">
      <c r="A115" s="850">
        <f>'CG. MPA'!A116</f>
        <v>37</v>
      </c>
      <c r="B115" s="851">
        <f>'RMCV.PA'!N116/1.3</f>
        <v>0</v>
      </c>
      <c r="C115" s="851">
        <f t="shared" si="75"/>
        <v>0</v>
      </c>
      <c r="D115" s="852">
        <f>IF('CG. MPA'!D116="NO CONFINADO",0.4,0.7)</f>
        <v>0.7</v>
      </c>
      <c r="E115" s="852">
        <f>IF('CG. MPA'!E116="CONCRETO",0.5*(0.8*250)^0.5,F115+G115+J115+K115)</f>
        <v>0</v>
      </c>
      <c r="F115" s="852">
        <f>IF(AND('CG. MPA'!E116="TABIQUE",'CG. MPA'!F116="MACIZO"),IF('RMCV.PA'!$E$17="I",3.5,3),0)</f>
        <v>0</v>
      </c>
      <c r="G115" s="852">
        <f>IF(AND('CG. MPA'!E116="TABIQUE",'CG. MPA'!F116="HUECO"),IF('RMCV.PA'!$E$17="I",3,5.5),0)</f>
        <v>0</v>
      </c>
      <c r="H115" s="852">
        <f>IF('CG. MPA'!E116="ADOBE",0.3,0)</f>
        <v>0</v>
      </c>
      <c r="I115" s="852">
        <f>IF('CG. MPA'!E116="LIGERO",0.5,0)</f>
        <v>0</v>
      </c>
      <c r="J115" s="852">
        <f>IF(AND('CG. MPA'!E116="TABICON",'CG. MPA'!F116="MACIZO"),IF('RMCV.PA'!$E$17="I",3,2),0)</f>
        <v>0</v>
      </c>
      <c r="K115" s="852">
        <f>IF(AND('CG. MPA'!E116="TABICON",'CG. MPA'!F116="HUECO"),IF('RMCV.PA'!$E$17="I",3.5,2.5),0)</f>
        <v>0</v>
      </c>
      <c r="L115" s="853">
        <f>'RMCV.PA'!M116</f>
        <v>0</v>
      </c>
      <c r="M115" s="960">
        <f>ABS('ELEM. MECA.'!O243)</f>
        <v>0</v>
      </c>
      <c r="N115" s="957">
        <f t="shared" si="76"/>
        <v>0</v>
      </c>
      <c r="O115" s="854" t="str">
        <f>IF('CG. MPA'!E116="CONCRETO","F/DISEÑO",IF(M115&gt;N115,"NO PASA","PASA"))</f>
        <v>PASA</v>
      </c>
      <c r="P115" s="860" t="str">
        <f>IF(O115="pasa"," ",$P$24/('RMCV.PA'!C116*100))</f>
        <v xml:space="preserve"> </v>
      </c>
      <c r="Q115" s="861" t="str">
        <f>IF(O115="pasa"," ",IF('CG. MPA'!E116="CONCRETO","F/DISEÑO",IF(AND(X115&gt;P115,P115&gt;Y115),"BIEN","MAL")))</f>
        <v xml:space="preserve"> </v>
      </c>
      <c r="R115" s="860">
        <f>IF('CG. MPA'!F116="MACIZO",12/'RMCS.PA'!$P$25,9/'RMCS.PA'!$P$25)</f>
        <v>2.3999999999999998E-3</v>
      </c>
      <c r="S115" s="860">
        <f t="shared" si="77"/>
        <v>0</v>
      </c>
      <c r="T115" s="860">
        <f>IF(G115=0,0,IF(AND(G115=2,'RMCV.PA'!E64="III"),30,40))</f>
        <v>0</v>
      </c>
      <c r="U115" s="860">
        <f>IF(J115=0,0,IF(AND(J115=3,'RMCV.PA'!$E$17="I"),20,15))</f>
        <v>0</v>
      </c>
      <c r="V115" s="860">
        <f>IF(K115=0,0,IF(AND(K115=3.5,'RMCV.PA'!$E$17="I"),20,15))</f>
        <v>0</v>
      </c>
      <c r="W115" s="860">
        <f t="shared" si="78"/>
        <v>0</v>
      </c>
      <c r="X115" s="860">
        <f t="shared" si="79"/>
        <v>0</v>
      </c>
      <c r="Y115" s="860" t="e">
        <f>IF('CG. MPA'!E116="CONCRETO",0,IF(N115/(D115*$P$25*L115)&gt;3/$P$25,N115/(D115*$P$25*L115),3/$P$25))</f>
        <v>#DIV/0!</v>
      </c>
      <c r="Z115" s="862" t="e">
        <f t="shared" si="80"/>
        <v>#VALUE!</v>
      </c>
      <c r="AA115" s="860" t="e">
        <f t="shared" si="81"/>
        <v>#VALUE!</v>
      </c>
      <c r="AB115" s="863" t="e">
        <f t="shared" si="82"/>
        <v>#VALUE!</v>
      </c>
      <c r="AC115" s="864" t="str">
        <f t="shared" si="83"/>
        <v xml:space="preserve"> </v>
      </c>
      <c r="AD115" s="865" t="str">
        <f>IF(O115="pasa"," ",IF('CG. MPA'!E116="CONCRETO","F/DISEÑO",IF(AC115&gt;M115,"PASA","NO PASA")))</f>
        <v xml:space="preserve"> </v>
      </c>
      <c r="AE115" s="986" t="e">
        <f>$AE$23/($AE$26*'RMCV.PA'!C116)</f>
        <v>#DIV/0!</v>
      </c>
      <c r="AF115" s="986" t="e">
        <f t="shared" si="69"/>
        <v>#DIV/0!</v>
      </c>
      <c r="AG115" s="986">
        <f>IF(12/$AF$25&gt;'RMCV.PA'!F116*0.3/$AF$25,'RMCV.PA'!F116*0.3/$AF$25,12/$AF$25)</f>
        <v>0</v>
      </c>
      <c r="AH115" s="987" t="e">
        <f t="shared" si="70"/>
        <v>#DIV/0!</v>
      </c>
      <c r="AI115" s="986">
        <f>IF(9/$AF$25&gt;'RMCV.PA'!F116*0.3/$AF$25,'RMCV.PA'!F116*0.3/$AF$25,9/$AF$25)</f>
        <v>0</v>
      </c>
      <c r="AJ115" s="988" t="e">
        <f t="shared" si="71"/>
        <v>#DIV/0!</v>
      </c>
      <c r="AK115" s="989" t="e">
        <f t="shared" si="72"/>
        <v>#DIV/0!</v>
      </c>
      <c r="AL115" s="990">
        <f t="shared" si="73"/>
        <v>0</v>
      </c>
      <c r="AM115" s="1002">
        <f t="shared" si="74"/>
        <v>0</v>
      </c>
      <c r="AN115" s="991" t="str">
        <f>IF(O115="PASA"," ",IF('CG. MPA'!E116="CONCRETO","F/DISEÑO",IF(AM115&gt;N115,"PASA","NO PASA")))</f>
        <v xml:space="preserve"> </v>
      </c>
      <c r="AO115" s="1110" t="e">
        <f t="shared" si="93"/>
        <v>#VALUE!</v>
      </c>
    </row>
    <row r="116" spans="1:41">
      <c r="A116" s="850">
        <f>'CG. MPA'!A117</f>
        <v>38</v>
      </c>
      <c r="B116" s="851">
        <f>'RMCV.PA'!N117/1.3</f>
        <v>0</v>
      </c>
      <c r="C116" s="851">
        <f t="shared" si="75"/>
        <v>0</v>
      </c>
      <c r="D116" s="852">
        <f>IF('CG. MPA'!D117="NO CONFINADO",0.4,0.7)</f>
        <v>0.7</v>
      </c>
      <c r="E116" s="852">
        <f>IF('CG. MPA'!E117="CONCRETO",0.5*(0.8*250)^0.5,F116+G116+J116+K116)</f>
        <v>0</v>
      </c>
      <c r="F116" s="852">
        <f>IF(AND('CG. MPA'!E117="TABIQUE",'CG. MPA'!F117="MACIZO"),IF('RMCV.PA'!$E$17="I",3.5,3),0)</f>
        <v>0</v>
      </c>
      <c r="G116" s="852">
        <f>IF(AND('CG. MPA'!E117="TABIQUE",'CG. MPA'!F117="HUECO"),IF('RMCV.PA'!$E$17="I",3,5.5),0)</f>
        <v>0</v>
      </c>
      <c r="H116" s="852">
        <f>IF('CG. MPA'!E117="ADOBE",0.3,0)</f>
        <v>0</v>
      </c>
      <c r="I116" s="852">
        <f>IF('CG. MPA'!E117="LIGERO",0.5,0)</f>
        <v>0</v>
      </c>
      <c r="J116" s="852">
        <f>IF(AND('CG. MPA'!E117="TABICON",'CG. MPA'!F117="MACIZO"),IF('RMCV.PA'!$E$17="I",3,2),0)</f>
        <v>0</v>
      </c>
      <c r="K116" s="852">
        <f>IF(AND('CG. MPA'!E117="TABICON",'CG. MPA'!F117="HUECO"),IF('RMCV.PA'!$E$17="I",3.5,2.5),0)</f>
        <v>0</v>
      </c>
      <c r="L116" s="853">
        <f>'RMCV.PA'!M117</f>
        <v>0</v>
      </c>
      <c r="M116" s="960">
        <f>ABS('ELEM. MECA.'!O244)</f>
        <v>0</v>
      </c>
      <c r="N116" s="957">
        <f t="shared" si="76"/>
        <v>0</v>
      </c>
      <c r="O116" s="854" t="str">
        <f>IF('CG. MPA'!E117="CONCRETO","F/DISEÑO",IF(M116&gt;N116,"NO PASA","PASA"))</f>
        <v>PASA</v>
      </c>
      <c r="P116" s="860" t="str">
        <f>IF(O116="pasa"," ",$P$24/('RMCV.PA'!C117*100))</f>
        <v xml:space="preserve"> </v>
      </c>
      <c r="Q116" s="861" t="str">
        <f>IF(O116="pasa"," ",IF('CG. MPA'!E117="CONCRETO","F/DISEÑO",IF(AND(X116&gt;P116,P116&gt;Y116),"BIEN","MAL")))</f>
        <v xml:space="preserve"> </v>
      </c>
      <c r="R116" s="860">
        <f>IF('CG. MPA'!F117="MACIZO",12/'RMCS.PA'!$P$25,9/'RMCS.PA'!$P$25)</f>
        <v>2.3999999999999998E-3</v>
      </c>
      <c r="S116" s="860">
        <f t="shared" si="77"/>
        <v>0</v>
      </c>
      <c r="T116" s="860">
        <f>IF(G116=0,0,IF(AND(G116=2,'RMCV.PA'!E65="III"),30,40))</f>
        <v>0</v>
      </c>
      <c r="U116" s="860">
        <f>IF(J116=0,0,IF(AND(J116=3,'RMCV.PA'!$E$17="I"),20,15))</f>
        <v>0</v>
      </c>
      <c r="V116" s="860">
        <f>IF(K116=0,0,IF(AND(K116=3.5,'RMCV.PA'!$E$17="I"),20,15))</f>
        <v>0</v>
      </c>
      <c r="W116" s="860">
        <f t="shared" si="78"/>
        <v>0</v>
      </c>
      <c r="X116" s="860">
        <f t="shared" si="79"/>
        <v>0</v>
      </c>
      <c r="Y116" s="860" t="e">
        <f>IF('CG. MPA'!E117="CONCRETO",0,IF(N116/(D116*$P$25*L116)&gt;3/$P$25,N116/(D116*$P$25*L116),3/$P$25))</f>
        <v>#DIV/0!</v>
      </c>
      <c r="Z116" s="862" t="e">
        <f t="shared" si="80"/>
        <v>#VALUE!</v>
      </c>
      <c r="AA116" s="860" t="e">
        <f t="shared" si="81"/>
        <v>#VALUE!</v>
      </c>
      <c r="AB116" s="863" t="e">
        <f t="shared" si="82"/>
        <v>#VALUE!</v>
      </c>
      <c r="AC116" s="864" t="str">
        <f t="shared" si="83"/>
        <v xml:space="preserve"> </v>
      </c>
      <c r="AD116" s="865" t="str">
        <f>IF(O116="pasa"," ",IF('CG. MPA'!E117="CONCRETO","F/DISEÑO",IF(AC116&gt;M116,"PASA","NO PASA")))</f>
        <v xml:space="preserve"> </v>
      </c>
      <c r="AE116" s="986" t="e">
        <f>$AE$23/($AE$26*'RMCV.PA'!C117)</f>
        <v>#DIV/0!</v>
      </c>
      <c r="AF116" s="986" t="e">
        <f t="shared" si="69"/>
        <v>#DIV/0!</v>
      </c>
      <c r="AG116" s="986">
        <f>IF(12/$AF$25&gt;'RMCV.PA'!F117*0.3/$AF$25,'RMCV.PA'!F117*0.3/$AF$25,12/$AF$25)</f>
        <v>0</v>
      </c>
      <c r="AH116" s="987" t="e">
        <f t="shared" si="70"/>
        <v>#DIV/0!</v>
      </c>
      <c r="AI116" s="986">
        <f>IF(9/$AF$25&gt;'RMCV.PA'!F117*0.3/$AF$25,'RMCV.PA'!F117*0.3/$AF$25,9/$AF$25)</f>
        <v>0</v>
      </c>
      <c r="AJ116" s="988" t="e">
        <f t="shared" si="71"/>
        <v>#DIV/0!</v>
      </c>
      <c r="AK116" s="989" t="e">
        <f t="shared" si="72"/>
        <v>#DIV/0!</v>
      </c>
      <c r="AL116" s="990">
        <f t="shared" si="73"/>
        <v>0</v>
      </c>
      <c r="AM116" s="1002">
        <f t="shared" si="74"/>
        <v>0</v>
      </c>
      <c r="AN116" s="991" t="str">
        <f>IF(O116="PASA"," ",IF('CG. MPA'!E117="CONCRETO","F/DISEÑO",IF(AM116&gt;N116,"PASA","NO PASA")))</f>
        <v xml:space="preserve"> </v>
      </c>
      <c r="AO116" s="1110" t="e">
        <f t="shared" si="93"/>
        <v>#VALUE!</v>
      </c>
    </row>
    <row r="117" spans="1:41">
      <c r="A117" s="850">
        <f>'CG. MPA'!A118</f>
        <v>39</v>
      </c>
      <c r="B117" s="851">
        <f>'RMCV.PA'!N118/1.3</f>
        <v>0</v>
      </c>
      <c r="C117" s="851">
        <f t="shared" si="75"/>
        <v>0</v>
      </c>
      <c r="D117" s="852">
        <f>IF('CG. MPA'!D118="NO CONFINADO",0.4,0.7)</f>
        <v>0.7</v>
      </c>
      <c r="E117" s="852">
        <f>IF('CG. MPA'!E118="CONCRETO",0.5*(0.8*250)^0.5,F117+G117+J117+K117)</f>
        <v>0</v>
      </c>
      <c r="F117" s="852">
        <f>IF(AND('CG. MPA'!E118="TABIQUE",'CG. MPA'!F118="MACIZO"),IF('RMCV.PA'!$E$17="I",3.5,3),0)</f>
        <v>0</v>
      </c>
      <c r="G117" s="852">
        <f>IF(AND('CG. MPA'!E118="TABIQUE",'CG. MPA'!F118="HUECO"),IF('RMCV.PA'!$E$17="I",3,5.5),0)</f>
        <v>0</v>
      </c>
      <c r="H117" s="852">
        <f>IF('CG. MPA'!E118="ADOBE",0.3,0)</f>
        <v>0</v>
      </c>
      <c r="I117" s="852">
        <f>IF('CG. MPA'!E118="LIGERO",0.5,0)</f>
        <v>0</v>
      </c>
      <c r="J117" s="852">
        <f>IF(AND('CG. MPA'!E118="TABICON",'CG. MPA'!F118="MACIZO"),IF('RMCV.PA'!$E$17="I",3,2),0)</f>
        <v>0</v>
      </c>
      <c r="K117" s="852">
        <f>IF(AND('CG. MPA'!E118="TABICON",'CG. MPA'!F118="HUECO"),IF('RMCV.PA'!$E$17="I",3.5,2.5),0)</f>
        <v>0</v>
      </c>
      <c r="L117" s="853">
        <f>'RMCV.PA'!M118</f>
        <v>0</v>
      </c>
      <c r="M117" s="960">
        <f>ABS('ELEM. MECA.'!O245)</f>
        <v>0</v>
      </c>
      <c r="N117" s="957">
        <f t="shared" si="76"/>
        <v>0</v>
      </c>
      <c r="O117" s="854" t="str">
        <f>IF('CG. MPA'!E118="CONCRETO","F/DISEÑO",IF(M117&gt;N117,"NO PASA","PASA"))</f>
        <v>PASA</v>
      </c>
      <c r="P117" s="860" t="str">
        <f>IF(O117="pasa"," ",$P$24/('RMCV.PA'!C118*100))</f>
        <v xml:space="preserve"> </v>
      </c>
      <c r="Q117" s="861" t="str">
        <f>IF(O117="pasa"," ",IF('CG. MPA'!E118="CONCRETO","F/DISEÑO",IF(AND(X117&gt;P117,P117&gt;Y117),"BIEN","MAL")))</f>
        <v xml:space="preserve"> </v>
      </c>
      <c r="R117" s="860">
        <f>IF('CG. MPA'!F118="MACIZO",12/'RMCS.PA'!$P$25,9/'RMCS.PA'!$P$25)</f>
        <v>2.3999999999999998E-3</v>
      </c>
      <c r="S117" s="860">
        <f t="shared" si="77"/>
        <v>0</v>
      </c>
      <c r="T117" s="860">
        <f>IF(G117=0,0,IF(AND(G117=2,'RMCV.PA'!E66="III"),30,40))</f>
        <v>0</v>
      </c>
      <c r="U117" s="860">
        <f>IF(J117=0,0,IF(AND(J117=3,'RMCV.PA'!$E$17="I"),20,15))</f>
        <v>0</v>
      </c>
      <c r="V117" s="860">
        <f>IF(K117=0,0,IF(AND(K117=3.5,'RMCV.PA'!$E$17="I"),20,15))</f>
        <v>0</v>
      </c>
      <c r="W117" s="860">
        <f t="shared" si="78"/>
        <v>0</v>
      </c>
      <c r="X117" s="860">
        <f t="shared" si="79"/>
        <v>0</v>
      </c>
      <c r="Y117" s="860" t="e">
        <f>IF('CG. MPA'!E118="CONCRETO",0,IF(N117/(D117*$P$25*L117)&gt;3/$P$25,N117/(D117*$P$25*L117),3/$P$25))</f>
        <v>#DIV/0!</v>
      </c>
      <c r="Z117" s="862" t="e">
        <f t="shared" si="80"/>
        <v>#VALUE!</v>
      </c>
      <c r="AA117" s="860" t="e">
        <f t="shared" si="81"/>
        <v>#VALUE!</v>
      </c>
      <c r="AB117" s="863" t="e">
        <f t="shared" si="82"/>
        <v>#VALUE!</v>
      </c>
      <c r="AC117" s="864" t="str">
        <f t="shared" si="83"/>
        <v xml:space="preserve"> </v>
      </c>
      <c r="AD117" s="865" t="str">
        <f>IF(O117="pasa"," ",IF('CG. MPA'!E118="CONCRETO","F/DISEÑO",IF(AC117&gt;M117,"PASA","NO PASA")))</f>
        <v xml:space="preserve"> </v>
      </c>
      <c r="AE117" s="986" t="e">
        <f>$AE$23/($AE$26*'RMCV.PA'!C118)</f>
        <v>#DIV/0!</v>
      </c>
      <c r="AF117" s="986" t="e">
        <f t="shared" si="69"/>
        <v>#DIV/0!</v>
      </c>
      <c r="AG117" s="986">
        <f>IF(12/$AF$25&gt;'RMCV.PA'!F118*0.3/$AF$25,'RMCV.PA'!F118*0.3/$AF$25,12/$AF$25)</f>
        <v>0</v>
      </c>
      <c r="AH117" s="987" t="e">
        <f t="shared" si="70"/>
        <v>#DIV/0!</v>
      </c>
      <c r="AI117" s="986">
        <f>IF(9/$AF$25&gt;'RMCV.PA'!F118*0.3/$AF$25,'RMCV.PA'!F118*0.3/$AF$25,9/$AF$25)</f>
        <v>0</v>
      </c>
      <c r="AJ117" s="988" t="e">
        <f t="shared" si="71"/>
        <v>#DIV/0!</v>
      </c>
      <c r="AK117" s="989" t="e">
        <f t="shared" si="72"/>
        <v>#DIV/0!</v>
      </c>
      <c r="AL117" s="990">
        <f t="shared" si="73"/>
        <v>0</v>
      </c>
      <c r="AM117" s="1002">
        <f t="shared" si="74"/>
        <v>0</v>
      </c>
      <c r="AN117" s="991" t="str">
        <f>IF(O117="PASA"," ",IF('CG. MPA'!E118="CONCRETO","F/DISEÑO",IF(AM117&gt;N117,"PASA","NO PASA")))</f>
        <v xml:space="preserve"> </v>
      </c>
      <c r="AO117" s="1110" t="e">
        <f t="shared" si="93"/>
        <v>#VALUE!</v>
      </c>
    </row>
    <row r="118" spans="1:41">
      <c r="A118" s="850">
        <f>'CG. MPA'!A119</f>
        <v>40</v>
      </c>
      <c r="B118" s="851">
        <f>'RMCV.PA'!N119/1.3</f>
        <v>0</v>
      </c>
      <c r="C118" s="851">
        <f t="shared" si="75"/>
        <v>0</v>
      </c>
      <c r="D118" s="852">
        <f>IF('CG. MPA'!D119="NO CONFINADO",0.4,0.7)</f>
        <v>0.7</v>
      </c>
      <c r="E118" s="852">
        <f>IF('CG. MPA'!E119="CONCRETO",0.5*(0.8*250)^0.5,F118+G118+J118+K118)</f>
        <v>0</v>
      </c>
      <c r="F118" s="852">
        <f>IF(AND('CG. MPA'!E119="TABIQUE",'CG. MPA'!F119="MACIZO"),IF('RMCV.PA'!$E$17="I",3.5,3),0)</f>
        <v>0</v>
      </c>
      <c r="G118" s="852">
        <f>IF(AND('CG. MPA'!E119="TABIQUE",'CG. MPA'!F119="HUECO"),IF('RMCV.PA'!$E$17="I",3,5.5),0)</f>
        <v>0</v>
      </c>
      <c r="H118" s="852">
        <f>IF('CG. MPA'!E119="ADOBE",0.3,0)</f>
        <v>0</v>
      </c>
      <c r="I118" s="852">
        <f>IF('CG. MPA'!E119="LIGERO",0.5,0)</f>
        <v>0</v>
      </c>
      <c r="J118" s="852">
        <f>IF(AND('CG. MPA'!E119="TABICON",'CG. MPA'!F119="MACIZO"),IF('RMCV.PA'!$E$17="I",3,2),0)</f>
        <v>0</v>
      </c>
      <c r="K118" s="852">
        <f>IF(AND('CG. MPA'!E119="TABICON",'CG. MPA'!F119="HUECO"),IF('RMCV.PA'!$E$17="I",3.5,2.5),0)</f>
        <v>0</v>
      </c>
      <c r="L118" s="853">
        <f>'RMCV.PA'!M119</f>
        <v>0</v>
      </c>
      <c r="M118" s="960">
        <f>ABS('ELEM. MECA.'!O246)</f>
        <v>0</v>
      </c>
      <c r="N118" s="957">
        <f t="shared" si="76"/>
        <v>0</v>
      </c>
      <c r="O118" s="854" t="str">
        <f>IF('CG. MPA'!E119="CONCRETO","F/DISEÑO",IF(M118&gt;N118,"NO PASA","PASA"))</f>
        <v>PASA</v>
      </c>
      <c r="P118" s="860" t="str">
        <f>IF(O118="pasa"," ",$P$24/('RMCV.PA'!C119*100))</f>
        <v xml:space="preserve"> </v>
      </c>
      <c r="Q118" s="861" t="str">
        <f>IF(O118="pasa"," ",IF('CG. MPA'!E119="CONCRETO","F/DISEÑO",IF(AND(X118&gt;P118,P118&gt;Y118),"BIEN","MAL")))</f>
        <v xml:space="preserve"> </v>
      </c>
      <c r="R118" s="860">
        <f>IF('CG. MPA'!F119="MACIZO",12/'RMCS.PA'!$P$25,9/'RMCS.PA'!$P$25)</f>
        <v>2.3999999999999998E-3</v>
      </c>
      <c r="S118" s="860">
        <f t="shared" si="77"/>
        <v>0</v>
      </c>
      <c r="T118" s="860">
        <f>IF(G118=0,0,IF(AND(G118=2,'RMCV.PA'!E67="III"),30,40))</f>
        <v>0</v>
      </c>
      <c r="U118" s="860">
        <f>IF(J118=0,0,IF(AND(J118=3,'RMCV.PA'!$E$17="I"),20,15))</f>
        <v>0</v>
      </c>
      <c r="V118" s="860">
        <f>IF(K118=0,0,IF(AND(K118=3.5,'RMCV.PA'!$E$17="I"),20,15))</f>
        <v>0</v>
      </c>
      <c r="W118" s="860">
        <f t="shared" si="78"/>
        <v>0</v>
      </c>
      <c r="X118" s="860">
        <f t="shared" si="79"/>
        <v>0</v>
      </c>
      <c r="Y118" s="860" t="e">
        <f>IF('CG. MPA'!E119="CONCRETO",0,IF(N118/(D118*$P$25*L118)&gt;3/$P$25,N118/(D118*$P$25*L118),3/$P$25))</f>
        <v>#DIV/0!</v>
      </c>
      <c r="Z118" s="862" t="e">
        <f t="shared" si="80"/>
        <v>#VALUE!</v>
      </c>
      <c r="AA118" s="860" t="e">
        <f t="shared" si="81"/>
        <v>#VALUE!</v>
      </c>
      <c r="AB118" s="863" t="e">
        <f t="shared" si="82"/>
        <v>#VALUE!</v>
      </c>
      <c r="AC118" s="864" t="str">
        <f t="shared" si="83"/>
        <v xml:space="preserve"> </v>
      </c>
      <c r="AD118" s="865" t="str">
        <f>IF(O118="pasa"," ",IF('CG. MPA'!E119="CONCRETO","F/DISEÑO",IF(AC118&gt;M118,"PASA","NO PASA")))</f>
        <v xml:space="preserve"> </v>
      </c>
      <c r="AE118" s="986" t="e">
        <f>$AE$23/($AE$26*'RMCV.PA'!C119)</f>
        <v>#DIV/0!</v>
      </c>
      <c r="AF118" s="986" t="e">
        <f t="shared" si="69"/>
        <v>#DIV/0!</v>
      </c>
      <c r="AG118" s="986">
        <f>IF(12/$AF$25&gt;'RMCV.PA'!F119*0.3/$AF$25,'RMCV.PA'!F119*0.3/$AF$25,12/$AF$25)</f>
        <v>0</v>
      </c>
      <c r="AH118" s="987" t="e">
        <f t="shared" si="70"/>
        <v>#DIV/0!</v>
      </c>
      <c r="AI118" s="986">
        <f>IF(9/$AF$25&gt;'RMCV.PA'!F119*0.3/$AF$25,'RMCV.PA'!F119*0.3/$AF$25,9/$AF$25)</f>
        <v>0</v>
      </c>
      <c r="AJ118" s="988" t="e">
        <f t="shared" si="71"/>
        <v>#DIV/0!</v>
      </c>
      <c r="AK118" s="989" t="e">
        <f t="shared" si="72"/>
        <v>#DIV/0!</v>
      </c>
      <c r="AL118" s="990">
        <f t="shared" si="73"/>
        <v>0</v>
      </c>
      <c r="AM118" s="1002">
        <f t="shared" si="74"/>
        <v>0</v>
      </c>
      <c r="AN118" s="991" t="str">
        <f>IF(O118="PASA"," ",IF('CG. MPA'!E119="CONCRETO","F/DISEÑO",IF(AM118&gt;N118,"PASA","NO PASA")))</f>
        <v xml:space="preserve"> </v>
      </c>
      <c r="AO118" s="1110" t="e">
        <f t="shared" si="93"/>
        <v>#VALUE!</v>
      </c>
    </row>
    <row r="119" spans="1:41">
      <c r="A119" s="850">
        <f>'CG. MPA'!A120</f>
        <v>41</v>
      </c>
      <c r="B119" s="851">
        <f>'RMCV.PA'!N120/1.3</f>
        <v>0</v>
      </c>
      <c r="C119" s="851">
        <f t="shared" si="75"/>
        <v>0</v>
      </c>
      <c r="D119" s="852">
        <f>IF('CG. MPA'!D120="NO CONFINADO",0.4,0.7)</f>
        <v>0.7</v>
      </c>
      <c r="E119" s="852">
        <f>IF('CG. MPA'!E120="CONCRETO",0.5*(0.8*250)^0.5,F119+G119+J119+K119)</f>
        <v>0</v>
      </c>
      <c r="F119" s="852">
        <f>IF(AND('CG. MPA'!E120="TABIQUE",'CG. MPA'!F120="MACIZO"),IF('RMCV.PA'!$E$17="I",3.5,3),0)</f>
        <v>0</v>
      </c>
      <c r="G119" s="852">
        <f>IF(AND('CG. MPA'!E120="TABIQUE",'CG. MPA'!F120="HUECO"),IF('RMCV.PA'!$E$17="I",3,5.5),0)</f>
        <v>0</v>
      </c>
      <c r="H119" s="852">
        <f>IF('CG. MPA'!E120="ADOBE",0.3,0)</f>
        <v>0</v>
      </c>
      <c r="I119" s="852">
        <f>IF('CG. MPA'!E120="LIGERO",0.5,0)</f>
        <v>0</v>
      </c>
      <c r="J119" s="852">
        <f>IF(AND('CG. MPA'!E120="TABICON",'CG. MPA'!F120="MACIZO"),IF('RMCV.PA'!$E$17="I",3,2),0)</f>
        <v>0</v>
      </c>
      <c r="K119" s="852">
        <f>IF(AND('CG. MPA'!E120="TABICON",'CG. MPA'!F120="HUECO"),IF('RMCV.PA'!$E$17="I",3.5,2.5),0)</f>
        <v>0</v>
      </c>
      <c r="L119" s="853">
        <f>'RMCV.PA'!M120</f>
        <v>0</v>
      </c>
      <c r="M119" s="960">
        <f>ABS('ELEM. MECA.'!O247)</f>
        <v>0</v>
      </c>
      <c r="N119" s="957">
        <f t="shared" si="76"/>
        <v>0</v>
      </c>
      <c r="O119" s="854" t="str">
        <f>IF('CG. MPA'!E120="CONCRETO","F/DISEÑO",IF(M119&gt;N119,"NO PASA","PASA"))</f>
        <v>PASA</v>
      </c>
      <c r="P119" s="860" t="str">
        <f>IF(O119="pasa"," ",$P$24/('RMCV.PA'!C120*100))</f>
        <v xml:space="preserve"> </v>
      </c>
      <c r="Q119" s="861" t="str">
        <f>IF(O119="pasa"," ",IF('CG. MPA'!E120="CONCRETO","F/DISEÑO",IF(AND(X119&gt;P119,P119&gt;Y119),"BIEN","MAL")))</f>
        <v xml:space="preserve"> </v>
      </c>
      <c r="R119" s="860">
        <f>IF('CG. MPA'!F120="MACIZO",12/'RMCS.PA'!$P$25,9/'RMCS.PA'!$P$25)</f>
        <v>2.3999999999999998E-3</v>
      </c>
      <c r="S119" s="860">
        <f t="shared" si="77"/>
        <v>0</v>
      </c>
      <c r="T119" s="860">
        <f>IF(G119=0,0,IF(AND(G119=2,'RMCV.PA'!E68="III"),30,40))</f>
        <v>0</v>
      </c>
      <c r="U119" s="860">
        <f>IF(J119=0,0,IF(AND(J119=3,'RMCV.PA'!$E$17="I"),20,15))</f>
        <v>0</v>
      </c>
      <c r="V119" s="860">
        <f>IF(K119=0,0,IF(AND(K119=3.5,'RMCV.PA'!$E$17="I"),20,15))</f>
        <v>0</v>
      </c>
      <c r="W119" s="860">
        <f t="shared" si="78"/>
        <v>0</v>
      </c>
      <c r="X119" s="860">
        <f t="shared" si="79"/>
        <v>0</v>
      </c>
      <c r="Y119" s="860" t="e">
        <f>IF('CG. MPA'!E120="CONCRETO",0,IF(N119/(D119*$P$25*L119)&gt;3/$P$25,N119/(D119*$P$25*L119),3/$P$25))</f>
        <v>#DIV/0!</v>
      </c>
      <c r="Z119" s="862" t="e">
        <f t="shared" si="80"/>
        <v>#VALUE!</v>
      </c>
      <c r="AA119" s="860" t="e">
        <f t="shared" si="81"/>
        <v>#VALUE!</v>
      </c>
      <c r="AB119" s="863" t="e">
        <f t="shared" si="82"/>
        <v>#VALUE!</v>
      </c>
      <c r="AC119" s="864" t="str">
        <f t="shared" si="83"/>
        <v xml:space="preserve"> </v>
      </c>
      <c r="AD119" s="865" t="str">
        <f>IF(O119="pasa"," ",IF('CG. MPA'!E120="CONCRETO","F/DISEÑO",IF(AC119&gt;M119,"PASA","NO PASA")))</f>
        <v xml:space="preserve"> </v>
      </c>
      <c r="AE119" s="986" t="e">
        <f>$AE$23/($AE$26*'RMCV.PA'!C120)</f>
        <v>#DIV/0!</v>
      </c>
      <c r="AF119" s="986" t="e">
        <f t="shared" si="69"/>
        <v>#DIV/0!</v>
      </c>
      <c r="AG119" s="986">
        <f>IF(12/$AF$25&gt;'RMCV.PA'!F120*0.3/$AF$25,'RMCV.PA'!F120*0.3/$AF$25,12/$AF$25)</f>
        <v>0</v>
      </c>
      <c r="AH119" s="987" t="e">
        <f t="shared" si="70"/>
        <v>#DIV/0!</v>
      </c>
      <c r="AI119" s="986">
        <f>IF(9/$AF$25&gt;'RMCV.PA'!F120*0.3/$AF$25,'RMCV.PA'!F120*0.3/$AF$25,9/$AF$25)</f>
        <v>0</v>
      </c>
      <c r="AJ119" s="988" t="e">
        <f t="shared" si="71"/>
        <v>#DIV/0!</v>
      </c>
      <c r="AK119" s="989" t="e">
        <f t="shared" si="72"/>
        <v>#DIV/0!</v>
      </c>
      <c r="AL119" s="990">
        <f t="shared" si="73"/>
        <v>0</v>
      </c>
      <c r="AM119" s="1002">
        <f t="shared" si="74"/>
        <v>0</v>
      </c>
      <c r="AN119" s="991" t="str">
        <f>IF(O119="PASA"," ",IF('CG. MPA'!E120="CONCRETO","F/DISEÑO",IF(AM119&gt;N119,"PASA","NO PASA")))</f>
        <v xml:space="preserve"> </v>
      </c>
      <c r="AO119" s="1110" t="e">
        <f t="shared" si="93"/>
        <v>#VALUE!</v>
      </c>
    </row>
    <row r="120" spans="1:41">
      <c r="A120" s="850">
        <f>'CG. MPA'!A121</f>
        <v>42</v>
      </c>
      <c r="B120" s="851">
        <f>'RMCV.PA'!N121/1.3</f>
        <v>0</v>
      </c>
      <c r="C120" s="851">
        <f t="shared" si="75"/>
        <v>0</v>
      </c>
      <c r="D120" s="852">
        <f>IF('CG. MPA'!D121="NO CONFINADO",0.4,0.7)</f>
        <v>0.7</v>
      </c>
      <c r="E120" s="852">
        <f>IF('CG. MPA'!E121="CONCRETO",0.5*(0.8*250)^0.5,F120+G120+J120+K120)</f>
        <v>0</v>
      </c>
      <c r="F120" s="852">
        <f>IF(AND('CG. MPA'!E121="TABIQUE",'CG. MPA'!F121="MACIZO"),IF('RMCV.PA'!$E$17="I",3.5,3),0)</f>
        <v>0</v>
      </c>
      <c r="G120" s="852">
        <f>IF(AND('CG. MPA'!E121="TABIQUE",'CG. MPA'!F121="HUECO"),IF('RMCV.PA'!$E$17="I",3,5.5),0)</f>
        <v>0</v>
      </c>
      <c r="H120" s="852">
        <f>IF('CG. MPA'!E121="ADOBE",0.3,0)</f>
        <v>0</v>
      </c>
      <c r="I120" s="852">
        <f>IF('CG. MPA'!E121="LIGERO",0.5,0)</f>
        <v>0</v>
      </c>
      <c r="J120" s="852">
        <f>IF(AND('CG. MPA'!E121="TABICON",'CG. MPA'!F121="MACIZO"),IF('RMCV.PA'!$E$17="I",3,2),0)</f>
        <v>0</v>
      </c>
      <c r="K120" s="852">
        <f>IF(AND('CG. MPA'!E121="TABICON",'CG. MPA'!F121="HUECO"),IF('RMCV.PA'!$E$17="I",3.5,2.5),0)</f>
        <v>0</v>
      </c>
      <c r="L120" s="853">
        <f>'RMCV.PA'!M121</f>
        <v>0</v>
      </c>
      <c r="M120" s="960">
        <f>ABS('ELEM. MECA.'!O248)</f>
        <v>0</v>
      </c>
      <c r="N120" s="957">
        <f t="shared" si="76"/>
        <v>0</v>
      </c>
      <c r="O120" s="854" t="str">
        <f>IF('CG. MPA'!E121="CONCRETO","F/DISEÑO",IF(M120&gt;N120,"NO PASA","PASA"))</f>
        <v>PASA</v>
      </c>
      <c r="P120" s="860" t="str">
        <f>IF(O120="pasa"," ",$P$24/('RMCV.PA'!C121*100))</f>
        <v xml:space="preserve"> </v>
      </c>
      <c r="Q120" s="861" t="str">
        <f>IF(O120="pasa"," ",IF('CG. MPA'!E121="CONCRETO","F/DISEÑO",IF(AND(X120&gt;P120,P120&gt;Y120),"BIEN","MAL")))</f>
        <v xml:space="preserve"> </v>
      </c>
      <c r="R120" s="860">
        <f>IF('CG. MPA'!F121="MACIZO",12/'RMCS.PA'!$P$25,9/'RMCS.PA'!$P$25)</f>
        <v>2.3999999999999998E-3</v>
      </c>
      <c r="S120" s="860">
        <f t="shared" si="77"/>
        <v>0</v>
      </c>
      <c r="T120" s="860">
        <f>IF(G120=0,0,IF(AND(G120=2,'RMCV.PA'!E69="III"),30,40))</f>
        <v>0</v>
      </c>
      <c r="U120" s="860">
        <f>IF(J120=0,0,IF(AND(J120=3,'RMCV.PA'!$E$17="I"),20,15))</f>
        <v>0</v>
      </c>
      <c r="V120" s="860">
        <f>IF(K120=0,0,IF(AND(K120=3.5,'RMCV.PA'!$E$17="I"),20,15))</f>
        <v>0</v>
      </c>
      <c r="W120" s="860">
        <f t="shared" si="78"/>
        <v>0</v>
      </c>
      <c r="X120" s="860">
        <f t="shared" si="79"/>
        <v>0</v>
      </c>
      <c r="Y120" s="860" t="e">
        <f>IF('CG. MPA'!E121="CONCRETO",0,IF(N120/(D120*$P$25*L120)&gt;3/$P$25,N120/(D120*$P$25*L120),3/$P$25))</f>
        <v>#DIV/0!</v>
      </c>
      <c r="Z120" s="862" t="e">
        <f t="shared" si="80"/>
        <v>#VALUE!</v>
      </c>
      <c r="AA120" s="860" t="e">
        <f t="shared" si="81"/>
        <v>#VALUE!</v>
      </c>
      <c r="AB120" s="863" t="e">
        <f t="shared" si="82"/>
        <v>#VALUE!</v>
      </c>
      <c r="AC120" s="864" t="str">
        <f t="shared" si="83"/>
        <v xml:space="preserve"> </v>
      </c>
      <c r="AD120" s="865" t="str">
        <f>IF(O120="pasa"," ",IF('CG. MPA'!E121="CONCRETO","F/DISEÑO",IF(AC120&gt;M120,"PASA","NO PASA")))</f>
        <v xml:space="preserve"> </v>
      </c>
      <c r="AE120" s="986" t="e">
        <f>$AE$23/($AE$26*'RMCV.PA'!C121)</f>
        <v>#DIV/0!</v>
      </c>
      <c r="AF120" s="986" t="e">
        <f t="shared" si="69"/>
        <v>#DIV/0!</v>
      </c>
      <c r="AG120" s="986">
        <f>IF(12/$AF$25&gt;'RMCV.PA'!F121*0.3/$AF$25,'RMCV.PA'!F121*0.3/$AF$25,12/$AF$25)</f>
        <v>0</v>
      </c>
      <c r="AH120" s="987" t="e">
        <f t="shared" si="70"/>
        <v>#DIV/0!</v>
      </c>
      <c r="AI120" s="986">
        <f>IF(9/$AF$25&gt;'RMCV.PA'!F121*0.3/$AF$25,'RMCV.PA'!F121*0.3/$AF$25,9/$AF$25)</f>
        <v>0</v>
      </c>
      <c r="AJ120" s="988" t="e">
        <f t="shared" si="71"/>
        <v>#DIV/0!</v>
      </c>
      <c r="AK120" s="989" t="e">
        <f t="shared" si="72"/>
        <v>#DIV/0!</v>
      </c>
      <c r="AL120" s="990">
        <f t="shared" si="73"/>
        <v>0</v>
      </c>
      <c r="AM120" s="1002">
        <f t="shared" si="74"/>
        <v>0</v>
      </c>
      <c r="AN120" s="991" t="str">
        <f>IF(O120="PASA"," ",IF('CG. MPA'!E121="CONCRETO","F/DISEÑO",IF(AM120&gt;N120,"PASA","NO PASA")))</f>
        <v xml:space="preserve"> </v>
      </c>
      <c r="AO120" s="1110" t="e">
        <f t="shared" si="93"/>
        <v>#VALUE!</v>
      </c>
    </row>
    <row r="121" spans="1:41">
      <c r="A121" s="850">
        <f>'CG. MPA'!A122</f>
        <v>43</v>
      </c>
      <c r="B121" s="851">
        <f>'RMCV.PA'!N122/1.3</f>
        <v>0</v>
      </c>
      <c r="C121" s="851">
        <f t="shared" si="75"/>
        <v>0</v>
      </c>
      <c r="D121" s="852">
        <f>IF('CG. MPA'!D122="NO CONFINADO",0.4,0.7)</f>
        <v>0.7</v>
      </c>
      <c r="E121" s="852">
        <f>IF('CG. MPA'!E122="CONCRETO",0.5*(0.8*250)^0.5,F121+G121+J121+K121)</f>
        <v>0</v>
      </c>
      <c r="F121" s="852">
        <f>IF(AND('CG. MPA'!E122="TABIQUE",'CG. MPA'!F122="MACIZO"),IF('RMCV.PA'!$E$17="I",3.5,3),0)</f>
        <v>0</v>
      </c>
      <c r="G121" s="852">
        <f>IF(AND('CG. MPA'!E122="TABIQUE",'CG. MPA'!F122="HUECO"),IF('RMCV.PA'!$E$17="I",3,5.5),0)</f>
        <v>0</v>
      </c>
      <c r="H121" s="852">
        <f>IF('CG. MPA'!E122="ADOBE",0.3,0)</f>
        <v>0</v>
      </c>
      <c r="I121" s="852">
        <f>IF('CG. MPA'!E122="LIGERO",0.5,0)</f>
        <v>0</v>
      </c>
      <c r="J121" s="852">
        <f>IF(AND('CG. MPA'!E122="TABICON",'CG. MPA'!F122="MACIZO"),IF('RMCV.PA'!$E$17="I",3,2),0)</f>
        <v>0</v>
      </c>
      <c r="K121" s="852">
        <f>IF(AND('CG. MPA'!E122="TABICON",'CG. MPA'!F122="HUECO"),IF('RMCV.PA'!$E$17="I",3.5,2.5),0)</f>
        <v>0</v>
      </c>
      <c r="L121" s="853">
        <f>'RMCV.PA'!M122</f>
        <v>0</v>
      </c>
      <c r="M121" s="960">
        <f>ABS('ELEM. MECA.'!O249)</f>
        <v>0</v>
      </c>
      <c r="N121" s="957">
        <f t="shared" si="76"/>
        <v>0</v>
      </c>
      <c r="O121" s="854" t="str">
        <f>IF('CG. MPA'!E122="CONCRETO","F/DISEÑO",IF(M121&gt;N121,"NO PASA","PASA"))</f>
        <v>PASA</v>
      </c>
      <c r="P121" s="860" t="str">
        <f>IF(O121="pasa"," ",$P$24/('RMCV.PA'!C122*100))</f>
        <v xml:space="preserve"> </v>
      </c>
      <c r="Q121" s="861" t="str">
        <f>IF(O121="pasa"," ",IF('CG. MPA'!E122="CONCRETO","F/DISEÑO",IF(AND(X121&gt;P121,P121&gt;Y121),"BIEN","MAL")))</f>
        <v xml:space="preserve"> </v>
      </c>
      <c r="R121" s="860">
        <f>IF('CG. MPA'!F122="MACIZO",12/'RMCS.PA'!$P$25,9/'RMCS.PA'!$P$25)</f>
        <v>2.3999999999999998E-3</v>
      </c>
      <c r="S121" s="860">
        <f t="shared" si="77"/>
        <v>0</v>
      </c>
      <c r="T121" s="860">
        <f>IF(G121=0,0,IF(AND(G121=2,'RMCV.PA'!E70="III"),30,40))</f>
        <v>0</v>
      </c>
      <c r="U121" s="860">
        <f>IF(J121=0,0,IF(AND(J121=3,'RMCV.PA'!$E$17="I"),20,15))</f>
        <v>0</v>
      </c>
      <c r="V121" s="860">
        <f>IF(K121=0,0,IF(AND(K121=3.5,'RMCV.PA'!$E$17="I"),20,15))</f>
        <v>0</v>
      </c>
      <c r="W121" s="860">
        <f t="shared" si="78"/>
        <v>0</v>
      </c>
      <c r="X121" s="860">
        <f t="shared" si="79"/>
        <v>0</v>
      </c>
      <c r="Y121" s="860" t="e">
        <f>IF('CG. MPA'!E122="CONCRETO",0,IF(N121/(D121*$P$25*L121)&gt;3/$P$25,N121/(D121*$P$25*L121),3/$P$25))</f>
        <v>#DIV/0!</v>
      </c>
      <c r="Z121" s="862" t="e">
        <f t="shared" si="80"/>
        <v>#VALUE!</v>
      </c>
      <c r="AA121" s="860" t="e">
        <f t="shared" si="81"/>
        <v>#VALUE!</v>
      </c>
      <c r="AB121" s="863" t="e">
        <f t="shared" si="82"/>
        <v>#VALUE!</v>
      </c>
      <c r="AC121" s="864" t="str">
        <f t="shared" si="83"/>
        <v xml:space="preserve"> </v>
      </c>
      <c r="AD121" s="865" t="str">
        <f>IF(O121="pasa"," ",IF('CG. MPA'!E122="CONCRETO","F/DISEÑO",IF(AC121&gt;M121,"PASA","NO PASA")))</f>
        <v xml:space="preserve"> </v>
      </c>
      <c r="AE121" s="986" t="e">
        <f>$AE$23/($AE$26*'RMCV.PA'!C122)</f>
        <v>#DIV/0!</v>
      </c>
      <c r="AF121" s="986" t="e">
        <f t="shared" si="69"/>
        <v>#DIV/0!</v>
      </c>
      <c r="AG121" s="986">
        <f>IF(12/$AF$25&gt;'RMCV.PA'!F122*0.3/$AF$25,'RMCV.PA'!F122*0.3/$AF$25,12/$AF$25)</f>
        <v>0</v>
      </c>
      <c r="AH121" s="987" t="e">
        <f t="shared" si="70"/>
        <v>#DIV/0!</v>
      </c>
      <c r="AI121" s="986">
        <f>IF(9/$AF$25&gt;'RMCV.PA'!F122*0.3/$AF$25,'RMCV.PA'!F122*0.3/$AF$25,9/$AF$25)</f>
        <v>0</v>
      </c>
      <c r="AJ121" s="988" t="e">
        <f t="shared" si="71"/>
        <v>#DIV/0!</v>
      </c>
      <c r="AK121" s="989" t="e">
        <f t="shared" si="72"/>
        <v>#DIV/0!</v>
      </c>
      <c r="AL121" s="990">
        <f t="shared" si="73"/>
        <v>0</v>
      </c>
      <c r="AM121" s="1002">
        <f t="shared" si="74"/>
        <v>0</v>
      </c>
      <c r="AN121" s="991" t="str">
        <f>IF(O121="PASA"," ",IF('CG. MPA'!E122="CONCRETO","F/DISEÑO",IF(AM121&gt;N121,"PASA","NO PASA")))</f>
        <v xml:space="preserve"> </v>
      </c>
      <c r="AO121" s="1110" t="e">
        <f t="shared" si="93"/>
        <v>#VALUE!</v>
      </c>
    </row>
    <row r="122" spans="1:41">
      <c r="A122" s="850">
        <f>'CG. MPA'!A123</f>
        <v>44</v>
      </c>
      <c r="B122" s="851">
        <f>'RMCV.PA'!N123/1.3</f>
        <v>0</v>
      </c>
      <c r="C122" s="851">
        <f t="shared" si="75"/>
        <v>0</v>
      </c>
      <c r="D122" s="852">
        <f>IF('CG. MPA'!D123="NO CONFINADO",0.4,0.7)</f>
        <v>0.7</v>
      </c>
      <c r="E122" s="852">
        <f>IF('CG. MPA'!E123="CONCRETO",0.5*(0.8*250)^0.5,F122+G122+J122+K122)</f>
        <v>0</v>
      </c>
      <c r="F122" s="852">
        <f>IF(AND('CG. MPA'!E123="TABIQUE",'CG. MPA'!F123="MACIZO"),IF('RMCV.PA'!$E$17="I",3.5,3),0)</f>
        <v>0</v>
      </c>
      <c r="G122" s="852">
        <f>IF(AND('CG. MPA'!E123="TABIQUE",'CG. MPA'!F123="HUECO"),IF('RMCV.PA'!$E$17="I",3,5.5),0)</f>
        <v>0</v>
      </c>
      <c r="H122" s="852">
        <f>IF('CG. MPA'!E123="ADOBE",0.3,0)</f>
        <v>0</v>
      </c>
      <c r="I122" s="852">
        <f>IF('CG. MPA'!E123="LIGERO",0.5,0)</f>
        <v>0</v>
      </c>
      <c r="J122" s="852">
        <f>IF(AND('CG. MPA'!E123="TABICON",'CG. MPA'!F123="MACIZO"),IF('RMCV.PA'!$E$17="I",3,2),0)</f>
        <v>0</v>
      </c>
      <c r="K122" s="852">
        <f>IF(AND('CG. MPA'!E123="TABICON",'CG. MPA'!F123="HUECO"),IF('RMCV.PA'!$E$17="I",3.5,2.5),0)</f>
        <v>0</v>
      </c>
      <c r="L122" s="853">
        <f>'RMCV.PA'!M123</f>
        <v>0</v>
      </c>
      <c r="M122" s="960">
        <f>ABS('ELEM. MECA.'!O250)</f>
        <v>0</v>
      </c>
      <c r="N122" s="957">
        <f t="shared" si="76"/>
        <v>0</v>
      </c>
      <c r="O122" s="854" t="str">
        <f>IF('CG. MPA'!E123="CONCRETO","F/DISEÑO",IF(M122&gt;N122,"NO PASA","PASA"))</f>
        <v>PASA</v>
      </c>
      <c r="P122" s="860" t="str">
        <f>IF(O122="pasa"," ",$P$24/('RMCV.PA'!C123*100))</f>
        <v xml:space="preserve"> </v>
      </c>
      <c r="Q122" s="861" t="str">
        <f>IF(O122="pasa"," ",IF('CG. MPA'!E123="CONCRETO","F/DISEÑO",IF(AND(X122&gt;P122,P122&gt;Y122),"BIEN","MAL")))</f>
        <v xml:space="preserve"> </v>
      </c>
      <c r="R122" s="860">
        <f>IF('CG. MPA'!F123="MACIZO",12/'RMCS.PA'!$P$25,9/'RMCS.PA'!$P$25)</f>
        <v>2.3999999999999998E-3</v>
      </c>
      <c r="S122" s="860">
        <f t="shared" si="77"/>
        <v>0</v>
      </c>
      <c r="T122" s="860">
        <f>IF(G122=0,0,IF(AND(G122=2,'RMCV.PA'!E71="III"),30,40))</f>
        <v>0</v>
      </c>
      <c r="U122" s="860">
        <f>IF(J122=0,0,IF(AND(J122=3,'RMCV.PA'!$E$17="I"),20,15))</f>
        <v>0</v>
      </c>
      <c r="V122" s="860">
        <f>IF(K122=0,0,IF(AND(K122=3.5,'RMCV.PA'!$E$17="I"),20,15))</f>
        <v>0</v>
      </c>
      <c r="W122" s="860">
        <f t="shared" si="78"/>
        <v>0</v>
      </c>
      <c r="X122" s="860">
        <f t="shared" si="79"/>
        <v>0</v>
      </c>
      <c r="Y122" s="860" t="e">
        <f>IF('CG. MPA'!E123="CONCRETO",0,IF(N122/(D122*$P$25*L122)&gt;3/$P$25,N122/(D122*$P$25*L122),3/$P$25))</f>
        <v>#DIV/0!</v>
      </c>
      <c r="Z122" s="862" t="e">
        <f t="shared" si="80"/>
        <v>#VALUE!</v>
      </c>
      <c r="AA122" s="860" t="e">
        <f t="shared" si="81"/>
        <v>#VALUE!</v>
      </c>
      <c r="AB122" s="863" t="e">
        <f t="shared" si="82"/>
        <v>#VALUE!</v>
      </c>
      <c r="AC122" s="864" t="str">
        <f t="shared" si="83"/>
        <v xml:space="preserve"> </v>
      </c>
      <c r="AD122" s="865" t="str">
        <f>IF(O122="pasa"," ",IF('CG. MPA'!E123="CONCRETO","F/DISEÑO",IF(AC122&gt;M122,"PASA","NO PASA")))</f>
        <v xml:space="preserve"> </v>
      </c>
      <c r="AE122" s="986" t="e">
        <f>$AE$23/($AE$26*'RMCV.PA'!C123)</f>
        <v>#DIV/0!</v>
      </c>
      <c r="AF122" s="986" t="e">
        <f t="shared" si="69"/>
        <v>#DIV/0!</v>
      </c>
      <c r="AG122" s="986">
        <f>IF(12/$AF$25&gt;'RMCV.PA'!F123*0.3/$AF$25,'RMCV.PA'!F123*0.3/$AF$25,12/$AF$25)</f>
        <v>0</v>
      </c>
      <c r="AH122" s="987" t="e">
        <f t="shared" si="70"/>
        <v>#DIV/0!</v>
      </c>
      <c r="AI122" s="986">
        <f>IF(9/$AF$25&gt;'RMCV.PA'!F123*0.3/$AF$25,'RMCV.PA'!F123*0.3/$AF$25,9/$AF$25)</f>
        <v>0</v>
      </c>
      <c r="AJ122" s="988" t="e">
        <f t="shared" si="71"/>
        <v>#DIV/0!</v>
      </c>
      <c r="AK122" s="989" t="e">
        <f t="shared" si="72"/>
        <v>#DIV/0!</v>
      </c>
      <c r="AL122" s="990">
        <f t="shared" si="73"/>
        <v>0</v>
      </c>
      <c r="AM122" s="1002">
        <f t="shared" si="74"/>
        <v>0</v>
      </c>
      <c r="AN122" s="991" t="str">
        <f>IF(O122="PASA"," ",IF('CG. MPA'!E123="CONCRETO","F/DISEÑO",IF(AM122&gt;N122,"PASA","NO PASA")))</f>
        <v xml:space="preserve"> </v>
      </c>
      <c r="AO122" s="1110" t="e">
        <f t="shared" si="93"/>
        <v>#VALUE!</v>
      </c>
    </row>
    <row r="123" spans="1:41">
      <c r="A123" s="850">
        <f>'CG. MPA'!A124</f>
        <v>45</v>
      </c>
      <c r="B123" s="851">
        <f>'RMCV.PA'!N124/1.3</f>
        <v>0</v>
      </c>
      <c r="C123" s="851">
        <f t="shared" si="75"/>
        <v>0</v>
      </c>
      <c r="D123" s="852">
        <f>IF('CG. MPA'!D124="NO CONFINADO",0.4,0.7)</f>
        <v>0.7</v>
      </c>
      <c r="E123" s="852">
        <f>IF('CG. MPA'!E124="CONCRETO",0.5*(0.8*250)^0.5,F123+G123+J123+K123)</f>
        <v>0</v>
      </c>
      <c r="F123" s="852">
        <f>IF(AND('CG. MPA'!E124="TABIQUE",'CG. MPA'!F124="MACIZO"),IF('RMCV.PA'!$E$17="I",3.5,3),0)</f>
        <v>0</v>
      </c>
      <c r="G123" s="852">
        <f>IF(AND('CG. MPA'!E124="TABIQUE",'CG. MPA'!F124="HUECO"),IF('RMCV.PA'!$E$17="I",3,5.5),0)</f>
        <v>0</v>
      </c>
      <c r="H123" s="852">
        <f>IF('CG. MPA'!E124="ADOBE",0.3,0)</f>
        <v>0</v>
      </c>
      <c r="I123" s="852">
        <f>IF('CG. MPA'!E124="LIGERO",0.5,0)</f>
        <v>0</v>
      </c>
      <c r="J123" s="852">
        <f>IF(AND('CG. MPA'!E124="TABICON",'CG. MPA'!F124="MACIZO"),IF('RMCV.PA'!$E$17="I",3,2),0)</f>
        <v>0</v>
      </c>
      <c r="K123" s="852">
        <f>IF(AND('CG. MPA'!E124="TABICON",'CG. MPA'!F124="HUECO"),IF('RMCV.PA'!$E$17="I",3.5,2.5),0)</f>
        <v>0</v>
      </c>
      <c r="L123" s="853">
        <f>'RMCV.PA'!M124</f>
        <v>0</v>
      </c>
      <c r="M123" s="960">
        <f>ABS('ELEM. MECA.'!O251)</f>
        <v>0</v>
      </c>
      <c r="N123" s="957">
        <f t="shared" si="76"/>
        <v>0</v>
      </c>
      <c r="O123" s="854" t="str">
        <f>IF('CG. MPA'!E124="CONCRETO","F/DISEÑO",IF(M123&gt;N123,"NO PASA","PASA"))</f>
        <v>PASA</v>
      </c>
      <c r="P123" s="860" t="str">
        <f>IF(O123="pasa"," ",$P$24/('RMCV.PA'!C124*100))</f>
        <v xml:space="preserve"> </v>
      </c>
      <c r="Q123" s="861" t="str">
        <f>IF(O123="pasa"," ",IF('CG. MPA'!E124="CONCRETO","F/DISEÑO",IF(AND(X123&gt;P123,P123&gt;Y123),"BIEN","MAL")))</f>
        <v xml:space="preserve"> </v>
      </c>
      <c r="R123" s="860">
        <f>IF('CG. MPA'!F124="MACIZO",12/'RMCS.PA'!$P$25,9/'RMCS.PA'!$P$25)</f>
        <v>2.3999999999999998E-3</v>
      </c>
      <c r="S123" s="860">
        <f t="shared" si="77"/>
        <v>0</v>
      </c>
      <c r="T123" s="860">
        <f>IF(G123=0,0,IF(AND(G123=2,'RMCV.PA'!E72="III"),30,40))</f>
        <v>0</v>
      </c>
      <c r="U123" s="860">
        <f>IF(J123=0,0,IF(AND(J123=3,'RMCV.PA'!$E$17="I"),20,15))</f>
        <v>0</v>
      </c>
      <c r="V123" s="860">
        <f>IF(K123=0,0,IF(AND(K123=3.5,'RMCV.PA'!$E$17="I"),20,15))</f>
        <v>0</v>
      </c>
      <c r="W123" s="860">
        <f t="shared" si="78"/>
        <v>0</v>
      </c>
      <c r="X123" s="860">
        <f t="shared" si="79"/>
        <v>0</v>
      </c>
      <c r="Y123" s="860" t="e">
        <f>IF('CG. MPA'!E124="CONCRETO",0,IF(N123/(D123*$P$25*L123)&gt;3/$P$25,N123/(D123*$P$25*L123),3/$P$25))</f>
        <v>#DIV/0!</v>
      </c>
      <c r="Z123" s="862" t="e">
        <f t="shared" si="80"/>
        <v>#VALUE!</v>
      </c>
      <c r="AA123" s="860" t="e">
        <f t="shared" si="81"/>
        <v>#VALUE!</v>
      </c>
      <c r="AB123" s="863" t="e">
        <f t="shared" si="82"/>
        <v>#VALUE!</v>
      </c>
      <c r="AC123" s="864" t="str">
        <f t="shared" si="83"/>
        <v xml:space="preserve"> </v>
      </c>
      <c r="AD123" s="865" t="str">
        <f>IF(O123="pasa"," ",IF('CG. MPA'!E124="CONCRETO","F/DISEÑO",IF(AC123&gt;M123,"PASA","NO PASA")))</f>
        <v xml:space="preserve"> </v>
      </c>
      <c r="AE123" s="986" t="e">
        <f>$AE$23/($AE$26*'RMCV.PA'!C124)</f>
        <v>#DIV/0!</v>
      </c>
      <c r="AF123" s="986" t="e">
        <f t="shared" si="69"/>
        <v>#DIV/0!</v>
      </c>
      <c r="AG123" s="986">
        <f>IF(12/$AF$25&gt;'RMCV.PA'!F124*0.3/$AF$25,'RMCV.PA'!F124*0.3/$AF$25,12/$AF$25)</f>
        <v>0</v>
      </c>
      <c r="AH123" s="987" t="e">
        <f t="shared" si="70"/>
        <v>#DIV/0!</v>
      </c>
      <c r="AI123" s="986">
        <f>IF(9/$AF$25&gt;'RMCV.PA'!F124*0.3/$AF$25,'RMCV.PA'!F124*0.3/$AF$25,9/$AF$25)</f>
        <v>0</v>
      </c>
      <c r="AJ123" s="988" t="e">
        <f t="shared" si="71"/>
        <v>#DIV/0!</v>
      </c>
      <c r="AK123" s="989" t="e">
        <f t="shared" si="72"/>
        <v>#DIV/0!</v>
      </c>
      <c r="AL123" s="990">
        <f t="shared" si="73"/>
        <v>0</v>
      </c>
      <c r="AM123" s="1002">
        <f t="shared" si="74"/>
        <v>0</v>
      </c>
      <c r="AN123" s="991" t="str">
        <f>IF(O123="PASA"," ",IF('CG. MPA'!E124="CONCRETO","F/DISEÑO",IF(AM123&gt;N123,"PASA","NO PASA")))</f>
        <v xml:space="preserve"> </v>
      </c>
      <c r="AO123" s="1110" t="e">
        <f t="shared" si="93"/>
        <v>#VALUE!</v>
      </c>
    </row>
    <row r="124" spans="1:41">
      <c r="A124" s="850">
        <f>'CG. MPA'!A125</f>
        <v>46</v>
      </c>
      <c r="B124" s="851">
        <f>'RMCV.PA'!N125/1.3</f>
        <v>0</v>
      </c>
      <c r="C124" s="851">
        <f t="shared" si="75"/>
        <v>0</v>
      </c>
      <c r="D124" s="852">
        <f>IF('CG. MPA'!D125="NO CONFINADO",0.4,0.7)</f>
        <v>0.7</v>
      </c>
      <c r="E124" s="852">
        <f>IF('CG. MPA'!E125="CONCRETO",0.5*(0.8*250)^0.5,F124+G124+J124+K124)</f>
        <v>0</v>
      </c>
      <c r="F124" s="852">
        <f>IF(AND('CG. MPA'!E125="TABIQUE",'CG. MPA'!F125="MACIZO"),IF('RMCV.PA'!$E$17="I",3.5,3),0)</f>
        <v>0</v>
      </c>
      <c r="G124" s="852">
        <f>IF(AND('CG. MPA'!E125="TABIQUE",'CG. MPA'!F125="HUECO"),IF('RMCV.PA'!$E$17="I",3,5.5),0)</f>
        <v>0</v>
      </c>
      <c r="H124" s="852">
        <f>IF('CG. MPA'!E125="ADOBE",0.3,0)</f>
        <v>0</v>
      </c>
      <c r="I124" s="852">
        <f>IF('CG. MPA'!E125="LIGERO",0.5,0)</f>
        <v>0</v>
      </c>
      <c r="J124" s="852">
        <f>IF(AND('CG. MPA'!E125="TABICON",'CG. MPA'!F125="MACIZO"),IF('RMCV.PA'!$E$17="I",3,2),0)</f>
        <v>0</v>
      </c>
      <c r="K124" s="852">
        <f>IF(AND('CG. MPA'!E125="TABICON",'CG. MPA'!F125="HUECO"),IF('RMCV.PA'!$E$17="I",3.5,2.5),0)</f>
        <v>0</v>
      </c>
      <c r="L124" s="853">
        <f>'RMCV.PA'!M125</f>
        <v>0</v>
      </c>
      <c r="M124" s="960">
        <f>ABS('ELEM. MECA.'!O252)</f>
        <v>0</v>
      </c>
      <c r="N124" s="957">
        <f t="shared" si="76"/>
        <v>0</v>
      </c>
      <c r="O124" s="854" t="str">
        <f>IF('CG. MPA'!E125="CONCRETO","F/DISEÑO",IF(M124&gt;N124,"NO PASA","PASA"))</f>
        <v>PASA</v>
      </c>
      <c r="P124" s="860" t="str">
        <f>IF(O124="pasa"," ",$P$24/('RMCV.PA'!C125*100))</f>
        <v xml:space="preserve"> </v>
      </c>
      <c r="Q124" s="861" t="str">
        <f>IF(O124="pasa"," ",IF('CG. MPA'!E125="CONCRETO","F/DISEÑO",IF(AND(X124&gt;P124,P124&gt;Y124),"BIEN","MAL")))</f>
        <v xml:space="preserve"> </v>
      </c>
      <c r="R124" s="860">
        <f>IF('CG. MPA'!F125="MACIZO",12/'RMCS.PA'!$P$25,9/'RMCS.PA'!$P$25)</f>
        <v>2.3999999999999998E-3</v>
      </c>
      <c r="S124" s="860">
        <f t="shared" si="77"/>
        <v>0</v>
      </c>
      <c r="T124" s="860">
        <f>IF(G124=0,0,IF(AND(G124=2,'RMCV.PA'!E73="III"),30,40))</f>
        <v>0</v>
      </c>
      <c r="U124" s="860">
        <f>IF(J124=0,0,IF(AND(J124=3,'RMCV.PA'!$E$17="I"),20,15))</f>
        <v>0</v>
      </c>
      <c r="V124" s="860">
        <f>IF(K124=0,0,IF(AND(K124=3.5,'RMCV.PA'!$E$17="I"),20,15))</f>
        <v>0</v>
      </c>
      <c r="W124" s="860">
        <f t="shared" si="78"/>
        <v>0</v>
      </c>
      <c r="X124" s="860">
        <f t="shared" si="79"/>
        <v>0</v>
      </c>
      <c r="Y124" s="860" t="e">
        <f>IF('CG. MPA'!E125="CONCRETO",0,IF(N124/(D124*$P$25*L124)&gt;3/$P$25,N124/(D124*$P$25*L124),3/$P$25))</f>
        <v>#DIV/0!</v>
      </c>
      <c r="Z124" s="862" t="e">
        <f t="shared" si="80"/>
        <v>#VALUE!</v>
      </c>
      <c r="AA124" s="860" t="e">
        <f t="shared" si="81"/>
        <v>#VALUE!</v>
      </c>
      <c r="AB124" s="863" t="e">
        <f t="shared" si="82"/>
        <v>#VALUE!</v>
      </c>
      <c r="AC124" s="864" t="str">
        <f t="shared" si="83"/>
        <v xml:space="preserve"> </v>
      </c>
      <c r="AD124" s="865" t="str">
        <f>IF(O124="pasa"," ",IF('CG. MPA'!E125="CONCRETO","F/DISEÑO",IF(AC124&gt;M124,"PASA","NO PASA")))</f>
        <v xml:space="preserve"> </v>
      </c>
      <c r="AE124" s="986" t="e">
        <f>$AE$23/($AE$26*'RMCV.PA'!C125)</f>
        <v>#DIV/0!</v>
      </c>
      <c r="AF124" s="986" t="e">
        <f t="shared" si="69"/>
        <v>#DIV/0!</v>
      </c>
      <c r="AG124" s="986">
        <f>IF(12/$AF$25&gt;'RMCV.PA'!F125*0.3/$AF$25,'RMCV.PA'!F125*0.3/$AF$25,12/$AF$25)</f>
        <v>0</v>
      </c>
      <c r="AH124" s="987" t="e">
        <f t="shared" si="70"/>
        <v>#DIV/0!</v>
      </c>
      <c r="AI124" s="986">
        <f>IF(9/$AF$25&gt;'RMCV.PA'!F125*0.3/$AF$25,'RMCV.PA'!F125*0.3/$AF$25,9/$AF$25)</f>
        <v>0</v>
      </c>
      <c r="AJ124" s="988" t="e">
        <f t="shared" si="71"/>
        <v>#DIV/0!</v>
      </c>
      <c r="AK124" s="989" t="e">
        <f t="shared" si="72"/>
        <v>#DIV/0!</v>
      </c>
      <c r="AL124" s="990">
        <f t="shared" si="73"/>
        <v>0</v>
      </c>
      <c r="AM124" s="1002">
        <f t="shared" si="74"/>
        <v>0</v>
      </c>
      <c r="AN124" s="991" t="str">
        <f>IF(O124="PASA"," ",IF('CG. MPA'!E125="CONCRETO","F/DISEÑO",IF(AM124&gt;N124,"PASA","NO PASA")))</f>
        <v xml:space="preserve"> </v>
      </c>
      <c r="AO124" s="1110" t="e">
        <f t="shared" si="93"/>
        <v>#VALUE!</v>
      </c>
    </row>
    <row r="125" spans="1:41">
      <c r="A125" s="850">
        <f>'CG. MPA'!A126</f>
        <v>47</v>
      </c>
      <c r="B125" s="851">
        <f>'RMCV.PA'!N126/1.3</f>
        <v>0</v>
      </c>
      <c r="C125" s="851">
        <f t="shared" si="75"/>
        <v>0</v>
      </c>
      <c r="D125" s="852">
        <f>IF('CG. MPA'!D126="NO CONFINADO",0.4,0.7)</f>
        <v>0.7</v>
      </c>
      <c r="E125" s="852">
        <f>IF('CG. MPA'!E126="CONCRETO",0.5*(0.8*250)^0.5,F125+G125+J125+K125)</f>
        <v>0</v>
      </c>
      <c r="F125" s="852">
        <f>IF(AND('CG. MPA'!E126="TABIQUE",'CG. MPA'!F126="MACIZO"),IF('RMCV.PA'!$E$17="I",3.5,3),0)</f>
        <v>0</v>
      </c>
      <c r="G125" s="852">
        <f>IF(AND('CG. MPA'!E126="TABIQUE",'CG. MPA'!F126="HUECO"),IF('RMCV.PA'!$E$17="I",3,5.5),0)</f>
        <v>0</v>
      </c>
      <c r="H125" s="852">
        <f>IF('CG. MPA'!E126="ADOBE",0.3,0)</f>
        <v>0</v>
      </c>
      <c r="I125" s="852">
        <f>IF('CG. MPA'!E126="LIGERO",0.5,0)</f>
        <v>0</v>
      </c>
      <c r="J125" s="852">
        <f>IF(AND('CG. MPA'!E126="TABICON",'CG. MPA'!F126="MACIZO"),IF('RMCV.PA'!$E$17="I",3,2),0)</f>
        <v>0</v>
      </c>
      <c r="K125" s="852">
        <f>IF(AND('CG. MPA'!E126="TABICON",'CG. MPA'!F126="HUECO"),IF('RMCV.PA'!$E$17="I",3.5,2.5),0)</f>
        <v>0</v>
      </c>
      <c r="L125" s="853">
        <f>'RMCV.PA'!M126</f>
        <v>0</v>
      </c>
      <c r="M125" s="960">
        <f>ABS('ELEM. MECA.'!O253)</f>
        <v>0</v>
      </c>
      <c r="N125" s="957">
        <f t="shared" si="76"/>
        <v>0</v>
      </c>
      <c r="O125" s="854" t="str">
        <f>IF('CG. MPA'!E126="CONCRETO","F/DISEÑO",IF(M125&gt;N125,"NO PASA","PASA"))</f>
        <v>PASA</v>
      </c>
      <c r="P125" s="860" t="str">
        <f>IF(O125="pasa"," ",$P$24/('RMCV.PA'!C126*100))</f>
        <v xml:space="preserve"> </v>
      </c>
      <c r="Q125" s="861" t="str">
        <f>IF(O125="pasa"," ",IF('CG. MPA'!E126="CONCRETO","F/DISEÑO",IF(AND(X125&gt;P125,P125&gt;Y125),"BIEN","MAL")))</f>
        <v xml:space="preserve"> </v>
      </c>
      <c r="R125" s="860">
        <f>IF('CG. MPA'!F126="MACIZO",12/'RMCS.PA'!$P$25,9/'RMCS.PA'!$P$25)</f>
        <v>2.3999999999999998E-3</v>
      </c>
      <c r="S125" s="860">
        <f t="shared" si="77"/>
        <v>0</v>
      </c>
      <c r="T125" s="860">
        <f>IF(G125=0,0,IF(AND(G125=2,'RMCV.PA'!E74="III"),30,40))</f>
        <v>0</v>
      </c>
      <c r="U125" s="860">
        <f>IF(J125=0,0,IF(AND(J125=3,'RMCV.PA'!$E$17="I"),20,15))</f>
        <v>0</v>
      </c>
      <c r="V125" s="860">
        <f>IF(K125=0,0,IF(AND(K125=3.5,'RMCV.PA'!$E$17="I"),20,15))</f>
        <v>0</v>
      </c>
      <c r="W125" s="860">
        <f t="shared" si="78"/>
        <v>0</v>
      </c>
      <c r="X125" s="860">
        <f t="shared" si="79"/>
        <v>0</v>
      </c>
      <c r="Y125" s="860" t="e">
        <f>IF('CG. MPA'!E126="CONCRETO",0,IF(N125/(D125*$P$25*L125)&gt;3/$P$25,N125/(D125*$P$25*L125),3/$P$25))</f>
        <v>#DIV/0!</v>
      </c>
      <c r="Z125" s="862" t="e">
        <f t="shared" si="80"/>
        <v>#VALUE!</v>
      </c>
      <c r="AA125" s="860" t="e">
        <f t="shared" si="81"/>
        <v>#VALUE!</v>
      </c>
      <c r="AB125" s="863" t="e">
        <f t="shared" si="82"/>
        <v>#VALUE!</v>
      </c>
      <c r="AC125" s="864" t="str">
        <f t="shared" si="83"/>
        <v xml:space="preserve"> </v>
      </c>
      <c r="AD125" s="865" t="str">
        <f>IF(O125="pasa"," ",IF('CG. MPA'!E126="CONCRETO","F/DISEÑO",IF(AC125&gt;M125,"PASA","NO PASA")))</f>
        <v xml:space="preserve"> </v>
      </c>
      <c r="AE125" s="986" t="e">
        <f>$AE$23/($AE$26*'RMCV.PA'!C126)</f>
        <v>#DIV/0!</v>
      </c>
      <c r="AF125" s="986" t="e">
        <f t="shared" si="69"/>
        <v>#DIV/0!</v>
      </c>
      <c r="AG125" s="986">
        <f>IF(12/$AF$25&gt;'RMCV.PA'!F126*0.3/$AF$25,'RMCV.PA'!F126*0.3/$AF$25,12/$AF$25)</f>
        <v>0</v>
      </c>
      <c r="AH125" s="987" t="e">
        <f t="shared" si="70"/>
        <v>#DIV/0!</v>
      </c>
      <c r="AI125" s="986">
        <f>IF(9/$AF$25&gt;'RMCV.PA'!F126*0.3/$AF$25,'RMCV.PA'!F126*0.3/$AF$25,9/$AF$25)</f>
        <v>0</v>
      </c>
      <c r="AJ125" s="988" t="e">
        <f t="shared" si="71"/>
        <v>#DIV/0!</v>
      </c>
      <c r="AK125" s="989" t="e">
        <f t="shared" si="72"/>
        <v>#DIV/0!</v>
      </c>
      <c r="AL125" s="990">
        <f t="shared" si="73"/>
        <v>0</v>
      </c>
      <c r="AM125" s="1002">
        <f t="shared" si="74"/>
        <v>0</v>
      </c>
      <c r="AN125" s="991" t="str">
        <f>IF(O125="PASA"," ",IF('CG. MPA'!E126="CONCRETO","F/DISEÑO",IF(AM125&gt;N125,"PASA","NO PASA")))</f>
        <v xml:space="preserve"> </v>
      </c>
      <c r="AO125" s="1110" t="e">
        <f t="shared" si="93"/>
        <v>#VALUE!</v>
      </c>
    </row>
    <row r="126" spans="1:41">
      <c r="A126" s="850">
        <f>'CG. MPA'!A127</f>
        <v>48</v>
      </c>
      <c r="B126" s="851">
        <f>'RMCV.PA'!N127/1.3</f>
        <v>0</v>
      </c>
      <c r="C126" s="851">
        <f t="shared" si="75"/>
        <v>0</v>
      </c>
      <c r="D126" s="852">
        <f>IF('CG. MPA'!D127="NO CONFINADO",0.4,0.7)</f>
        <v>0.7</v>
      </c>
      <c r="E126" s="852">
        <f>IF('CG. MPA'!E127="CONCRETO",0.5*(0.8*250)^0.5,F126+G126+J126+K126)</f>
        <v>0</v>
      </c>
      <c r="F126" s="852">
        <f>IF(AND('CG. MPA'!E127="TABIQUE",'CG. MPA'!F127="MACIZO"),IF('RMCV.PA'!$E$17="I",3.5,3),0)</f>
        <v>0</v>
      </c>
      <c r="G126" s="852">
        <f>IF(AND('CG. MPA'!E127="TABIQUE",'CG. MPA'!F127="HUECO"),IF('RMCV.PA'!$E$17="I",3,5.5),0)</f>
        <v>0</v>
      </c>
      <c r="H126" s="852">
        <f>IF('CG. MPA'!E127="ADOBE",0.3,0)</f>
        <v>0</v>
      </c>
      <c r="I126" s="852">
        <f>IF('CG. MPA'!E127="LIGERO",0.5,0)</f>
        <v>0</v>
      </c>
      <c r="J126" s="852">
        <f>IF(AND('CG. MPA'!E127="TABICON",'CG. MPA'!F127="MACIZO"),IF('RMCV.PA'!$E$17="I",3,2),0)</f>
        <v>0</v>
      </c>
      <c r="K126" s="852">
        <f>IF(AND('CG. MPA'!E127="TABICON",'CG. MPA'!F127="HUECO"),IF('RMCV.PA'!$E$17="I",3.5,2.5),0)</f>
        <v>0</v>
      </c>
      <c r="L126" s="853">
        <f>'RMCV.PA'!M127</f>
        <v>0</v>
      </c>
      <c r="M126" s="960">
        <f>ABS('ELEM. MECA.'!O254)</f>
        <v>0</v>
      </c>
      <c r="N126" s="957">
        <f t="shared" si="76"/>
        <v>0</v>
      </c>
      <c r="O126" s="854" t="str">
        <f>IF('CG. MPA'!E127="CONCRETO","F/DISEÑO",IF(M126&gt;N126,"NO PASA","PASA"))</f>
        <v>PASA</v>
      </c>
      <c r="P126" s="860" t="str">
        <f>IF(O126="pasa"," ",$P$24/('RMCV.PA'!C127*100))</f>
        <v xml:space="preserve"> </v>
      </c>
      <c r="Q126" s="861" t="str">
        <f>IF(O126="pasa"," ",IF('CG. MPA'!E127="CONCRETO","F/DISEÑO",IF(AND(X126&gt;P126,P126&gt;Y126),"BIEN","MAL")))</f>
        <v xml:space="preserve"> </v>
      </c>
      <c r="R126" s="860">
        <f>IF('CG. MPA'!F127="MACIZO",12/'RMCS.PA'!$P$25,9/'RMCS.PA'!$P$25)</f>
        <v>2.3999999999999998E-3</v>
      </c>
      <c r="S126" s="860">
        <f t="shared" si="77"/>
        <v>0</v>
      </c>
      <c r="T126" s="860">
        <f>IF(G126=0,0,IF(AND(G126=2,'RMCV.PA'!E75="III"),30,40))</f>
        <v>0</v>
      </c>
      <c r="U126" s="860">
        <f>IF(J126=0,0,IF(AND(J126=3,'RMCV.PA'!$E$17="I"),20,15))</f>
        <v>0</v>
      </c>
      <c r="V126" s="860">
        <f>IF(K126=0,0,IF(AND(K126=3.5,'RMCV.PA'!$E$17="I"),20,15))</f>
        <v>0</v>
      </c>
      <c r="W126" s="860">
        <f t="shared" si="78"/>
        <v>0</v>
      </c>
      <c r="X126" s="860">
        <f t="shared" si="79"/>
        <v>0</v>
      </c>
      <c r="Y126" s="860" t="e">
        <f>IF('CG. MPA'!E127="CONCRETO",0,IF(N126/(D126*$P$25*L126)&gt;3/$P$25,N126/(D126*$P$25*L126),3/$P$25))</f>
        <v>#DIV/0!</v>
      </c>
      <c r="Z126" s="862" t="e">
        <f t="shared" si="80"/>
        <v>#VALUE!</v>
      </c>
      <c r="AA126" s="860" t="e">
        <f t="shared" si="81"/>
        <v>#VALUE!</v>
      </c>
      <c r="AB126" s="863" t="e">
        <f t="shared" si="82"/>
        <v>#VALUE!</v>
      </c>
      <c r="AC126" s="864" t="str">
        <f t="shared" si="83"/>
        <v xml:space="preserve"> </v>
      </c>
      <c r="AD126" s="865" t="str">
        <f>IF(O126="pasa"," ",IF('CG. MPA'!E127="CONCRETO","F/DISEÑO",IF(AC126&gt;M126,"PASA","NO PASA")))</f>
        <v xml:space="preserve"> </v>
      </c>
      <c r="AE126" s="986" t="e">
        <f>$AE$23/($AE$26*'RMCV.PA'!C127)</f>
        <v>#DIV/0!</v>
      </c>
      <c r="AF126" s="986" t="e">
        <f t="shared" si="69"/>
        <v>#DIV/0!</v>
      </c>
      <c r="AG126" s="986">
        <f>IF(12/$AF$25&gt;'RMCV.PA'!F127*0.3/$AF$25,'RMCV.PA'!F127*0.3/$AF$25,12/$AF$25)</f>
        <v>0</v>
      </c>
      <c r="AH126" s="987" t="e">
        <f t="shared" si="70"/>
        <v>#DIV/0!</v>
      </c>
      <c r="AI126" s="986">
        <f>IF(9/$AF$25&gt;'RMCV.PA'!F127*0.3/$AF$25,'RMCV.PA'!F127*0.3/$AF$25,9/$AF$25)</f>
        <v>0</v>
      </c>
      <c r="AJ126" s="988" t="e">
        <f t="shared" si="71"/>
        <v>#DIV/0!</v>
      </c>
      <c r="AK126" s="989" t="e">
        <f t="shared" si="72"/>
        <v>#DIV/0!</v>
      </c>
      <c r="AL126" s="990">
        <f t="shared" si="73"/>
        <v>0</v>
      </c>
      <c r="AM126" s="1002">
        <f t="shared" si="74"/>
        <v>0</v>
      </c>
      <c r="AN126" s="991" t="str">
        <f>IF(O126="PASA"," ",IF('CG. MPA'!E127="CONCRETO","F/DISEÑO",IF(AM126&gt;N126,"PASA","NO PASA")))</f>
        <v xml:space="preserve"> </v>
      </c>
      <c r="AO126" s="1110" t="e">
        <f t="shared" si="93"/>
        <v>#VALUE!</v>
      </c>
    </row>
    <row r="127" spans="1:41">
      <c r="A127" s="850">
        <f>'CG. MPA'!A128</f>
        <v>49</v>
      </c>
      <c r="B127" s="851">
        <f>'RMCV.PA'!N128/1.3</f>
        <v>0</v>
      </c>
      <c r="C127" s="851">
        <f t="shared" si="75"/>
        <v>0</v>
      </c>
      <c r="D127" s="852">
        <f>IF('CG. MPA'!D128="NO CONFINADO",0.4,0.7)</f>
        <v>0.7</v>
      </c>
      <c r="E127" s="852">
        <f>IF('CG. MPA'!E128="CONCRETO",0.5*(0.8*250)^0.5,F127+G127+J127+K127)</f>
        <v>0</v>
      </c>
      <c r="F127" s="852">
        <f>IF(AND('CG. MPA'!E128="TABIQUE",'CG. MPA'!F128="MACIZO"),IF('RMCV.PA'!$E$17="I",3.5,3),0)</f>
        <v>0</v>
      </c>
      <c r="G127" s="852">
        <f>IF(AND('CG. MPA'!E128="TABIQUE",'CG. MPA'!F128="HUECO"),IF('RMCV.PA'!$E$17="I",3,5.5),0)</f>
        <v>0</v>
      </c>
      <c r="H127" s="852">
        <f>IF('CG. MPA'!E128="ADOBE",0.3,0)</f>
        <v>0</v>
      </c>
      <c r="I127" s="852">
        <f>IF('CG. MPA'!E128="LIGERO",0.5,0)</f>
        <v>0</v>
      </c>
      <c r="J127" s="852">
        <f>IF(AND('CG. MPA'!E128="TABICON",'CG. MPA'!F128="MACIZO"),IF('RMCV.PA'!$E$17="I",3,2),0)</f>
        <v>0</v>
      </c>
      <c r="K127" s="852">
        <f>IF(AND('CG. MPA'!E128="TABICON",'CG. MPA'!F128="HUECO"),IF('RMCV.PA'!$E$17="I",3.5,2.5),0)</f>
        <v>0</v>
      </c>
      <c r="L127" s="853">
        <f>'RMCV.PA'!M128</f>
        <v>0</v>
      </c>
      <c r="M127" s="960">
        <f>ABS('ELEM. MECA.'!O255)</f>
        <v>0</v>
      </c>
      <c r="N127" s="957">
        <f t="shared" si="76"/>
        <v>0</v>
      </c>
      <c r="O127" s="854" t="str">
        <f>IF('CG. MPA'!E128="CONCRETO","F/DISEÑO",IF(M127&gt;N127,"NO PASA","PASA"))</f>
        <v>PASA</v>
      </c>
      <c r="P127" s="860" t="str">
        <f>IF(O127="pasa"," ",$P$24/('RMCV.PA'!C128*100))</f>
        <v xml:space="preserve"> </v>
      </c>
      <c r="Q127" s="861" t="str">
        <f>IF(O127="pasa"," ",IF('CG. MPA'!E128="CONCRETO","F/DISEÑO",IF(AND(X127&gt;P127,P127&gt;Y127),"BIEN","MAL")))</f>
        <v xml:space="preserve"> </v>
      </c>
      <c r="R127" s="860">
        <f>IF('CG. MPA'!F128="MACIZO",12/'RMCS.PA'!$P$25,9/'RMCS.PA'!$P$25)</f>
        <v>2.3999999999999998E-3</v>
      </c>
      <c r="S127" s="860">
        <f t="shared" si="77"/>
        <v>0</v>
      </c>
      <c r="T127" s="860">
        <f>IF(G127=0,0,IF(AND(G127=2,'RMCV.PA'!E76="III"),30,40))</f>
        <v>0</v>
      </c>
      <c r="U127" s="860">
        <f>IF(J127=0,0,IF(AND(J127=3,'RMCV.PA'!$E$17="I"),20,15))</f>
        <v>0</v>
      </c>
      <c r="V127" s="860">
        <f>IF(K127=0,0,IF(AND(K127=3.5,'RMCV.PA'!$E$17="I"),20,15))</f>
        <v>0</v>
      </c>
      <c r="W127" s="860">
        <f t="shared" si="78"/>
        <v>0</v>
      </c>
      <c r="X127" s="860">
        <f t="shared" si="79"/>
        <v>0</v>
      </c>
      <c r="Y127" s="860" t="e">
        <f>IF('CG. MPA'!E128="CONCRETO",0,IF(N127/(D127*$P$25*L127)&gt;3/$P$25,N127/(D127*$P$25*L127),3/$P$25))</f>
        <v>#DIV/0!</v>
      </c>
      <c r="Z127" s="862" t="e">
        <f t="shared" si="80"/>
        <v>#VALUE!</v>
      </c>
      <c r="AA127" s="860" t="e">
        <f t="shared" si="81"/>
        <v>#VALUE!</v>
      </c>
      <c r="AB127" s="863" t="e">
        <f t="shared" si="82"/>
        <v>#VALUE!</v>
      </c>
      <c r="AC127" s="864" t="str">
        <f t="shared" si="83"/>
        <v xml:space="preserve"> </v>
      </c>
      <c r="AD127" s="865" t="str">
        <f>IF(O127="pasa"," ",IF('CG. MPA'!E128="CONCRETO","F/DISEÑO",IF(AC127&gt;M127,"PASA","NO PASA")))</f>
        <v xml:space="preserve"> </v>
      </c>
      <c r="AE127" s="986" t="e">
        <f>$AE$23/($AE$26*'RMCV.PA'!C128)</f>
        <v>#DIV/0!</v>
      </c>
      <c r="AF127" s="986" t="e">
        <f t="shared" si="69"/>
        <v>#DIV/0!</v>
      </c>
      <c r="AG127" s="986">
        <f>IF(12/$AF$25&gt;'RMCV.PA'!F128*0.3/$AF$25,'RMCV.PA'!F128*0.3/$AF$25,12/$AF$25)</f>
        <v>0</v>
      </c>
      <c r="AH127" s="987" t="e">
        <f t="shared" si="70"/>
        <v>#DIV/0!</v>
      </c>
      <c r="AI127" s="986">
        <f>IF(9/$AF$25&gt;'RMCV.PA'!F128*0.3/$AF$25,'RMCV.PA'!F128*0.3/$AF$25,9/$AF$25)</f>
        <v>0</v>
      </c>
      <c r="AJ127" s="988" t="e">
        <f t="shared" si="71"/>
        <v>#DIV/0!</v>
      </c>
      <c r="AK127" s="989" t="e">
        <f t="shared" si="72"/>
        <v>#DIV/0!</v>
      </c>
      <c r="AL127" s="990">
        <f t="shared" si="73"/>
        <v>0</v>
      </c>
      <c r="AM127" s="1002">
        <f t="shared" si="74"/>
        <v>0</v>
      </c>
      <c r="AN127" s="991" t="str">
        <f>IF(O127="PASA"," ",IF('CG. MPA'!E128="CONCRETO","F/DISEÑO",IF(AM127&gt;N127,"PASA","NO PASA")))</f>
        <v xml:space="preserve"> </v>
      </c>
      <c r="AO127" s="1110" t="e">
        <f t="shared" si="93"/>
        <v>#VALUE!</v>
      </c>
    </row>
    <row r="128" spans="1:41" ht="15.75" thickBot="1">
      <c r="A128" s="888">
        <f>'CG. MPA'!A129</f>
        <v>50</v>
      </c>
      <c r="B128" s="889">
        <f>'RMCV.PA'!N129/1.3</f>
        <v>0</v>
      </c>
      <c r="C128" s="889">
        <f t="shared" si="75"/>
        <v>0</v>
      </c>
      <c r="D128" s="890">
        <f>IF('CG. MPA'!D129="NO CONFINADO",0.4,0.7)</f>
        <v>0.7</v>
      </c>
      <c r="E128" s="890">
        <f>IF('CG. MPA'!E129="CONCRETO",0.5*(0.8*250)^0.5,F128+G128+J128+K128)</f>
        <v>0</v>
      </c>
      <c r="F128" s="890">
        <f>IF(AND('CG. MPA'!E129="TABIQUE",'CG. MPA'!F129="MACIZO"),IF('RMCV.PA'!$E$17="I",3.5,3),0)</f>
        <v>0</v>
      </c>
      <c r="G128" s="890">
        <f>IF(AND('CG. MPA'!E129="TABIQUE",'CG. MPA'!F129="HUECO"),IF('RMCV.PA'!$E$17="I",3,5.5),0)</f>
        <v>0</v>
      </c>
      <c r="H128" s="890">
        <f>IF('CG. MPA'!E129="ADOBE",0.3,0)</f>
        <v>0</v>
      </c>
      <c r="I128" s="890">
        <f>IF('CG. MPA'!E129="LIGERO",0.5,0)</f>
        <v>0</v>
      </c>
      <c r="J128" s="890">
        <f>IF(AND('CG. MPA'!E129="TABICON",'CG. MPA'!F129="MACIZO"),IF('RMCV.PA'!$E$17="I",3,2),0)</f>
        <v>0</v>
      </c>
      <c r="K128" s="890">
        <f>IF(AND('CG. MPA'!E129="TABICON",'CG. MPA'!F129="HUECO"),IF('RMCV.PA'!$E$17="I",3.5,2.5),0)</f>
        <v>0</v>
      </c>
      <c r="L128" s="891">
        <f>'RMCV.PA'!M129</f>
        <v>0</v>
      </c>
      <c r="M128" s="960">
        <f>ABS('ELEM. MECA.'!O256)</f>
        <v>0</v>
      </c>
      <c r="N128" s="961">
        <f t="shared" si="76"/>
        <v>0</v>
      </c>
      <c r="O128" s="892" t="str">
        <f>IF('CG. MPA'!E129="CONCRETO","F/DISEÑO",IF(M128&gt;N128,"NO PASA","PASA"))</f>
        <v>PASA</v>
      </c>
      <c r="P128" s="860" t="str">
        <f>IF(O128="pasa"," ",$P$24/('RMCV.PA'!C129*100))</f>
        <v xml:space="preserve"> </v>
      </c>
      <c r="Q128" s="893" t="str">
        <f>IF(O128="pasa"," ",IF('CG. MPA'!E129="CONCRETO","F/DISEÑO",IF(AND(X128&gt;P128,P128&gt;Y128),"BIEN","MAL")))</f>
        <v xml:space="preserve"> </v>
      </c>
      <c r="R128" s="879">
        <f>IF('CG. MPA'!F129="MACIZO",12/'RMCS.PA'!$P$25,9/'RMCS.PA'!$P$25)</f>
        <v>2.3999999999999998E-3</v>
      </c>
      <c r="S128" s="879">
        <f t="shared" si="77"/>
        <v>0</v>
      </c>
      <c r="T128" s="879">
        <f>IF(G128=0,0,IF(AND(G128=2,'RMCV.PA'!E77="III"),30,40))</f>
        <v>0</v>
      </c>
      <c r="U128" s="879">
        <f>IF(J128=0,0,IF(AND(J128=3,'RMCV.PA'!$E$17="I"),20,15))</f>
        <v>0</v>
      </c>
      <c r="V128" s="879">
        <f>IF(K128=0,0,IF(AND(K128=3.5,'RMCV.PA'!$E$17="I"),20,15))</f>
        <v>0</v>
      </c>
      <c r="W128" s="879">
        <f t="shared" si="78"/>
        <v>0</v>
      </c>
      <c r="X128" s="879">
        <f t="shared" si="79"/>
        <v>0</v>
      </c>
      <c r="Y128" s="879" t="e">
        <f>IF('CG. MPA'!E129="CONCRETO",0,IF(N128/(D128*$P$25*L128)&gt;3/$P$25,N128/(D128*$P$25*L128),3/$P$25))</f>
        <v>#DIV/0!</v>
      </c>
      <c r="Z128" s="894" t="e">
        <f t="shared" si="80"/>
        <v>#VALUE!</v>
      </c>
      <c r="AA128" s="879" t="e">
        <f t="shared" si="81"/>
        <v>#VALUE!</v>
      </c>
      <c r="AB128" s="895" t="e">
        <f t="shared" si="82"/>
        <v>#VALUE!</v>
      </c>
      <c r="AC128" s="896" t="str">
        <f t="shared" si="83"/>
        <v xml:space="preserve"> </v>
      </c>
      <c r="AD128" s="897" t="str">
        <f>IF(O128="pasa"," ",IF('CG. MPA'!E129="CONCRETO","F/DISEÑO",IF(AC128&gt;M128,"PASA","NO PASA")))</f>
        <v xml:space="preserve"> </v>
      </c>
      <c r="AE128" s="995" t="e">
        <f>$AE$23/($AE$26*'RMCV.PA'!C129)</f>
        <v>#DIV/0!</v>
      </c>
      <c r="AF128" s="996" t="e">
        <f t="shared" si="69"/>
        <v>#DIV/0!</v>
      </c>
      <c r="AG128" s="996">
        <f>IF(12/$AF$25&gt;'RMCV.PA'!F129*0.3/$AF$25,'RMCV.PA'!F129*0.3/$AF$25,12/$AF$25)</f>
        <v>0</v>
      </c>
      <c r="AH128" s="997" t="e">
        <f t="shared" si="70"/>
        <v>#DIV/0!</v>
      </c>
      <c r="AI128" s="996">
        <f>IF(9/$AF$25&gt;'RMCV.PA'!F129*0.3/$AF$25,'RMCV.PA'!F129*0.3/$AF$25,9/$AF$25)</f>
        <v>0</v>
      </c>
      <c r="AJ128" s="998" t="e">
        <f t="shared" si="71"/>
        <v>#DIV/0!</v>
      </c>
      <c r="AK128" s="999" t="e">
        <f t="shared" si="72"/>
        <v>#DIV/0!</v>
      </c>
      <c r="AL128" s="1000">
        <f t="shared" si="73"/>
        <v>0</v>
      </c>
      <c r="AM128" s="1004">
        <f t="shared" si="74"/>
        <v>0</v>
      </c>
      <c r="AN128" s="1001" t="str">
        <f>IF(O128="PASA"," ",IF('CG. MPA'!E129="CONCRETO","F/DISEÑO",IF(AM128&gt;N128,"PASA","NO PASA")))</f>
        <v xml:space="preserve"> </v>
      </c>
      <c r="AO128" s="1110" t="e">
        <f t="shared" si="93"/>
        <v>#VALUE!</v>
      </c>
    </row>
  </sheetData>
  <mergeCells count="4">
    <mergeCell ref="AF21:AN21"/>
    <mergeCell ref="F22:G22"/>
    <mergeCell ref="J22:K22"/>
    <mergeCell ref="P21:AD21"/>
  </mergeCells>
  <phoneticPr fontId="0" type="noConversion"/>
  <conditionalFormatting sqref="O1:O1048576">
    <cfRule type="containsText" dxfId="14" priority="5" operator="containsText" text="NO PASA">
      <formula>NOT(ISERROR(SEARCH("NO PASA",O1)))</formula>
    </cfRule>
    <cfRule type="containsText" dxfId="13" priority="6" operator="containsText" text="SE ACEPTA">
      <formula>NOT(ISERROR(SEARCH("SE ACEPTA",O1)))</formula>
    </cfRule>
    <cfRule type="containsText" dxfId="12" priority="7" operator="containsText" text="PASA">
      <formula>NOT(ISERROR(SEARCH("PASA",O1)))</formula>
    </cfRule>
  </conditionalFormatting>
  <conditionalFormatting sqref="AN28:AN128 AD1:AD1048576">
    <cfRule type="containsText" dxfId="11" priority="3" operator="containsText" text="NO PASA">
      <formula>NOT(ISERROR(SEARCH("NO PASA",AD1)))</formula>
    </cfRule>
    <cfRule type="containsText" dxfId="10" priority="4" operator="containsText" text="PASA">
      <formula>NOT(ISERROR(SEARCH("PASA",AD1)))</formula>
    </cfRule>
  </conditionalFormatting>
  <pageMargins left="0.59055118110236227" right="0.39370078740157483" top="0.39370078740157483" bottom="0.39370078740157483" header="0" footer="0"/>
  <pageSetup scale="55" orientation="portrait" horizontalDpi="300" verticalDpi="300" r:id="rId1"/>
  <headerFooter alignWithMargins="0">
    <oddFooter>&amp;L&amp;"Arial,Normal"TEL (FAX) 01 951 51 4 28 30&amp;C_________________________________________________________________________________________________________________________________________________________________
.&amp;R&amp;"Arial,Normal"CED. PROF. 1718634</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43C30-A61B-41C5-A9CF-DE7B9E3F9BD0}">
  <sheetPr codeName="Hoja4">
    <tabColor rgb="FF00B0F0"/>
  </sheetPr>
  <dimension ref="A1:Y150"/>
  <sheetViews>
    <sheetView showGridLines="0" zoomScale="85" zoomScaleNormal="85" workbookViewId="0">
      <selection activeCell="A13" sqref="A13:M81"/>
    </sheetView>
  </sheetViews>
  <sheetFormatPr baseColWidth="10" defaultColWidth="11" defaultRowHeight="15"/>
  <cols>
    <col min="1" max="1" width="7.375" style="4" customWidth="1"/>
    <col min="2" max="2" width="7.75" style="4" bestFit="1" customWidth="1"/>
    <col min="3" max="4" width="8.125" style="4" bestFit="1" customWidth="1"/>
    <col min="5" max="5" width="8" style="4" customWidth="1"/>
    <col min="6" max="6" width="8.125" style="4" bestFit="1" customWidth="1"/>
    <col min="7" max="7" width="8.125" style="4" customWidth="1"/>
    <col min="8" max="9" width="10.25" style="4" bestFit="1" customWidth="1"/>
    <col min="10" max="10" width="13.5" style="4" customWidth="1"/>
    <col min="11" max="11" width="15.75" style="909" bestFit="1" customWidth="1"/>
    <col min="12" max="12" width="16.5" style="909" bestFit="1" customWidth="1"/>
    <col min="13" max="13" width="12.25" style="4" customWidth="1"/>
    <col min="14" max="25" width="11" style="4" hidden="1" customWidth="1"/>
    <col min="26" max="27" width="0" style="4" hidden="1" customWidth="1"/>
    <col min="28" max="16384" width="11" style="4"/>
  </cols>
  <sheetData>
    <row r="1" spans="1:13" customFormat="1" ht="12.75">
      <c r="A1" s="518"/>
      <c r="B1" s="518"/>
      <c r="C1" s="518"/>
      <c r="D1" s="518"/>
      <c r="E1" s="518"/>
      <c r="F1" s="518"/>
      <c r="G1" s="518"/>
      <c r="H1" s="518"/>
      <c r="I1" s="518"/>
      <c r="K1" s="907"/>
      <c r="L1" s="907"/>
    </row>
    <row r="2" spans="1:13" customFormat="1" ht="12.75">
      <c r="A2" s="518"/>
      <c r="B2" s="518"/>
      <c r="C2" s="518"/>
      <c r="D2" s="518"/>
      <c r="E2" s="518"/>
      <c r="F2" s="518"/>
      <c r="G2" s="518"/>
      <c r="H2" s="518"/>
      <c r="I2" s="518"/>
      <c r="K2" s="907"/>
      <c r="L2" s="907"/>
    </row>
    <row r="3" spans="1:13" customFormat="1" ht="12.75">
      <c r="A3" s="518"/>
      <c r="B3" s="518"/>
      <c r="C3" s="518"/>
      <c r="D3" s="518"/>
      <c r="E3" s="518"/>
      <c r="F3" s="518"/>
      <c r="G3" s="518"/>
      <c r="H3" s="518"/>
      <c r="I3" s="518"/>
      <c r="K3" s="907"/>
      <c r="L3" s="907"/>
    </row>
    <row r="4" spans="1:13" customFormat="1" ht="12.75">
      <c r="A4" s="518"/>
      <c r="B4" s="518"/>
      <c r="C4" s="518"/>
      <c r="D4" s="518"/>
      <c r="E4" s="518"/>
      <c r="F4" s="518"/>
      <c r="G4" s="518"/>
      <c r="H4" s="518"/>
      <c r="I4" s="518"/>
      <c r="K4" s="907"/>
      <c r="L4" s="907"/>
    </row>
    <row r="5" spans="1:13" customFormat="1" ht="12.75">
      <c r="A5" s="518"/>
      <c r="B5" s="518"/>
      <c r="C5" s="518"/>
      <c r="D5" s="518"/>
      <c r="E5" s="518"/>
      <c r="F5" s="518"/>
      <c r="G5" s="518"/>
      <c r="H5" s="518"/>
      <c r="I5" s="518"/>
      <c r="K5" s="907"/>
      <c r="L5" s="907"/>
    </row>
    <row r="6" spans="1:13" customFormat="1" ht="12.75">
      <c r="A6" s="518"/>
      <c r="B6" s="518"/>
      <c r="C6" s="518"/>
      <c r="D6" s="518"/>
      <c r="E6" s="518"/>
      <c r="F6" s="518"/>
      <c r="G6" s="518"/>
      <c r="H6" s="518"/>
      <c r="I6" s="518"/>
      <c r="K6" s="907"/>
      <c r="L6" s="907"/>
    </row>
    <row r="7" spans="1:13">
      <c r="A7" s="4" t="str">
        <f>'CG. MPB'!A7</f>
        <v>PROPIETARIO   : ING. ROLANDO ORTIZ RAMOS</v>
      </c>
    </row>
    <row r="8" spans="1:13">
      <c r="A8" s="4" t="str">
        <f>'CG. MPB'!A8</f>
        <v xml:space="preserve">OBRA                   : </v>
      </c>
    </row>
    <row r="9" spans="1:13">
      <c r="A9" s="4" t="str">
        <f>'CG. MPB'!A9</f>
        <v>LOCALIZACION : 1ª PRIVADA 13 DE SEPTIEMBRE, COL. VICENTE SUAREZ</v>
      </c>
    </row>
    <row r="10" spans="1:13" hidden="1">
      <c r="D10" s="4">
        <f>'CG. MPB'!D10</f>
        <v>0</v>
      </c>
    </row>
    <row r="11" spans="1:13" ht="15.75" hidden="1">
      <c r="A11" s="21" t="s">
        <v>272</v>
      </c>
      <c r="D11" s="4">
        <f>'CG. MPB'!D11</f>
        <v>0</v>
      </c>
    </row>
    <row r="12" spans="1:13" ht="15.75" thickBot="1"/>
    <row r="13" spans="1:13" ht="15.75">
      <c r="A13" s="15"/>
      <c r="B13" s="16"/>
      <c r="C13" s="16"/>
      <c r="D13" s="16"/>
      <c r="E13" s="16"/>
      <c r="F13" s="16"/>
      <c r="G13" s="16"/>
      <c r="H13" s="16"/>
      <c r="I13" s="16"/>
      <c r="J13" s="16"/>
      <c r="K13" s="962"/>
      <c r="L13" s="962"/>
      <c r="M13" s="771"/>
    </row>
    <row r="14" spans="1:13" ht="20.25">
      <c r="A14" s="673" t="s">
        <v>134</v>
      </c>
      <c r="B14" s="9"/>
      <c r="C14" s="9"/>
      <c r="D14" s="9"/>
      <c r="E14" s="9"/>
      <c r="F14" s="9"/>
      <c r="G14" s="9"/>
      <c r="H14" s="9"/>
      <c r="I14" s="9"/>
      <c r="J14" s="9"/>
      <c r="K14" s="911"/>
      <c r="L14" s="911"/>
      <c r="M14" s="674"/>
    </row>
    <row r="15" spans="1:13" ht="15.75">
      <c r="A15" s="646" t="str">
        <f>'CG. MPB'!A15:F15</f>
        <v xml:space="preserve"> PLANTA BAJA</v>
      </c>
      <c r="B15" s="9"/>
      <c r="C15" s="9"/>
      <c r="D15" s="9"/>
      <c r="E15" s="9"/>
      <c r="F15" s="9"/>
      <c r="G15" s="9"/>
      <c r="H15" s="9"/>
      <c r="I15" s="9"/>
      <c r="J15" s="9"/>
      <c r="K15" s="911"/>
      <c r="L15" s="911"/>
      <c r="M15" s="674"/>
    </row>
    <row r="16" spans="1:13" ht="16.5" thickBot="1">
      <c r="A16" s="772"/>
      <c r="B16" s="20"/>
      <c r="C16" s="20"/>
      <c r="D16" s="20"/>
      <c r="E16" s="20"/>
      <c r="F16" s="20"/>
      <c r="G16" s="20"/>
      <c r="H16" s="20"/>
      <c r="I16" s="20"/>
      <c r="J16" s="20"/>
      <c r="K16" s="963"/>
      <c r="L16" s="963"/>
      <c r="M16" s="773"/>
    </row>
    <row r="17" spans="1:25" ht="15.75" thickTop="1">
      <c r="A17" s="677"/>
      <c r="M17" s="210"/>
    </row>
    <row r="18" spans="1:25" ht="18.75">
      <c r="A18" s="677"/>
      <c r="F18" s="232" t="s">
        <v>78</v>
      </c>
      <c r="G18" s="553">
        <v>4200</v>
      </c>
      <c r="H18" s="234" t="s">
        <v>277</v>
      </c>
      <c r="M18" s="210"/>
    </row>
    <row r="19" spans="1:25" ht="15.75" hidden="1">
      <c r="A19" s="588" t="s">
        <v>91</v>
      </c>
      <c r="B19" s="26" t="s">
        <v>92</v>
      </c>
      <c r="C19" s="26" t="s">
        <v>93</v>
      </c>
      <c r="D19" s="26" t="s">
        <v>94</v>
      </c>
      <c r="E19" s="26" t="s">
        <v>95</v>
      </c>
      <c r="F19" s="26" t="s">
        <v>97</v>
      </c>
      <c r="G19" s="26" t="s">
        <v>99</v>
      </c>
      <c r="H19" s="26" t="s">
        <v>100</v>
      </c>
      <c r="I19" s="26" t="s">
        <v>101</v>
      </c>
      <c r="J19" s="26" t="s">
        <v>102</v>
      </c>
      <c r="K19" s="913" t="s">
        <v>103</v>
      </c>
      <c r="L19" s="913" t="s">
        <v>104</v>
      </c>
      <c r="M19" s="589" t="s">
        <v>105</v>
      </c>
    </row>
    <row r="20" spans="1:25" ht="16.5" thickBot="1">
      <c r="A20" s="588"/>
      <c r="B20" s="26"/>
      <c r="C20" s="26"/>
      <c r="D20" s="26"/>
      <c r="E20" s="26"/>
      <c r="F20" s="26"/>
      <c r="G20" s="26"/>
      <c r="H20" s="26"/>
      <c r="I20" s="26"/>
      <c r="J20" s="26"/>
      <c r="K20" s="913"/>
      <c r="L20" s="913"/>
      <c r="M20" s="589"/>
    </row>
    <row r="21" spans="1:25" ht="15.75" customHeight="1">
      <c r="A21" s="1141" t="s">
        <v>375</v>
      </c>
      <c r="B21" s="1142"/>
      <c r="C21" s="1142"/>
      <c r="D21" s="1142"/>
      <c r="E21" s="1142"/>
      <c r="F21" s="1142"/>
      <c r="G21" s="1142"/>
      <c r="H21" s="1142"/>
      <c r="I21" s="1142"/>
      <c r="J21" s="1142"/>
      <c r="K21" s="1142"/>
      <c r="L21" s="1142"/>
      <c r="M21" s="1143"/>
      <c r="N21" s="1157" t="s">
        <v>376</v>
      </c>
      <c r="O21" s="1157"/>
      <c r="P21" s="1157"/>
      <c r="Q21" s="1157"/>
      <c r="R21" s="1157"/>
      <c r="S21" s="1157"/>
      <c r="T21" s="1157"/>
      <c r="U21" s="1157"/>
      <c r="V21" s="1157"/>
      <c r="W21" s="1157"/>
      <c r="X21" s="1157"/>
      <c r="Y21" s="1158"/>
    </row>
    <row r="22" spans="1:25" ht="15.75" customHeight="1" thickBot="1">
      <c r="A22" s="1144"/>
      <c r="B22" s="1145"/>
      <c r="C22" s="1145"/>
      <c r="D22" s="1145"/>
      <c r="E22" s="1145"/>
      <c r="F22" s="1145"/>
      <c r="G22" s="1145"/>
      <c r="H22" s="1145"/>
      <c r="I22" s="1145"/>
      <c r="J22" s="1145"/>
      <c r="K22" s="1145"/>
      <c r="L22" s="1145"/>
      <c r="M22" s="1146"/>
      <c r="N22" s="1159"/>
      <c r="O22" s="1159"/>
      <c r="P22" s="1159"/>
      <c r="Q22" s="1159"/>
      <c r="R22" s="1159"/>
      <c r="S22" s="1159"/>
      <c r="T22" s="1159"/>
      <c r="U22" s="1159"/>
      <c r="V22" s="1159"/>
      <c r="W22" s="1159"/>
      <c r="X22" s="1159"/>
      <c r="Y22" s="1160"/>
    </row>
    <row r="23" spans="1:25" ht="15.75">
      <c r="A23" s="1151" t="s">
        <v>117</v>
      </c>
      <c r="B23" s="1135"/>
      <c r="C23" s="21"/>
      <c r="D23" s="71"/>
      <c r="E23" s="21"/>
      <c r="F23" s="21"/>
      <c r="G23" s="21"/>
      <c r="H23" s="71"/>
      <c r="I23" s="21"/>
      <c r="J23" s="71"/>
      <c r="K23" s="1149" t="s">
        <v>133</v>
      </c>
      <c r="L23" s="1150"/>
      <c r="M23" s="774"/>
      <c r="N23" s="1152" t="s">
        <v>355</v>
      </c>
      <c r="O23" s="1152"/>
      <c r="P23" s="1152"/>
      <c r="Q23" s="1152"/>
      <c r="R23" s="1153"/>
      <c r="S23" s="1154" t="s">
        <v>356</v>
      </c>
      <c r="T23" s="1152"/>
      <c r="U23" s="1153"/>
      <c r="V23" s="48" t="s">
        <v>127</v>
      </c>
      <c r="W23" s="36"/>
      <c r="X23" s="1147" t="s">
        <v>372</v>
      </c>
      <c r="Y23" s="1148"/>
    </row>
    <row r="24" spans="1:25" ht="18.75">
      <c r="A24" s="588" t="s">
        <v>4</v>
      </c>
      <c r="B24" s="231" t="s">
        <v>109</v>
      </c>
      <c r="C24" s="9" t="s">
        <v>80</v>
      </c>
      <c r="D24" s="231" t="s">
        <v>81</v>
      </c>
      <c r="E24" s="9" t="s">
        <v>7</v>
      </c>
      <c r="F24" s="9" t="s">
        <v>82</v>
      </c>
      <c r="G24" s="9" t="s">
        <v>10</v>
      </c>
      <c r="H24" s="231" t="s">
        <v>202</v>
      </c>
      <c r="I24" s="9" t="s">
        <v>199</v>
      </c>
      <c r="J24" s="231" t="s">
        <v>83</v>
      </c>
      <c r="K24" s="913" t="s">
        <v>8</v>
      </c>
      <c r="L24" s="932" t="s">
        <v>203</v>
      </c>
      <c r="M24" s="674" t="s">
        <v>121</v>
      </c>
      <c r="N24" s="24" t="s">
        <v>351</v>
      </c>
      <c r="O24" s="27" t="s">
        <v>352</v>
      </c>
      <c r="Q24" s="1155" t="s">
        <v>19</v>
      </c>
      <c r="R24" s="1156"/>
      <c r="S24" s="92" t="s">
        <v>305</v>
      </c>
      <c r="T24" s="1154" t="s">
        <v>17</v>
      </c>
      <c r="U24" s="1153"/>
      <c r="V24" s="36" t="s">
        <v>353</v>
      </c>
      <c r="W24" s="458" t="s">
        <v>10</v>
      </c>
      <c r="X24" s="1147" t="s">
        <v>373</v>
      </c>
      <c r="Y24" s="1148"/>
    </row>
    <row r="25" spans="1:25" ht="18.75">
      <c r="A25" s="680"/>
      <c r="B25" s="56" t="s">
        <v>84</v>
      </c>
      <c r="C25" s="29" t="s">
        <v>84</v>
      </c>
      <c r="D25" s="56" t="s">
        <v>84</v>
      </c>
      <c r="E25" s="29" t="s">
        <v>85</v>
      </c>
      <c r="F25" s="29" t="s">
        <v>85</v>
      </c>
      <c r="G25" s="29" t="s">
        <v>193</v>
      </c>
      <c r="H25" s="56" t="s">
        <v>85</v>
      </c>
      <c r="I25" s="29"/>
      <c r="J25" s="56" t="s">
        <v>86</v>
      </c>
      <c r="K25" s="933" t="s">
        <v>115</v>
      </c>
      <c r="L25" s="915" t="s">
        <v>276</v>
      </c>
      <c r="M25" s="681"/>
      <c r="N25" s="700" t="s">
        <v>354</v>
      </c>
      <c r="O25" s="27" t="s">
        <v>353</v>
      </c>
      <c r="Q25" s="426">
        <v>0.71</v>
      </c>
      <c r="R25" s="36" t="s">
        <v>357</v>
      </c>
      <c r="S25" s="430">
        <v>10</v>
      </c>
      <c r="T25" s="426">
        <v>0.71</v>
      </c>
      <c r="U25" s="92" t="s">
        <v>357</v>
      </c>
      <c r="V25" s="431" t="s">
        <v>371</v>
      </c>
      <c r="W25" s="48" t="s">
        <v>112</v>
      </c>
      <c r="X25" s="1147" t="s">
        <v>374</v>
      </c>
      <c r="Y25" s="1148"/>
    </row>
    <row r="26" spans="1:25" ht="15.75">
      <c r="A26" s="680"/>
      <c r="B26" s="230"/>
      <c r="C26" s="97"/>
      <c r="D26" s="230"/>
      <c r="E26" s="97"/>
      <c r="F26" s="97"/>
      <c r="G26" s="97"/>
      <c r="H26" s="230"/>
      <c r="I26" s="97"/>
      <c r="J26" s="230"/>
      <c r="K26" s="964"/>
      <c r="L26" s="965"/>
      <c r="M26" s="775"/>
      <c r="N26" s="30"/>
      <c r="O26" s="30"/>
      <c r="P26" s="82"/>
      <c r="Q26" s="427">
        <v>4200</v>
      </c>
      <c r="R26" s="41" t="s">
        <v>358</v>
      </c>
      <c r="S26" s="49"/>
      <c r="T26" s="427">
        <v>4200</v>
      </c>
      <c r="U26" s="49" t="s">
        <v>358</v>
      </c>
      <c r="V26" s="49"/>
      <c r="W26" s="49"/>
      <c r="X26" s="1154"/>
      <c r="Y26" s="1153"/>
    </row>
    <row r="27" spans="1:25">
      <c r="A27" s="753"/>
      <c r="B27" s="24"/>
      <c r="C27" s="24"/>
      <c r="D27" s="24"/>
      <c r="E27" s="24"/>
      <c r="F27" s="24"/>
      <c r="G27" s="24"/>
      <c r="H27" s="24"/>
      <c r="I27" s="24"/>
      <c r="J27" s="24"/>
      <c r="K27" s="966"/>
      <c r="L27" s="966"/>
      <c r="M27" s="683"/>
    </row>
    <row r="28" spans="1:25" ht="15.75">
      <c r="A28" s="657" t="s">
        <v>87</v>
      </c>
      <c r="B28" s="38"/>
      <c r="C28" s="38"/>
      <c r="D28" s="38"/>
      <c r="E28" s="38"/>
      <c r="F28" s="38"/>
      <c r="G28" s="38"/>
      <c r="H28" s="38"/>
      <c r="I28" s="38"/>
      <c r="J28" s="38"/>
      <c r="K28" s="919"/>
      <c r="L28" s="919"/>
      <c r="M28" s="685"/>
    </row>
    <row r="29" spans="1:25">
      <c r="A29" s="684">
        <f>'CG. MPB'!A30</f>
        <v>1</v>
      </c>
      <c r="B29" s="579">
        <f>'RMCV.PB'!B29</f>
        <v>280.00000111607142</v>
      </c>
      <c r="C29" s="579">
        <f>IF(B29&gt;60,(B29-7),(B29-2))</f>
        <v>273.00000111607142</v>
      </c>
      <c r="D29" s="579">
        <f t="shared" ref="D29:D57" si="0">IF(B29&gt;60,(B29-14),(B29-4))</f>
        <v>266.00000111607142</v>
      </c>
      <c r="E29" s="576">
        <f>'RMCS.PB'!L29</f>
        <v>2947.6165987666109</v>
      </c>
      <c r="F29" s="576">
        <f>'RMCV.PB'!O29*1.1/1.4</f>
        <v>8455.3134725464515</v>
      </c>
      <c r="G29" s="580">
        <f>IF('CG. MPB'!D30="CONFINADO",0.71*4,0)</f>
        <v>2.84</v>
      </c>
      <c r="H29" s="576">
        <f>('RMCV.PB'!P29+(2*0.6*$G$18*G29))</f>
        <v>53141.760120535706</v>
      </c>
      <c r="I29" s="60">
        <f t="shared" ref="I29:I37" si="1">IF(H29/3&gt;F29,0.8,0.6)</f>
        <v>0.8</v>
      </c>
      <c r="J29" s="576">
        <f t="shared" ref="J29:J57" si="2">(D29*G29*I29*$G$18)</f>
        <v>2538278.4106499995</v>
      </c>
      <c r="K29" s="918">
        <f>ABS('ELEM. MECA.'!H6)</f>
        <v>185616.69412206762</v>
      </c>
      <c r="L29" s="936">
        <f t="shared" ref="L29:L57" si="3">IF(I29=0.8,(J29+(0.3*F29*C29)),((J29*1.5)+((H29*C29*0.15)*(1-(F29/H29)))))</f>
        <v>3230768.586882574</v>
      </c>
      <c r="M29" s="685" t="str">
        <f>IF('CG. MPB'!E30="CONCRETO","F/DISEÑO",IF(K29&gt;L29,"NO PASA","PASA"))</f>
        <v>PASA</v>
      </c>
      <c r="N29" s="44">
        <f>IF('RMCV.PB'!C29*6&gt;80,80,'RMCV.PB'!C29*6)</f>
        <v>80</v>
      </c>
      <c r="O29" s="44">
        <f>ROUNDUP(IF((B29/N29)-1&gt;0,(B29/N29)-1,0),0)</f>
        <v>3</v>
      </c>
      <c r="P29" s="456">
        <v>2</v>
      </c>
      <c r="Q29" s="351">
        <f>IF(P29=0,G29,$Q$25)/('RMCV.PB'!C29*(B29/(P29+1)))*4200/$Q$26</f>
        <v>5.0714285512140124E-4</v>
      </c>
      <c r="R29" s="425" t="str">
        <f>IF($Q$26=4200,IF(Q29&gt;0.0007,"BIEN","MAL"),IF(Q29&gt;0.0007*4200/$Q$26,"BIEN","MAL"))</f>
        <v>MAL</v>
      </c>
      <c r="S29" s="44">
        <f>IF($S$25*4&gt;60,60,$S$25*4)</f>
        <v>40</v>
      </c>
      <c r="T29" s="44">
        <f>(4200/$T$26)*$T$25/('RMCV.PB'!C29*S29)</f>
        <v>1.1833333333333333E-3</v>
      </c>
      <c r="U29" s="425" t="str">
        <f>IF($T$26=4200,IF(T29&gt;0.0007,"BIEN","MAL"),IF(T29&gt;0.0007*4200/$T$26,"BIEN","MAL"))</f>
        <v>BIEN</v>
      </c>
      <c r="V29" s="425">
        <f>ROUNDUP(IF(B29&gt;300,(B29/300)-1,0),0)</f>
        <v>0</v>
      </c>
      <c r="W29" s="44">
        <f>G29*2+V29*$Q$25+P29*$Q$25</f>
        <v>7.1</v>
      </c>
      <c r="X29" s="351">
        <f>T29+(W29/(B29*'RMCV.PB'!C29))*4200/FY</f>
        <v>2.8738095170713377E-3</v>
      </c>
      <c r="Y29" s="425" t="str">
        <f>IF('CG. MPB'!E30="CONCRETO","F/DISEÑO",IF(FY=4200,IF(X29&gt;0.002,"BIEN","MAL"),(IF(X29&gt;4200*0.002/FY,"BIEN","MAL"))))</f>
        <v>BIEN</v>
      </c>
    </row>
    <row r="30" spans="1:25">
      <c r="A30" s="684">
        <f>'CG. MPB'!A31</f>
        <v>2</v>
      </c>
      <c r="B30" s="579">
        <f>'RMCV.PB'!B30</f>
        <v>280.00000111607147</v>
      </c>
      <c r="C30" s="579">
        <f t="shared" ref="C30:C57" si="4">IF(B30&gt;60,(B30-7),(B30-2))</f>
        <v>273.00000111607147</v>
      </c>
      <c r="D30" s="579">
        <f t="shared" si="0"/>
        <v>266.00000111607147</v>
      </c>
      <c r="E30" s="576">
        <f>'RMCS.PB'!L30</f>
        <v>9197.2868609491579</v>
      </c>
      <c r="F30" s="576">
        <f>'RMCV.PB'!O30*1.1/1.4</f>
        <v>23331.466328480343</v>
      </c>
      <c r="G30" s="580">
        <f>IF('CG. MPB'!D31="CONFINADO",0.71*4,0)</f>
        <v>2.84</v>
      </c>
      <c r="H30" s="576">
        <f>('RMCV.PB'!P30+(2*0.6*$G$18*G30))</f>
        <v>619073.67401322897</v>
      </c>
      <c r="I30" s="60">
        <f t="shared" si="1"/>
        <v>0.8</v>
      </c>
      <c r="J30" s="576">
        <f t="shared" si="2"/>
        <v>2538278.4106500004</v>
      </c>
      <c r="K30" s="918">
        <f>ABS('ELEM. MECA.'!H7)</f>
        <v>1368151.0354278174</v>
      </c>
      <c r="L30" s="936">
        <f t="shared" si="3"/>
        <v>4449125.5107644163</v>
      </c>
      <c r="M30" s="685" t="str">
        <f>IF('CG. MPB'!E31="CONCRETO","F/DISEÑO",IF(K30&gt;L30,"NO PASA","PASA"))</f>
        <v>F/DISEÑO</v>
      </c>
      <c r="N30" s="44">
        <f>IF('RMCV.PB'!C30*6&gt;80,80,'RMCV.PB'!C30*6)</f>
        <v>80</v>
      </c>
      <c r="O30" s="44">
        <f t="shared" ref="O30:O58" si="5">ROUNDUP(IF((B30/N30)-1&gt;0,(B30/N30)-1,0),0)</f>
        <v>3</v>
      </c>
      <c r="P30" s="456">
        <v>3</v>
      </c>
      <c r="Q30" s="351">
        <f>IF(P30=0,G30,$Q$25)/('RMCV.PB'!C30*(B30/(P30+1)))*4200/$Q$26</f>
        <v>6.7619047349520161E-4</v>
      </c>
      <c r="R30" s="425" t="str">
        <f t="shared" ref="R30:R58" si="6">IF($Q$26=4200,IF(Q30&gt;0.0007,"BIEN","MAL"),IF(Q30&gt;0.0007*4200/$Q$26,"BIEN","MAL"))</f>
        <v>MAL</v>
      </c>
      <c r="S30" s="44">
        <f t="shared" ref="S30:S58" si="7">IF($S$25*4&gt;60,60,$S$25*4)</f>
        <v>40</v>
      </c>
      <c r="T30" s="44">
        <f>(4200/$T$26)*$T$25/('RMCV.PB'!C30*S30)</f>
        <v>1.1833333333333333E-3</v>
      </c>
      <c r="U30" s="425" t="str">
        <f t="shared" ref="U30:U58" si="8">IF($T$26=4200,IF(T30&gt;0.0007,"BIEN","MAL"),IF(T30&gt;0.0007*4200/$T$26,"BIEN","MAL"))</f>
        <v>BIEN</v>
      </c>
      <c r="V30" s="425">
        <f t="shared" ref="V30:V58" si="9">ROUNDUP(IF(B30&gt;300,(B30/300)-1,0),0)</f>
        <v>0</v>
      </c>
      <c r="W30" s="44">
        <f t="shared" ref="W30:W58" si="10">G30*2+V30*$Q$25+P30*$Q$25</f>
        <v>7.81</v>
      </c>
      <c r="X30" s="351">
        <f>T30+(W30/(B30*'RMCV.PB'!C30))*4200/FY</f>
        <v>3.0428571354451377E-3</v>
      </c>
      <c r="Y30" s="425" t="str">
        <f>IF('CG. MPB'!E31="CONCRETO","F/DISEÑO",IF(FY=4200,IF(X30&gt;0.002,"BIEN","MAL"),(IF(X30&gt;4200*0.002/FY,"BIEN","MAL"))))</f>
        <v>F/DISEÑO</v>
      </c>
    </row>
    <row r="31" spans="1:25">
      <c r="A31" s="684">
        <f>'CG. MPB'!A32</f>
        <v>3</v>
      </c>
      <c r="B31" s="579">
        <f>'RMCV.PB'!B31</f>
        <v>242.50000000000006</v>
      </c>
      <c r="C31" s="579">
        <f t="shared" si="4"/>
        <v>235.50000000000006</v>
      </c>
      <c r="D31" s="579">
        <f t="shared" si="0"/>
        <v>228.50000000000006</v>
      </c>
      <c r="E31" s="576">
        <f>'RMCS.PB'!L31</f>
        <v>17442.995828740626</v>
      </c>
      <c r="F31" s="576">
        <f>'RMCV.PB'!O31*1.1/1.4</f>
        <v>16270.309057861343</v>
      </c>
      <c r="G31" s="580">
        <f>IF('CG. MPB'!D32="CONFINADO",0.71*4,0)</f>
        <v>2.84</v>
      </c>
      <c r="H31" s="576">
        <f>('RMCV.PB'!P31+(2*0.6*$G$18*G31))</f>
        <v>537951.96335376624</v>
      </c>
      <c r="I31" s="60">
        <f t="shared" si="1"/>
        <v>0.8</v>
      </c>
      <c r="J31" s="576">
        <f t="shared" si="2"/>
        <v>2180438.4000000008</v>
      </c>
      <c r="K31" s="918">
        <f>ABS('ELEM. MECA.'!H8)</f>
        <v>476555.29210110474</v>
      </c>
      <c r="L31" s="936">
        <f t="shared" si="3"/>
        <v>3329935.7349379049</v>
      </c>
      <c r="M31" s="685" t="str">
        <f>IF('CG. MPB'!E32="CONCRETO","F/DISEÑO",IF(K31&gt;L31,"NO PASA","PASA"))</f>
        <v>F/DISEÑO</v>
      </c>
      <c r="N31" s="44">
        <f>IF('RMCV.PB'!C31*6&gt;80,80,'RMCV.PB'!C31*6)</f>
        <v>80</v>
      </c>
      <c r="O31" s="44">
        <f t="shared" si="5"/>
        <v>3</v>
      </c>
      <c r="P31" s="456">
        <v>4</v>
      </c>
      <c r="Q31" s="351">
        <f>IF(P31=0,G31,$Q$25)/('RMCV.PB'!C31*(B31/(P31+1)))*4200/$Q$26</f>
        <v>9.7594501718213027E-4</v>
      </c>
      <c r="R31" s="425" t="str">
        <f t="shared" si="6"/>
        <v>BIEN</v>
      </c>
      <c r="S31" s="44">
        <f t="shared" si="7"/>
        <v>40</v>
      </c>
      <c r="T31" s="44">
        <f>(4200/$T$26)*$T$25/('RMCV.PB'!C31*S31)</f>
        <v>1.1833333333333333E-3</v>
      </c>
      <c r="U31" s="425" t="str">
        <f t="shared" si="8"/>
        <v>BIEN</v>
      </c>
      <c r="V31" s="425">
        <f t="shared" si="9"/>
        <v>0</v>
      </c>
      <c r="W31" s="44">
        <f t="shared" si="10"/>
        <v>8.52</v>
      </c>
      <c r="X31" s="351">
        <f>T31+(W31/(B31*'RMCV.PB'!C31))*4200/FY</f>
        <v>3.5256013745704464E-3</v>
      </c>
      <c r="Y31" s="425" t="str">
        <f>IF('CG. MPB'!E32="CONCRETO","F/DISEÑO",IF(FY=4200,IF(X31&gt;0.002,"BIEN","MAL"),(IF(X31&gt;4200*0.002/FY,"BIEN","MAL"))))</f>
        <v>F/DISEÑO</v>
      </c>
    </row>
    <row r="32" spans="1:25">
      <c r="A32" s="684">
        <f>'CG. MPB'!A33</f>
        <v>4</v>
      </c>
      <c r="B32" s="579">
        <f>'RMCV.PB'!B32</f>
        <v>275</v>
      </c>
      <c r="C32" s="579">
        <f t="shared" si="4"/>
        <v>268</v>
      </c>
      <c r="D32" s="579">
        <f t="shared" si="0"/>
        <v>261</v>
      </c>
      <c r="E32" s="576">
        <f>'RMCS.PB'!L32</f>
        <v>11690.300115692302</v>
      </c>
      <c r="F32" s="576">
        <f>'RMCV.PB'!O32*1.1/1.4</f>
        <v>32254.857440963508</v>
      </c>
      <c r="G32" s="580">
        <f>IF('CG. MPB'!D33="CONFINADO",0.71*4,0)</f>
        <v>2.84</v>
      </c>
      <c r="H32" s="576">
        <f>('RMCV.PB'!P32+(2*0.6*$G$18*G32))</f>
        <v>607941.21606685873</v>
      </c>
      <c r="I32" s="60">
        <f t="shared" si="1"/>
        <v>0.8</v>
      </c>
      <c r="J32" s="576">
        <f t="shared" si="2"/>
        <v>2490566.4000000004</v>
      </c>
      <c r="K32" s="918">
        <f>ABS('ELEM. MECA.'!H9)</f>
        <v>1719681.5283634644</v>
      </c>
      <c r="L32" s="936">
        <f t="shared" si="3"/>
        <v>5083856.938253466</v>
      </c>
      <c r="M32" s="685" t="str">
        <f>IF('CG. MPB'!E33="CONCRETO","F/DISEÑO",IF(K32&gt;L32,"NO PASA","PASA"))</f>
        <v>F/DISEÑO</v>
      </c>
      <c r="N32" s="44">
        <f>IF('RMCV.PB'!C32*6&gt;80,80,'RMCV.PB'!C32*6)</f>
        <v>80</v>
      </c>
      <c r="O32" s="44">
        <f t="shared" si="5"/>
        <v>3</v>
      </c>
      <c r="P32" s="456">
        <v>5</v>
      </c>
      <c r="Q32" s="351">
        <f>IF(P32=0,G32,$Q$25)/('RMCV.PB'!C32*(B32/(P32+1)))*4200/$Q$26</f>
        <v>1.0327272727272726E-3</v>
      </c>
      <c r="R32" s="425" t="str">
        <f t="shared" si="6"/>
        <v>BIEN</v>
      </c>
      <c r="S32" s="44">
        <f t="shared" si="7"/>
        <v>40</v>
      </c>
      <c r="T32" s="44">
        <f>(4200/$T$26)*$T$25/('RMCV.PB'!C32*S32)</f>
        <v>1.1833333333333333E-3</v>
      </c>
      <c r="U32" s="425" t="str">
        <f t="shared" si="8"/>
        <v>BIEN</v>
      </c>
      <c r="V32" s="425">
        <f t="shared" si="9"/>
        <v>0</v>
      </c>
      <c r="W32" s="44">
        <f t="shared" si="10"/>
        <v>9.23</v>
      </c>
      <c r="X32" s="351">
        <f>T32+(W32/(B32*'RMCV.PB'!C32))*4200/FY</f>
        <v>3.4209090909090908E-3</v>
      </c>
      <c r="Y32" s="425" t="str">
        <f>IF('CG. MPB'!E33="CONCRETO","F/DISEÑO",IF(FY=4200,IF(X32&gt;0.002,"BIEN","MAL"),(IF(X32&gt;4200*0.002/FY,"BIEN","MAL"))))</f>
        <v>F/DISEÑO</v>
      </c>
    </row>
    <row r="33" spans="1:25">
      <c r="A33" s="684">
        <f>'CG. MPB'!A34</f>
        <v>5</v>
      </c>
      <c r="B33" s="579">
        <f>'RMCV.PB'!B33</f>
        <v>280.00000446428567</v>
      </c>
      <c r="C33" s="579">
        <f t="shared" si="4"/>
        <v>273.00000446428567</v>
      </c>
      <c r="D33" s="579">
        <f t="shared" si="0"/>
        <v>266.00000446428567</v>
      </c>
      <c r="E33" s="576">
        <f>'RMCS.PB'!L33</f>
        <v>2915.4293756557927</v>
      </c>
      <c r="F33" s="576">
        <f>'RMCV.PB'!O33*1.1/1.4</f>
        <v>14479.075381250286</v>
      </c>
      <c r="G33" s="580">
        <f>IF('CG. MPB'!D34="CONFINADO",0.71*4,0)</f>
        <v>2.84</v>
      </c>
      <c r="H33" s="576">
        <f>('RMCV.PB'!P33+(2*0.6*$G$18*G33))</f>
        <v>45581.760361607143</v>
      </c>
      <c r="I33" s="60">
        <f t="shared" si="1"/>
        <v>0.8</v>
      </c>
      <c r="J33" s="576">
        <f t="shared" si="2"/>
        <v>2538278.4425999993</v>
      </c>
      <c r="K33" s="918">
        <f>ABS('ELEM. MECA.'!H10)</f>
        <v>229952.3853035552</v>
      </c>
      <c r="L33" s="936">
        <f>IF(I33=0.8,(J33+(0.3*F33*C33)),((J33*1.5)+((H33*C33*0.15)*(1-(F33/H33)))))</f>
        <v>3724114.735716016</v>
      </c>
      <c r="M33" s="685" t="str">
        <f>IF('CG. MPB'!E34="CONCRETO","F/DISEÑO",IF(K33&gt;L33,"NO PASA","PASA"))</f>
        <v>PASA</v>
      </c>
      <c r="N33" s="44">
        <f>IF('RMCV.PB'!C33*6&gt;80,80,'RMCV.PB'!C33*6)</f>
        <v>80</v>
      </c>
      <c r="O33" s="44">
        <f t="shared" si="5"/>
        <v>3</v>
      </c>
      <c r="P33" s="456">
        <v>6</v>
      </c>
      <c r="Q33" s="351">
        <f>IF(P33=0,G33,$Q$25)/('RMCV.PB'!C33*(B33/(P33+1)))*4200/$Q$26</f>
        <v>1.1833333144664121E-3</v>
      </c>
      <c r="R33" s="425" t="str">
        <f t="shared" si="6"/>
        <v>BIEN</v>
      </c>
      <c r="S33" s="44">
        <f t="shared" si="7"/>
        <v>40</v>
      </c>
      <c r="T33" s="44">
        <f>(4200/$T$26)*$T$25/('RMCV.PB'!C33*S33)</f>
        <v>1.1833333333333333E-3</v>
      </c>
      <c r="U33" s="425" t="str">
        <f t="shared" si="8"/>
        <v>BIEN</v>
      </c>
      <c r="V33" s="425">
        <f t="shared" si="9"/>
        <v>0</v>
      </c>
      <c r="W33" s="44">
        <f t="shared" si="10"/>
        <v>9.94</v>
      </c>
      <c r="X33" s="351">
        <f>T33+(W33/(B33*'RMCV.PB'!C33))*4200/FY</f>
        <v>3.5499999622661572E-3</v>
      </c>
      <c r="Y33" s="425" t="str">
        <f>IF('CG. MPB'!E34="CONCRETO","F/DISEÑO",IF(FY=4200,IF(X33&gt;0.002,"BIEN","MAL"),(IF(X33&gt;4200*0.002/FY,"BIEN","MAL"))))</f>
        <v>BIEN</v>
      </c>
    </row>
    <row r="34" spans="1:25">
      <c r="A34" s="684">
        <f>'CG. MPB'!A35</f>
        <v>6</v>
      </c>
      <c r="B34" s="579">
        <f>'RMCV.PB'!B34</f>
        <v>257.50001941747496</v>
      </c>
      <c r="C34" s="579">
        <f t="shared" si="4"/>
        <v>250.50001941747496</v>
      </c>
      <c r="D34" s="579">
        <f t="shared" si="0"/>
        <v>243.50001941747496</v>
      </c>
      <c r="E34" s="576">
        <f>'RMCS.PB'!L34</f>
        <v>26475.338730142757</v>
      </c>
      <c r="F34" s="576">
        <f>'RMCV.PB'!O34*1.1/1.4</f>
        <v>41805.023390537048</v>
      </c>
      <c r="G34" s="580">
        <f>IF('CG. MPB'!D35="CONFINADO",0.71*4,0)</f>
        <v>2.84</v>
      </c>
      <c r="H34" s="576">
        <f>('RMCV.PB'!P34+(2*0.6*$G$18*G34))</f>
        <v>569768.23312454927</v>
      </c>
      <c r="I34" s="60">
        <f t="shared" si="1"/>
        <v>0.8</v>
      </c>
      <c r="J34" s="576">
        <f t="shared" si="2"/>
        <v>2323574.585289313</v>
      </c>
      <c r="K34" s="918">
        <f>ABS('ELEM. MECA.'!H11)</f>
        <v>2201850.6633330826</v>
      </c>
      <c r="L34" s="936">
        <f t="shared" si="3"/>
        <v>5465222.3366125701</v>
      </c>
      <c r="M34" s="685" t="str">
        <f>IF('CG. MPB'!E35="CONCRETO","F/DISEÑO",IF(K34&gt;L34,"NO PASA","PASA"))</f>
        <v>F/DISEÑO</v>
      </c>
      <c r="N34" s="44">
        <f>IF('RMCV.PB'!C34*6&gt;80,80,'RMCV.PB'!C34*6)</f>
        <v>80</v>
      </c>
      <c r="O34" s="44">
        <f t="shared" si="5"/>
        <v>3</v>
      </c>
      <c r="P34" s="456">
        <v>7</v>
      </c>
      <c r="Q34" s="351">
        <f>IF(P34=0,G34,$Q$25)/('RMCV.PB'!C34*(B34/(P34+1)))*4200/$Q$26</f>
        <v>1.4705500509215451E-3</v>
      </c>
      <c r="R34" s="425" t="str">
        <f t="shared" si="6"/>
        <v>BIEN</v>
      </c>
      <c r="S34" s="44">
        <f t="shared" si="7"/>
        <v>40</v>
      </c>
      <c r="T34" s="44">
        <f>(4200/$T$26)*$T$25/('RMCV.PB'!C34*S34)</f>
        <v>1.1833333333333333E-3</v>
      </c>
      <c r="U34" s="425" t="str">
        <f t="shared" si="8"/>
        <v>BIEN</v>
      </c>
      <c r="V34" s="425">
        <f t="shared" si="9"/>
        <v>0</v>
      </c>
      <c r="W34" s="44">
        <f t="shared" si="10"/>
        <v>10.649999999999999</v>
      </c>
      <c r="X34" s="351">
        <f>T34+(W34/(B34*'RMCV.PB'!C34))*4200/FY</f>
        <v>3.9406146788112297E-3</v>
      </c>
      <c r="Y34" s="425" t="str">
        <f>IF('CG. MPB'!E35="CONCRETO","F/DISEÑO",IF(FY=4200,IF(X34&gt;0.002,"BIEN","MAL"),(IF(X34&gt;4200*0.002/FY,"BIEN","MAL"))))</f>
        <v>F/DISEÑO</v>
      </c>
    </row>
    <row r="35" spans="1:25" ht="15.75" thickBot="1">
      <c r="A35" s="684">
        <f>'CG. MPB'!A36</f>
        <v>7</v>
      </c>
      <c r="B35" s="579">
        <f>'RMCV.PB'!B35</f>
        <v>280.00000446428578</v>
      </c>
      <c r="C35" s="579">
        <f t="shared" si="4"/>
        <v>273.00000446428578</v>
      </c>
      <c r="D35" s="579">
        <f t="shared" si="0"/>
        <v>266.00000446428578</v>
      </c>
      <c r="E35" s="576">
        <f>'RMCS.PB'!L35</f>
        <v>1997.5163075287385</v>
      </c>
      <c r="F35" s="576">
        <f>'RMCV.PB'!O35*1.1/1.4</f>
        <v>6484.9666497672506</v>
      </c>
      <c r="G35" s="580">
        <f>IF('CG. MPB'!D36="CONFINADO",0.71*4,0)</f>
        <v>2.84</v>
      </c>
      <c r="H35" s="576">
        <f>('RMCV.PB'!P35+(2*0.6*$G$18*G35))</f>
        <v>45581.760361607143</v>
      </c>
      <c r="I35" s="60">
        <f t="shared" si="1"/>
        <v>0.8</v>
      </c>
      <c r="J35" s="576">
        <f t="shared" si="2"/>
        <v>2538278.4426000006</v>
      </c>
      <c r="K35" s="918">
        <f>ABS('ELEM. MECA.'!H12)</f>
        <v>175572.03050185952</v>
      </c>
      <c r="L35" s="936">
        <f t="shared" si="3"/>
        <v>3069397.2199011617</v>
      </c>
      <c r="M35" s="685" t="str">
        <f>IF('CG. MPB'!E36="CONCRETO","F/DISEÑO",IF(K35&gt;L35,"NO PASA","PASA"))</f>
        <v>PASA</v>
      </c>
      <c r="N35" s="44">
        <f>IF('RMCV.PB'!C35*6&gt;80,80,'RMCV.PB'!C35*6)</f>
        <v>80</v>
      </c>
      <c r="O35" s="44">
        <f t="shared" si="5"/>
        <v>3</v>
      </c>
      <c r="P35" s="456">
        <v>8</v>
      </c>
      <c r="Q35" s="351">
        <f>IF(P35=0,G35,$Q$25)/('RMCV.PB'!C35*(B35/(P35+1)))*4200/$Q$26</f>
        <v>1.5214285471711005E-3</v>
      </c>
      <c r="R35" s="425" t="str">
        <f t="shared" si="6"/>
        <v>BIEN</v>
      </c>
      <c r="S35" s="44">
        <f t="shared" si="7"/>
        <v>40</v>
      </c>
      <c r="T35" s="44">
        <f>(4200/$T$26)*$T$25/('RMCV.PB'!C35*S35)</f>
        <v>1.1833333333333333E-3</v>
      </c>
      <c r="U35" s="425" t="str">
        <f t="shared" si="8"/>
        <v>BIEN</v>
      </c>
      <c r="V35" s="425">
        <f t="shared" si="9"/>
        <v>0</v>
      </c>
      <c r="W35" s="44">
        <f t="shared" si="10"/>
        <v>11.36</v>
      </c>
      <c r="X35" s="351">
        <f>T35+(W35/(B35*'RMCV.PB'!C35))*4200/FY</f>
        <v>3.8880951949708453E-3</v>
      </c>
      <c r="Y35" s="425" t="str">
        <f>IF('CG. MPB'!E36="CONCRETO","F/DISEÑO",IF(FY=4200,IF(X35&gt;0.002,"BIEN","MAL"),(IF(X35&gt;4200*0.002/FY,"BIEN","MAL"))))</f>
        <v>BIEN</v>
      </c>
    </row>
    <row r="36" spans="1:25" hidden="1">
      <c r="A36" s="684">
        <f>'CG. MPB'!A37</f>
        <v>8</v>
      </c>
      <c r="B36" s="579">
        <f>'RMCV.PB'!B36</f>
        <v>0</v>
      </c>
      <c r="C36" s="579">
        <f t="shared" si="4"/>
        <v>-2</v>
      </c>
      <c r="D36" s="579">
        <f t="shared" si="0"/>
        <v>-4</v>
      </c>
      <c r="E36" s="576" t="e">
        <f>'RMCS.PB'!L36</f>
        <v>#VALUE!</v>
      </c>
      <c r="F36" s="576" t="e">
        <f>'RMCV.PB'!O36*1.1/1.4</f>
        <v>#VALUE!</v>
      </c>
      <c r="G36" s="580">
        <f>IF('CG. MPB'!D37="CONFINADO",0.71*4,0)</f>
        <v>2.84</v>
      </c>
      <c r="H36" s="576">
        <f>('RMCV.PB'!P36+(2*0.6*$G$18*G36))</f>
        <v>14313.599999999999</v>
      </c>
      <c r="I36" s="60" t="e">
        <f t="shared" si="1"/>
        <v>#VALUE!</v>
      </c>
      <c r="J36" s="576" t="e">
        <f t="shared" si="2"/>
        <v>#VALUE!</v>
      </c>
      <c r="K36" s="918" t="e">
        <f>ABS('ELEM. MECA.'!H13)</f>
        <v>#VALUE!</v>
      </c>
      <c r="L36" s="936" t="e">
        <f t="shared" si="3"/>
        <v>#VALUE!</v>
      </c>
      <c r="M36" s="685" t="e">
        <f>IF('CG. MPB'!E37="CONCRETO","F/DISEÑO",IF(K36&gt;L36,"NO PASA","PASA"))</f>
        <v>#VALUE!</v>
      </c>
      <c r="N36" s="44" t="e">
        <f>IF('RMCV.PB'!C36*6&gt;80,80,'RMCV.PB'!C36*6)</f>
        <v>#VALUE!</v>
      </c>
      <c r="O36" s="44" t="e">
        <f t="shared" si="5"/>
        <v>#VALUE!</v>
      </c>
      <c r="P36" s="456">
        <v>9</v>
      </c>
      <c r="Q36" s="351" t="e">
        <f>IF(P36=0,G36,$Q$25)/('RMCV.PB'!C36*(B36/(P36+1)))*4200/$Q$26</f>
        <v>#VALUE!</v>
      </c>
      <c r="R36" s="425" t="e">
        <f t="shared" si="6"/>
        <v>#VALUE!</v>
      </c>
      <c r="S36" s="44">
        <f t="shared" si="7"/>
        <v>40</v>
      </c>
      <c r="T36" s="44" t="e">
        <f>(4200/$T$26)*$T$25/('RMCV.PB'!C36*S36)</f>
        <v>#VALUE!</v>
      </c>
      <c r="U36" s="425" t="e">
        <f t="shared" si="8"/>
        <v>#VALUE!</v>
      </c>
      <c r="V36" s="425">
        <f t="shared" si="9"/>
        <v>0</v>
      </c>
      <c r="W36" s="44">
        <f t="shared" si="10"/>
        <v>12.07</v>
      </c>
      <c r="X36" s="351" t="e">
        <f>T36+(W36/(B36*'RMCV.PB'!C36))*4200/FY</f>
        <v>#VALUE!</v>
      </c>
      <c r="Y36" s="425" t="e">
        <f>IF('CG. MPB'!E37="CONCRETO","F/DISEÑO",IF(FY=4200,IF(X36&gt;0.002,"BIEN","MAL"),(IF(X36&gt;4200*0.002/FY,"BIEN","MAL"))))</f>
        <v>#VALUE!</v>
      </c>
    </row>
    <row r="37" spans="1:25" hidden="1">
      <c r="A37" s="684">
        <f>'CG. MPB'!A38</f>
        <v>9</v>
      </c>
      <c r="B37" s="579">
        <f>'RMCV.PB'!B37</f>
        <v>0</v>
      </c>
      <c r="C37" s="579">
        <f t="shared" si="4"/>
        <v>-2</v>
      </c>
      <c r="D37" s="579">
        <f t="shared" si="0"/>
        <v>-4</v>
      </c>
      <c r="E37" s="576" t="e">
        <f>'RMCS.PB'!L37</f>
        <v>#VALUE!</v>
      </c>
      <c r="F37" s="576" t="e">
        <f>'RMCV.PB'!O37*1.1/1.4</f>
        <v>#VALUE!</v>
      </c>
      <c r="G37" s="580">
        <f>IF('CG. MPB'!D38="CONFINADO",0.71*4,0)</f>
        <v>2.84</v>
      </c>
      <c r="H37" s="576">
        <f>('RMCV.PB'!P37+(2*0.6*$G$18*G37))</f>
        <v>14313.599999999999</v>
      </c>
      <c r="I37" s="60" t="e">
        <f t="shared" si="1"/>
        <v>#VALUE!</v>
      </c>
      <c r="J37" s="576" t="e">
        <f t="shared" si="2"/>
        <v>#VALUE!</v>
      </c>
      <c r="K37" s="918" t="e">
        <f>ABS('ELEM. MECA.'!H14)</f>
        <v>#VALUE!</v>
      </c>
      <c r="L37" s="936" t="e">
        <f t="shared" si="3"/>
        <v>#VALUE!</v>
      </c>
      <c r="M37" s="685" t="e">
        <f>IF('CG. MPB'!E38="CONCRETO","F/DISEÑO",IF(K37&gt;L37,"NO PASA","PASA"))</f>
        <v>#VALUE!</v>
      </c>
      <c r="N37" s="44" t="e">
        <f>IF('RMCV.PB'!C37*6&gt;80,80,'RMCV.PB'!C37*6)</f>
        <v>#VALUE!</v>
      </c>
      <c r="O37" s="44" t="e">
        <f t="shared" si="5"/>
        <v>#VALUE!</v>
      </c>
      <c r="P37" s="456">
        <v>10</v>
      </c>
      <c r="Q37" s="351" t="e">
        <f>IF(P37=0,G37,$Q$25)/('RMCV.PB'!C37*(B37/(P37+1)))*4200/$Q$26</f>
        <v>#VALUE!</v>
      </c>
      <c r="R37" s="425" t="e">
        <f t="shared" si="6"/>
        <v>#VALUE!</v>
      </c>
      <c r="S37" s="44">
        <f t="shared" si="7"/>
        <v>40</v>
      </c>
      <c r="T37" s="44" t="e">
        <f>(4200/$T$26)*$T$25/('RMCV.PB'!C37*S37)</f>
        <v>#VALUE!</v>
      </c>
      <c r="U37" s="425" t="e">
        <f t="shared" si="8"/>
        <v>#VALUE!</v>
      </c>
      <c r="V37" s="425">
        <f t="shared" si="9"/>
        <v>0</v>
      </c>
      <c r="W37" s="44">
        <f t="shared" si="10"/>
        <v>12.78</v>
      </c>
      <c r="X37" s="351" t="e">
        <f>T37+(W37/(B37*'RMCV.PB'!C37))*4200/FY</f>
        <v>#VALUE!</v>
      </c>
      <c r="Y37" s="425" t="e">
        <f>IF('CG. MPB'!E38="CONCRETO","F/DISEÑO",IF(FY=4200,IF(X37&gt;0.002,"BIEN","MAL"),(IF(X37&gt;4200*0.002/FY,"BIEN","MAL"))))</f>
        <v>#VALUE!</v>
      </c>
    </row>
    <row r="38" spans="1:25" hidden="1">
      <c r="A38" s="684">
        <f>'CG. MPB'!A39</f>
        <v>10</v>
      </c>
      <c r="B38" s="579">
        <f>'RMCV.PB'!B38</f>
        <v>0</v>
      </c>
      <c r="C38" s="579">
        <f t="shared" si="4"/>
        <v>-2</v>
      </c>
      <c r="D38" s="579">
        <f t="shared" si="0"/>
        <v>-4</v>
      </c>
      <c r="E38" s="576" t="e">
        <f>'RMCS.PB'!L38</f>
        <v>#VALUE!</v>
      </c>
      <c r="F38" s="576" t="e">
        <f>'RMCV.PB'!O38*1.1/1.4</f>
        <v>#VALUE!</v>
      </c>
      <c r="G38" s="580">
        <f>IF('CG. MPB'!D39="CONFINADO",0.71*4,0)</f>
        <v>2.84</v>
      </c>
      <c r="H38" s="576">
        <f>('RMCV.PB'!P38+(2*0.6*$G$18*G38))</f>
        <v>14313.599999999999</v>
      </c>
      <c r="I38" s="60" t="e">
        <f t="shared" ref="I38:I57" si="11">IF(H38/3&gt;F38,0.8,0.6)</f>
        <v>#VALUE!</v>
      </c>
      <c r="J38" s="576" t="e">
        <f t="shared" si="2"/>
        <v>#VALUE!</v>
      </c>
      <c r="K38" s="918" t="e">
        <f>ABS('ELEM. MECA.'!H15)</f>
        <v>#VALUE!</v>
      </c>
      <c r="L38" s="936" t="e">
        <f t="shared" si="3"/>
        <v>#VALUE!</v>
      </c>
      <c r="M38" s="685" t="e">
        <f>IF('CG. MPB'!E39="CONCRETO","F/DISEÑO",IF(K38&gt;L38,"NO PASA","PASA"))</f>
        <v>#VALUE!</v>
      </c>
      <c r="N38" s="44" t="e">
        <f>IF('RMCV.PB'!C38*6&gt;80,80,'RMCV.PB'!C38*6)</f>
        <v>#VALUE!</v>
      </c>
      <c r="O38" s="44" t="e">
        <f t="shared" si="5"/>
        <v>#VALUE!</v>
      </c>
      <c r="P38" s="456">
        <v>11</v>
      </c>
      <c r="Q38" s="351" t="e">
        <f>IF(P38=0,G38,$Q$25)/('RMCV.PB'!C38*(B38/(P38+1)))*4200/$Q$26</f>
        <v>#VALUE!</v>
      </c>
      <c r="R38" s="425" t="e">
        <f t="shared" si="6"/>
        <v>#VALUE!</v>
      </c>
      <c r="S38" s="44">
        <f t="shared" si="7"/>
        <v>40</v>
      </c>
      <c r="T38" s="44" t="e">
        <f>(4200/$T$26)*$T$25/('RMCV.PB'!C38*S38)</f>
        <v>#VALUE!</v>
      </c>
      <c r="U38" s="425" t="e">
        <f t="shared" si="8"/>
        <v>#VALUE!</v>
      </c>
      <c r="V38" s="425">
        <f t="shared" si="9"/>
        <v>0</v>
      </c>
      <c r="W38" s="44">
        <f t="shared" si="10"/>
        <v>13.489999999999998</v>
      </c>
      <c r="X38" s="351" t="e">
        <f>T38+(W38/(B38*'RMCV.PB'!C38))*4200/FY</f>
        <v>#VALUE!</v>
      </c>
      <c r="Y38" s="425" t="e">
        <f>IF('CG. MPB'!E39="CONCRETO","F/DISEÑO",IF(FY=4200,IF(X38&gt;0.002,"BIEN","MAL"),(IF(X38&gt;4200*0.002/FY,"BIEN","MAL"))))</f>
        <v>#VALUE!</v>
      </c>
    </row>
    <row r="39" spans="1:25" hidden="1">
      <c r="A39" s="684">
        <f>'CG. MPB'!A40</f>
        <v>11</v>
      </c>
      <c r="B39" s="579">
        <f>'RMCV.PB'!B39</f>
        <v>0</v>
      </c>
      <c r="C39" s="579">
        <f t="shared" si="4"/>
        <v>-2</v>
      </c>
      <c r="D39" s="579">
        <f t="shared" si="0"/>
        <v>-4</v>
      </c>
      <c r="E39" s="576" t="e">
        <f>'RMCS.PB'!L39</f>
        <v>#VALUE!</v>
      </c>
      <c r="F39" s="576" t="e">
        <f>'RMCV.PB'!O39*1.1/1.4</f>
        <v>#VALUE!</v>
      </c>
      <c r="G39" s="580">
        <f>IF('CG. MPB'!D40="CONFINADO",0.71*4,0)</f>
        <v>2.84</v>
      </c>
      <c r="H39" s="576">
        <f>('RMCV.PB'!P39+(2*0.6*$G$18*G39))</f>
        <v>14313.599999999999</v>
      </c>
      <c r="I39" s="60" t="e">
        <f t="shared" si="11"/>
        <v>#VALUE!</v>
      </c>
      <c r="J39" s="576" t="e">
        <f t="shared" si="2"/>
        <v>#VALUE!</v>
      </c>
      <c r="K39" s="918" t="e">
        <f>ABS('ELEM. MECA.'!H16)</f>
        <v>#VALUE!</v>
      </c>
      <c r="L39" s="936" t="e">
        <f t="shared" si="3"/>
        <v>#VALUE!</v>
      </c>
      <c r="M39" s="685" t="e">
        <f>IF('CG. MPB'!E40="CONCRETO","F/DISEÑO",IF(K39&gt;L39,"NO PASA","PASA"))</f>
        <v>#VALUE!</v>
      </c>
      <c r="N39" s="44" t="e">
        <f>IF('RMCV.PB'!C39*6&gt;80,80,'RMCV.PB'!C39*6)</f>
        <v>#VALUE!</v>
      </c>
      <c r="O39" s="44" t="e">
        <f t="shared" si="5"/>
        <v>#VALUE!</v>
      </c>
      <c r="P39" s="456">
        <v>12</v>
      </c>
      <c r="Q39" s="351" t="e">
        <f>IF(P39=0,G39,$Q$25)/('RMCV.PB'!C39*(B39/(P39+1)))*4200/$Q$26</f>
        <v>#VALUE!</v>
      </c>
      <c r="R39" s="425" t="e">
        <f t="shared" si="6"/>
        <v>#VALUE!</v>
      </c>
      <c r="S39" s="44">
        <f t="shared" si="7"/>
        <v>40</v>
      </c>
      <c r="T39" s="44" t="e">
        <f>(4200/$T$26)*$T$25/('RMCV.PB'!C39*S39)</f>
        <v>#VALUE!</v>
      </c>
      <c r="U39" s="425" t="e">
        <f t="shared" si="8"/>
        <v>#VALUE!</v>
      </c>
      <c r="V39" s="425">
        <f t="shared" si="9"/>
        <v>0</v>
      </c>
      <c r="W39" s="44">
        <f t="shared" si="10"/>
        <v>14.2</v>
      </c>
      <c r="X39" s="351" t="e">
        <f>T39+(W39/(B39*'RMCV.PB'!C39))*4200/FY</f>
        <v>#VALUE!</v>
      </c>
      <c r="Y39" s="425" t="e">
        <f>IF('CG. MPB'!E40="CONCRETO","F/DISEÑO",IF(FY=4200,IF(X39&gt;0.002,"BIEN","MAL"),(IF(X39&gt;4200*0.002/FY,"BIEN","MAL"))))</f>
        <v>#VALUE!</v>
      </c>
    </row>
    <row r="40" spans="1:25" hidden="1">
      <c r="A40" s="684">
        <f>'CG. MPB'!A41</f>
        <v>12</v>
      </c>
      <c r="B40" s="579">
        <f>'RMCV.PB'!B40</f>
        <v>0</v>
      </c>
      <c r="C40" s="579">
        <f t="shared" si="4"/>
        <v>-2</v>
      </c>
      <c r="D40" s="579">
        <f t="shared" si="0"/>
        <v>-4</v>
      </c>
      <c r="E40" s="576" t="e">
        <f>'RMCS.PB'!L40</f>
        <v>#VALUE!</v>
      </c>
      <c r="F40" s="576" t="e">
        <f>'RMCV.PB'!O40*1.1/1.4</f>
        <v>#VALUE!</v>
      </c>
      <c r="G40" s="580">
        <f>IF('CG. MPB'!D41="CONFINADO",0.71*4,0)</f>
        <v>2.84</v>
      </c>
      <c r="H40" s="576">
        <f>('RMCV.PB'!P40+(2*0.6*$G$18*G40))</f>
        <v>14313.599999999999</v>
      </c>
      <c r="I40" s="60" t="e">
        <f t="shared" si="11"/>
        <v>#VALUE!</v>
      </c>
      <c r="J40" s="576" t="e">
        <f t="shared" si="2"/>
        <v>#VALUE!</v>
      </c>
      <c r="K40" s="918" t="e">
        <f>ABS('ELEM. MECA.'!H17)</f>
        <v>#VALUE!</v>
      </c>
      <c r="L40" s="936" t="e">
        <f t="shared" si="3"/>
        <v>#VALUE!</v>
      </c>
      <c r="M40" s="685" t="e">
        <f>IF('CG. MPB'!E41="CONCRETO","F/DISEÑO",IF(K40&gt;L40,"NO PASA","PASA"))</f>
        <v>#VALUE!</v>
      </c>
      <c r="N40" s="44" t="e">
        <f>IF('RMCV.PB'!C40*6&gt;80,80,'RMCV.PB'!C40*6)</f>
        <v>#VALUE!</v>
      </c>
      <c r="O40" s="44" t="e">
        <f t="shared" si="5"/>
        <v>#VALUE!</v>
      </c>
      <c r="P40" s="456">
        <v>13</v>
      </c>
      <c r="Q40" s="351" t="e">
        <f>IF(P40=0,G40,$Q$25)/('RMCV.PB'!C40*(B40/(P40+1)))*4200/$Q$26</f>
        <v>#VALUE!</v>
      </c>
      <c r="R40" s="425" t="e">
        <f t="shared" si="6"/>
        <v>#VALUE!</v>
      </c>
      <c r="S40" s="44">
        <f t="shared" si="7"/>
        <v>40</v>
      </c>
      <c r="T40" s="44" t="e">
        <f>(4200/$T$26)*$T$25/('RMCV.PB'!C40*S40)</f>
        <v>#VALUE!</v>
      </c>
      <c r="U40" s="425" t="e">
        <f t="shared" si="8"/>
        <v>#VALUE!</v>
      </c>
      <c r="V40" s="425">
        <f t="shared" si="9"/>
        <v>0</v>
      </c>
      <c r="W40" s="44">
        <f t="shared" si="10"/>
        <v>14.91</v>
      </c>
      <c r="X40" s="351" t="e">
        <f>T40+(W40/(B40*'RMCV.PB'!C40))*4200/FY</f>
        <v>#VALUE!</v>
      </c>
      <c r="Y40" s="425" t="e">
        <f>IF('CG. MPB'!E41="CONCRETO","F/DISEÑO",IF(FY=4200,IF(X40&gt;0.002,"BIEN","MAL"),(IF(X40&gt;4200*0.002/FY,"BIEN","MAL"))))</f>
        <v>#VALUE!</v>
      </c>
    </row>
    <row r="41" spans="1:25" hidden="1">
      <c r="A41" s="684">
        <f>'CG. MPB'!A42</f>
        <v>13</v>
      </c>
      <c r="B41" s="579">
        <f>'RMCV.PB'!B41</f>
        <v>0</v>
      </c>
      <c r="C41" s="579">
        <f t="shared" si="4"/>
        <v>-2</v>
      </c>
      <c r="D41" s="579">
        <f t="shared" si="0"/>
        <v>-4</v>
      </c>
      <c r="E41" s="576" t="e">
        <f>'RMCS.PB'!L41</f>
        <v>#VALUE!</v>
      </c>
      <c r="F41" s="576" t="e">
        <f>'RMCV.PB'!O41*1.1/1.4</f>
        <v>#VALUE!</v>
      </c>
      <c r="G41" s="580">
        <f>IF('CG. MPB'!D42="CONFINADO",0.71*4,0)</f>
        <v>2.84</v>
      </c>
      <c r="H41" s="576">
        <f>('RMCV.PB'!P41+(2*0.6*$G$18*G41))</f>
        <v>14313.599999999999</v>
      </c>
      <c r="I41" s="60" t="e">
        <f t="shared" si="11"/>
        <v>#VALUE!</v>
      </c>
      <c r="J41" s="576" t="e">
        <f t="shared" si="2"/>
        <v>#VALUE!</v>
      </c>
      <c r="K41" s="918" t="e">
        <f>ABS('ELEM. MECA.'!H18)</f>
        <v>#VALUE!</v>
      </c>
      <c r="L41" s="936" t="e">
        <f t="shared" si="3"/>
        <v>#VALUE!</v>
      </c>
      <c r="M41" s="685" t="e">
        <f>IF('CG. MPB'!E42="CONCRETO","F/DISEÑO",IF(K41&gt;L41,"NO PASA","PASA"))</f>
        <v>#VALUE!</v>
      </c>
      <c r="N41" s="44" t="e">
        <f>IF('RMCV.PB'!C41*6&gt;80,80,'RMCV.PB'!C41*6)</f>
        <v>#VALUE!</v>
      </c>
      <c r="O41" s="44" t="e">
        <f t="shared" si="5"/>
        <v>#VALUE!</v>
      </c>
      <c r="P41" s="456">
        <v>14</v>
      </c>
      <c r="Q41" s="351" t="e">
        <f>IF(P41=0,G41,$Q$25)/('RMCV.PB'!C41*(B41/(P41+1)))*4200/$Q$26</f>
        <v>#VALUE!</v>
      </c>
      <c r="R41" s="425" t="e">
        <f t="shared" si="6"/>
        <v>#VALUE!</v>
      </c>
      <c r="S41" s="44">
        <f t="shared" si="7"/>
        <v>40</v>
      </c>
      <c r="T41" s="44" t="e">
        <f>(4200/$T$26)*$T$25/('RMCV.PB'!C41*S41)</f>
        <v>#VALUE!</v>
      </c>
      <c r="U41" s="425" t="e">
        <f t="shared" si="8"/>
        <v>#VALUE!</v>
      </c>
      <c r="V41" s="425">
        <f t="shared" si="9"/>
        <v>0</v>
      </c>
      <c r="W41" s="44">
        <f t="shared" si="10"/>
        <v>15.62</v>
      </c>
      <c r="X41" s="351" t="e">
        <f>T41+(W41/(B41*'RMCV.PB'!C41))*4200/FY</f>
        <v>#VALUE!</v>
      </c>
      <c r="Y41" s="425" t="e">
        <f>IF('CG. MPB'!E42="CONCRETO","F/DISEÑO",IF(FY=4200,IF(X41&gt;0.002,"BIEN","MAL"),(IF(X41&gt;4200*0.002/FY,"BIEN","MAL"))))</f>
        <v>#VALUE!</v>
      </c>
    </row>
    <row r="42" spans="1:25" hidden="1">
      <c r="A42" s="684">
        <f>'CG. MPB'!A43</f>
        <v>14</v>
      </c>
      <c r="B42" s="579">
        <f>'RMCV.PB'!B42</f>
        <v>0</v>
      </c>
      <c r="C42" s="579">
        <f t="shared" si="4"/>
        <v>-2</v>
      </c>
      <c r="D42" s="579">
        <f t="shared" si="0"/>
        <v>-4</v>
      </c>
      <c r="E42" s="576" t="e">
        <f>'RMCS.PB'!L42</f>
        <v>#VALUE!</v>
      </c>
      <c r="F42" s="576" t="e">
        <f>'RMCV.PB'!O42*1.1/1.4</f>
        <v>#VALUE!</v>
      </c>
      <c r="G42" s="580">
        <f>IF('CG. MPB'!D43="CONFINADO",0.71*4,0)</f>
        <v>2.84</v>
      </c>
      <c r="H42" s="576">
        <f>('RMCV.PB'!P42+(2*0.6*$G$18*G42))</f>
        <v>14313.599999999999</v>
      </c>
      <c r="I42" s="60" t="e">
        <f t="shared" si="11"/>
        <v>#VALUE!</v>
      </c>
      <c r="J42" s="576" t="e">
        <f t="shared" si="2"/>
        <v>#VALUE!</v>
      </c>
      <c r="K42" s="918" t="e">
        <f>ABS('ELEM. MECA.'!H19)</f>
        <v>#VALUE!</v>
      </c>
      <c r="L42" s="936" t="e">
        <f t="shared" si="3"/>
        <v>#VALUE!</v>
      </c>
      <c r="M42" s="685" t="e">
        <f>IF('CG. MPB'!E43="CONCRETO","F/DISEÑO",IF(K42&gt;L42,"NO PASA","PASA"))</f>
        <v>#VALUE!</v>
      </c>
      <c r="N42" s="44" t="e">
        <f>IF('RMCV.PB'!C42*6&gt;80,80,'RMCV.PB'!C42*6)</f>
        <v>#VALUE!</v>
      </c>
      <c r="O42" s="44" t="e">
        <f t="shared" si="5"/>
        <v>#VALUE!</v>
      </c>
      <c r="P42" s="456">
        <v>15</v>
      </c>
      <c r="Q42" s="351" t="e">
        <f>IF(P42=0,G42,$Q$25)/('RMCV.PB'!C42*(B42/(P42+1)))*4200/$Q$26</f>
        <v>#VALUE!</v>
      </c>
      <c r="R42" s="425" t="e">
        <f t="shared" si="6"/>
        <v>#VALUE!</v>
      </c>
      <c r="S42" s="44">
        <f t="shared" si="7"/>
        <v>40</v>
      </c>
      <c r="T42" s="44" t="e">
        <f>(4200/$T$26)*$T$25/('RMCV.PB'!C42*S42)</f>
        <v>#VALUE!</v>
      </c>
      <c r="U42" s="425" t="e">
        <f t="shared" si="8"/>
        <v>#VALUE!</v>
      </c>
      <c r="V42" s="425">
        <f t="shared" si="9"/>
        <v>0</v>
      </c>
      <c r="W42" s="44">
        <f t="shared" si="10"/>
        <v>16.329999999999998</v>
      </c>
      <c r="X42" s="351" t="e">
        <f>T42+(W42/(B42*'RMCV.PB'!C42))*4200/FY</f>
        <v>#VALUE!</v>
      </c>
      <c r="Y42" s="425" t="e">
        <f>IF('CG. MPB'!E43="CONCRETO","F/DISEÑO",IF(FY=4200,IF(X42&gt;0.002,"BIEN","MAL"),(IF(X42&gt;4200*0.002/FY,"BIEN","MAL"))))</f>
        <v>#VALUE!</v>
      </c>
    </row>
    <row r="43" spans="1:25" hidden="1">
      <c r="A43" s="684">
        <f>'CG. MPB'!A44</f>
        <v>15</v>
      </c>
      <c r="B43" s="579">
        <f>'RMCV.PB'!B43</f>
        <v>0</v>
      </c>
      <c r="C43" s="579">
        <f t="shared" si="4"/>
        <v>-2</v>
      </c>
      <c r="D43" s="579">
        <f t="shared" si="0"/>
        <v>-4</v>
      </c>
      <c r="E43" s="576" t="e">
        <f>'RMCS.PB'!L43</f>
        <v>#VALUE!</v>
      </c>
      <c r="F43" s="576" t="e">
        <f>'RMCV.PB'!O43*1.1/1.4</f>
        <v>#VALUE!</v>
      </c>
      <c r="G43" s="580">
        <f>IF('CG. MPB'!D44="CONFINADO",0.71*4,0)</f>
        <v>2.84</v>
      </c>
      <c r="H43" s="576">
        <f>('RMCV.PB'!P43+(2*0.6*$G$18*G43))</f>
        <v>14313.599999999999</v>
      </c>
      <c r="I43" s="60" t="e">
        <f t="shared" si="11"/>
        <v>#VALUE!</v>
      </c>
      <c r="J43" s="576" t="e">
        <f t="shared" si="2"/>
        <v>#VALUE!</v>
      </c>
      <c r="K43" s="918" t="e">
        <f>ABS('ELEM. MECA.'!H20)</f>
        <v>#VALUE!</v>
      </c>
      <c r="L43" s="936" t="e">
        <f t="shared" si="3"/>
        <v>#VALUE!</v>
      </c>
      <c r="M43" s="685" t="e">
        <f>IF('CG. MPB'!E44="CONCRETO","F/DISEÑO",IF(K43&gt;L43,"NO PASA","PASA"))</f>
        <v>#VALUE!</v>
      </c>
      <c r="N43" s="44" t="e">
        <f>IF('RMCV.PB'!C43*6&gt;80,80,'RMCV.PB'!C43*6)</f>
        <v>#VALUE!</v>
      </c>
      <c r="O43" s="44" t="e">
        <f t="shared" si="5"/>
        <v>#VALUE!</v>
      </c>
      <c r="P43" s="456">
        <v>16</v>
      </c>
      <c r="Q43" s="351" t="e">
        <f>IF(P43=0,G43,$Q$25)/('RMCV.PB'!C43*(B43/(P43+1)))*4200/$Q$26</f>
        <v>#VALUE!</v>
      </c>
      <c r="R43" s="425" t="e">
        <f t="shared" si="6"/>
        <v>#VALUE!</v>
      </c>
      <c r="S43" s="44">
        <f t="shared" si="7"/>
        <v>40</v>
      </c>
      <c r="T43" s="44" t="e">
        <f>(4200/$T$26)*$T$25/('RMCV.PB'!C43*S43)</f>
        <v>#VALUE!</v>
      </c>
      <c r="U43" s="425" t="e">
        <f t="shared" si="8"/>
        <v>#VALUE!</v>
      </c>
      <c r="V43" s="425">
        <f t="shared" si="9"/>
        <v>0</v>
      </c>
      <c r="W43" s="44">
        <f t="shared" si="10"/>
        <v>17.04</v>
      </c>
      <c r="X43" s="351" t="e">
        <f>T43+(W43/(B43*'RMCV.PB'!C43))*4200/FY</f>
        <v>#VALUE!</v>
      </c>
      <c r="Y43" s="425" t="e">
        <f>IF('CG. MPB'!E44="CONCRETO","F/DISEÑO",IF(FY=4200,IF(X43&gt;0.002,"BIEN","MAL"),(IF(X43&gt;4200*0.002/FY,"BIEN","MAL"))))</f>
        <v>#VALUE!</v>
      </c>
    </row>
    <row r="44" spans="1:25" hidden="1">
      <c r="A44" s="684">
        <f>'CG. MPB'!A45</f>
        <v>16</v>
      </c>
      <c r="B44" s="579">
        <f>'RMCV.PB'!B44</f>
        <v>0</v>
      </c>
      <c r="C44" s="579">
        <f t="shared" si="4"/>
        <v>-2</v>
      </c>
      <c r="D44" s="579">
        <f t="shared" si="0"/>
        <v>-4</v>
      </c>
      <c r="E44" s="576" t="e">
        <f>'RMCS.PB'!L44</f>
        <v>#VALUE!</v>
      </c>
      <c r="F44" s="576" t="e">
        <f>'RMCV.PB'!O44*1.1/1.4</f>
        <v>#VALUE!</v>
      </c>
      <c r="G44" s="580">
        <f>IF('CG. MPB'!D45="CONFINADO",0.71*4,0)</f>
        <v>2.84</v>
      </c>
      <c r="H44" s="576">
        <f>('RMCV.PB'!P44+(2*0.6*$G$18*G44))</f>
        <v>14313.599999999999</v>
      </c>
      <c r="I44" s="60" t="e">
        <f t="shared" si="11"/>
        <v>#VALUE!</v>
      </c>
      <c r="J44" s="576" t="e">
        <f t="shared" si="2"/>
        <v>#VALUE!</v>
      </c>
      <c r="K44" s="918" t="e">
        <f>ABS('ELEM. MECA.'!H21)</f>
        <v>#VALUE!</v>
      </c>
      <c r="L44" s="936" t="e">
        <f t="shared" si="3"/>
        <v>#VALUE!</v>
      </c>
      <c r="M44" s="685" t="e">
        <f>IF('CG. MPB'!E45="CONCRETO","F/DISEÑO",IF(K44&gt;L44,"NO PASA","PASA"))</f>
        <v>#VALUE!</v>
      </c>
      <c r="N44" s="44" t="e">
        <f>IF('RMCV.PB'!C44*6&gt;80,80,'RMCV.PB'!C44*6)</f>
        <v>#VALUE!</v>
      </c>
      <c r="O44" s="44" t="e">
        <f t="shared" si="5"/>
        <v>#VALUE!</v>
      </c>
      <c r="P44" s="456">
        <v>17</v>
      </c>
      <c r="Q44" s="351" t="e">
        <f>IF(P44=0,G44,$Q$25)/('RMCV.PB'!C44*(B44/(P44+1)))*4200/$Q$26</f>
        <v>#VALUE!</v>
      </c>
      <c r="R44" s="425" t="e">
        <f t="shared" si="6"/>
        <v>#VALUE!</v>
      </c>
      <c r="S44" s="44">
        <f t="shared" si="7"/>
        <v>40</v>
      </c>
      <c r="T44" s="44" t="e">
        <f>(4200/$T$26)*$T$25/('RMCV.PB'!C44*S44)</f>
        <v>#VALUE!</v>
      </c>
      <c r="U44" s="425" t="e">
        <f t="shared" si="8"/>
        <v>#VALUE!</v>
      </c>
      <c r="V44" s="425">
        <f t="shared" si="9"/>
        <v>0</v>
      </c>
      <c r="W44" s="44">
        <f t="shared" si="10"/>
        <v>17.75</v>
      </c>
      <c r="X44" s="351" t="e">
        <f>T44+(W44/(B44*'RMCV.PB'!C44))*4200/FY</f>
        <v>#VALUE!</v>
      </c>
      <c r="Y44" s="425" t="e">
        <f>IF('CG. MPB'!E45="CONCRETO","F/DISEÑO",IF(FY=4200,IF(X44&gt;0.002,"BIEN","MAL"),(IF(X44&gt;4200*0.002/FY,"BIEN","MAL"))))</f>
        <v>#VALUE!</v>
      </c>
    </row>
    <row r="45" spans="1:25" hidden="1">
      <c r="A45" s="684">
        <f>'CG. MPB'!A46</f>
        <v>17</v>
      </c>
      <c r="B45" s="579">
        <f>'RMCV.PB'!B45</f>
        <v>0</v>
      </c>
      <c r="C45" s="579">
        <f t="shared" si="4"/>
        <v>-2</v>
      </c>
      <c r="D45" s="579">
        <f t="shared" si="0"/>
        <v>-4</v>
      </c>
      <c r="E45" s="576">
        <f>'RMCS.PB'!L45</f>
        <v>0</v>
      </c>
      <c r="F45" s="576">
        <f>'RMCV.PB'!O45*1.1/1.4</f>
        <v>0</v>
      </c>
      <c r="G45" s="580">
        <f>IF('CG. MPB'!D46="CONFINADO",0.71*4,0)</f>
        <v>2.84</v>
      </c>
      <c r="H45" s="576">
        <f>('RMCV.PB'!P45+(2*0.6*$G$18*G45))</f>
        <v>14313.599999999999</v>
      </c>
      <c r="I45" s="60">
        <f t="shared" si="11"/>
        <v>0.8</v>
      </c>
      <c r="J45" s="576">
        <f t="shared" si="2"/>
        <v>-38169.599999999999</v>
      </c>
      <c r="K45" s="918">
        <f>ABS('ELEM. MECA.'!H22)</f>
        <v>0</v>
      </c>
      <c r="L45" s="936">
        <f t="shared" si="3"/>
        <v>-38169.599999999999</v>
      </c>
      <c r="M45" s="685" t="str">
        <f>IF('CG. MPB'!E46="CONCRETO","F/DISEÑO",IF(K45&gt;L45,"NO PASA","PASA"))</f>
        <v>NO PASA</v>
      </c>
      <c r="N45" s="44">
        <f>IF('RMCV.PB'!C45*6&gt;80,80,'RMCV.PB'!C45*6)</f>
        <v>0</v>
      </c>
      <c r="O45" s="44" t="e">
        <f t="shared" si="5"/>
        <v>#DIV/0!</v>
      </c>
      <c r="P45" s="456">
        <v>18</v>
      </c>
      <c r="Q45" s="351" t="e">
        <f>IF(P45=0,G45,$Q$25)/('RMCV.PB'!C45*(B45/(P45+1)))*4200/$Q$26</f>
        <v>#DIV/0!</v>
      </c>
      <c r="R45" s="425" t="e">
        <f t="shared" si="6"/>
        <v>#DIV/0!</v>
      </c>
      <c r="S45" s="44">
        <f t="shared" si="7"/>
        <v>40</v>
      </c>
      <c r="T45" s="44" t="e">
        <f>(4200/$T$26)*$T$25/('RMCV.PB'!C45*S45)</f>
        <v>#DIV/0!</v>
      </c>
      <c r="U45" s="425" t="e">
        <f t="shared" si="8"/>
        <v>#DIV/0!</v>
      </c>
      <c r="V45" s="425">
        <f t="shared" si="9"/>
        <v>0</v>
      </c>
      <c r="W45" s="44">
        <f t="shared" si="10"/>
        <v>18.46</v>
      </c>
      <c r="X45" s="351" t="e">
        <f>T45+(W45/(B45*'RMCV.PB'!C45))*4200/FY</f>
        <v>#DIV/0!</v>
      </c>
      <c r="Y45" s="425" t="e">
        <f>IF('CG. MPB'!E46="CONCRETO","F/DISEÑO",IF(FY=4200,IF(X45&gt;0.002,"BIEN","MAL"),(IF(X45&gt;4200*0.002/FY,"BIEN","MAL"))))</f>
        <v>#DIV/0!</v>
      </c>
    </row>
    <row r="46" spans="1:25" hidden="1">
      <c r="A46" s="684">
        <f>'CG. MPB'!A47</f>
        <v>18</v>
      </c>
      <c r="B46" s="579">
        <f>'RMCV.PB'!B46</f>
        <v>0</v>
      </c>
      <c r="C46" s="579">
        <f t="shared" si="4"/>
        <v>-2</v>
      </c>
      <c r="D46" s="579">
        <f t="shared" si="0"/>
        <v>-4</v>
      </c>
      <c r="E46" s="576">
        <f>'RMCS.PB'!L46</f>
        <v>0</v>
      </c>
      <c r="F46" s="576">
        <f>'RMCV.PB'!O46*1.1/1.4</f>
        <v>0</v>
      </c>
      <c r="G46" s="580">
        <f>IF('CG. MPB'!D47="CONFINADO",0.71*4,0)</f>
        <v>2.84</v>
      </c>
      <c r="H46" s="576">
        <f>('RMCV.PB'!P46+(2*0.6*$G$18*G46))</f>
        <v>14313.599999999999</v>
      </c>
      <c r="I46" s="60">
        <f t="shared" si="11"/>
        <v>0.8</v>
      </c>
      <c r="J46" s="576">
        <f t="shared" si="2"/>
        <v>-38169.599999999999</v>
      </c>
      <c r="K46" s="918">
        <f>ABS('ELEM. MECA.'!H23)</f>
        <v>0</v>
      </c>
      <c r="L46" s="936">
        <f t="shared" si="3"/>
        <v>-38169.599999999999</v>
      </c>
      <c r="M46" s="685" t="str">
        <f>IF('CG. MPB'!E47="CONCRETO","F/DISEÑO",IF(K46&gt;L46,"NO PASA","PASA"))</f>
        <v>NO PASA</v>
      </c>
      <c r="N46" s="44">
        <f>IF('RMCV.PB'!C46*6&gt;80,80,'RMCV.PB'!C46*6)</f>
        <v>0</v>
      </c>
      <c r="O46" s="44" t="e">
        <f t="shared" si="5"/>
        <v>#DIV/0!</v>
      </c>
      <c r="P46" s="456">
        <v>19</v>
      </c>
      <c r="Q46" s="351" t="e">
        <f>IF(P46=0,G46,$Q$25)/('RMCV.PB'!C46*(B46/(P46+1)))*4200/$Q$26</f>
        <v>#DIV/0!</v>
      </c>
      <c r="R46" s="425" t="e">
        <f t="shared" si="6"/>
        <v>#DIV/0!</v>
      </c>
      <c r="S46" s="44">
        <f t="shared" si="7"/>
        <v>40</v>
      </c>
      <c r="T46" s="44" t="e">
        <f>(4200/$T$26)*$T$25/('RMCV.PB'!C46*S46)</f>
        <v>#DIV/0!</v>
      </c>
      <c r="U46" s="425" t="e">
        <f t="shared" si="8"/>
        <v>#DIV/0!</v>
      </c>
      <c r="V46" s="425">
        <f t="shared" si="9"/>
        <v>0</v>
      </c>
      <c r="W46" s="44">
        <f t="shared" si="10"/>
        <v>19.169999999999998</v>
      </c>
      <c r="X46" s="351" t="e">
        <f>T46+(W46/(B46*'RMCV.PB'!C46))*4200/FY</f>
        <v>#DIV/0!</v>
      </c>
      <c r="Y46" s="425" t="e">
        <f>IF('CG. MPB'!E47="CONCRETO","F/DISEÑO",IF(FY=4200,IF(X46&gt;0.002,"BIEN","MAL"),(IF(X46&gt;4200*0.002/FY,"BIEN","MAL"))))</f>
        <v>#DIV/0!</v>
      </c>
    </row>
    <row r="47" spans="1:25" hidden="1">
      <c r="A47" s="684">
        <f>'CG. MPB'!A48</f>
        <v>19</v>
      </c>
      <c r="B47" s="579">
        <f>'RMCV.PB'!B47</f>
        <v>0</v>
      </c>
      <c r="C47" s="579">
        <f t="shared" si="4"/>
        <v>-2</v>
      </c>
      <c r="D47" s="579">
        <f t="shared" si="0"/>
        <v>-4</v>
      </c>
      <c r="E47" s="576">
        <f>'RMCS.PB'!L47</f>
        <v>0</v>
      </c>
      <c r="F47" s="576">
        <f>'RMCV.PB'!O47*1.1/1.4</f>
        <v>0</v>
      </c>
      <c r="G47" s="580">
        <f>IF('CG. MPB'!D48="CONFINADO",0.71*4,0)</f>
        <v>2.84</v>
      </c>
      <c r="H47" s="576">
        <f>('RMCV.PB'!P47+(2*0.6*$G$18*G47))</f>
        <v>14313.599999999999</v>
      </c>
      <c r="I47" s="60">
        <f t="shared" si="11"/>
        <v>0.8</v>
      </c>
      <c r="J47" s="576">
        <f t="shared" si="2"/>
        <v>-38169.599999999999</v>
      </c>
      <c r="K47" s="918">
        <f>ABS('ELEM. MECA.'!H24)</f>
        <v>0</v>
      </c>
      <c r="L47" s="936">
        <f t="shared" si="3"/>
        <v>-38169.599999999999</v>
      </c>
      <c r="M47" s="685" t="str">
        <f>IF('CG. MPB'!E48="CONCRETO","F/DISEÑO",IF(K47&gt;L47,"NO PASA","PASA"))</f>
        <v>NO PASA</v>
      </c>
      <c r="N47" s="44">
        <f>IF('RMCV.PB'!C47*6&gt;80,80,'RMCV.PB'!C47*6)</f>
        <v>0</v>
      </c>
      <c r="O47" s="44" t="e">
        <f t="shared" si="5"/>
        <v>#DIV/0!</v>
      </c>
      <c r="P47" s="456">
        <v>20</v>
      </c>
      <c r="Q47" s="351" t="e">
        <f>IF(P47=0,G47,$Q$25)/('RMCV.PB'!C47*(B47/(P47+1)))*4200/$Q$26</f>
        <v>#DIV/0!</v>
      </c>
      <c r="R47" s="425" t="e">
        <f t="shared" si="6"/>
        <v>#DIV/0!</v>
      </c>
      <c r="S47" s="44">
        <f t="shared" si="7"/>
        <v>40</v>
      </c>
      <c r="T47" s="44" t="e">
        <f>(4200/$T$26)*$T$25/('RMCV.PB'!C47*S47)</f>
        <v>#DIV/0!</v>
      </c>
      <c r="U47" s="425" t="e">
        <f t="shared" si="8"/>
        <v>#DIV/0!</v>
      </c>
      <c r="V47" s="425">
        <f t="shared" si="9"/>
        <v>0</v>
      </c>
      <c r="W47" s="44">
        <f t="shared" si="10"/>
        <v>19.88</v>
      </c>
      <c r="X47" s="351" t="e">
        <f>T47+(W47/(B47*'RMCV.PB'!C47))*4200/FY</f>
        <v>#DIV/0!</v>
      </c>
      <c r="Y47" s="425" t="e">
        <f>IF('CG. MPB'!E48="CONCRETO","F/DISEÑO",IF(FY=4200,IF(X47&gt;0.002,"BIEN","MAL"),(IF(X47&gt;4200*0.002/FY,"BIEN","MAL"))))</f>
        <v>#DIV/0!</v>
      </c>
    </row>
    <row r="48" spans="1:25" hidden="1">
      <c r="A48" s="684">
        <f>'CG. MPB'!A49</f>
        <v>20</v>
      </c>
      <c r="B48" s="579">
        <f>'RMCV.PB'!B48</f>
        <v>0</v>
      </c>
      <c r="C48" s="579">
        <f t="shared" si="4"/>
        <v>-2</v>
      </c>
      <c r="D48" s="579">
        <f t="shared" si="0"/>
        <v>-4</v>
      </c>
      <c r="E48" s="576">
        <f>'RMCS.PB'!L48</f>
        <v>0</v>
      </c>
      <c r="F48" s="576">
        <f>'RMCV.PB'!O48*1.1/1.4</f>
        <v>0</v>
      </c>
      <c r="G48" s="580">
        <f>IF('CG. MPB'!D49="CONFINADO",0.71*4,0)</f>
        <v>2.84</v>
      </c>
      <c r="H48" s="576">
        <f>('RMCV.PB'!P48+(2*0.6*$G$18*G48))</f>
        <v>14313.599999999999</v>
      </c>
      <c r="I48" s="60">
        <f t="shared" si="11"/>
        <v>0.8</v>
      </c>
      <c r="J48" s="576">
        <f t="shared" si="2"/>
        <v>-38169.599999999999</v>
      </c>
      <c r="K48" s="918">
        <f>ABS('ELEM. MECA.'!H25)</f>
        <v>0</v>
      </c>
      <c r="L48" s="936">
        <f t="shared" si="3"/>
        <v>-38169.599999999999</v>
      </c>
      <c r="M48" s="685" t="str">
        <f>IF('CG. MPB'!E49="CONCRETO","F/DISEÑO",IF(K48&gt;L48,"NO PASA","PASA"))</f>
        <v>NO PASA</v>
      </c>
      <c r="N48" s="44">
        <f>IF('RMCV.PB'!C48*6&gt;80,80,'RMCV.PB'!C48*6)</f>
        <v>0</v>
      </c>
      <c r="O48" s="44" t="e">
        <f t="shared" si="5"/>
        <v>#DIV/0!</v>
      </c>
      <c r="P48" s="456">
        <v>21</v>
      </c>
      <c r="Q48" s="351" t="e">
        <f>IF(P48=0,G48,$Q$25)/('RMCV.PB'!C48*(B48/(P48+1)))*4200/$Q$26</f>
        <v>#DIV/0!</v>
      </c>
      <c r="R48" s="425" t="e">
        <f t="shared" si="6"/>
        <v>#DIV/0!</v>
      </c>
      <c r="S48" s="44">
        <f t="shared" si="7"/>
        <v>40</v>
      </c>
      <c r="T48" s="44" t="e">
        <f>(4200/$T$26)*$T$25/('RMCV.PB'!C48*S48)</f>
        <v>#DIV/0!</v>
      </c>
      <c r="U48" s="425" t="e">
        <f t="shared" si="8"/>
        <v>#DIV/0!</v>
      </c>
      <c r="V48" s="425">
        <f t="shared" si="9"/>
        <v>0</v>
      </c>
      <c r="W48" s="44">
        <f t="shared" si="10"/>
        <v>20.59</v>
      </c>
      <c r="X48" s="351" t="e">
        <f>T48+(W48/(B48*'RMCV.PB'!C48))*4200/FY</f>
        <v>#DIV/0!</v>
      </c>
      <c r="Y48" s="425" t="e">
        <f>IF('CG. MPB'!E49="CONCRETO","F/DISEÑO",IF(FY=4200,IF(X48&gt;0.002,"BIEN","MAL"),(IF(X48&gt;4200*0.002/FY,"BIEN","MAL"))))</f>
        <v>#DIV/0!</v>
      </c>
    </row>
    <row r="49" spans="1:25" hidden="1">
      <c r="A49" s="684">
        <f>'CG. MPB'!A50</f>
        <v>21</v>
      </c>
      <c r="B49" s="579">
        <f>'RMCV.PB'!B49</f>
        <v>0</v>
      </c>
      <c r="C49" s="579">
        <f t="shared" si="4"/>
        <v>-2</v>
      </c>
      <c r="D49" s="579">
        <f t="shared" si="0"/>
        <v>-4</v>
      </c>
      <c r="E49" s="576">
        <f>'RMCS.PB'!L49</f>
        <v>0</v>
      </c>
      <c r="F49" s="576">
        <f>'RMCV.PB'!O49*1.1/1.4</f>
        <v>0</v>
      </c>
      <c r="G49" s="580">
        <f>IF('CG. MPB'!D50="CONFINADO",0.71*4,0)</f>
        <v>2.84</v>
      </c>
      <c r="H49" s="576">
        <f>('RMCV.PB'!P49+(2*0.6*$G$18*G49))</f>
        <v>14313.599999999999</v>
      </c>
      <c r="I49" s="60">
        <f t="shared" si="11"/>
        <v>0.8</v>
      </c>
      <c r="J49" s="576">
        <f t="shared" si="2"/>
        <v>-38169.599999999999</v>
      </c>
      <c r="K49" s="918">
        <f>ABS('ELEM. MECA.'!H26)</f>
        <v>0</v>
      </c>
      <c r="L49" s="936">
        <f t="shared" si="3"/>
        <v>-38169.599999999999</v>
      </c>
      <c r="M49" s="685" t="str">
        <f>IF('CG. MPB'!E50="CONCRETO","F/DISEÑO",IF(K49&gt;L49,"NO PASA","PASA"))</f>
        <v>NO PASA</v>
      </c>
      <c r="N49" s="44">
        <f>IF('RMCV.PB'!C49*6&gt;80,80,'RMCV.PB'!C49*6)</f>
        <v>0</v>
      </c>
      <c r="O49" s="44" t="e">
        <f t="shared" si="5"/>
        <v>#DIV/0!</v>
      </c>
      <c r="P49" s="456">
        <v>22</v>
      </c>
      <c r="Q49" s="351" t="e">
        <f>IF(P49=0,G49,$Q$25)/('RMCV.PB'!C49*(B49/(P49+1)))*4200/$Q$26</f>
        <v>#DIV/0!</v>
      </c>
      <c r="R49" s="425" t="e">
        <f t="shared" si="6"/>
        <v>#DIV/0!</v>
      </c>
      <c r="S49" s="44">
        <f t="shared" si="7"/>
        <v>40</v>
      </c>
      <c r="T49" s="44" t="e">
        <f>(4200/$T$26)*$T$25/('RMCV.PB'!C49*S49)</f>
        <v>#DIV/0!</v>
      </c>
      <c r="U49" s="425" t="e">
        <f t="shared" si="8"/>
        <v>#DIV/0!</v>
      </c>
      <c r="V49" s="425">
        <f t="shared" si="9"/>
        <v>0</v>
      </c>
      <c r="W49" s="44">
        <f t="shared" si="10"/>
        <v>21.299999999999997</v>
      </c>
      <c r="X49" s="351" t="e">
        <f>T49+(W49/(B49*'RMCV.PB'!C49))*4200/FY</f>
        <v>#DIV/0!</v>
      </c>
      <c r="Y49" s="425" t="e">
        <f>IF('CG. MPB'!E50="CONCRETO","F/DISEÑO",IF(FY=4200,IF(X49&gt;0.002,"BIEN","MAL"),(IF(X49&gt;4200*0.002/FY,"BIEN","MAL"))))</f>
        <v>#DIV/0!</v>
      </c>
    </row>
    <row r="50" spans="1:25" hidden="1">
      <c r="A50" s="684">
        <f>'CG. MPB'!A51</f>
        <v>22</v>
      </c>
      <c r="B50" s="579">
        <f>'RMCV.PB'!B50</f>
        <v>0</v>
      </c>
      <c r="C50" s="579">
        <f t="shared" si="4"/>
        <v>-2</v>
      </c>
      <c r="D50" s="579">
        <f t="shared" si="0"/>
        <v>-4</v>
      </c>
      <c r="E50" s="576">
        <f>'RMCS.PB'!L50</f>
        <v>0</v>
      </c>
      <c r="F50" s="576">
        <f>'RMCV.PB'!O50*1.1/1.4</f>
        <v>0</v>
      </c>
      <c r="G50" s="580">
        <f>IF('CG. MPB'!D51="CONFINADO",0.71*4,0)</f>
        <v>2.84</v>
      </c>
      <c r="H50" s="576">
        <f>('RMCV.PB'!P50+(2*0.6*$G$18*G50))</f>
        <v>14313.599999999999</v>
      </c>
      <c r="I50" s="60">
        <f t="shared" si="11"/>
        <v>0.8</v>
      </c>
      <c r="J50" s="576">
        <f t="shared" si="2"/>
        <v>-38169.599999999999</v>
      </c>
      <c r="K50" s="918">
        <f>ABS('ELEM. MECA.'!H27)</f>
        <v>0</v>
      </c>
      <c r="L50" s="936">
        <f t="shared" si="3"/>
        <v>-38169.599999999999</v>
      </c>
      <c r="M50" s="685" t="str">
        <f>IF('CG. MPB'!E51="CONCRETO","F/DISEÑO",IF(K50&gt;L50,"NO PASA","PASA"))</f>
        <v>NO PASA</v>
      </c>
      <c r="N50" s="44">
        <f>IF('RMCV.PB'!C50*6&gt;80,80,'RMCV.PB'!C50*6)</f>
        <v>0</v>
      </c>
      <c r="O50" s="44" t="e">
        <f t="shared" si="5"/>
        <v>#DIV/0!</v>
      </c>
      <c r="P50" s="456">
        <v>23</v>
      </c>
      <c r="Q50" s="351" t="e">
        <f>IF(P50=0,G50,$Q$25)/('RMCV.PB'!C50*(B50/(P50+1)))*4200/$Q$26</f>
        <v>#DIV/0!</v>
      </c>
      <c r="R50" s="425" t="e">
        <f t="shared" si="6"/>
        <v>#DIV/0!</v>
      </c>
      <c r="S50" s="44">
        <f t="shared" si="7"/>
        <v>40</v>
      </c>
      <c r="T50" s="44" t="e">
        <f>(4200/$T$26)*$T$25/('RMCV.PB'!C50*S50)</f>
        <v>#DIV/0!</v>
      </c>
      <c r="U50" s="425" t="e">
        <f t="shared" si="8"/>
        <v>#DIV/0!</v>
      </c>
      <c r="V50" s="425">
        <f t="shared" si="9"/>
        <v>0</v>
      </c>
      <c r="W50" s="44">
        <f t="shared" si="10"/>
        <v>22.009999999999998</v>
      </c>
      <c r="X50" s="351" t="e">
        <f>T50+(W50/(B50*'RMCV.PB'!C50))*4200/FY</f>
        <v>#DIV/0!</v>
      </c>
      <c r="Y50" s="425" t="e">
        <f>IF('CG. MPB'!E51="CONCRETO","F/DISEÑO",IF(FY=4200,IF(X50&gt;0.002,"BIEN","MAL"),(IF(X50&gt;4200*0.002/FY,"BIEN","MAL"))))</f>
        <v>#DIV/0!</v>
      </c>
    </row>
    <row r="51" spans="1:25" hidden="1">
      <c r="A51" s="684">
        <f>'CG. MPB'!A52</f>
        <v>23</v>
      </c>
      <c r="B51" s="579">
        <f>'RMCV.PB'!B51</f>
        <v>0</v>
      </c>
      <c r="C51" s="579">
        <f t="shared" si="4"/>
        <v>-2</v>
      </c>
      <c r="D51" s="579">
        <f t="shared" si="0"/>
        <v>-4</v>
      </c>
      <c r="E51" s="576">
        <f>'RMCS.PB'!L51</f>
        <v>0</v>
      </c>
      <c r="F51" s="576">
        <f>'RMCV.PB'!O51*1.1/1.4</f>
        <v>0</v>
      </c>
      <c r="G51" s="580">
        <f>IF('CG. MPB'!D52="CONFINADO",0.71*4,0)</f>
        <v>2.84</v>
      </c>
      <c r="H51" s="576">
        <f>('RMCV.PB'!P51+(2*0.6*$G$18*G51))</f>
        <v>14313.599999999999</v>
      </c>
      <c r="I51" s="60">
        <f t="shared" si="11"/>
        <v>0.8</v>
      </c>
      <c r="J51" s="576">
        <f t="shared" si="2"/>
        <v>-38169.599999999999</v>
      </c>
      <c r="K51" s="918">
        <f>ABS('ELEM. MECA.'!H28)</f>
        <v>0</v>
      </c>
      <c r="L51" s="936">
        <f t="shared" si="3"/>
        <v>-38169.599999999999</v>
      </c>
      <c r="M51" s="685" t="str">
        <f>IF('CG. MPB'!E52="CONCRETO","F/DISEÑO",IF(K51&gt;L51,"NO PASA","PASA"))</f>
        <v>NO PASA</v>
      </c>
      <c r="N51" s="44">
        <f>IF('RMCV.PB'!C51*6&gt;80,80,'RMCV.PB'!C51*6)</f>
        <v>0</v>
      </c>
      <c r="O51" s="44" t="e">
        <f t="shared" si="5"/>
        <v>#DIV/0!</v>
      </c>
      <c r="P51" s="456">
        <v>24</v>
      </c>
      <c r="Q51" s="351" t="e">
        <f>IF(P51=0,G51,$Q$25)/('RMCV.PB'!C51*(B51/(P51+1)))*4200/$Q$26</f>
        <v>#DIV/0!</v>
      </c>
      <c r="R51" s="425" t="e">
        <f t="shared" si="6"/>
        <v>#DIV/0!</v>
      </c>
      <c r="S51" s="44">
        <f t="shared" si="7"/>
        <v>40</v>
      </c>
      <c r="T51" s="44" t="e">
        <f>(4200/$T$26)*$T$25/('RMCV.PB'!C51*S51)</f>
        <v>#DIV/0!</v>
      </c>
      <c r="U51" s="425" t="e">
        <f t="shared" si="8"/>
        <v>#DIV/0!</v>
      </c>
      <c r="V51" s="425">
        <f t="shared" si="9"/>
        <v>0</v>
      </c>
      <c r="W51" s="44">
        <f t="shared" si="10"/>
        <v>22.72</v>
      </c>
      <c r="X51" s="351" t="e">
        <f>T51+(W51/(B51*'RMCV.PB'!C51))*4200/FY</f>
        <v>#DIV/0!</v>
      </c>
      <c r="Y51" s="425" t="e">
        <f>IF('CG. MPB'!E52="CONCRETO","F/DISEÑO",IF(FY=4200,IF(X51&gt;0.002,"BIEN","MAL"),(IF(X51&gt;4200*0.002/FY,"BIEN","MAL"))))</f>
        <v>#DIV/0!</v>
      </c>
    </row>
    <row r="52" spans="1:25" ht="15.75" hidden="1" thickBot="1">
      <c r="A52" s="684">
        <f>'CG. MPB'!A53</f>
        <v>24</v>
      </c>
      <c r="B52" s="579">
        <f>'RMCV.PB'!B52</f>
        <v>0</v>
      </c>
      <c r="C52" s="579">
        <f t="shared" si="4"/>
        <v>-2</v>
      </c>
      <c r="D52" s="579">
        <f t="shared" si="0"/>
        <v>-4</v>
      </c>
      <c r="E52" s="576">
        <f>'RMCS.PB'!L52</f>
        <v>0</v>
      </c>
      <c r="F52" s="576">
        <f>'RMCV.PB'!O52*1.1/1.4</f>
        <v>0</v>
      </c>
      <c r="G52" s="580">
        <f>IF('CG. MPB'!D53="CONFINADO",0.71*4,0)</f>
        <v>2.84</v>
      </c>
      <c r="H52" s="576">
        <f>('RMCV.PB'!P52+(2*0.6*$G$18*G52))</f>
        <v>14313.599999999999</v>
      </c>
      <c r="I52" s="60">
        <f t="shared" si="11"/>
        <v>0.8</v>
      </c>
      <c r="J52" s="576">
        <f t="shared" si="2"/>
        <v>-38169.599999999999</v>
      </c>
      <c r="K52" s="918">
        <f>ABS('ELEM. MECA.'!H29)</f>
        <v>0</v>
      </c>
      <c r="L52" s="936">
        <f t="shared" si="3"/>
        <v>-38169.599999999999</v>
      </c>
      <c r="M52" s="685" t="str">
        <f>IF('CG. MPB'!E53="CONCRETO","F/DISEÑO",IF(K52&gt;L52,"NO PASA","PASA"))</f>
        <v>NO PASA</v>
      </c>
      <c r="N52" s="44">
        <f>IF('RMCV.PB'!C52*6&gt;80,80,'RMCV.PB'!C52*6)</f>
        <v>0</v>
      </c>
      <c r="O52" s="44" t="e">
        <f t="shared" si="5"/>
        <v>#DIV/0!</v>
      </c>
      <c r="P52" s="456">
        <v>25</v>
      </c>
      <c r="Q52" s="351" t="e">
        <f>IF(P52=0,G52,$Q$25)/('RMCV.PB'!C52*(B52/(P52+1)))*4200/$Q$26</f>
        <v>#DIV/0!</v>
      </c>
      <c r="R52" s="425" t="e">
        <f t="shared" si="6"/>
        <v>#DIV/0!</v>
      </c>
      <c r="S52" s="44">
        <f t="shared" si="7"/>
        <v>40</v>
      </c>
      <c r="T52" s="44" t="e">
        <f>(4200/$T$26)*$T$25/('RMCV.PB'!C52*S52)</f>
        <v>#DIV/0!</v>
      </c>
      <c r="U52" s="425" t="e">
        <f t="shared" si="8"/>
        <v>#DIV/0!</v>
      </c>
      <c r="V52" s="425">
        <f t="shared" si="9"/>
        <v>0</v>
      </c>
      <c r="W52" s="44">
        <f t="shared" si="10"/>
        <v>23.43</v>
      </c>
      <c r="X52" s="351" t="e">
        <f>T52+(W52/(B52*'RMCV.PB'!C52))*4200/FY</f>
        <v>#DIV/0!</v>
      </c>
      <c r="Y52" s="425" t="e">
        <f>IF('CG. MPB'!E53="CONCRETO","F/DISEÑO",IF(FY=4200,IF(X52&gt;0.002,"BIEN","MAL"),(IF(X52&gt;4200*0.002/FY,"BIEN","MAL"))))</f>
        <v>#DIV/0!</v>
      </c>
    </row>
    <row r="53" spans="1:25" hidden="1">
      <c r="A53" s="684">
        <f>'CG. MPB'!A54</f>
        <v>25</v>
      </c>
      <c r="B53" s="579">
        <f>'RMCV.PB'!B53</f>
        <v>0</v>
      </c>
      <c r="C53" s="579">
        <f t="shared" si="4"/>
        <v>-2</v>
      </c>
      <c r="D53" s="579">
        <f t="shared" si="0"/>
        <v>-4</v>
      </c>
      <c r="E53" s="576">
        <f>'RMCS.PB'!L53</f>
        <v>0</v>
      </c>
      <c r="F53" s="576">
        <f>'RMCV.PB'!O53*1.1/1.4</f>
        <v>0</v>
      </c>
      <c r="G53" s="580">
        <f>IF('CG. MPB'!D54="CONFINADO",0.71*4,0)</f>
        <v>2.84</v>
      </c>
      <c r="H53" s="576">
        <f>('RMCV.PB'!P53+(2*0.6*$G$18*G53))</f>
        <v>14313.599999999999</v>
      </c>
      <c r="I53" s="60">
        <f t="shared" si="11"/>
        <v>0.8</v>
      </c>
      <c r="J53" s="576">
        <f t="shared" si="2"/>
        <v>-38169.599999999999</v>
      </c>
      <c r="K53" s="918">
        <f>ABS('ELEM. MECA.'!H30)</f>
        <v>0</v>
      </c>
      <c r="L53" s="936">
        <f t="shared" si="3"/>
        <v>-38169.599999999999</v>
      </c>
      <c r="M53" s="685" t="str">
        <f>IF('CG. MPB'!E54="CONCRETO","F/DISEÑO",IF(K53&gt;L53,"NO PASA","PASA"))</f>
        <v>NO PASA</v>
      </c>
      <c r="N53" s="44">
        <f>IF('RMCV.PB'!C53*6&gt;80,80,'RMCV.PB'!C53*6)</f>
        <v>0</v>
      </c>
      <c r="O53" s="44" t="e">
        <f t="shared" si="5"/>
        <v>#DIV/0!</v>
      </c>
      <c r="P53" s="456">
        <v>26</v>
      </c>
      <c r="Q53" s="351" t="e">
        <f>IF(P53=0,G53,$Q$25)/('RMCV.PB'!C53*(B53/(P53+1)))*4200/$Q$26</f>
        <v>#DIV/0!</v>
      </c>
      <c r="R53" s="425" t="e">
        <f t="shared" si="6"/>
        <v>#DIV/0!</v>
      </c>
      <c r="S53" s="44">
        <f t="shared" si="7"/>
        <v>40</v>
      </c>
      <c r="T53" s="44" t="e">
        <f>(4200/$T$26)*$T$25/('RMCV.PB'!C53*S53)</f>
        <v>#DIV/0!</v>
      </c>
      <c r="U53" s="425" t="e">
        <f t="shared" si="8"/>
        <v>#DIV/0!</v>
      </c>
      <c r="V53" s="425">
        <f t="shared" si="9"/>
        <v>0</v>
      </c>
      <c r="W53" s="44">
        <f t="shared" si="10"/>
        <v>24.14</v>
      </c>
      <c r="X53" s="351" t="e">
        <f>T53+(W53/(B53*'RMCV.PB'!C53))*4200/FY</f>
        <v>#DIV/0!</v>
      </c>
      <c r="Y53" s="425" t="e">
        <f>IF('CG. MPB'!E54="CONCRETO","F/DISEÑO",IF(FY=4200,IF(X53&gt;0.002,"BIEN","MAL"),(IF(X53&gt;4200*0.002/FY,"BIEN","MAL"))))</f>
        <v>#DIV/0!</v>
      </c>
    </row>
    <row r="54" spans="1:25" hidden="1">
      <c r="A54" s="684">
        <f>'CG. MPB'!A55</f>
        <v>26</v>
      </c>
      <c r="B54" s="579">
        <f>'RMCV.PB'!B54</f>
        <v>0</v>
      </c>
      <c r="C54" s="579">
        <f t="shared" si="4"/>
        <v>-2</v>
      </c>
      <c r="D54" s="579">
        <f t="shared" si="0"/>
        <v>-4</v>
      </c>
      <c r="E54" s="576">
        <f>'RMCS.PB'!L54</f>
        <v>0</v>
      </c>
      <c r="F54" s="576">
        <f>'RMCV.PB'!O54*1.1/1.4</f>
        <v>0</v>
      </c>
      <c r="G54" s="580">
        <f>IF('CG. MPB'!D55="CONFINADO",0.71*4,0)</f>
        <v>2.84</v>
      </c>
      <c r="H54" s="576">
        <f>('RMCV.PB'!P54+(2*0.6*$G$18*G54))</f>
        <v>14313.599999999999</v>
      </c>
      <c r="I54" s="60">
        <f t="shared" si="11"/>
        <v>0.8</v>
      </c>
      <c r="J54" s="576">
        <f t="shared" si="2"/>
        <v>-38169.599999999999</v>
      </c>
      <c r="K54" s="918">
        <f>ABS('ELEM. MECA.'!H31)</f>
        <v>0</v>
      </c>
      <c r="L54" s="936">
        <f t="shared" si="3"/>
        <v>-38169.599999999999</v>
      </c>
      <c r="M54" s="685" t="str">
        <f>IF('CG. MPB'!E55="CONCRETO","F/DISEÑO",IF(K54&gt;L54,"NO PASA","PASA"))</f>
        <v>NO PASA</v>
      </c>
      <c r="N54" s="44">
        <f>IF('RMCV.PB'!C54*6&gt;80,80,'RMCV.PB'!C54*6)</f>
        <v>0</v>
      </c>
      <c r="O54" s="44" t="e">
        <f t="shared" si="5"/>
        <v>#DIV/0!</v>
      </c>
      <c r="P54" s="456">
        <v>27</v>
      </c>
      <c r="Q54" s="351" t="e">
        <f>IF(P54=0,G54,$Q$25)/('RMCV.PB'!C54*(B54/(P54+1)))*4200/$Q$26</f>
        <v>#DIV/0!</v>
      </c>
      <c r="R54" s="425" t="e">
        <f t="shared" si="6"/>
        <v>#DIV/0!</v>
      </c>
      <c r="S54" s="44">
        <f t="shared" si="7"/>
        <v>40</v>
      </c>
      <c r="T54" s="44" t="e">
        <f>(4200/$T$26)*$T$25/('RMCV.PB'!C54*S54)</f>
        <v>#DIV/0!</v>
      </c>
      <c r="U54" s="425" t="e">
        <f t="shared" si="8"/>
        <v>#DIV/0!</v>
      </c>
      <c r="V54" s="425">
        <f t="shared" si="9"/>
        <v>0</v>
      </c>
      <c r="W54" s="44">
        <f t="shared" si="10"/>
        <v>24.849999999999998</v>
      </c>
      <c r="X54" s="351" t="e">
        <f>T54+(W54/(B54*'RMCV.PB'!C54))*4200/FY</f>
        <v>#DIV/0!</v>
      </c>
      <c r="Y54" s="425" t="e">
        <f>IF('CG. MPB'!E55="CONCRETO","F/DISEÑO",IF(FY=4200,IF(X54&gt;0.002,"BIEN","MAL"),(IF(X54&gt;4200*0.002/FY,"BIEN","MAL"))))</f>
        <v>#DIV/0!</v>
      </c>
    </row>
    <row r="55" spans="1:25" hidden="1">
      <c r="A55" s="684">
        <f>'CG. MPB'!A56</f>
        <v>27</v>
      </c>
      <c r="B55" s="579">
        <f>'RMCV.PB'!B55</f>
        <v>0</v>
      </c>
      <c r="C55" s="579">
        <f t="shared" si="4"/>
        <v>-2</v>
      </c>
      <c r="D55" s="579">
        <f t="shared" si="0"/>
        <v>-4</v>
      </c>
      <c r="E55" s="576">
        <f>'RMCS.PB'!L55</f>
        <v>0</v>
      </c>
      <c r="F55" s="576">
        <f>'RMCV.PB'!O55*1.1/1.4</f>
        <v>0</v>
      </c>
      <c r="G55" s="580">
        <f>IF('CG. MPB'!D56="CONFINADO",0.71*4,0)</f>
        <v>2.84</v>
      </c>
      <c r="H55" s="576">
        <f>('RMCV.PB'!P55+(2*0.6*$G$18*G55))</f>
        <v>14313.599999999999</v>
      </c>
      <c r="I55" s="60">
        <f t="shared" si="11"/>
        <v>0.8</v>
      </c>
      <c r="J55" s="576">
        <f t="shared" si="2"/>
        <v>-38169.599999999999</v>
      </c>
      <c r="K55" s="918">
        <f>ABS('ELEM. MECA.'!H32)</f>
        <v>0</v>
      </c>
      <c r="L55" s="936">
        <f t="shared" si="3"/>
        <v>-38169.599999999999</v>
      </c>
      <c r="M55" s="685" t="str">
        <f>IF('CG. MPB'!E56="CONCRETO","F/DISEÑO",IF(K55&gt;L55,"NO PASA","PASA"))</f>
        <v>NO PASA</v>
      </c>
      <c r="N55" s="44">
        <f>IF('RMCV.PB'!C55*6&gt;80,80,'RMCV.PB'!C55*6)</f>
        <v>0</v>
      </c>
      <c r="O55" s="44" t="e">
        <f t="shared" si="5"/>
        <v>#DIV/0!</v>
      </c>
      <c r="P55" s="456">
        <v>28</v>
      </c>
      <c r="Q55" s="351" t="e">
        <f>IF(P55=0,G55,$Q$25)/('RMCV.PB'!C55*(B55/(P55+1)))*4200/$Q$26</f>
        <v>#DIV/0!</v>
      </c>
      <c r="R55" s="425" t="e">
        <f t="shared" si="6"/>
        <v>#DIV/0!</v>
      </c>
      <c r="S55" s="44">
        <f t="shared" si="7"/>
        <v>40</v>
      </c>
      <c r="T55" s="44" t="e">
        <f>(4200/$T$26)*$T$25/('RMCV.PB'!C55*S55)</f>
        <v>#DIV/0!</v>
      </c>
      <c r="U55" s="425" t="e">
        <f t="shared" si="8"/>
        <v>#DIV/0!</v>
      </c>
      <c r="V55" s="425">
        <f t="shared" si="9"/>
        <v>0</v>
      </c>
      <c r="W55" s="44">
        <f t="shared" si="10"/>
        <v>25.56</v>
      </c>
      <c r="X55" s="351" t="e">
        <f>T55+(W55/(B55*'RMCV.PB'!C55))*4200/FY</f>
        <v>#DIV/0!</v>
      </c>
      <c r="Y55" s="425" t="e">
        <f>IF('CG. MPB'!E56="CONCRETO","F/DISEÑO",IF(FY=4200,IF(X55&gt;0.002,"BIEN","MAL"),(IF(X55&gt;4200*0.002/FY,"BIEN","MAL"))))</f>
        <v>#DIV/0!</v>
      </c>
    </row>
    <row r="56" spans="1:25" hidden="1">
      <c r="A56" s="684">
        <f>'CG. MPB'!A57</f>
        <v>28</v>
      </c>
      <c r="B56" s="579">
        <f>'RMCV.PB'!B56</f>
        <v>0</v>
      </c>
      <c r="C56" s="579">
        <f t="shared" si="4"/>
        <v>-2</v>
      </c>
      <c r="D56" s="579">
        <f t="shared" si="0"/>
        <v>-4</v>
      </c>
      <c r="E56" s="576">
        <f>'RMCS.PB'!L56</f>
        <v>0</v>
      </c>
      <c r="F56" s="576">
        <f>'RMCV.PB'!O56*1.1/1.4</f>
        <v>0</v>
      </c>
      <c r="G56" s="580">
        <f>IF('CG. MPB'!D57="CONFINADO",0.71*4,0)</f>
        <v>2.84</v>
      </c>
      <c r="H56" s="576">
        <f>('RMCV.PB'!P56+(2*0.6*$G$18*G56))</f>
        <v>14313.599999999999</v>
      </c>
      <c r="I56" s="60">
        <f t="shared" si="11"/>
        <v>0.8</v>
      </c>
      <c r="J56" s="576">
        <f t="shared" si="2"/>
        <v>-38169.599999999999</v>
      </c>
      <c r="K56" s="918">
        <f>ABS('ELEM. MECA.'!H33)</f>
        <v>0</v>
      </c>
      <c r="L56" s="936">
        <f t="shared" si="3"/>
        <v>-38169.599999999999</v>
      </c>
      <c r="M56" s="685" t="str">
        <f>IF('CG. MPB'!E57="CONCRETO","F/DISEÑO",IF(K56&gt;L56,"NO PASA","PASA"))</f>
        <v>NO PASA</v>
      </c>
      <c r="N56" s="44">
        <f>IF('RMCV.PB'!C56*6&gt;80,80,'RMCV.PB'!C56*6)</f>
        <v>0</v>
      </c>
      <c r="O56" s="44" t="e">
        <f t="shared" si="5"/>
        <v>#DIV/0!</v>
      </c>
      <c r="P56" s="456">
        <v>29</v>
      </c>
      <c r="Q56" s="351" t="e">
        <f>IF(P56=0,G56,$Q$25)/('RMCV.PB'!C56*(B56/(P56+1)))*4200/$Q$26</f>
        <v>#DIV/0!</v>
      </c>
      <c r="R56" s="425" t="e">
        <f t="shared" si="6"/>
        <v>#DIV/0!</v>
      </c>
      <c r="S56" s="44">
        <f t="shared" si="7"/>
        <v>40</v>
      </c>
      <c r="T56" s="44" t="e">
        <f>(4200/$T$26)*$T$25/('RMCV.PB'!C56*S56)</f>
        <v>#DIV/0!</v>
      </c>
      <c r="U56" s="425" t="e">
        <f t="shared" si="8"/>
        <v>#DIV/0!</v>
      </c>
      <c r="V56" s="425">
        <f t="shared" si="9"/>
        <v>0</v>
      </c>
      <c r="W56" s="44">
        <f t="shared" si="10"/>
        <v>26.27</v>
      </c>
      <c r="X56" s="351" t="e">
        <f>T56+(W56/(B56*'RMCV.PB'!C56))*4200/FY</f>
        <v>#DIV/0!</v>
      </c>
      <c r="Y56" s="425" t="e">
        <f>IF('CG. MPB'!E57="CONCRETO","F/DISEÑO",IF(FY=4200,IF(X56&gt;0.002,"BIEN","MAL"),(IF(X56&gt;4200*0.002/FY,"BIEN","MAL"))))</f>
        <v>#DIV/0!</v>
      </c>
    </row>
    <row r="57" spans="1:25" hidden="1">
      <c r="A57" s="684">
        <f>'CG. MPB'!A58</f>
        <v>29</v>
      </c>
      <c r="B57" s="579">
        <f>'RMCV.PB'!B57</f>
        <v>0</v>
      </c>
      <c r="C57" s="579">
        <f t="shared" si="4"/>
        <v>-2</v>
      </c>
      <c r="D57" s="579">
        <f t="shared" si="0"/>
        <v>-4</v>
      </c>
      <c r="E57" s="576">
        <f>'RMCS.PB'!L57</f>
        <v>0</v>
      </c>
      <c r="F57" s="576">
        <f>'RMCV.PB'!O57*1.1/1.4</f>
        <v>0</v>
      </c>
      <c r="G57" s="580">
        <f>IF('CG. MPB'!D58="CONFINADO",0.71*4,0)</f>
        <v>2.84</v>
      </c>
      <c r="H57" s="576">
        <f>('RMCV.PB'!P57+(2*0.6*$G$18*G57))</f>
        <v>14313.599999999999</v>
      </c>
      <c r="I57" s="60">
        <f t="shared" si="11"/>
        <v>0.8</v>
      </c>
      <c r="J57" s="576">
        <f t="shared" si="2"/>
        <v>-38169.599999999999</v>
      </c>
      <c r="K57" s="918">
        <f>ABS('ELEM. MECA.'!H34)</f>
        <v>0</v>
      </c>
      <c r="L57" s="936">
        <f t="shared" si="3"/>
        <v>-38169.599999999999</v>
      </c>
      <c r="M57" s="685" t="str">
        <f>IF('CG. MPB'!E58="CONCRETO","F/DISEÑO",IF(K57&gt;L57,"NO PASA","PASA"))</f>
        <v>NO PASA</v>
      </c>
      <c r="N57" s="44">
        <f>IF('RMCV.PB'!C57*6&gt;80,80,'RMCV.PB'!C57*6)</f>
        <v>0</v>
      </c>
      <c r="O57" s="44" t="e">
        <f t="shared" si="5"/>
        <v>#DIV/0!</v>
      </c>
      <c r="P57" s="456">
        <v>30</v>
      </c>
      <c r="Q57" s="351" t="e">
        <f>IF(P57=0,G57,$Q$25)/('RMCV.PB'!C57*(B57/(P57+1)))*4200/$Q$26</f>
        <v>#DIV/0!</v>
      </c>
      <c r="R57" s="425" t="e">
        <f t="shared" si="6"/>
        <v>#DIV/0!</v>
      </c>
      <c r="S57" s="44">
        <f t="shared" si="7"/>
        <v>40</v>
      </c>
      <c r="T57" s="44" t="e">
        <f>(4200/$T$26)*$T$25/('RMCV.PB'!C57*S57)</f>
        <v>#DIV/0!</v>
      </c>
      <c r="U57" s="425" t="e">
        <f t="shared" si="8"/>
        <v>#DIV/0!</v>
      </c>
      <c r="V57" s="425">
        <f t="shared" si="9"/>
        <v>0</v>
      </c>
      <c r="W57" s="44">
        <f t="shared" si="10"/>
        <v>26.979999999999997</v>
      </c>
      <c r="X57" s="351" t="e">
        <f>T57+(W57/(B57*'RMCV.PB'!C57))*4200/FY</f>
        <v>#DIV/0!</v>
      </c>
      <c r="Y57" s="425" t="e">
        <f>IF('CG. MPB'!E58="CONCRETO","F/DISEÑO",IF(FY=4200,IF(X57&gt;0.002,"BIEN","MAL"),(IF(X57&gt;4200*0.002/FY,"BIEN","MAL"))))</f>
        <v>#DIV/0!</v>
      </c>
    </row>
    <row r="58" spans="1:25" hidden="1">
      <c r="A58" s="684">
        <f>'CG. MPB'!A59</f>
        <v>30</v>
      </c>
      <c r="B58" s="579">
        <f>'RMCV.PB'!B58</f>
        <v>0</v>
      </c>
      <c r="C58" s="579">
        <f t="shared" ref="C58:C74" si="12">IF(B58&gt;60,(B58-7),(B58-2))</f>
        <v>-2</v>
      </c>
      <c r="D58" s="579">
        <f t="shared" ref="D58:D74" si="13">IF(B58&gt;60,(B58-14),(B58-4))</f>
        <v>-4</v>
      </c>
      <c r="E58" s="576">
        <f>'RMCS.PB'!L58</f>
        <v>0</v>
      </c>
      <c r="F58" s="576">
        <f>'RMCV.PB'!O58*1.1/1.4</f>
        <v>0</v>
      </c>
      <c r="G58" s="580">
        <f>IF('CG. MPB'!D59="CONFINADO",0.71*4,0)</f>
        <v>2.84</v>
      </c>
      <c r="H58" s="576">
        <f>('RMCV.PB'!P58+(2*0.6*$G$18*G58))</f>
        <v>14313.599999999999</v>
      </c>
      <c r="I58" s="60">
        <f t="shared" ref="I58:I74" si="14">IF(H58/3&gt;F58,0.8,0.6)</f>
        <v>0.8</v>
      </c>
      <c r="J58" s="576">
        <f t="shared" ref="J58:J74" si="15">(D58*G58*I58*$G$18)</f>
        <v>-38169.599999999999</v>
      </c>
      <c r="K58" s="918">
        <f>ABS('ELEM. MECA.'!H35)</f>
        <v>0</v>
      </c>
      <c r="L58" s="936">
        <f t="shared" ref="L58:L74" si="16">IF(I58=0.8,(J58+(0.3*F58*C58)),((J58*1.5)+((H58*C58*0.15)*(1-(F58/H58)))))</f>
        <v>-38169.599999999999</v>
      </c>
      <c r="M58" s="685" t="str">
        <f>IF('CG. MPB'!E59="CONCRETO","F/DISEÑO",IF(K58&gt;L58,"NO PASA","PASA"))</f>
        <v>NO PASA</v>
      </c>
      <c r="N58" s="44">
        <f>IF('RMCV.PB'!C58*6&gt;80,80,'RMCV.PB'!C58*6)</f>
        <v>0</v>
      </c>
      <c r="O58" s="44" t="e">
        <f t="shared" si="5"/>
        <v>#DIV/0!</v>
      </c>
      <c r="P58" s="456">
        <v>31</v>
      </c>
      <c r="Q58" s="351" t="e">
        <f>IF(P58=0,G58,$Q$25)/('RMCV.PB'!C58*(B58/(P58+1)))*4200/$Q$26</f>
        <v>#DIV/0!</v>
      </c>
      <c r="R58" s="425" t="e">
        <f t="shared" si="6"/>
        <v>#DIV/0!</v>
      </c>
      <c r="S58" s="44">
        <f t="shared" si="7"/>
        <v>40</v>
      </c>
      <c r="T58" s="44" t="e">
        <f>(4200/$T$26)*$T$25/('RMCV.PB'!C58*S58)</f>
        <v>#DIV/0!</v>
      </c>
      <c r="U58" s="425" t="e">
        <f t="shared" si="8"/>
        <v>#DIV/0!</v>
      </c>
      <c r="V58" s="425">
        <f t="shared" si="9"/>
        <v>0</v>
      </c>
      <c r="W58" s="44">
        <f t="shared" si="10"/>
        <v>27.689999999999998</v>
      </c>
      <c r="X58" s="351" t="e">
        <f>T58+(W58/(B58*'RMCV.PB'!C58))*4200/FY</f>
        <v>#DIV/0!</v>
      </c>
      <c r="Y58" s="425" t="e">
        <f>IF('CG. MPB'!E59="CONCRETO","F/DISEÑO",IF(FY=4200,IF(X58&gt;0.002,"BIEN","MAL"),(IF(X58&gt;4200*0.002/FY,"BIEN","MAL"))))</f>
        <v>#DIV/0!</v>
      </c>
    </row>
    <row r="59" spans="1:25" hidden="1">
      <c r="A59" s="684">
        <f>'CG. MPB'!A60</f>
        <v>31</v>
      </c>
      <c r="B59" s="579">
        <f>'RMCV.PB'!B59</f>
        <v>0</v>
      </c>
      <c r="C59" s="579">
        <f t="shared" si="12"/>
        <v>-2</v>
      </c>
      <c r="D59" s="579">
        <f t="shared" si="13"/>
        <v>-4</v>
      </c>
      <c r="E59" s="576">
        <f>'RMCS.PB'!L59</f>
        <v>0</v>
      </c>
      <c r="F59" s="576">
        <f>'RMCV.PB'!O59*1.1/1.4</f>
        <v>0</v>
      </c>
      <c r="G59" s="580">
        <f>IF('CG. MPB'!D60="CONFINADO",0.71*4,0)</f>
        <v>2.84</v>
      </c>
      <c r="H59" s="576">
        <f>('RMCV.PB'!P59+(2*0.6*$G$18*G59))</f>
        <v>14313.599999999999</v>
      </c>
      <c r="I59" s="60">
        <f t="shared" si="14"/>
        <v>0.8</v>
      </c>
      <c r="J59" s="576">
        <f t="shared" si="15"/>
        <v>-38169.599999999999</v>
      </c>
      <c r="K59" s="918">
        <f>ABS('ELEM. MECA.'!H36)</f>
        <v>0</v>
      </c>
      <c r="L59" s="936">
        <f t="shared" si="16"/>
        <v>-38169.599999999999</v>
      </c>
      <c r="M59" s="685" t="str">
        <f>IF('CG. MPB'!E60="CONCRETO","F/DISEÑO",IF(K59&gt;L59,"NO PASA","PASA"))</f>
        <v>NO PASA</v>
      </c>
      <c r="N59" s="44"/>
      <c r="O59" s="44"/>
      <c r="P59" s="456"/>
      <c r="Q59" s="351"/>
      <c r="R59" s="425"/>
      <c r="S59" s="44"/>
      <c r="T59" s="44"/>
      <c r="U59" s="425"/>
      <c r="V59" s="425"/>
      <c r="W59" s="44"/>
      <c r="X59" s="351"/>
      <c r="Y59" s="425"/>
    </row>
    <row r="60" spans="1:25" hidden="1">
      <c r="A60" s="684">
        <f>'CG. MPB'!A61</f>
        <v>32</v>
      </c>
      <c r="B60" s="579">
        <f>'RMCV.PB'!B60</f>
        <v>0</v>
      </c>
      <c r="C60" s="579">
        <f t="shared" si="12"/>
        <v>-2</v>
      </c>
      <c r="D60" s="579">
        <f t="shared" si="13"/>
        <v>-4</v>
      </c>
      <c r="E60" s="576">
        <f>'RMCS.PB'!L60</f>
        <v>0</v>
      </c>
      <c r="F60" s="576">
        <f>'RMCV.PB'!O60*1.1/1.4</f>
        <v>0</v>
      </c>
      <c r="G60" s="580">
        <f>IF('CG. MPB'!D61="CONFINADO",0.71*4,0)</f>
        <v>2.84</v>
      </c>
      <c r="H60" s="576">
        <f>('RMCV.PB'!P60+(2*0.6*$G$18*G60))</f>
        <v>14313.599999999999</v>
      </c>
      <c r="I60" s="60">
        <f t="shared" si="14"/>
        <v>0.8</v>
      </c>
      <c r="J60" s="576">
        <f t="shared" si="15"/>
        <v>-38169.599999999999</v>
      </c>
      <c r="K60" s="918">
        <f>ABS('ELEM. MECA.'!H37)</f>
        <v>0</v>
      </c>
      <c r="L60" s="936">
        <f t="shared" si="16"/>
        <v>-38169.599999999999</v>
      </c>
      <c r="M60" s="685" t="str">
        <f>IF('CG. MPB'!E61="CONCRETO","F/DISEÑO",IF(K60&gt;L60,"NO PASA","PASA"))</f>
        <v>NO PASA</v>
      </c>
      <c r="N60" s="44"/>
      <c r="O60" s="44"/>
      <c r="P60" s="456"/>
      <c r="Q60" s="351"/>
      <c r="R60" s="425"/>
      <c r="S60" s="44"/>
      <c r="T60" s="44"/>
      <c r="U60" s="425"/>
      <c r="V60" s="425"/>
      <c r="W60" s="44"/>
      <c r="X60" s="351"/>
      <c r="Y60" s="425"/>
    </row>
    <row r="61" spans="1:25" hidden="1">
      <c r="A61" s="684">
        <f>'CG. MPB'!A62</f>
        <v>33</v>
      </c>
      <c r="B61" s="579">
        <f>'RMCV.PB'!B61</f>
        <v>0</v>
      </c>
      <c r="C61" s="579">
        <f t="shared" si="12"/>
        <v>-2</v>
      </c>
      <c r="D61" s="579">
        <f t="shared" si="13"/>
        <v>-4</v>
      </c>
      <c r="E61" s="576">
        <f>'RMCS.PB'!L61</f>
        <v>0</v>
      </c>
      <c r="F61" s="576">
        <f>'RMCV.PB'!O61*1.1/1.4</f>
        <v>0</v>
      </c>
      <c r="G61" s="580">
        <f>IF('CG. MPB'!D62="CONFINADO",0.71*4,0)</f>
        <v>2.84</v>
      </c>
      <c r="H61" s="576">
        <f>('RMCV.PB'!P61+(2*0.6*$G$18*G61))</f>
        <v>14313.599999999999</v>
      </c>
      <c r="I61" s="60">
        <f t="shared" si="14"/>
        <v>0.8</v>
      </c>
      <c r="J61" s="576">
        <f t="shared" si="15"/>
        <v>-38169.599999999999</v>
      </c>
      <c r="K61" s="918">
        <f>ABS('ELEM. MECA.'!H38)</f>
        <v>0</v>
      </c>
      <c r="L61" s="936">
        <f t="shared" si="16"/>
        <v>-38169.599999999999</v>
      </c>
      <c r="M61" s="685" t="str">
        <f>IF('CG. MPB'!E62="CONCRETO","F/DISEÑO",IF(K61&gt;L61,"NO PASA","PASA"))</f>
        <v>NO PASA</v>
      </c>
      <c r="N61" s="44"/>
      <c r="O61" s="44"/>
      <c r="P61" s="456"/>
      <c r="Q61" s="351"/>
      <c r="R61" s="425"/>
      <c r="S61" s="44"/>
      <c r="T61" s="44"/>
      <c r="U61" s="425"/>
      <c r="V61" s="425"/>
      <c r="W61" s="44"/>
      <c r="X61" s="351"/>
      <c r="Y61" s="425"/>
    </row>
    <row r="62" spans="1:25" hidden="1">
      <c r="A62" s="684">
        <f>'CG. MPB'!A63</f>
        <v>34</v>
      </c>
      <c r="B62" s="579">
        <f>'RMCV.PB'!B62</f>
        <v>0</v>
      </c>
      <c r="C62" s="579">
        <f t="shared" si="12"/>
        <v>-2</v>
      </c>
      <c r="D62" s="579">
        <f t="shared" si="13"/>
        <v>-4</v>
      </c>
      <c r="E62" s="576">
        <f>'RMCS.PB'!L62</f>
        <v>0</v>
      </c>
      <c r="F62" s="576">
        <f>'RMCV.PB'!O62*1.1/1.4</f>
        <v>0</v>
      </c>
      <c r="G62" s="580">
        <f>IF('CG. MPB'!D63="CONFINADO",0.71*4,0)</f>
        <v>2.84</v>
      </c>
      <c r="H62" s="576">
        <f>('RMCV.PB'!P62+(2*0.6*$G$18*G62))</f>
        <v>14313.599999999999</v>
      </c>
      <c r="I62" s="60">
        <f t="shared" si="14"/>
        <v>0.8</v>
      </c>
      <c r="J62" s="576">
        <f t="shared" si="15"/>
        <v>-38169.599999999999</v>
      </c>
      <c r="K62" s="918">
        <f>ABS('ELEM. MECA.'!H39)</f>
        <v>0</v>
      </c>
      <c r="L62" s="936">
        <f t="shared" si="16"/>
        <v>-38169.599999999999</v>
      </c>
      <c r="M62" s="685" t="str">
        <f>IF('CG. MPB'!E63="CONCRETO","F/DISEÑO",IF(K62&gt;L62,"NO PASA","PASA"))</f>
        <v>NO PASA</v>
      </c>
      <c r="N62" s="44"/>
      <c r="O62" s="44"/>
      <c r="P62" s="456"/>
      <c r="Q62" s="351"/>
      <c r="R62" s="425"/>
      <c r="S62" s="44"/>
      <c r="T62" s="44"/>
      <c r="U62" s="425"/>
      <c r="V62" s="425"/>
      <c r="W62" s="44"/>
      <c r="X62" s="351"/>
      <c r="Y62" s="425"/>
    </row>
    <row r="63" spans="1:25" hidden="1">
      <c r="A63" s="684">
        <f>'CG. MPB'!A64</f>
        <v>35</v>
      </c>
      <c r="B63" s="579">
        <f>'RMCV.PB'!B63</f>
        <v>0</v>
      </c>
      <c r="C63" s="579">
        <f t="shared" si="12"/>
        <v>-2</v>
      </c>
      <c r="D63" s="579">
        <f t="shared" si="13"/>
        <v>-4</v>
      </c>
      <c r="E63" s="576">
        <f>'RMCS.PB'!L63</f>
        <v>0</v>
      </c>
      <c r="F63" s="576">
        <f>'RMCV.PB'!O63*1.1/1.4</f>
        <v>0</v>
      </c>
      <c r="G63" s="580">
        <f>IF('CG. MPB'!D64="CONFINADO",0.71*4,0)</f>
        <v>2.84</v>
      </c>
      <c r="H63" s="576">
        <f>('RMCV.PB'!P63+(2*0.6*$G$18*G63))</f>
        <v>14313.599999999999</v>
      </c>
      <c r="I63" s="60">
        <f t="shared" si="14"/>
        <v>0.8</v>
      </c>
      <c r="J63" s="576">
        <f t="shared" si="15"/>
        <v>-38169.599999999999</v>
      </c>
      <c r="K63" s="918">
        <f>ABS('ELEM. MECA.'!H40)</f>
        <v>0</v>
      </c>
      <c r="L63" s="936">
        <f t="shared" si="16"/>
        <v>-38169.599999999999</v>
      </c>
      <c r="M63" s="685" t="str">
        <f>IF('CG. MPB'!E64="CONCRETO","F/DISEÑO",IF(K63&gt;L63,"NO PASA","PASA"))</f>
        <v>NO PASA</v>
      </c>
      <c r="N63" s="44"/>
      <c r="O63" s="44"/>
      <c r="P63" s="456"/>
      <c r="Q63" s="351"/>
      <c r="R63" s="425"/>
      <c r="S63" s="44"/>
      <c r="T63" s="44"/>
      <c r="U63" s="425"/>
      <c r="V63" s="425"/>
      <c r="W63" s="44"/>
      <c r="X63" s="351"/>
      <c r="Y63" s="425"/>
    </row>
    <row r="64" spans="1:25" hidden="1">
      <c r="A64" s="684">
        <f>'CG. MPB'!A65</f>
        <v>36</v>
      </c>
      <c r="B64" s="579">
        <f>'RMCV.PB'!B64</f>
        <v>0</v>
      </c>
      <c r="C64" s="579">
        <f t="shared" si="12"/>
        <v>-2</v>
      </c>
      <c r="D64" s="579">
        <f t="shared" si="13"/>
        <v>-4</v>
      </c>
      <c r="E64" s="576">
        <f>'RMCS.PB'!L64</f>
        <v>0</v>
      </c>
      <c r="F64" s="576">
        <f>'RMCV.PB'!O64*1.1/1.4</f>
        <v>0</v>
      </c>
      <c r="G64" s="580">
        <f>IF('CG. MPB'!D65="CONFINADO",0.71*4,0)</f>
        <v>2.84</v>
      </c>
      <c r="H64" s="576">
        <f>('RMCV.PB'!P64+(2*0.6*$G$18*G64))</f>
        <v>14313.599999999999</v>
      </c>
      <c r="I64" s="60">
        <f t="shared" si="14"/>
        <v>0.8</v>
      </c>
      <c r="J64" s="576">
        <f t="shared" si="15"/>
        <v>-38169.599999999999</v>
      </c>
      <c r="K64" s="918">
        <f>ABS('ELEM. MECA.'!H41)</f>
        <v>0</v>
      </c>
      <c r="L64" s="936">
        <f t="shared" si="16"/>
        <v>-38169.599999999999</v>
      </c>
      <c r="M64" s="685" t="str">
        <f>IF('CG. MPB'!E65="CONCRETO","F/DISEÑO",IF(K64&gt;L64,"NO PASA","PASA"))</f>
        <v>NO PASA</v>
      </c>
      <c r="N64" s="44"/>
      <c r="O64" s="44"/>
      <c r="P64" s="456"/>
      <c r="Q64" s="351"/>
      <c r="R64" s="425"/>
      <c r="S64" s="44"/>
      <c r="T64" s="44"/>
      <c r="U64" s="425"/>
      <c r="V64" s="425"/>
      <c r="W64" s="44"/>
      <c r="X64" s="351"/>
      <c r="Y64" s="425"/>
    </row>
    <row r="65" spans="1:25" hidden="1">
      <c r="A65" s="684">
        <f>'CG. MPB'!A66</f>
        <v>37</v>
      </c>
      <c r="B65" s="579">
        <f>'RMCV.PB'!B65</f>
        <v>0</v>
      </c>
      <c r="C65" s="579">
        <f t="shared" si="12"/>
        <v>-2</v>
      </c>
      <c r="D65" s="579">
        <f t="shared" si="13"/>
        <v>-4</v>
      </c>
      <c r="E65" s="576">
        <f>'RMCS.PB'!L65</f>
        <v>0</v>
      </c>
      <c r="F65" s="576">
        <f>'RMCV.PB'!O65*1.1/1.4</f>
        <v>0</v>
      </c>
      <c r="G65" s="580">
        <f>IF('CG. MPB'!D66="CONFINADO",0.71*4,0)</f>
        <v>2.84</v>
      </c>
      <c r="H65" s="576">
        <f>('RMCV.PB'!P65+(2*0.6*$G$18*G65))</f>
        <v>14313.599999999999</v>
      </c>
      <c r="I65" s="60">
        <f t="shared" si="14"/>
        <v>0.8</v>
      </c>
      <c r="J65" s="576">
        <f t="shared" si="15"/>
        <v>-38169.599999999999</v>
      </c>
      <c r="K65" s="918">
        <f>ABS('ELEM. MECA.'!H42)</f>
        <v>0</v>
      </c>
      <c r="L65" s="936">
        <f t="shared" si="16"/>
        <v>-38169.599999999999</v>
      </c>
      <c r="M65" s="685" t="str">
        <f>IF('CG. MPB'!E66="CONCRETO","F/DISEÑO",IF(K65&gt;L65,"NO PASA","PASA"))</f>
        <v>NO PASA</v>
      </c>
      <c r="N65" s="44"/>
      <c r="O65" s="44"/>
      <c r="P65" s="456"/>
      <c r="Q65" s="351"/>
      <c r="R65" s="425"/>
      <c r="S65" s="44"/>
      <c r="T65" s="44"/>
      <c r="U65" s="425"/>
      <c r="V65" s="425"/>
      <c r="W65" s="44"/>
      <c r="X65" s="351"/>
      <c r="Y65" s="425"/>
    </row>
    <row r="66" spans="1:25" hidden="1">
      <c r="A66" s="684">
        <f>'CG. MPB'!A67</f>
        <v>38</v>
      </c>
      <c r="B66" s="579">
        <f>'RMCV.PB'!B66</f>
        <v>0</v>
      </c>
      <c r="C66" s="579">
        <f t="shared" si="12"/>
        <v>-2</v>
      </c>
      <c r="D66" s="579">
        <f t="shared" si="13"/>
        <v>-4</v>
      </c>
      <c r="E66" s="576">
        <f>'RMCS.PB'!L66</f>
        <v>0</v>
      </c>
      <c r="F66" s="576">
        <f>'RMCV.PB'!O66*1.1/1.4</f>
        <v>0</v>
      </c>
      <c r="G66" s="580">
        <f>IF('CG. MPB'!D67="CONFINADO",0.71*4,0)</f>
        <v>2.84</v>
      </c>
      <c r="H66" s="576">
        <f>('RMCV.PB'!P66+(2*0.6*$G$18*G66))</f>
        <v>14313.599999999999</v>
      </c>
      <c r="I66" s="60">
        <f t="shared" si="14"/>
        <v>0.8</v>
      </c>
      <c r="J66" s="576">
        <f t="shared" si="15"/>
        <v>-38169.599999999999</v>
      </c>
      <c r="K66" s="918">
        <f>ABS('ELEM. MECA.'!H43)</f>
        <v>0</v>
      </c>
      <c r="L66" s="936">
        <f t="shared" si="16"/>
        <v>-38169.599999999999</v>
      </c>
      <c r="M66" s="685" t="str">
        <f>IF('CG. MPB'!E67="CONCRETO","F/DISEÑO",IF(K66&gt;L66,"NO PASA","PASA"))</f>
        <v>NO PASA</v>
      </c>
      <c r="N66" s="44"/>
      <c r="O66" s="44"/>
      <c r="P66" s="456"/>
      <c r="Q66" s="351"/>
      <c r="R66" s="425"/>
      <c r="S66" s="44"/>
      <c r="T66" s="44"/>
      <c r="U66" s="425"/>
      <c r="V66" s="425"/>
      <c r="W66" s="44"/>
      <c r="X66" s="351"/>
      <c r="Y66" s="425"/>
    </row>
    <row r="67" spans="1:25" hidden="1">
      <c r="A67" s="684">
        <f>'CG. MPB'!A68</f>
        <v>39</v>
      </c>
      <c r="B67" s="579">
        <f>'RMCV.PB'!B67</f>
        <v>0</v>
      </c>
      <c r="C67" s="579">
        <f t="shared" si="12"/>
        <v>-2</v>
      </c>
      <c r="D67" s="579">
        <f t="shared" si="13"/>
        <v>-4</v>
      </c>
      <c r="E67" s="576">
        <f>'RMCS.PB'!L67</f>
        <v>0</v>
      </c>
      <c r="F67" s="576">
        <f>'RMCV.PB'!O67*1.1/1.4</f>
        <v>0</v>
      </c>
      <c r="G67" s="580">
        <f>IF('CG. MPB'!D68="CONFINADO",0.71*4,0)</f>
        <v>2.84</v>
      </c>
      <c r="H67" s="576">
        <f>('RMCV.PB'!P67+(2*0.6*$G$18*G67))</f>
        <v>14313.599999999999</v>
      </c>
      <c r="I67" s="60">
        <f t="shared" si="14"/>
        <v>0.8</v>
      </c>
      <c r="J67" s="576">
        <f t="shared" si="15"/>
        <v>-38169.599999999999</v>
      </c>
      <c r="K67" s="918">
        <f>ABS('ELEM. MECA.'!H44)</f>
        <v>0</v>
      </c>
      <c r="L67" s="936">
        <f t="shared" si="16"/>
        <v>-38169.599999999999</v>
      </c>
      <c r="M67" s="685" t="str">
        <f>IF('CG. MPB'!E68="CONCRETO","F/DISEÑO",IF(K67&gt;L67,"NO PASA","PASA"))</f>
        <v>NO PASA</v>
      </c>
      <c r="N67" s="44"/>
      <c r="O67" s="44"/>
      <c r="P67" s="456"/>
      <c r="Q67" s="351"/>
      <c r="R67" s="425"/>
      <c r="S67" s="44"/>
      <c r="T67" s="44"/>
      <c r="U67" s="425"/>
      <c r="V67" s="425"/>
      <c r="W67" s="44"/>
      <c r="X67" s="351"/>
      <c r="Y67" s="425"/>
    </row>
    <row r="68" spans="1:25" hidden="1">
      <c r="A68" s="684">
        <f>'CG. MPB'!A69</f>
        <v>40</v>
      </c>
      <c r="B68" s="579">
        <f>'RMCV.PB'!B68</f>
        <v>0</v>
      </c>
      <c r="C68" s="579">
        <f t="shared" si="12"/>
        <v>-2</v>
      </c>
      <c r="D68" s="579">
        <f t="shared" si="13"/>
        <v>-4</v>
      </c>
      <c r="E68" s="576">
        <f>'RMCS.PB'!L68</f>
        <v>0</v>
      </c>
      <c r="F68" s="576">
        <f>'RMCV.PB'!O68*1.1/1.4</f>
        <v>0</v>
      </c>
      <c r="G68" s="580">
        <f>IF('CG. MPB'!D69="CONFINADO",0.71*4,0)</f>
        <v>2.84</v>
      </c>
      <c r="H68" s="576">
        <f>('RMCV.PB'!P68+(2*0.6*$G$18*G68))</f>
        <v>14313.599999999999</v>
      </c>
      <c r="I68" s="60">
        <f t="shared" si="14"/>
        <v>0.8</v>
      </c>
      <c r="J68" s="576">
        <f t="shared" si="15"/>
        <v>-38169.599999999999</v>
      </c>
      <c r="K68" s="918">
        <f>ABS('ELEM. MECA.'!H45)</f>
        <v>0</v>
      </c>
      <c r="L68" s="936">
        <f t="shared" si="16"/>
        <v>-38169.599999999999</v>
      </c>
      <c r="M68" s="685" t="str">
        <f>IF('CG. MPB'!E69="CONCRETO","F/DISEÑO",IF(K68&gt;L68,"NO PASA","PASA"))</f>
        <v>NO PASA</v>
      </c>
      <c r="N68" s="44"/>
      <c r="O68" s="44"/>
      <c r="P68" s="456"/>
      <c r="Q68" s="351"/>
      <c r="R68" s="425"/>
      <c r="S68" s="44"/>
      <c r="T68" s="44"/>
      <c r="U68" s="425"/>
      <c r="V68" s="425"/>
      <c r="W68" s="44"/>
      <c r="X68" s="351"/>
      <c r="Y68" s="425"/>
    </row>
    <row r="69" spans="1:25" hidden="1">
      <c r="A69" s="684">
        <f>'CG. MPB'!A70</f>
        <v>41</v>
      </c>
      <c r="B69" s="579">
        <f>'RMCV.PB'!B69</f>
        <v>0</v>
      </c>
      <c r="C69" s="579">
        <f t="shared" si="12"/>
        <v>-2</v>
      </c>
      <c r="D69" s="579">
        <f t="shared" si="13"/>
        <v>-4</v>
      </c>
      <c r="E69" s="576">
        <f>'RMCS.PB'!L69</f>
        <v>0</v>
      </c>
      <c r="F69" s="576">
        <f>'RMCV.PB'!O69*1.1/1.4</f>
        <v>0</v>
      </c>
      <c r="G69" s="580">
        <f>IF('CG. MPB'!D70="CONFINADO",0.71*4,0)</f>
        <v>2.84</v>
      </c>
      <c r="H69" s="576">
        <f>('RMCV.PB'!P69+(2*0.6*$G$18*G69))</f>
        <v>14313.599999999999</v>
      </c>
      <c r="I69" s="60">
        <f t="shared" si="14"/>
        <v>0.8</v>
      </c>
      <c r="J69" s="576">
        <f t="shared" si="15"/>
        <v>-38169.599999999999</v>
      </c>
      <c r="K69" s="918">
        <f>ABS('ELEM. MECA.'!H46)</f>
        <v>0</v>
      </c>
      <c r="L69" s="936">
        <f t="shared" si="16"/>
        <v>-38169.599999999999</v>
      </c>
      <c r="M69" s="685" t="str">
        <f>IF('CG. MPB'!E70="CONCRETO","F/DISEÑO",IF(K69&gt;L69,"NO PASA","PASA"))</f>
        <v>NO PASA</v>
      </c>
      <c r="N69" s="44"/>
      <c r="O69" s="44"/>
      <c r="P69" s="456"/>
      <c r="Q69" s="351"/>
      <c r="R69" s="425"/>
      <c r="S69" s="44"/>
      <c r="T69" s="44"/>
      <c r="U69" s="425"/>
      <c r="V69" s="425"/>
      <c r="W69" s="44"/>
      <c r="X69" s="351"/>
      <c r="Y69" s="425"/>
    </row>
    <row r="70" spans="1:25" hidden="1">
      <c r="A70" s="684">
        <f>'CG. MPB'!A71</f>
        <v>42</v>
      </c>
      <c r="B70" s="579">
        <f>'RMCV.PB'!B70</f>
        <v>0</v>
      </c>
      <c r="C70" s="579">
        <f t="shared" si="12"/>
        <v>-2</v>
      </c>
      <c r="D70" s="579">
        <f t="shared" si="13"/>
        <v>-4</v>
      </c>
      <c r="E70" s="576">
        <f>'RMCS.PB'!L70</f>
        <v>0</v>
      </c>
      <c r="F70" s="576">
        <f>'RMCV.PB'!O70*1.1/1.4</f>
        <v>0</v>
      </c>
      <c r="G70" s="580">
        <f>IF('CG. MPB'!D71="CONFINADO",0.71*4,0)</f>
        <v>2.84</v>
      </c>
      <c r="H70" s="576">
        <f>('RMCV.PB'!P70+(2*0.6*$G$18*G70))</f>
        <v>14313.599999999999</v>
      </c>
      <c r="I70" s="60">
        <f t="shared" si="14"/>
        <v>0.8</v>
      </c>
      <c r="J70" s="576">
        <f t="shared" si="15"/>
        <v>-38169.599999999999</v>
      </c>
      <c r="K70" s="918">
        <f>ABS('ELEM. MECA.'!H47)</f>
        <v>0</v>
      </c>
      <c r="L70" s="936">
        <f t="shared" si="16"/>
        <v>-38169.599999999999</v>
      </c>
      <c r="M70" s="685" t="str">
        <f>IF('CG. MPB'!E71="CONCRETO","F/DISEÑO",IF(K70&gt;L70,"NO PASA","PASA"))</f>
        <v>NO PASA</v>
      </c>
      <c r="N70" s="44"/>
      <c r="O70" s="44"/>
      <c r="P70" s="456"/>
      <c r="Q70" s="351"/>
      <c r="R70" s="425"/>
      <c r="S70" s="44"/>
      <c r="T70" s="44"/>
      <c r="U70" s="425"/>
      <c r="V70" s="425"/>
      <c r="W70" s="44"/>
      <c r="X70" s="351"/>
      <c r="Y70" s="425"/>
    </row>
    <row r="71" spans="1:25" hidden="1">
      <c r="A71" s="684">
        <f>'CG. MPB'!A72</f>
        <v>43</v>
      </c>
      <c r="B71" s="579">
        <f>'RMCV.PB'!B71</f>
        <v>0</v>
      </c>
      <c r="C71" s="579">
        <f t="shared" si="12"/>
        <v>-2</v>
      </c>
      <c r="D71" s="579">
        <f t="shared" si="13"/>
        <v>-4</v>
      </c>
      <c r="E71" s="576">
        <f>'RMCS.PB'!L71</f>
        <v>0</v>
      </c>
      <c r="F71" s="576">
        <f>'RMCV.PB'!O71*1.1/1.4</f>
        <v>0</v>
      </c>
      <c r="G71" s="580">
        <f>IF('CG. MPB'!D72="CONFINADO",0.71*4,0)</f>
        <v>2.84</v>
      </c>
      <c r="H71" s="576">
        <f>('RMCV.PB'!P71+(2*0.6*$G$18*G71))</f>
        <v>14313.599999999999</v>
      </c>
      <c r="I71" s="60">
        <f t="shared" si="14"/>
        <v>0.8</v>
      </c>
      <c r="J71" s="576">
        <f t="shared" si="15"/>
        <v>-38169.599999999999</v>
      </c>
      <c r="K71" s="918">
        <f>ABS('ELEM. MECA.'!H48)</f>
        <v>0</v>
      </c>
      <c r="L71" s="936">
        <f t="shared" si="16"/>
        <v>-38169.599999999999</v>
      </c>
      <c r="M71" s="685" t="str">
        <f>IF('CG. MPB'!E72="CONCRETO","F/DISEÑO",IF(K71&gt;L71,"NO PASA","PASA"))</f>
        <v>NO PASA</v>
      </c>
      <c r="N71" s="44"/>
      <c r="O71" s="44"/>
      <c r="P71" s="456"/>
      <c r="Q71" s="351"/>
      <c r="R71" s="425"/>
      <c r="S71" s="44"/>
      <c r="T71" s="44"/>
      <c r="U71" s="425"/>
      <c r="V71" s="425"/>
      <c r="W71" s="44"/>
      <c r="X71" s="351"/>
      <c r="Y71" s="425"/>
    </row>
    <row r="72" spans="1:25" hidden="1">
      <c r="A72" s="684">
        <f>'CG. MPB'!A73</f>
        <v>44</v>
      </c>
      <c r="B72" s="579">
        <f>'RMCV.PB'!B72</f>
        <v>0</v>
      </c>
      <c r="C72" s="579">
        <f t="shared" si="12"/>
        <v>-2</v>
      </c>
      <c r="D72" s="579">
        <f t="shared" si="13"/>
        <v>-4</v>
      </c>
      <c r="E72" s="576">
        <f>'RMCS.PB'!L72</f>
        <v>0</v>
      </c>
      <c r="F72" s="576">
        <f>'RMCV.PB'!O72*1.1/1.4</f>
        <v>0</v>
      </c>
      <c r="G72" s="580">
        <f>IF('CG. MPB'!D73="CONFINADO",0.71*4,0)</f>
        <v>2.84</v>
      </c>
      <c r="H72" s="576">
        <f>('RMCV.PB'!P72+(2*0.6*$G$18*G72))</f>
        <v>14313.599999999999</v>
      </c>
      <c r="I72" s="60">
        <f t="shared" si="14"/>
        <v>0.8</v>
      </c>
      <c r="J72" s="576">
        <f t="shared" si="15"/>
        <v>-38169.599999999999</v>
      </c>
      <c r="K72" s="918">
        <f>ABS('ELEM. MECA.'!H49)</f>
        <v>0</v>
      </c>
      <c r="L72" s="936">
        <f t="shared" si="16"/>
        <v>-38169.599999999999</v>
      </c>
      <c r="M72" s="685" t="str">
        <f>IF('CG. MPB'!E73="CONCRETO","F/DISEÑO",IF(K72&gt;L72,"NO PASA","PASA"))</f>
        <v>NO PASA</v>
      </c>
      <c r="N72" s="44"/>
      <c r="O72" s="44"/>
      <c r="P72" s="456"/>
      <c r="Q72" s="351"/>
      <c r="R72" s="425"/>
      <c r="S72" s="44"/>
      <c r="T72" s="44"/>
      <c r="U72" s="425"/>
      <c r="V72" s="425"/>
      <c r="W72" s="44"/>
      <c r="X72" s="351"/>
      <c r="Y72" s="425"/>
    </row>
    <row r="73" spans="1:25" hidden="1">
      <c r="A73" s="684">
        <f>'CG. MPB'!A74</f>
        <v>45</v>
      </c>
      <c r="B73" s="579">
        <f>'RMCV.PB'!B73</f>
        <v>0</v>
      </c>
      <c r="C73" s="579">
        <f t="shared" si="12"/>
        <v>-2</v>
      </c>
      <c r="D73" s="579">
        <f t="shared" si="13"/>
        <v>-4</v>
      </c>
      <c r="E73" s="576">
        <f>'RMCS.PB'!L73</f>
        <v>0</v>
      </c>
      <c r="F73" s="576">
        <f>'RMCV.PB'!O73*1.1/1.4</f>
        <v>0</v>
      </c>
      <c r="G73" s="580">
        <f>IF('CG. MPB'!D74="CONFINADO",0.71*4,0)</f>
        <v>2.84</v>
      </c>
      <c r="H73" s="576">
        <f>('RMCV.PB'!P73+(2*0.6*$G$18*G73))</f>
        <v>14313.599999999999</v>
      </c>
      <c r="I73" s="60">
        <f t="shared" si="14"/>
        <v>0.8</v>
      </c>
      <c r="J73" s="576">
        <f t="shared" si="15"/>
        <v>-38169.599999999999</v>
      </c>
      <c r="K73" s="918">
        <f>ABS('ELEM. MECA.'!H50)</f>
        <v>0</v>
      </c>
      <c r="L73" s="936">
        <f t="shared" si="16"/>
        <v>-38169.599999999999</v>
      </c>
      <c r="M73" s="685" t="str">
        <f>IF('CG. MPB'!E74="CONCRETO","F/DISEÑO",IF(K73&gt;L73,"NO PASA","PASA"))</f>
        <v>NO PASA</v>
      </c>
      <c r="N73" s="44"/>
      <c r="O73" s="44"/>
      <c r="P73" s="44"/>
      <c r="Q73" s="44"/>
      <c r="R73" s="44"/>
      <c r="S73" s="44"/>
      <c r="T73" s="44"/>
      <c r="U73" s="44"/>
      <c r="V73" s="44"/>
      <c r="W73" s="44"/>
      <c r="X73" s="44"/>
      <c r="Y73" s="44"/>
    </row>
    <row r="74" spans="1:25" hidden="1">
      <c r="A74" s="684">
        <f>'CG. MPB'!A75</f>
        <v>46</v>
      </c>
      <c r="B74" s="579">
        <f>'RMCV.PB'!B74</f>
        <v>0</v>
      </c>
      <c r="C74" s="579">
        <f t="shared" si="12"/>
        <v>-2</v>
      </c>
      <c r="D74" s="579">
        <f t="shared" si="13"/>
        <v>-4</v>
      </c>
      <c r="E74" s="576">
        <f>'RMCS.PB'!L74</f>
        <v>0</v>
      </c>
      <c r="F74" s="576">
        <f>'RMCV.PB'!O74*1.1/1.4</f>
        <v>0</v>
      </c>
      <c r="G74" s="580">
        <f>IF('CG. MPB'!D75="CONFINADO",0.71*4,0)</f>
        <v>2.84</v>
      </c>
      <c r="H74" s="576">
        <f>('RMCV.PB'!P74+(2*0.6*$G$18*G74))</f>
        <v>14313.599999999999</v>
      </c>
      <c r="I74" s="60">
        <f t="shared" si="14"/>
        <v>0.8</v>
      </c>
      <c r="J74" s="576">
        <f t="shared" si="15"/>
        <v>-38169.599999999999</v>
      </c>
      <c r="K74" s="918">
        <f>ABS('ELEM. MECA.'!H51)</f>
        <v>0</v>
      </c>
      <c r="L74" s="936">
        <f t="shared" si="16"/>
        <v>-38169.599999999999</v>
      </c>
      <c r="M74" s="685" t="str">
        <f>IF('CG. MPB'!E75="CONCRETO","F/DISEÑO",IF(K74&gt;L74,"NO PASA","PASA"))</f>
        <v>NO PASA</v>
      </c>
      <c r="N74" s="44"/>
      <c r="O74" s="44"/>
      <c r="P74" s="44"/>
      <c r="Q74" s="44"/>
      <c r="R74" s="44"/>
      <c r="S74" s="44"/>
      <c r="T74" s="44"/>
      <c r="U74" s="44"/>
      <c r="V74" s="44"/>
      <c r="W74" s="44"/>
      <c r="X74" s="44"/>
      <c r="Y74" s="44"/>
    </row>
    <row r="75" spans="1:25" hidden="1">
      <c r="A75" s="684">
        <f>'CG. MPB'!A76</f>
        <v>47</v>
      </c>
      <c r="B75" s="579">
        <f>'RMCV.PB'!B75</f>
        <v>0</v>
      </c>
      <c r="C75" s="579">
        <f t="shared" ref="C75:C78" si="17">IF(B75&gt;60,(B75-7),(B75-2))</f>
        <v>-2</v>
      </c>
      <c r="D75" s="579">
        <f t="shared" ref="D75:D78" si="18">IF(B75&gt;60,(B75-14),(B75-4))</f>
        <v>-4</v>
      </c>
      <c r="E75" s="576">
        <f>'RMCS.PB'!L75</f>
        <v>0</v>
      </c>
      <c r="F75" s="576">
        <f>'RMCV.PB'!O75*1.1/1.4</f>
        <v>0</v>
      </c>
      <c r="G75" s="580">
        <f>IF('CG. MPB'!D76="CONFINADO",0.71*4,0)</f>
        <v>2.84</v>
      </c>
      <c r="H75" s="576">
        <f>('RMCV.PB'!P75+(2*0.6*$G$18*G75))</f>
        <v>14313.599999999999</v>
      </c>
      <c r="I75" s="60">
        <f t="shared" ref="I75:I78" si="19">IF(H75/3&gt;F75,0.8,0.6)</f>
        <v>0.8</v>
      </c>
      <c r="J75" s="576">
        <f t="shared" ref="J75:J78" si="20">(D75*G75*I75*$G$18)</f>
        <v>-38169.599999999999</v>
      </c>
      <c r="K75" s="918">
        <f>ABS('ELEM. MECA.'!H52)</f>
        <v>0</v>
      </c>
      <c r="L75" s="936">
        <f t="shared" ref="L75:L78" si="21">IF(I75=0.8,(J75+(0.3*F75*C75)),((J75*1.5)+((H75*C75*0.15)*(1-(F75/H75)))))</f>
        <v>-38169.599999999999</v>
      </c>
      <c r="M75" s="685" t="str">
        <f>IF('CG. MPB'!E76="CONCRETO","F/DISEÑO",IF(K75&gt;L75,"NO PASA","PASA"))</f>
        <v>NO PASA</v>
      </c>
      <c r="N75" s="44"/>
      <c r="O75" s="44"/>
      <c r="P75" s="44"/>
      <c r="Q75" s="44"/>
      <c r="R75" s="44"/>
      <c r="S75" s="44"/>
      <c r="T75" s="44"/>
      <c r="U75" s="44"/>
      <c r="V75" s="44"/>
      <c r="W75" s="44"/>
      <c r="X75" s="44"/>
      <c r="Y75" s="44"/>
    </row>
    <row r="76" spans="1:25" hidden="1">
      <c r="A76" s="684">
        <f>'CG. MPB'!A77</f>
        <v>48</v>
      </c>
      <c r="B76" s="579">
        <f>'RMCV.PB'!B76</f>
        <v>0</v>
      </c>
      <c r="C76" s="579">
        <f t="shared" si="17"/>
        <v>-2</v>
      </c>
      <c r="D76" s="579">
        <f t="shared" si="18"/>
        <v>-4</v>
      </c>
      <c r="E76" s="576">
        <f>'RMCS.PB'!L76</f>
        <v>0</v>
      </c>
      <c r="F76" s="576">
        <f>'RMCV.PB'!O76*1.1/1.4</f>
        <v>0</v>
      </c>
      <c r="G76" s="580">
        <f>IF('CG. MPB'!D77="CONFINADO",0.71*4,0)</f>
        <v>2.84</v>
      </c>
      <c r="H76" s="576">
        <f>('RMCV.PB'!P76+(2*0.6*$G$18*G76))</f>
        <v>14313.599999999999</v>
      </c>
      <c r="I76" s="60">
        <f t="shared" si="19"/>
        <v>0.8</v>
      </c>
      <c r="J76" s="576">
        <f t="shared" si="20"/>
        <v>-38169.599999999999</v>
      </c>
      <c r="K76" s="918">
        <f>ABS('ELEM. MECA.'!H53)</f>
        <v>0</v>
      </c>
      <c r="L76" s="936">
        <f t="shared" si="21"/>
        <v>-38169.599999999999</v>
      </c>
      <c r="M76" s="685" t="str">
        <f>IF('CG. MPB'!E77="CONCRETO","F/DISEÑO",IF(K76&gt;L76,"NO PASA","PASA"))</f>
        <v>NO PASA</v>
      </c>
      <c r="N76" s="44"/>
      <c r="O76" s="44"/>
      <c r="P76" s="44"/>
      <c r="Q76" s="44"/>
      <c r="R76" s="44"/>
      <c r="S76" s="44"/>
      <c r="T76" s="44"/>
      <c r="U76" s="44"/>
      <c r="V76" s="44"/>
      <c r="W76" s="44"/>
      <c r="X76" s="44"/>
      <c r="Y76" s="44"/>
    </row>
    <row r="77" spans="1:25" hidden="1">
      <c r="A77" s="684">
        <f>'CG. MPB'!A78</f>
        <v>49</v>
      </c>
      <c r="B77" s="579">
        <f>'RMCV.PB'!B77</f>
        <v>0</v>
      </c>
      <c r="C77" s="579">
        <f t="shared" si="17"/>
        <v>-2</v>
      </c>
      <c r="D77" s="579">
        <f t="shared" si="18"/>
        <v>-4</v>
      </c>
      <c r="E77" s="576">
        <f>'RMCS.PB'!L77</f>
        <v>0</v>
      </c>
      <c r="F77" s="576">
        <f>'RMCV.PB'!O77*1.1/1.4</f>
        <v>0</v>
      </c>
      <c r="G77" s="580">
        <f>IF('CG. MPB'!D78="CONFINADO",0.71*4,0)</f>
        <v>2.84</v>
      </c>
      <c r="H77" s="576">
        <f>('RMCV.PB'!P77+(2*0.6*$G$18*G77))</f>
        <v>14313.599999999999</v>
      </c>
      <c r="I77" s="60">
        <f t="shared" si="19"/>
        <v>0.8</v>
      </c>
      <c r="J77" s="576">
        <f t="shared" si="20"/>
        <v>-38169.599999999999</v>
      </c>
      <c r="K77" s="918">
        <f>ABS('ELEM. MECA.'!H54)</f>
        <v>0</v>
      </c>
      <c r="L77" s="936">
        <f t="shared" si="21"/>
        <v>-38169.599999999999</v>
      </c>
      <c r="M77" s="685" t="str">
        <f>IF('CG. MPB'!E78="CONCRETO","F/DISEÑO",IF(K77&gt;L77,"NO PASA","PASA"))</f>
        <v>NO PASA</v>
      </c>
      <c r="N77" s="44"/>
      <c r="O77" s="44"/>
      <c r="P77" s="44"/>
      <c r="Q77" s="44"/>
      <c r="R77" s="44"/>
      <c r="S77" s="44"/>
      <c r="T77" s="44"/>
      <c r="U77" s="44"/>
      <c r="V77" s="44"/>
      <c r="W77" s="44"/>
      <c r="X77" s="44"/>
      <c r="Y77" s="44"/>
    </row>
    <row r="78" spans="1:25" ht="15.75" hidden="1" thickBot="1">
      <c r="A78" s="684">
        <f>'CG. MPB'!A79</f>
        <v>50</v>
      </c>
      <c r="B78" s="579">
        <f>'RMCV.PB'!B78</f>
        <v>0</v>
      </c>
      <c r="C78" s="579">
        <f t="shared" si="17"/>
        <v>-2</v>
      </c>
      <c r="D78" s="579">
        <f t="shared" si="18"/>
        <v>-4</v>
      </c>
      <c r="E78" s="576">
        <f>'RMCS.PB'!L78</f>
        <v>0</v>
      </c>
      <c r="F78" s="576">
        <f>'RMCV.PB'!O78*1.1/1.4</f>
        <v>0</v>
      </c>
      <c r="G78" s="580">
        <f>IF('CG. MPB'!D79="CONFINADO",0.71*4,0)</f>
        <v>2.84</v>
      </c>
      <c r="H78" s="576">
        <f>('RMCV.PB'!P78+(2*0.6*$G$18*G78))</f>
        <v>14313.599999999999</v>
      </c>
      <c r="I78" s="60">
        <f t="shared" si="19"/>
        <v>0.8</v>
      </c>
      <c r="J78" s="576">
        <f t="shared" si="20"/>
        <v>-38169.599999999999</v>
      </c>
      <c r="K78" s="918">
        <f>ABS('ELEM. MECA.'!H55)</f>
        <v>0</v>
      </c>
      <c r="L78" s="936">
        <f t="shared" si="21"/>
        <v>-38169.599999999999</v>
      </c>
      <c r="M78" s="685" t="str">
        <f>IF('CG. MPB'!E79="CONCRETO","F/DISEÑO",IF(K78&gt;L78,"NO PASA","PASA"))</f>
        <v>NO PASA</v>
      </c>
      <c r="N78" s="44"/>
      <c r="O78" s="44"/>
      <c r="P78" s="44"/>
      <c r="Q78" s="44"/>
      <c r="R78" s="44"/>
      <c r="S78" s="44"/>
      <c r="T78" s="44"/>
      <c r="U78" s="44"/>
      <c r="V78" s="44"/>
      <c r="W78" s="44"/>
      <c r="X78" s="44"/>
      <c r="Y78" s="44"/>
    </row>
    <row r="79" spans="1:25" ht="15.75">
      <c r="A79" s="665" t="s">
        <v>88</v>
      </c>
      <c r="B79" s="710"/>
      <c r="C79" s="710"/>
      <c r="D79" s="710"/>
      <c r="E79" s="692"/>
      <c r="F79" s="692"/>
      <c r="G79" s="776"/>
      <c r="H79" s="692"/>
      <c r="I79" s="712"/>
      <c r="J79" s="692"/>
      <c r="K79" s="938"/>
      <c r="L79" s="938"/>
      <c r="M79" s="694"/>
      <c r="N79" s="44"/>
      <c r="O79" s="44"/>
      <c r="P79" s="44"/>
      <c r="Q79" s="44"/>
      <c r="R79" s="44"/>
      <c r="S79" s="44"/>
      <c r="T79" s="44"/>
      <c r="U79" s="44"/>
      <c r="V79" s="44"/>
      <c r="W79" s="44"/>
      <c r="X79" s="44"/>
      <c r="Y79" s="44"/>
    </row>
    <row r="80" spans="1:25">
      <c r="A80" s="684">
        <f>'CG. MPB'!A81</f>
        <v>1</v>
      </c>
      <c r="B80" s="576">
        <f>'RMCV.PB'!B80</f>
        <v>102.54999999999994</v>
      </c>
      <c r="C80" s="579">
        <f>IF(B80&gt;60,(B80-7),(B80-2))</f>
        <v>95.54999999999994</v>
      </c>
      <c r="D80" s="579">
        <f>IF(B80&gt;60,(B80-14),(B80-4))</f>
        <v>88.54999999999994</v>
      </c>
      <c r="E80" s="576">
        <f>'RMCS.PB'!L80</f>
        <v>275.62224698392441</v>
      </c>
      <c r="F80" s="576">
        <f>'RMCV.PB'!O80*1.1/1.4</f>
        <v>2718.2170294254038</v>
      </c>
      <c r="G80" s="580">
        <f>IF('CG. MPB'!D81="CONFINADO",0.71*4,0)</f>
        <v>2.84</v>
      </c>
      <c r="H80" s="576">
        <f>('RMCV.PB'!P80+(2*0.6*$G$18*G80))</f>
        <v>33977.159999999989</v>
      </c>
      <c r="I80" s="60">
        <f>IF(H80/3&gt;F80,0.8,0.6)</f>
        <v>0.8</v>
      </c>
      <c r="J80" s="576">
        <f>(D80*G80*I80*$G$18)</f>
        <v>844979.51999999955</v>
      </c>
      <c r="K80" s="918">
        <f>ABS('ELEM. MECA.'!H207)</f>
        <v>17026.689627836011</v>
      </c>
      <c r="L80" s="936">
        <f>IF(I80=0.8,(J80+(0.3*F80*C80)),((J80*1.5)+((H80*C80*0.15)*(1-(F80/H80)))))</f>
        <v>922897.21114847867</v>
      </c>
      <c r="M80" s="685" t="str">
        <f>IF('CG. MPB'!E81="CONCRETO","F/DISEÑO",IF(K80&gt;L80,"NO PASA","PASA"))</f>
        <v>PASA</v>
      </c>
      <c r="N80" s="44">
        <f>IF('RMCV.PA'!C29*6&gt;80,80,'RMCV.PA'!C29*6)</f>
        <v>80</v>
      </c>
      <c r="O80" s="44">
        <f>ROUNDUP(IF((B80/N80)-1&gt;0,(B80/N80)-1,0),0)</f>
        <v>1</v>
      </c>
      <c r="P80" s="456">
        <v>11</v>
      </c>
      <c r="Q80" s="351">
        <f>IF(P80=0,G80,$Q$25)/('RMCV.PB'!C80*(B80/(P80+1)))*4200/$Q$26</f>
        <v>5.5387615797172132E-3</v>
      </c>
      <c r="R80" s="425" t="str">
        <f>IF($Q$26=4200,IF(Q80&gt;0.0007,"BIEN","MAL"),IF(Q80&gt;0.0007*4200/$Q$26,"BIEN","MAL"))</f>
        <v>BIEN</v>
      </c>
      <c r="S80" s="44">
        <f t="shared" ref="S80:S127" si="22">IF($S$25*4&gt;60,60,$S$25*4)</f>
        <v>40</v>
      </c>
      <c r="T80" s="44">
        <f>(4200/$T$26)*$T$25/('RMCV.PB'!C80*S80)</f>
        <v>1.1833333333333333E-3</v>
      </c>
      <c r="U80" s="425" t="str">
        <f>IF($T$26=4200,IF(T80&gt;0.0007,"BIEN","MAL"),IF(T80&gt;0.0007*4200/$T$26,"BIEN","MAL"))</f>
        <v>BIEN</v>
      </c>
      <c r="V80" s="425">
        <f>ROUNDUP(IF(B80&gt;300,(B80/300)-1,0),0)</f>
        <v>0</v>
      </c>
      <c r="W80" s="44">
        <f>G80*2+V80*$Q$25+P80*$Q$25</f>
        <v>13.489999999999998</v>
      </c>
      <c r="X80" s="44">
        <f>T80+(W80/(B80*'RMCV.PB'!C80))*4200/FY</f>
        <v>9.9530391678855877E-3</v>
      </c>
      <c r="Y80" s="425" t="str">
        <f>IF('CG. MPB'!E81="CONCRETO","F/DISEÑO",IF(FY=4200,IF(X80&gt;0.002,"BIEN","MAL"),(IF(X80&gt;4200*0.002/FY,"BIEN","MAL"))))</f>
        <v>BIEN</v>
      </c>
    </row>
    <row r="81" spans="1:25">
      <c r="A81" s="684">
        <f>'CG. MPB'!A82</f>
        <v>2</v>
      </c>
      <c r="B81" s="576">
        <f>'RMCV.PB'!B81</f>
        <v>145.35000000000008</v>
      </c>
      <c r="C81" s="579">
        <f t="shared" ref="C81:C129" si="23">IF(B81&gt;60,(B81-7),(B81-2))</f>
        <v>138.35000000000008</v>
      </c>
      <c r="D81" s="579">
        <f t="shared" ref="D81:D129" si="24">IF(B81&gt;60,(B81-14),(B81-4))</f>
        <v>131.35000000000008</v>
      </c>
      <c r="E81" s="576">
        <f>'RMCS.PB'!L81</f>
        <v>1074.7026705367109</v>
      </c>
      <c r="F81" s="576">
        <f>'RMCV.PB'!O81*1.1/1.4</f>
        <v>5310.4674000442355</v>
      </c>
      <c r="G81" s="580">
        <f>IF('CG. MPB'!D82="CONFINADO",0.71*4,0)</f>
        <v>2.84</v>
      </c>
      <c r="H81" s="576">
        <f>('RMCV.PB'!P81+(2*0.6*$G$18*G81))</f>
        <v>34675.11</v>
      </c>
      <c r="I81" s="60">
        <f t="shared" ref="I81:I129" si="25">IF(H81/3&gt;F81,0.8,0.6)</f>
        <v>0.8</v>
      </c>
      <c r="J81" s="576">
        <f t="shared" ref="J81:J129" si="26">(D81*G81*I81*$G$18)</f>
        <v>1253394.2400000009</v>
      </c>
      <c r="K81" s="918">
        <f>ABS('ELEM. MECA.'!H208)</f>
        <v>75474.460091185611</v>
      </c>
      <c r="L81" s="936">
        <f t="shared" ref="L81:L129" si="27">IF(I81=0.8,(J81+(0.3*F81*C81)),((J81*1.5)+((H81*C81*0.15)*(1-(F81/H81)))))</f>
        <v>1473805.1894388371</v>
      </c>
      <c r="M81" s="685" t="str">
        <f>IF('CG. MPB'!E82="CONCRETO","F/DISEÑO",IF(K81&gt;L81,"NO PASA","PASA"))</f>
        <v>PASA</v>
      </c>
      <c r="N81" s="44">
        <f>IF('RMCV.PA'!C30*6&gt;80,80,'RMCV.PA'!C30*6)</f>
        <v>80</v>
      </c>
      <c r="O81" s="44">
        <f>ROUNDUP(IF((B81/N81)-1&gt;0,(B81/N81)-1,0),0)</f>
        <v>1</v>
      </c>
      <c r="P81" s="456">
        <f>O81</f>
        <v>1</v>
      </c>
      <c r="Q81" s="351">
        <f>IF(P81=0,G81,$Q$25)/('RMCV.PB'!C81*(B81/(P81+1)))*4200/$Q$26</f>
        <v>6.5130145625501615E-4</v>
      </c>
      <c r="R81" s="425" t="str">
        <f>IF($Q$26=4200,IF(Q81&gt;0.0007,"BIEN","MAL"),IF(Q81&gt;0.0007*4200/$Q$26,"BIEN","MAL"))</f>
        <v>MAL</v>
      </c>
      <c r="S81" s="44">
        <f t="shared" si="22"/>
        <v>40</v>
      </c>
      <c r="T81" s="44">
        <f>(4200/$T$26)*$T$25/('RMCV.PB'!C81*S81)</f>
        <v>1.1833333333333333E-3</v>
      </c>
      <c r="U81" s="425" t="str">
        <f>IF($T$26=4200,IF(T81&gt;0.0007,"BIEN","MAL"),IF(T81&gt;0.0007*4200/$T$26,"BIEN","MAL"))</f>
        <v>BIEN</v>
      </c>
      <c r="V81" s="425">
        <f>ROUNDUP(IF(B81&gt;300,(B81/300)-1,0),0)</f>
        <v>0</v>
      </c>
      <c r="W81" s="44">
        <f>G81*2+V81*$Q$25+P81*$Q$25</f>
        <v>6.39</v>
      </c>
      <c r="X81" s="44">
        <f>T81+(W81/(B81*'RMCV.PB'!C81))*4200/FY</f>
        <v>4.1141898864809059E-3</v>
      </c>
      <c r="Y81" s="425" t="str">
        <f>IF('CG. MPB'!E82="CONCRETO","F/DISEÑO",IF(FY=4200,IF(X81&gt;0.002,"BIEN","MAL"),(IF(X81&gt;4200*0.002/FY,"BIEN","MAL"))))</f>
        <v>BIEN</v>
      </c>
    </row>
    <row r="82" spans="1:25">
      <c r="A82" s="684">
        <f>'CG. MPB'!A83</f>
        <v>3</v>
      </c>
      <c r="B82" s="576">
        <f>'RMCV.PB'!B82</f>
        <v>253.79999999999993</v>
      </c>
      <c r="C82" s="579">
        <f t="shared" si="23"/>
        <v>246.79999999999993</v>
      </c>
      <c r="D82" s="579">
        <f t="shared" si="24"/>
        <v>239.79999999999993</v>
      </c>
      <c r="E82" s="576">
        <f>'RMCS.PB'!L82</f>
        <v>9791.1401026295916</v>
      </c>
      <c r="F82" s="576">
        <f>'RMCV.PB'!O82*1.1/1.4</f>
        <v>12466.058673962576</v>
      </c>
      <c r="G82" s="580">
        <f>IF('CG. MPB'!D83="CONFINADO",0.71*4,0)</f>
        <v>2.84</v>
      </c>
      <c r="H82" s="576">
        <f>('RMCV.PB'!P82+(2*0.6*$G$18*G82))</f>
        <v>424901.53692969779</v>
      </c>
      <c r="I82" s="60">
        <f t="shared" si="25"/>
        <v>0.8</v>
      </c>
      <c r="J82" s="576">
        <f t="shared" si="26"/>
        <v>2288267.5199999996</v>
      </c>
      <c r="K82" s="918">
        <f>ABS('ELEM. MECA.'!H209)</f>
        <v>372724.22057227622</v>
      </c>
      <c r="L82" s="936">
        <f t="shared" si="27"/>
        <v>3211254.5042201886</v>
      </c>
      <c r="M82" s="685" t="str">
        <f>IF('CG. MPB'!E83="CONCRETO","F/DISEÑO",IF(K82&gt;L82,"NO PASA","PASA"))</f>
        <v>F/DISEÑO</v>
      </c>
      <c r="N82" s="44">
        <f>IF('RMCV.PA'!C31*6&gt;80,80,'RMCV.PA'!C31*6)</f>
        <v>80</v>
      </c>
      <c r="O82" s="44">
        <f t="shared" ref="O82:O109" si="28">ROUNDUP(IF((B82/N82)-1&gt;0,(B82/N82)-1,0),0)</f>
        <v>3</v>
      </c>
      <c r="P82" s="456">
        <f t="shared" ref="P82:P109" si="29">O82</f>
        <v>3</v>
      </c>
      <c r="Q82" s="351">
        <f>IF(P82=0,G82,$Q$25)/('RMCV.PB'!C82*(B82/(P82+1)))*4200/$Q$26</f>
        <v>7.4599422117152623E-4</v>
      </c>
      <c r="R82" s="425" t="str">
        <f t="shared" ref="R82:R109" si="30">IF($Q$26=4200,IF(Q82&gt;0.0007,"BIEN","MAL"),IF(Q82&gt;0.0007*4200/$Q$26,"BIEN","MAL"))</f>
        <v>BIEN</v>
      </c>
      <c r="S82" s="44">
        <f t="shared" si="22"/>
        <v>40</v>
      </c>
      <c r="T82" s="44">
        <f>(4200/$T$26)*$T$25/('RMCV.PB'!C82*S82)</f>
        <v>1.1833333333333333E-3</v>
      </c>
      <c r="U82" s="425" t="str">
        <f t="shared" ref="U82:U109" si="31">IF($T$26=4200,IF(T82&gt;0.0007,"BIEN","MAL"),IF(T82&gt;0.0007*4200/$T$26,"BIEN","MAL"))</f>
        <v>BIEN</v>
      </c>
      <c r="V82" s="425">
        <f t="shared" ref="V82:V109" si="32">ROUNDUP(IF(B82&gt;300,(B82/300)-1,0),0)</f>
        <v>0</v>
      </c>
      <c r="W82" s="44">
        <f t="shared" ref="W82:W109" si="33">G82*2+V82*$Q$25+P82*$Q$25</f>
        <v>7.81</v>
      </c>
      <c r="X82" s="44">
        <f>T82+(W82/(B82*'RMCV.PB'!C82))*4200/FY</f>
        <v>3.2348174415550305E-3</v>
      </c>
      <c r="Y82" s="425" t="str">
        <f>IF('CG. MPB'!E83="CONCRETO","F/DISEÑO",IF(FY=4200,IF(X82&gt;0.002,"BIEN","MAL"),(IF(X82&gt;4200*0.002/FY,"BIEN","MAL"))))</f>
        <v>F/DISEÑO</v>
      </c>
    </row>
    <row r="83" spans="1:25">
      <c r="A83" s="684">
        <f>'CG. MPB'!A84</f>
        <v>4</v>
      </c>
      <c r="B83" s="576">
        <f>'RMCV.PB'!B83</f>
        <v>253.8</v>
      </c>
      <c r="C83" s="579">
        <f t="shared" ref="C83:C84" si="34">IF(B83&gt;60,(B83-7),(B83-2))</f>
        <v>246.8</v>
      </c>
      <c r="D83" s="579">
        <f t="shared" ref="D83:D84" si="35">IF(B83&gt;60,(B83-14),(B83-4))</f>
        <v>239.8</v>
      </c>
      <c r="E83" s="576">
        <f>'RMCS.PB'!L83</f>
        <v>30693.575095628617</v>
      </c>
      <c r="F83" s="576">
        <f>'RMCV.PB'!O83*1.1/1.4</f>
        <v>30819.119281097443</v>
      </c>
      <c r="G83" s="580">
        <f>IF('CG. MPB'!D84="CONFINADO",0.71*4,0)</f>
        <v>2.84</v>
      </c>
      <c r="H83" s="576">
        <f>('RMCV.PB'!P83+(2*0.6*$G$18*G83))</f>
        <v>424901.53692969785</v>
      </c>
      <c r="I83" s="60">
        <f t="shared" ref="I83:I84" si="36">IF(H83/3&gt;F83,0.8,0.6)</f>
        <v>0.8</v>
      </c>
      <c r="J83" s="576">
        <f t="shared" ref="J83:J84" si="37">(D83*G83*I83*$G$18)</f>
        <v>2288267.52</v>
      </c>
      <c r="K83" s="918">
        <f>ABS('ELEM. MECA.'!H210)</f>
        <v>2666422.0956299123</v>
      </c>
      <c r="L83" s="936">
        <f t="shared" ref="L83:L84" si="38">IF(I83=0.8,(J83+(0.3*F83*C83)),((J83*1.5)+((H83*C83*0.15)*(1-(F83/H83)))))</f>
        <v>4570115.1115724547</v>
      </c>
      <c r="M83" s="685" t="str">
        <f>IF('CG. MPB'!E84="CONCRETO","F/DISEÑO",IF(K83&gt;L83,"NO PASA","PASA"))</f>
        <v>F/DISEÑO</v>
      </c>
      <c r="N83" s="44">
        <f>IF('RMCV.PA'!C32*6&gt;80,80,'RMCV.PA'!C32*6)</f>
        <v>80</v>
      </c>
      <c r="O83" s="44">
        <f t="shared" si="28"/>
        <v>3</v>
      </c>
      <c r="P83" s="456">
        <f t="shared" si="29"/>
        <v>3</v>
      </c>
      <c r="Q83" s="351">
        <f>IF(P83=0,G83,$Q$25)/('RMCV.PB'!C83*(B83/(P83+1)))*4200/$Q$26</f>
        <v>7.4599422117152612E-4</v>
      </c>
      <c r="R83" s="425" t="str">
        <f t="shared" si="30"/>
        <v>BIEN</v>
      </c>
      <c r="S83" s="44">
        <f t="shared" si="22"/>
        <v>40</v>
      </c>
      <c r="T83" s="44">
        <f>(4200/$T$26)*$T$25/('RMCV.PB'!C83*S83)</f>
        <v>1.1833333333333333E-3</v>
      </c>
      <c r="U83" s="425" t="str">
        <f t="shared" si="31"/>
        <v>BIEN</v>
      </c>
      <c r="V83" s="425">
        <f t="shared" si="32"/>
        <v>0</v>
      </c>
      <c r="W83" s="44">
        <f t="shared" si="33"/>
        <v>7.81</v>
      </c>
      <c r="X83" s="44">
        <f>T83+(W83/(B83*'RMCV.PB'!C83))*4200/FY</f>
        <v>3.2348174415550305E-3</v>
      </c>
      <c r="Y83" s="425" t="str">
        <f>IF('CG. MPB'!E84="CONCRETO","F/DISEÑO",IF(FY=4200,IF(X83&gt;0.002,"BIEN","MAL"),(IF(X83&gt;4200*0.002/FY,"BIEN","MAL"))))</f>
        <v>F/DISEÑO</v>
      </c>
    </row>
    <row r="84" spans="1:25">
      <c r="A84" s="684">
        <f>'CG. MPB'!A85</f>
        <v>5</v>
      </c>
      <c r="B84" s="576">
        <f>'RMCV.PB'!B84</f>
        <v>385.05</v>
      </c>
      <c r="C84" s="579">
        <f t="shared" si="34"/>
        <v>378.05</v>
      </c>
      <c r="D84" s="579">
        <f t="shared" si="35"/>
        <v>371.05</v>
      </c>
      <c r="E84" s="576">
        <f>'RMCS.PB'!L84</f>
        <v>17909.410118637625</v>
      </c>
      <c r="F84" s="576">
        <f>'RMCV.PB'!O84*1.1/1.4</f>
        <v>70981.507186509072</v>
      </c>
      <c r="G84" s="580">
        <f>IF('CG. MPB'!D85="CONFINADO",0.71*4,0)</f>
        <v>2.84</v>
      </c>
      <c r="H84" s="576">
        <f>('RMCV.PB'!P84+(2*0.6*$G$18*G84))</f>
        <v>637846.02107315429</v>
      </c>
      <c r="I84" s="60">
        <f t="shared" si="36"/>
        <v>0.8</v>
      </c>
      <c r="J84" s="576">
        <f t="shared" si="37"/>
        <v>3540707.5199999996</v>
      </c>
      <c r="K84" s="918">
        <f>ABS('ELEM. MECA.'!H211)</f>
        <v>10831051.695282407</v>
      </c>
      <c r="L84" s="936">
        <f t="shared" si="38"/>
        <v>11591075.157557925</v>
      </c>
      <c r="M84" s="685" t="str">
        <f>IF('CG. MPB'!E85="CONCRETO","F/DISEÑO",IF(K84&gt;L84,"NO PASA","PASA"))</f>
        <v>F/DISEÑO</v>
      </c>
      <c r="N84" s="44">
        <f>IF('RMCV.PA'!C33*6&gt;80,80,'RMCV.PA'!C33*6)</f>
        <v>80</v>
      </c>
      <c r="O84" s="44">
        <f t="shared" si="28"/>
        <v>4</v>
      </c>
      <c r="P84" s="456">
        <f t="shared" si="29"/>
        <v>4</v>
      </c>
      <c r="Q84" s="351">
        <f>IF(P84=0,G84,$Q$25)/('RMCV.PB'!C84*(B84/(P84+1)))*4200/$Q$26</f>
        <v>6.1463879149893945E-4</v>
      </c>
      <c r="R84" s="425" t="str">
        <f t="shared" si="30"/>
        <v>MAL</v>
      </c>
      <c r="S84" s="44">
        <f t="shared" si="22"/>
        <v>40</v>
      </c>
      <c r="T84" s="44">
        <f>(4200/$T$26)*$T$25/('RMCV.PB'!C84*S84)</f>
        <v>1.1833333333333333E-3</v>
      </c>
      <c r="U84" s="425" t="str">
        <f t="shared" si="31"/>
        <v>BIEN</v>
      </c>
      <c r="V84" s="425">
        <f t="shared" si="32"/>
        <v>1</v>
      </c>
      <c r="W84" s="44">
        <f t="shared" si="33"/>
        <v>9.23</v>
      </c>
      <c r="X84" s="44">
        <f>T84+(W84/(B84*'RMCV.PB'!C84))*4200/FY</f>
        <v>2.781394191230576E-3</v>
      </c>
      <c r="Y84" s="425" t="str">
        <f>IF('CG. MPB'!E85="CONCRETO","F/DISEÑO",IF(FY=4200,IF(X84&gt;0.002,"BIEN","MAL"),(IF(X84&gt;4200*0.002/FY,"BIEN","MAL"))))</f>
        <v>F/DISEÑO</v>
      </c>
    </row>
    <row r="85" spans="1:25">
      <c r="A85" s="684">
        <f>'CG. MPB'!A86</f>
        <v>6</v>
      </c>
      <c r="B85" s="576">
        <f>'RMCV.PB'!B85</f>
        <v>0</v>
      </c>
      <c r="C85" s="579">
        <f t="shared" si="23"/>
        <v>-2</v>
      </c>
      <c r="D85" s="579">
        <f t="shared" si="24"/>
        <v>-4</v>
      </c>
      <c r="E85" s="576" t="e">
        <f>'RMCS.PB'!L85</f>
        <v>#VALUE!</v>
      </c>
      <c r="F85" s="576" t="e">
        <f>'RMCV.PB'!O85*1.1/1.4</f>
        <v>#VALUE!</v>
      </c>
      <c r="G85" s="580">
        <f>IF('CG. MPB'!D86="CONFINADO",0.71*4,0)</f>
        <v>2.84</v>
      </c>
      <c r="H85" s="576">
        <f>('RMCV.PB'!P85+(2*0.6*$G$18*G85))</f>
        <v>14313.599999999999</v>
      </c>
      <c r="I85" s="60" t="e">
        <f t="shared" si="25"/>
        <v>#VALUE!</v>
      </c>
      <c r="J85" s="576" t="e">
        <f t="shared" si="26"/>
        <v>#VALUE!</v>
      </c>
      <c r="K85" s="918" t="e">
        <f>ABS('ELEM. MECA.'!H212)</f>
        <v>#VALUE!</v>
      </c>
      <c r="L85" s="936" t="e">
        <f t="shared" si="27"/>
        <v>#VALUE!</v>
      </c>
      <c r="M85" s="685" t="e">
        <f>IF('CG. MPB'!E86="CONCRETO","F/DISEÑO",IF(K85&gt;L85,"NO PASA","PASA"))</f>
        <v>#VALUE!</v>
      </c>
      <c r="N85" s="44">
        <f>IF('RMCV.PA'!C34*6&gt;80,80,'RMCV.PA'!C34*6)</f>
        <v>80</v>
      </c>
      <c r="O85" s="44">
        <f t="shared" si="28"/>
        <v>0</v>
      </c>
      <c r="P85" s="456">
        <f t="shared" si="29"/>
        <v>0</v>
      </c>
      <c r="Q85" s="351" t="e">
        <f>IF(P85=0,G85,$Q$25)/('RMCV.PB'!C85*(B85/(P85+1)))*4200/$Q$26</f>
        <v>#VALUE!</v>
      </c>
      <c r="R85" s="425" t="e">
        <f t="shared" si="30"/>
        <v>#VALUE!</v>
      </c>
      <c r="S85" s="44">
        <f t="shared" si="22"/>
        <v>40</v>
      </c>
      <c r="T85" s="44" t="e">
        <f>(4200/$T$26)*$T$25/('RMCV.PB'!C85*S85)</f>
        <v>#VALUE!</v>
      </c>
      <c r="U85" s="425" t="e">
        <f t="shared" si="31"/>
        <v>#VALUE!</v>
      </c>
      <c r="V85" s="425">
        <f t="shared" si="32"/>
        <v>0</v>
      </c>
      <c r="W85" s="44">
        <f t="shared" si="33"/>
        <v>5.68</v>
      </c>
      <c r="X85" s="44" t="e">
        <f>T85+(W85/(B85*'RMCV.PB'!C85))*4200/FY</f>
        <v>#VALUE!</v>
      </c>
      <c r="Y85" s="425" t="e">
        <f>IF('CG. MPB'!E86="CONCRETO","F/DISEÑO",IF(FY=4200,IF(X85&gt;0.002,"BIEN","MAL"),(IF(X85&gt;4200*0.002/FY,"BIEN","MAL"))))</f>
        <v>#VALUE!</v>
      </c>
    </row>
    <row r="86" spans="1:25">
      <c r="A86" s="684">
        <f>'CG. MPB'!A87</f>
        <v>7</v>
      </c>
      <c r="B86" s="576">
        <f>'RMCV.PB'!B86</f>
        <v>0</v>
      </c>
      <c r="C86" s="579">
        <f t="shared" si="23"/>
        <v>-2</v>
      </c>
      <c r="D86" s="579">
        <f t="shared" si="24"/>
        <v>-4</v>
      </c>
      <c r="E86" s="576" t="e">
        <f>'RMCS.PB'!L86</f>
        <v>#VALUE!</v>
      </c>
      <c r="F86" s="576" t="e">
        <f>'RMCV.PB'!O86*1.1/1.4</f>
        <v>#VALUE!</v>
      </c>
      <c r="G86" s="580">
        <f>IF('CG. MPB'!D87="CONFINADO",0.71*4,0)</f>
        <v>2.84</v>
      </c>
      <c r="H86" s="576">
        <f>('RMCV.PB'!P86+(2*0.6*$G$18*G86))</f>
        <v>14313.599999999999</v>
      </c>
      <c r="I86" s="60" t="e">
        <f t="shared" si="25"/>
        <v>#VALUE!</v>
      </c>
      <c r="J86" s="576" t="e">
        <f t="shared" si="26"/>
        <v>#VALUE!</v>
      </c>
      <c r="K86" s="918" t="e">
        <f>ABS('ELEM. MECA.'!H213)</f>
        <v>#VALUE!</v>
      </c>
      <c r="L86" s="936" t="e">
        <f t="shared" si="27"/>
        <v>#VALUE!</v>
      </c>
      <c r="M86" s="685" t="e">
        <f>IF('CG. MPB'!E87="CONCRETO","F/DISEÑO",IF(K86&gt;L86,"NO PASA","PASA"))</f>
        <v>#VALUE!</v>
      </c>
      <c r="N86" s="44">
        <f>IF('RMCV.PA'!C35*6&gt;80,80,'RMCV.PA'!C35*6)</f>
        <v>80</v>
      </c>
      <c r="O86" s="44">
        <f t="shared" si="28"/>
        <v>0</v>
      </c>
      <c r="P86" s="456">
        <f t="shared" si="29"/>
        <v>0</v>
      </c>
      <c r="Q86" s="351" t="e">
        <f>IF(P86=0,G86,$Q$25)/('RMCV.PB'!C86*(B86/(P86+1)))*4200/$Q$26</f>
        <v>#VALUE!</v>
      </c>
      <c r="R86" s="425" t="e">
        <f t="shared" si="30"/>
        <v>#VALUE!</v>
      </c>
      <c r="S86" s="44">
        <f t="shared" si="22"/>
        <v>40</v>
      </c>
      <c r="T86" s="44" t="e">
        <f>(4200/$T$26)*$T$25/('RMCV.PB'!C86*S86)</f>
        <v>#VALUE!</v>
      </c>
      <c r="U86" s="425" t="e">
        <f t="shared" si="31"/>
        <v>#VALUE!</v>
      </c>
      <c r="V86" s="425">
        <f t="shared" si="32"/>
        <v>0</v>
      </c>
      <c r="W86" s="44">
        <f t="shared" si="33"/>
        <v>5.68</v>
      </c>
      <c r="X86" s="44" t="e">
        <f>T86+(W86/(B86*'RMCV.PB'!C86))*4200/FY</f>
        <v>#VALUE!</v>
      </c>
      <c r="Y86" s="425" t="e">
        <f>IF('CG. MPB'!E87="CONCRETO","F/DISEÑO",IF(FY=4200,IF(X86&gt;0.002,"BIEN","MAL"),(IF(X86&gt;4200*0.002/FY,"BIEN","MAL"))))</f>
        <v>#VALUE!</v>
      </c>
    </row>
    <row r="87" spans="1:25">
      <c r="A87" s="684">
        <f>'CG. MPB'!A88</f>
        <v>8</v>
      </c>
      <c r="B87" s="576">
        <f>'RMCV.PB'!B87</f>
        <v>0</v>
      </c>
      <c r="C87" s="579">
        <f t="shared" si="23"/>
        <v>-2</v>
      </c>
      <c r="D87" s="579">
        <f t="shared" si="24"/>
        <v>-4</v>
      </c>
      <c r="E87" s="576" t="e">
        <f>'RMCS.PB'!L87</f>
        <v>#VALUE!</v>
      </c>
      <c r="F87" s="576" t="e">
        <f>'RMCV.PB'!O87*1.1/1.4</f>
        <v>#VALUE!</v>
      </c>
      <c r="G87" s="580">
        <f>IF('CG. MPB'!D88="CONFINADO",0.71*4,0)</f>
        <v>2.84</v>
      </c>
      <c r="H87" s="576">
        <f>('RMCV.PB'!P87+(2*0.6*$G$18*G87))</f>
        <v>14313.599999999999</v>
      </c>
      <c r="I87" s="60" t="e">
        <f t="shared" si="25"/>
        <v>#VALUE!</v>
      </c>
      <c r="J87" s="576" t="e">
        <f t="shared" si="26"/>
        <v>#VALUE!</v>
      </c>
      <c r="K87" s="918" t="e">
        <f>ABS('ELEM. MECA.'!H214)</f>
        <v>#VALUE!</v>
      </c>
      <c r="L87" s="936" t="e">
        <f t="shared" si="27"/>
        <v>#VALUE!</v>
      </c>
      <c r="M87" s="685" t="e">
        <f>IF('CG. MPB'!E88="CONCRETO","F/DISEÑO",IF(K87&gt;L87,"NO PASA","PASA"))</f>
        <v>#VALUE!</v>
      </c>
      <c r="N87" s="44">
        <f>IF('RMCV.PA'!C36*6&gt;80,80,'RMCV.PA'!C36*6)</f>
        <v>80</v>
      </c>
      <c r="O87" s="44">
        <f t="shared" si="28"/>
        <v>0</v>
      </c>
      <c r="P87" s="456">
        <f t="shared" si="29"/>
        <v>0</v>
      </c>
      <c r="Q87" s="351" t="e">
        <f>IF(P87=0,G87,$Q$25)/('RMCV.PB'!C87*(B87/(P87+1)))*4200/$Q$26</f>
        <v>#VALUE!</v>
      </c>
      <c r="R87" s="425" t="e">
        <f t="shared" si="30"/>
        <v>#VALUE!</v>
      </c>
      <c r="S87" s="44">
        <f t="shared" si="22"/>
        <v>40</v>
      </c>
      <c r="T87" s="44" t="e">
        <f>(4200/$T$26)*$T$25/('RMCV.PB'!C87*S87)</f>
        <v>#VALUE!</v>
      </c>
      <c r="U87" s="425" t="e">
        <f t="shared" si="31"/>
        <v>#VALUE!</v>
      </c>
      <c r="V87" s="425">
        <f t="shared" si="32"/>
        <v>0</v>
      </c>
      <c r="W87" s="44">
        <f t="shared" si="33"/>
        <v>5.68</v>
      </c>
      <c r="X87" s="44" t="e">
        <f>T87+(W87/(B87*'RMCV.PB'!C87))*4200/FY</f>
        <v>#VALUE!</v>
      </c>
      <c r="Y87" s="425" t="e">
        <f>IF('CG. MPB'!E88="CONCRETO","F/DISEÑO",IF(FY=4200,IF(X87&gt;0.002,"BIEN","MAL"),(IF(X87&gt;4200*0.002/FY,"BIEN","MAL"))))</f>
        <v>#VALUE!</v>
      </c>
    </row>
    <row r="88" spans="1:25">
      <c r="A88" s="684">
        <f>'CG. MPB'!A89</f>
        <v>9</v>
      </c>
      <c r="B88" s="576">
        <f>'RMCV.PB'!B88</f>
        <v>0</v>
      </c>
      <c r="C88" s="579">
        <f t="shared" si="23"/>
        <v>-2</v>
      </c>
      <c r="D88" s="579">
        <f t="shared" si="24"/>
        <v>-4</v>
      </c>
      <c r="E88" s="576" t="e">
        <f>'RMCS.PB'!L88</f>
        <v>#VALUE!</v>
      </c>
      <c r="F88" s="576" t="e">
        <f>'RMCV.PB'!O88*1.1/1.4</f>
        <v>#VALUE!</v>
      </c>
      <c r="G88" s="580">
        <f>IF('CG. MPB'!D89="CONFINADO",0.71*4,0)</f>
        <v>2.84</v>
      </c>
      <c r="H88" s="576">
        <f>('RMCV.PB'!P88+(2*0.6*$G$18*G88))</f>
        <v>14313.599999999999</v>
      </c>
      <c r="I88" s="60" t="e">
        <f t="shared" si="25"/>
        <v>#VALUE!</v>
      </c>
      <c r="J88" s="576" t="e">
        <f t="shared" si="26"/>
        <v>#VALUE!</v>
      </c>
      <c r="K88" s="918" t="e">
        <f>ABS('ELEM. MECA.'!H215)</f>
        <v>#VALUE!</v>
      </c>
      <c r="L88" s="936" t="e">
        <f t="shared" si="27"/>
        <v>#VALUE!</v>
      </c>
      <c r="M88" s="685" t="e">
        <f>IF('CG. MPB'!E89="CONCRETO","F/DISEÑO",IF(K88&gt;L88,"NO PASA","PASA"))</f>
        <v>#VALUE!</v>
      </c>
      <c r="N88" s="44">
        <f>IF('RMCV.PA'!C37*6&gt;80,80,'RMCV.PA'!C37*6)</f>
        <v>80</v>
      </c>
      <c r="O88" s="44">
        <f t="shared" si="28"/>
        <v>0</v>
      </c>
      <c r="P88" s="456">
        <f t="shared" si="29"/>
        <v>0</v>
      </c>
      <c r="Q88" s="351" t="e">
        <f>IF(P88=0,G88,$Q$25)/('RMCV.PB'!C88*(B88/(P88+1)))*4200/$Q$26</f>
        <v>#VALUE!</v>
      </c>
      <c r="R88" s="425" t="e">
        <f t="shared" si="30"/>
        <v>#VALUE!</v>
      </c>
      <c r="S88" s="44">
        <f t="shared" si="22"/>
        <v>40</v>
      </c>
      <c r="T88" s="44" t="e">
        <f>(4200/$T$26)*$T$25/('RMCV.PB'!C88*S88)</f>
        <v>#VALUE!</v>
      </c>
      <c r="U88" s="425" t="e">
        <f t="shared" si="31"/>
        <v>#VALUE!</v>
      </c>
      <c r="V88" s="425">
        <f t="shared" si="32"/>
        <v>0</v>
      </c>
      <c r="W88" s="44">
        <f t="shared" si="33"/>
        <v>5.68</v>
      </c>
      <c r="X88" s="44" t="e">
        <f>T88+(W88/(B88*'RMCV.PB'!C88))*4200/FY</f>
        <v>#VALUE!</v>
      </c>
      <c r="Y88" s="425" t="e">
        <f>IF('CG. MPB'!E89="CONCRETO","F/DISEÑO",IF(FY=4200,IF(X88&gt;0.002,"BIEN","MAL"),(IF(X88&gt;4200*0.002/FY,"BIEN","MAL"))))</f>
        <v>#VALUE!</v>
      </c>
    </row>
    <row r="89" spans="1:25">
      <c r="A89" s="684">
        <f>'CG. MPB'!A90</f>
        <v>10</v>
      </c>
      <c r="B89" s="576">
        <f>'RMCV.PB'!B89</f>
        <v>0</v>
      </c>
      <c r="C89" s="579">
        <f t="shared" si="23"/>
        <v>-2</v>
      </c>
      <c r="D89" s="579">
        <f t="shared" si="24"/>
        <v>-4</v>
      </c>
      <c r="E89" s="576">
        <f>'RMCS.PB'!L89</f>
        <v>0</v>
      </c>
      <c r="F89" s="576">
        <f>'RMCV.PB'!O89*1.1/1.4</f>
        <v>0</v>
      </c>
      <c r="G89" s="580">
        <f>IF('CG. MPB'!D90="CONFINADO",0.71*4,0)</f>
        <v>2.84</v>
      </c>
      <c r="H89" s="576">
        <f>('RMCV.PB'!P89+(2*0.6*$G$18*G89))</f>
        <v>14313.599999999999</v>
      </c>
      <c r="I89" s="60">
        <f t="shared" si="25"/>
        <v>0.8</v>
      </c>
      <c r="J89" s="576">
        <f t="shared" si="26"/>
        <v>-38169.599999999999</v>
      </c>
      <c r="K89" s="918">
        <f>ABS('ELEM. MECA.'!H216)</f>
        <v>0</v>
      </c>
      <c r="L89" s="936">
        <f t="shared" si="27"/>
        <v>-38169.599999999999</v>
      </c>
      <c r="M89" s="685" t="str">
        <f>IF('CG. MPB'!E90="CONCRETO","F/DISEÑO",IF(K89&gt;L89,"NO PASA","PASA"))</f>
        <v>NO PASA</v>
      </c>
      <c r="N89" s="44">
        <f>IF('RMCV.PA'!C38*6&gt;80,80,'RMCV.PA'!C38*6)</f>
        <v>80</v>
      </c>
      <c r="O89" s="44">
        <f t="shared" si="28"/>
        <v>0</v>
      </c>
      <c r="P89" s="456">
        <f t="shared" si="29"/>
        <v>0</v>
      </c>
      <c r="Q89" s="351" t="e">
        <f>IF(P89=0,G89,$Q$25)/('RMCV.PB'!C89*(B89/(P89+1)))*4200/$Q$26</f>
        <v>#DIV/0!</v>
      </c>
      <c r="R89" s="425" t="e">
        <f t="shared" si="30"/>
        <v>#DIV/0!</v>
      </c>
      <c r="S89" s="44">
        <f t="shared" si="22"/>
        <v>40</v>
      </c>
      <c r="T89" s="44" t="e">
        <f>(4200/$T$26)*$T$25/('RMCV.PB'!C89*S89)</f>
        <v>#DIV/0!</v>
      </c>
      <c r="U89" s="425" t="e">
        <f t="shared" si="31"/>
        <v>#DIV/0!</v>
      </c>
      <c r="V89" s="425">
        <f t="shared" si="32"/>
        <v>0</v>
      </c>
      <c r="W89" s="44">
        <f t="shared" si="33"/>
        <v>5.68</v>
      </c>
      <c r="X89" s="44" t="e">
        <f>T89+(W89/(B89*'RMCV.PB'!C89))*4200/FY</f>
        <v>#DIV/0!</v>
      </c>
      <c r="Y89" s="425" t="e">
        <f>IF('CG. MPB'!E90="CONCRETO","F/DISEÑO",IF(FY=4200,IF(X89&gt;0.002,"BIEN","MAL"),(IF(X89&gt;4200*0.002/FY,"BIEN","MAL"))))</f>
        <v>#DIV/0!</v>
      </c>
    </row>
    <row r="90" spans="1:25">
      <c r="A90" s="684">
        <f>'CG. MPB'!A91</f>
        <v>11</v>
      </c>
      <c r="B90" s="576">
        <f>'RMCV.PB'!B90</f>
        <v>0</v>
      </c>
      <c r="C90" s="579">
        <f t="shared" si="23"/>
        <v>-2</v>
      </c>
      <c r="D90" s="579">
        <f t="shared" si="24"/>
        <v>-4</v>
      </c>
      <c r="E90" s="576">
        <f>'RMCS.PB'!L90</f>
        <v>0</v>
      </c>
      <c r="F90" s="576">
        <f>'RMCV.PB'!O90*1.1/1.4</f>
        <v>0</v>
      </c>
      <c r="G90" s="580">
        <f>IF('CG. MPB'!D91="CONFINADO",0.71*4,0)</f>
        <v>2.84</v>
      </c>
      <c r="H90" s="576">
        <f>('RMCV.PB'!P90+(2*0.6*$G$18*G90))</f>
        <v>14313.599999999999</v>
      </c>
      <c r="I90" s="60">
        <f t="shared" si="25"/>
        <v>0.8</v>
      </c>
      <c r="J90" s="576">
        <f t="shared" si="26"/>
        <v>-38169.599999999999</v>
      </c>
      <c r="K90" s="918">
        <f>ABS('ELEM. MECA.'!H217)</f>
        <v>0</v>
      </c>
      <c r="L90" s="936">
        <f t="shared" si="27"/>
        <v>-38169.599999999999</v>
      </c>
      <c r="M90" s="685" t="str">
        <f>IF('CG. MPB'!E91="CONCRETO","F/DISEÑO",IF(K90&gt;L90,"NO PASA","PASA"))</f>
        <v>NO PASA</v>
      </c>
      <c r="N90" s="44">
        <f>IF('RMCV.PA'!C39*6&gt;80,80,'RMCV.PA'!C39*6)</f>
        <v>80</v>
      </c>
      <c r="O90" s="44">
        <f t="shared" si="28"/>
        <v>0</v>
      </c>
      <c r="P90" s="456">
        <f t="shared" si="29"/>
        <v>0</v>
      </c>
      <c r="Q90" s="351" t="e">
        <f>IF(P90=0,G90,$Q$25)/('RMCV.PB'!C90*(B90/(P90+1)))*4200/$Q$26</f>
        <v>#DIV/0!</v>
      </c>
      <c r="R90" s="425" t="e">
        <f t="shared" si="30"/>
        <v>#DIV/0!</v>
      </c>
      <c r="S90" s="44">
        <f t="shared" si="22"/>
        <v>40</v>
      </c>
      <c r="T90" s="44" t="e">
        <f>(4200/$T$26)*$T$25/('RMCV.PB'!C90*S90)</f>
        <v>#DIV/0!</v>
      </c>
      <c r="U90" s="425" t="e">
        <f t="shared" si="31"/>
        <v>#DIV/0!</v>
      </c>
      <c r="V90" s="425">
        <f t="shared" si="32"/>
        <v>0</v>
      </c>
      <c r="W90" s="44">
        <f t="shared" si="33"/>
        <v>5.68</v>
      </c>
      <c r="X90" s="44" t="e">
        <f>T90+(W90/(B90*'RMCV.PB'!C90))*4200/FY</f>
        <v>#DIV/0!</v>
      </c>
      <c r="Y90" s="425" t="e">
        <f>IF('CG. MPB'!E91="CONCRETO","F/DISEÑO",IF(FY=4200,IF(X90&gt;0.002,"BIEN","MAL"),(IF(X90&gt;4200*0.002/FY,"BIEN","MAL"))))</f>
        <v>#DIV/0!</v>
      </c>
    </row>
    <row r="91" spans="1:25">
      <c r="A91" s="684">
        <f>'CG. MPB'!A92</f>
        <v>12</v>
      </c>
      <c r="B91" s="576">
        <f>'RMCV.PB'!B91</f>
        <v>0</v>
      </c>
      <c r="C91" s="579">
        <f t="shared" si="23"/>
        <v>-2</v>
      </c>
      <c r="D91" s="579">
        <f t="shared" si="24"/>
        <v>-4</v>
      </c>
      <c r="E91" s="576">
        <f>'RMCS.PB'!L91</f>
        <v>0</v>
      </c>
      <c r="F91" s="576">
        <f>'RMCV.PB'!O91*1.1/1.4</f>
        <v>0</v>
      </c>
      <c r="G91" s="580">
        <f>IF('CG. MPB'!D92="CONFINADO",0.71*4,0)</f>
        <v>2.84</v>
      </c>
      <c r="H91" s="576">
        <f>('RMCV.PB'!P91+(2*0.6*$G$18*G91))</f>
        <v>14313.599999999999</v>
      </c>
      <c r="I91" s="60">
        <f t="shared" si="25"/>
        <v>0.8</v>
      </c>
      <c r="J91" s="576">
        <f t="shared" si="26"/>
        <v>-38169.599999999999</v>
      </c>
      <c r="K91" s="918">
        <f>ABS('ELEM. MECA.'!H218)</f>
        <v>0</v>
      </c>
      <c r="L91" s="936">
        <f t="shared" si="27"/>
        <v>-38169.599999999999</v>
      </c>
      <c r="M91" s="685" t="str">
        <f>IF('CG. MPB'!E92="CONCRETO","F/DISEÑO",IF(K91&gt;L91,"NO PASA","PASA"))</f>
        <v>NO PASA</v>
      </c>
      <c r="N91" s="44">
        <f>IF('RMCV.PA'!C40*6&gt;80,80,'RMCV.PA'!C40*6)</f>
        <v>80</v>
      </c>
      <c r="O91" s="44">
        <f t="shared" si="28"/>
        <v>0</v>
      </c>
      <c r="P91" s="456">
        <f t="shared" si="29"/>
        <v>0</v>
      </c>
      <c r="Q91" s="351" t="e">
        <f>IF(P91=0,G91,$Q$25)/('RMCV.PB'!C91*(B91/(P91+1)))*4200/$Q$26</f>
        <v>#DIV/0!</v>
      </c>
      <c r="R91" s="425" t="e">
        <f t="shared" si="30"/>
        <v>#DIV/0!</v>
      </c>
      <c r="S91" s="44">
        <f t="shared" si="22"/>
        <v>40</v>
      </c>
      <c r="T91" s="44" t="e">
        <f>(4200/$T$26)*$T$25/('RMCV.PB'!C91*S91)</f>
        <v>#DIV/0!</v>
      </c>
      <c r="U91" s="425" t="e">
        <f t="shared" si="31"/>
        <v>#DIV/0!</v>
      </c>
      <c r="V91" s="425">
        <f t="shared" si="32"/>
        <v>0</v>
      </c>
      <c r="W91" s="44">
        <f t="shared" si="33"/>
        <v>5.68</v>
      </c>
      <c r="X91" s="44" t="e">
        <f>T91+(W91/(B91*'RMCV.PB'!C91))*4200/FY</f>
        <v>#DIV/0!</v>
      </c>
      <c r="Y91" s="425" t="e">
        <f>IF('CG. MPB'!E92="CONCRETO","F/DISEÑO",IF(FY=4200,IF(X91&gt;0.002,"BIEN","MAL"),(IF(X91&gt;4200*0.002/FY,"BIEN","MAL"))))</f>
        <v>#DIV/0!</v>
      </c>
    </row>
    <row r="92" spans="1:25">
      <c r="A92" s="684">
        <f>'CG. MPB'!A93</f>
        <v>13</v>
      </c>
      <c r="B92" s="576">
        <f>'RMCV.PB'!B92</f>
        <v>0</v>
      </c>
      <c r="C92" s="579">
        <f t="shared" si="23"/>
        <v>-2</v>
      </c>
      <c r="D92" s="579">
        <f t="shared" si="24"/>
        <v>-4</v>
      </c>
      <c r="E92" s="576">
        <f>'RMCS.PB'!L92</f>
        <v>0</v>
      </c>
      <c r="F92" s="576">
        <f>'RMCV.PB'!O92*1.1/1.4</f>
        <v>0</v>
      </c>
      <c r="G92" s="580">
        <f>IF('CG. MPB'!D93="CONFINADO",0.71*4,0)</f>
        <v>2.84</v>
      </c>
      <c r="H92" s="576">
        <f>('RMCV.PB'!P92+(2*0.6*$G$18*G92))</f>
        <v>14313.599999999999</v>
      </c>
      <c r="I92" s="60">
        <f t="shared" si="25"/>
        <v>0.8</v>
      </c>
      <c r="J92" s="576">
        <f t="shared" si="26"/>
        <v>-38169.599999999999</v>
      </c>
      <c r="K92" s="918">
        <f>ABS('ELEM. MECA.'!H219)</f>
        <v>0</v>
      </c>
      <c r="L92" s="936">
        <f t="shared" si="27"/>
        <v>-38169.599999999999</v>
      </c>
      <c r="M92" s="685" t="str">
        <f>IF('CG. MPB'!E93="CONCRETO","F/DISEÑO",IF(K92&gt;L92,"NO PASA","PASA"))</f>
        <v>NO PASA</v>
      </c>
      <c r="N92" s="44">
        <f>IF('RMCV.PA'!C41*6&gt;80,80,'RMCV.PA'!C41*6)</f>
        <v>80</v>
      </c>
      <c r="O92" s="44">
        <f t="shared" si="28"/>
        <v>0</v>
      </c>
      <c r="P92" s="456">
        <f t="shared" si="29"/>
        <v>0</v>
      </c>
      <c r="Q92" s="351" t="e">
        <f>IF(P92=0,G92,$Q$25)/('RMCV.PB'!C92*(B92/(P92+1)))*4200/$Q$26</f>
        <v>#DIV/0!</v>
      </c>
      <c r="R92" s="425" t="e">
        <f t="shared" si="30"/>
        <v>#DIV/0!</v>
      </c>
      <c r="S92" s="44">
        <f t="shared" si="22"/>
        <v>40</v>
      </c>
      <c r="T92" s="44" t="e">
        <f>(4200/$T$26)*$T$25/('RMCV.PB'!C92*S92)</f>
        <v>#DIV/0!</v>
      </c>
      <c r="U92" s="425" t="e">
        <f t="shared" si="31"/>
        <v>#DIV/0!</v>
      </c>
      <c r="V92" s="425">
        <f t="shared" si="32"/>
        <v>0</v>
      </c>
      <c r="W92" s="44">
        <f t="shared" si="33"/>
        <v>5.68</v>
      </c>
      <c r="X92" s="44" t="e">
        <f>T92+(W92/(B92*'RMCV.PB'!C92))*4200/FY</f>
        <v>#DIV/0!</v>
      </c>
      <c r="Y92" s="425" t="e">
        <f>IF('CG. MPB'!E93="CONCRETO","F/DISEÑO",IF(FY=4200,IF(X92&gt;0.002,"BIEN","MAL"),(IF(X92&gt;4200*0.002/FY,"BIEN","MAL"))))</f>
        <v>#DIV/0!</v>
      </c>
    </row>
    <row r="93" spans="1:25">
      <c r="A93" s="684">
        <f>'CG. MPB'!A94</f>
        <v>14</v>
      </c>
      <c r="B93" s="576">
        <f>'RMCV.PB'!B93</f>
        <v>0</v>
      </c>
      <c r="C93" s="579">
        <f t="shared" ref="C93:C95" si="39">IF(B93&gt;60,(B93-7),(B93-2))</f>
        <v>-2</v>
      </c>
      <c r="D93" s="579">
        <f t="shared" ref="D93:D95" si="40">IF(B93&gt;60,(B93-14),(B93-4))</f>
        <v>-4</v>
      </c>
      <c r="E93" s="576">
        <f>'RMCS.PB'!L93</f>
        <v>0</v>
      </c>
      <c r="F93" s="576">
        <f>'RMCV.PB'!O93*1.1/1.4</f>
        <v>0</v>
      </c>
      <c r="G93" s="580">
        <f>IF('CG. MPB'!D94="CONFINADO",0.71*4,0)</f>
        <v>2.84</v>
      </c>
      <c r="H93" s="576">
        <f>('RMCV.PB'!P93+(2*0.6*$G$18*G93))</f>
        <v>14313.599999999999</v>
      </c>
      <c r="I93" s="60">
        <f t="shared" ref="I93:I95" si="41">IF(H93/3&gt;F93,0.8,0.6)</f>
        <v>0.8</v>
      </c>
      <c r="J93" s="576">
        <f t="shared" ref="J93:J95" si="42">(D93*G93*I93*$G$18)</f>
        <v>-38169.599999999999</v>
      </c>
      <c r="K93" s="918">
        <f>ABS('ELEM. MECA.'!H220)</f>
        <v>0</v>
      </c>
      <c r="L93" s="936">
        <f t="shared" ref="L93:L95" si="43">IF(I93=0.8,(J93+(0.3*F93*C93)),((J93*1.5)+((H93*C93*0.15)*(1-(F93/H93)))))</f>
        <v>-38169.599999999999</v>
      </c>
      <c r="M93" s="685" t="str">
        <f>IF('CG. MPB'!E94="CONCRETO","F/DISEÑO",IF(K93&gt;L93,"NO PASA","PASA"))</f>
        <v>NO PASA</v>
      </c>
      <c r="N93" s="44">
        <f>IF('RMCV.PA'!C42*6&gt;80,80,'RMCV.PA'!C42*6)</f>
        <v>80</v>
      </c>
      <c r="O93" s="44">
        <f t="shared" si="28"/>
        <v>0</v>
      </c>
      <c r="P93" s="456">
        <f t="shared" si="29"/>
        <v>0</v>
      </c>
      <c r="Q93" s="351" t="e">
        <f>IF(P93=0,G93,$Q$25)/('RMCV.PB'!C93*(B93/(P93+1)))*4200/$Q$26</f>
        <v>#DIV/0!</v>
      </c>
      <c r="R93" s="425" t="e">
        <f t="shared" si="30"/>
        <v>#DIV/0!</v>
      </c>
      <c r="S93" s="44">
        <f t="shared" si="22"/>
        <v>40</v>
      </c>
      <c r="T93" s="44" t="e">
        <f>(4200/$T$26)*$T$25/('RMCV.PB'!C93*S93)</f>
        <v>#DIV/0!</v>
      </c>
      <c r="U93" s="425" t="e">
        <f t="shared" si="31"/>
        <v>#DIV/0!</v>
      </c>
      <c r="V93" s="425">
        <f t="shared" si="32"/>
        <v>0</v>
      </c>
      <c r="W93" s="44">
        <f t="shared" si="33"/>
        <v>5.68</v>
      </c>
      <c r="X93" s="44" t="e">
        <f>T93+(W93/(B93*'RMCV.PB'!C93))*4200/FY</f>
        <v>#DIV/0!</v>
      </c>
      <c r="Y93" s="425" t="e">
        <f>IF('CG. MPB'!E94="CONCRETO","F/DISEÑO",IF(FY=4200,IF(X93&gt;0.002,"BIEN","MAL"),(IF(X93&gt;4200*0.002/FY,"BIEN","MAL"))))</f>
        <v>#DIV/0!</v>
      </c>
    </row>
    <row r="94" spans="1:25">
      <c r="A94" s="684">
        <f>'CG. MPB'!A95</f>
        <v>15</v>
      </c>
      <c r="B94" s="576">
        <f>'RMCV.PB'!B94</f>
        <v>0</v>
      </c>
      <c r="C94" s="579">
        <f t="shared" si="39"/>
        <v>-2</v>
      </c>
      <c r="D94" s="579">
        <f t="shared" si="40"/>
        <v>-4</v>
      </c>
      <c r="E94" s="576">
        <f>'RMCS.PB'!L94</f>
        <v>0</v>
      </c>
      <c r="F94" s="576">
        <f>'RMCV.PB'!O94*1.1/1.4</f>
        <v>0</v>
      </c>
      <c r="G94" s="580">
        <f>IF('CG. MPB'!D95="CONFINADO",0.71*4,0)</f>
        <v>2.84</v>
      </c>
      <c r="H94" s="576">
        <f>('RMCV.PB'!P94+(2*0.6*$G$18*G94))</f>
        <v>14313.599999999999</v>
      </c>
      <c r="I94" s="60">
        <f t="shared" si="41"/>
        <v>0.8</v>
      </c>
      <c r="J94" s="576">
        <f t="shared" si="42"/>
        <v>-38169.599999999999</v>
      </c>
      <c r="K94" s="918">
        <f>ABS('ELEM. MECA.'!H221)</f>
        <v>0</v>
      </c>
      <c r="L94" s="936">
        <f t="shared" si="43"/>
        <v>-38169.599999999999</v>
      </c>
      <c r="M94" s="685" t="str">
        <f>IF('CG. MPB'!E95="CONCRETO","F/DISEÑO",IF(K94&gt;L94,"NO PASA","PASA"))</f>
        <v>NO PASA</v>
      </c>
      <c r="N94" s="44" t="e">
        <f>IF('RMCV.PA'!C43*6&gt;80,80,'RMCV.PA'!C43*6)</f>
        <v>#VALUE!</v>
      </c>
      <c r="O94" s="44" t="e">
        <f t="shared" si="28"/>
        <v>#VALUE!</v>
      </c>
      <c r="P94" s="456" t="e">
        <f t="shared" si="29"/>
        <v>#VALUE!</v>
      </c>
      <c r="Q94" s="351" t="e">
        <f>IF(P94=0,G94,$Q$25)/('RMCV.PB'!C94*(B94/(P94+1)))*4200/$Q$26</f>
        <v>#VALUE!</v>
      </c>
      <c r="R94" s="425" t="e">
        <f t="shared" si="30"/>
        <v>#VALUE!</v>
      </c>
      <c r="S94" s="44">
        <f t="shared" si="22"/>
        <v>40</v>
      </c>
      <c r="T94" s="44" t="e">
        <f>(4200/$T$26)*$T$25/('RMCV.PB'!C94*S94)</f>
        <v>#DIV/0!</v>
      </c>
      <c r="U94" s="425" t="e">
        <f t="shared" si="31"/>
        <v>#DIV/0!</v>
      </c>
      <c r="V94" s="425">
        <f t="shared" si="32"/>
        <v>0</v>
      </c>
      <c r="W94" s="44" t="e">
        <f t="shared" si="33"/>
        <v>#VALUE!</v>
      </c>
      <c r="X94" s="44" t="e">
        <f>T94+(W94/(B94*'RMCV.PB'!C94))*4200/FY</f>
        <v>#DIV/0!</v>
      </c>
      <c r="Y94" s="425" t="e">
        <f>IF('CG. MPB'!E95="CONCRETO","F/DISEÑO",IF(FY=4200,IF(X94&gt;0.002,"BIEN","MAL"),(IF(X94&gt;4200*0.002/FY,"BIEN","MAL"))))</f>
        <v>#DIV/0!</v>
      </c>
    </row>
    <row r="95" spans="1:25">
      <c r="A95" s="684">
        <f>'CG. MPB'!A96</f>
        <v>16</v>
      </c>
      <c r="B95" s="576">
        <f>'RMCV.PB'!B95</f>
        <v>0</v>
      </c>
      <c r="C95" s="579">
        <f t="shared" si="39"/>
        <v>-2</v>
      </c>
      <c r="D95" s="579">
        <f t="shared" si="40"/>
        <v>-4</v>
      </c>
      <c r="E95" s="576">
        <f>'RMCS.PB'!L95</f>
        <v>0</v>
      </c>
      <c r="F95" s="576">
        <f>'RMCV.PB'!O95*1.1/1.4</f>
        <v>0</v>
      </c>
      <c r="G95" s="580">
        <f>IF('CG. MPB'!D96="CONFINADO",0.71*4,0)</f>
        <v>2.84</v>
      </c>
      <c r="H95" s="576">
        <f>('RMCV.PB'!P95+(2*0.6*$G$18*G95))</f>
        <v>14313.599999999999</v>
      </c>
      <c r="I95" s="60">
        <f t="shared" si="41"/>
        <v>0.8</v>
      </c>
      <c r="J95" s="576">
        <f t="shared" si="42"/>
        <v>-38169.599999999999</v>
      </c>
      <c r="K95" s="918">
        <f>ABS('ELEM. MECA.'!H222)</f>
        <v>0</v>
      </c>
      <c r="L95" s="936">
        <f t="shared" si="43"/>
        <v>-38169.599999999999</v>
      </c>
      <c r="M95" s="685" t="str">
        <f>IF('CG. MPB'!E96="CONCRETO","F/DISEÑO",IF(K95&gt;L95,"NO PASA","PASA"))</f>
        <v>NO PASA</v>
      </c>
      <c r="N95" s="44" t="e">
        <f>IF('RMCV.PA'!C44*6&gt;80,80,'RMCV.PA'!C44*6)</f>
        <v>#VALUE!</v>
      </c>
      <c r="O95" s="44" t="e">
        <f t="shared" si="28"/>
        <v>#VALUE!</v>
      </c>
      <c r="P95" s="456" t="e">
        <f t="shared" si="29"/>
        <v>#VALUE!</v>
      </c>
      <c r="Q95" s="351" t="e">
        <f>IF(P95=0,G95,$Q$25)/('RMCV.PB'!C95*(B95/(P95+1)))*4200/$Q$26</f>
        <v>#VALUE!</v>
      </c>
      <c r="R95" s="425" t="e">
        <f t="shared" si="30"/>
        <v>#VALUE!</v>
      </c>
      <c r="S95" s="44">
        <f t="shared" si="22"/>
        <v>40</v>
      </c>
      <c r="T95" s="44" t="e">
        <f>(4200/$T$26)*$T$25/('RMCV.PB'!C95*S95)</f>
        <v>#DIV/0!</v>
      </c>
      <c r="U95" s="425" t="e">
        <f t="shared" si="31"/>
        <v>#DIV/0!</v>
      </c>
      <c r="V95" s="425">
        <f t="shared" si="32"/>
        <v>0</v>
      </c>
      <c r="W95" s="44" t="e">
        <f t="shared" si="33"/>
        <v>#VALUE!</v>
      </c>
      <c r="X95" s="44" t="e">
        <f>T95+(W95/(B95*'RMCV.PB'!C95))*4200/FY</f>
        <v>#DIV/0!</v>
      </c>
      <c r="Y95" s="425" t="e">
        <f>IF('CG. MPB'!E96="CONCRETO","F/DISEÑO",IF(FY=4200,IF(X95&gt;0.002,"BIEN","MAL"),(IF(X95&gt;4200*0.002/FY,"BIEN","MAL"))))</f>
        <v>#DIV/0!</v>
      </c>
    </row>
    <row r="96" spans="1:25">
      <c r="A96" s="684">
        <f>'CG. MPB'!A97</f>
        <v>17</v>
      </c>
      <c r="B96" s="576">
        <f>'RMCV.PB'!B96</f>
        <v>0</v>
      </c>
      <c r="C96" s="579">
        <f t="shared" si="23"/>
        <v>-2</v>
      </c>
      <c r="D96" s="579">
        <f t="shared" si="24"/>
        <v>-4</v>
      </c>
      <c r="E96" s="576">
        <f>'RMCS.PB'!L96</f>
        <v>0</v>
      </c>
      <c r="F96" s="576">
        <f>'RMCV.PB'!O96*1.1/1.4</f>
        <v>0</v>
      </c>
      <c r="G96" s="580">
        <f>IF('CG. MPB'!D97="CONFINADO",0.71*4,0)</f>
        <v>2.84</v>
      </c>
      <c r="H96" s="576">
        <f>('RMCV.PB'!P96+(2*0.6*$G$18*G96))</f>
        <v>14313.599999999999</v>
      </c>
      <c r="I96" s="60">
        <f t="shared" si="25"/>
        <v>0.8</v>
      </c>
      <c r="J96" s="576">
        <f t="shared" si="26"/>
        <v>-38169.599999999999</v>
      </c>
      <c r="K96" s="918">
        <f>ABS('ELEM. MECA.'!H223)</f>
        <v>0</v>
      </c>
      <c r="L96" s="936">
        <f t="shared" si="27"/>
        <v>-38169.599999999999</v>
      </c>
      <c r="M96" s="685" t="str">
        <f>IF('CG. MPB'!E97="CONCRETO","F/DISEÑO",IF(K96&gt;L96,"NO PASA","PASA"))</f>
        <v>NO PASA</v>
      </c>
      <c r="N96" s="44">
        <f>IF('RMCV.PA'!C45*6&gt;80,80,'RMCV.PA'!C45*6)</f>
        <v>0</v>
      </c>
      <c r="O96" s="44" t="e">
        <f t="shared" si="28"/>
        <v>#DIV/0!</v>
      </c>
      <c r="P96" s="456" t="e">
        <f t="shared" si="29"/>
        <v>#DIV/0!</v>
      </c>
      <c r="Q96" s="351" t="e">
        <f>IF(P96=0,G96,$Q$25)/('RMCV.PB'!C96*(B96/(P96+1)))*4200/$Q$26</f>
        <v>#DIV/0!</v>
      </c>
      <c r="R96" s="425" t="e">
        <f t="shared" si="30"/>
        <v>#DIV/0!</v>
      </c>
      <c r="S96" s="44">
        <f t="shared" si="22"/>
        <v>40</v>
      </c>
      <c r="T96" s="44" t="e">
        <f>(4200/$T$26)*$T$25/('RMCV.PB'!C96*S96)</f>
        <v>#DIV/0!</v>
      </c>
      <c r="U96" s="425" t="e">
        <f t="shared" si="31"/>
        <v>#DIV/0!</v>
      </c>
      <c r="V96" s="425">
        <f t="shared" si="32"/>
        <v>0</v>
      </c>
      <c r="W96" s="44" t="e">
        <f t="shared" si="33"/>
        <v>#DIV/0!</v>
      </c>
      <c r="X96" s="44" t="e">
        <f>T96+(W96/(B96*'RMCV.PB'!C96))*4200/FY</f>
        <v>#DIV/0!</v>
      </c>
      <c r="Y96" s="425" t="e">
        <f>IF('CG. MPB'!E97="CONCRETO","F/DISEÑO",IF(FY=4200,IF(X96&gt;0.002,"BIEN","MAL"),(IF(X96&gt;4200*0.002/FY,"BIEN","MAL"))))</f>
        <v>#DIV/0!</v>
      </c>
    </row>
    <row r="97" spans="1:25">
      <c r="A97" s="684">
        <f>'CG. MPB'!A98</f>
        <v>18</v>
      </c>
      <c r="B97" s="576">
        <f>'RMCV.PB'!B97</f>
        <v>0</v>
      </c>
      <c r="C97" s="579">
        <f t="shared" si="23"/>
        <v>-2</v>
      </c>
      <c r="D97" s="579">
        <f t="shared" si="24"/>
        <v>-4</v>
      </c>
      <c r="E97" s="576">
        <f>'RMCS.PB'!L97</f>
        <v>0</v>
      </c>
      <c r="F97" s="576">
        <f>'RMCV.PB'!O97*1.1/1.4</f>
        <v>0</v>
      </c>
      <c r="G97" s="580">
        <f>IF('CG. MPB'!D98="CONFINADO",0.71*4,0)</f>
        <v>2.84</v>
      </c>
      <c r="H97" s="576">
        <f>('RMCV.PB'!P97+(2*0.6*$G$18*G97))</f>
        <v>14313.599999999999</v>
      </c>
      <c r="I97" s="60">
        <f t="shared" si="25"/>
        <v>0.8</v>
      </c>
      <c r="J97" s="576">
        <f t="shared" si="26"/>
        <v>-38169.599999999999</v>
      </c>
      <c r="K97" s="918">
        <f>ABS('ELEM. MECA.'!H224)</f>
        <v>0</v>
      </c>
      <c r="L97" s="936">
        <f t="shared" si="27"/>
        <v>-38169.599999999999</v>
      </c>
      <c r="M97" s="685" t="str">
        <f>IF('CG. MPB'!E98="CONCRETO","F/DISEÑO",IF(K97&gt;L97,"NO PASA","PASA"))</f>
        <v>NO PASA</v>
      </c>
      <c r="N97" s="44">
        <f>IF('RMCV.PA'!C46*6&gt;80,80,'RMCV.PA'!C46*6)</f>
        <v>0</v>
      </c>
      <c r="O97" s="44" t="e">
        <f t="shared" si="28"/>
        <v>#DIV/0!</v>
      </c>
      <c r="P97" s="456" t="e">
        <f t="shared" si="29"/>
        <v>#DIV/0!</v>
      </c>
      <c r="Q97" s="351" t="e">
        <f>IF(P97=0,G97,$Q$25)/('RMCV.PB'!C97*(B97/(P97+1)))*4200/$Q$26</f>
        <v>#DIV/0!</v>
      </c>
      <c r="R97" s="425" t="e">
        <f t="shared" si="30"/>
        <v>#DIV/0!</v>
      </c>
      <c r="S97" s="44">
        <f t="shared" si="22"/>
        <v>40</v>
      </c>
      <c r="T97" s="44" t="e">
        <f>(4200/$T$26)*$T$25/('RMCV.PB'!C97*S97)</f>
        <v>#DIV/0!</v>
      </c>
      <c r="U97" s="425" t="e">
        <f t="shared" si="31"/>
        <v>#DIV/0!</v>
      </c>
      <c r="V97" s="425">
        <f t="shared" si="32"/>
        <v>0</v>
      </c>
      <c r="W97" s="44" t="e">
        <f t="shared" si="33"/>
        <v>#DIV/0!</v>
      </c>
      <c r="X97" s="44" t="e">
        <f>T97+(W97/(B97*'RMCV.PB'!C97))*4200/FY</f>
        <v>#DIV/0!</v>
      </c>
      <c r="Y97" s="425" t="e">
        <f>IF('CG. MPB'!E98="CONCRETO","F/DISEÑO",IF(FY=4200,IF(X97&gt;0.002,"BIEN","MAL"),(IF(X97&gt;4200*0.002/FY,"BIEN","MAL"))))</f>
        <v>#DIV/0!</v>
      </c>
    </row>
    <row r="98" spans="1:25">
      <c r="A98" s="684">
        <f>'CG. MPB'!A99</f>
        <v>19</v>
      </c>
      <c r="B98" s="576">
        <f>'RMCV.PB'!B98</f>
        <v>0</v>
      </c>
      <c r="C98" s="579">
        <f t="shared" si="23"/>
        <v>-2</v>
      </c>
      <c r="D98" s="579">
        <f t="shared" si="24"/>
        <v>-4</v>
      </c>
      <c r="E98" s="576">
        <f>'RMCS.PB'!L98</f>
        <v>0</v>
      </c>
      <c r="F98" s="576">
        <f>'RMCV.PB'!O98*1.1/1.4</f>
        <v>0</v>
      </c>
      <c r="G98" s="580">
        <f>IF('CG. MPB'!D99="CONFINADO",0.71*4,0)</f>
        <v>2.84</v>
      </c>
      <c r="H98" s="576">
        <f>('RMCV.PB'!P98+(2*0.6*$G$18*G98))</f>
        <v>14313.599999999999</v>
      </c>
      <c r="I98" s="60">
        <f t="shared" si="25"/>
        <v>0.8</v>
      </c>
      <c r="J98" s="576">
        <f t="shared" si="26"/>
        <v>-38169.599999999999</v>
      </c>
      <c r="K98" s="918">
        <f>ABS('ELEM. MECA.'!H225)</f>
        <v>0</v>
      </c>
      <c r="L98" s="936">
        <f t="shared" si="27"/>
        <v>-38169.599999999999</v>
      </c>
      <c r="M98" s="685" t="str">
        <f>IF('CG. MPB'!E99="CONCRETO","F/DISEÑO",IF(K98&gt;L98,"NO PASA","PASA"))</f>
        <v>NO PASA</v>
      </c>
      <c r="N98" s="44">
        <f>IF('RMCV.PA'!C47*6&gt;80,80,'RMCV.PA'!C47*6)</f>
        <v>0</v>
      </c>
      <c r="O98" s="44" t="e">
        <f t="shared" si="28"/>
        <v>#DIV/0!</v>
      </c>
      <c r="P98" s="456" t="e">
        <f t="shared" si="29"/>
        <v>#DIV/0!</v>
      </c>
      <c r="Q98" s="351" t="e">
        <f>IF(P98=0,G98,$Q$25)/('RMCV.PB'!C98*(B98/(P98+1)))*4200/$Q$26</f>
        <v>#DIV/0!</v>
      </c>
      <c r="R98" s="425" t="e">
        <f t="shared" si="30"/>
        <v>#DIV/0!</v>
      </c>
      <c r="S98" s="44">
        <f t="shared" si="22"/>
        <v>40</v>
      </c>
      <c r="T98" s="44" t="e">
        <f>(4200/$T$26)*$T$25/('RMCV.PB'!C98*S98)</f>
        <v>#DIV/0!</v>
      </c>
      <c r="U98" s="425" t="e">
        <f t="shared" si="31"/>
        <v>#DIV/0!</v>
      </c>
      <c r="V98" s="425">
        <f t="shared" si="32"/>
        <v>0</v>
      </c>
      <c r="W98" s="44" t="e">
        <f t="shared" si="33"/>
        <v>#DIV/0!</v>
      </c>
      <c r="X98" s="44" t="e">
        <f>T98+(W98/(B98*'RMCV.PB'!C98))*4200/FY</f>
        <v>#DIV/0!</v>
      </c>
      <c r="Y98" s="425" t="e">
        <f>IF('CG. MPB'!E99="CONCRETO","F/DISEÑO",IF(FY=4200,IF(X98&gt;0.002,"BIEN","MAL"),(IF(X98&gt;4200*0.002/FY,"BIEN","MAL"))))</f>
        <v>#DIV/0!</v>
      </c>
    </row>
    <row r="99" spans="1:25">
      <c r="A99" s="684">
        <f>'CG. MPB'!A100</f>
        <v>20</v>
      </c>
      <c r="B99" s="576">
        <f>'RMCV.PB'!B99</f>
        <v>0</v>
      </c>
      <c r="C99" s="579">
        <f t="shared" si="23"/>
        <v>-2</v>
      </c>
      <c r="D99" s="579">
        <f t="shared" si="24"/>
        <v>-4</v>
      </c>
      <c r="E99" s="576">
        <f>'RMCS.PB'!L99</f>
        <v>0</v>
      </c>
      <c r="F99" s="576">
        <f>'RMCV.PB'!O99*1.1/1.4</f>
        <v>0</v>
      </c>
      <c r="G99" s="580">
        <f>IF('CG. MPB'!D100="CONFINADO",0.71*4,0)</f>
        <v>2.84</v>
      </c>
      <c r="H99" s="576">
        <f>('RMCV.PB'!P99+(2*0.6*$G$18*G99))</f>
        <v>14313.599999999999</v>
      </c>
      <c r="I99" s="60">
        <f t="shared" si="25"/>
        <v>0.8</v>
      </c>
      <c r="J99" s="576">
        <f t="shared" si="26"/>
        <v>-38169.599999999999</v>
      </c>
      <c r="K99" s="918">
        <f>ABS('ELEM. MECA.'!H226)</f>
        <v>0</v>
      </c>
      <c r="L99" s="936">
        <f t="shared" si="27"/>
        <v>-38169.599999999999</v>
      </c>
      <c r="M99" s="685" t="str">
        <f>IF('CG. MPB'!E100="CONCRETO","F/DISEÑO",IF(K99&gt;L99,"NO PASA","PASA"))</f>
        <v>NO PASA</v>
      </c>
      <c r="N99" s="44">
        <f>IF('RMCV.PA'!C48*6&gt;80,80,'RMCV.PA'!C48*6)</f>
        <v>0</v>
      </c>
      <c r="O99" s="44" t="e">
        <f t="shared" si="28"/>
        <v>#DIV/0!</v>
      </c>
      <c r="P99" s="456" t="e">
        <f t="shared" si="29"/>
        <v>#DIV/0!</v>
      </c>
      <c r="Q99" s="351" t="e">
        <f>IF(P99=0,G99,$Q$25)/('RMCV.PB'!C99*(B99/(P99+1)))*4200/$Q$26</f>
        <v>#DIV/0!</v>
      </c>
      <c r="R99" s="425" t="e">
        <f t="shared" si="30"/>
        <v>#DIV/0!</v>
      </c>
      <c r="S99" s="44">
        <f t="shared" si="22"/>
        <v>40</v>
      </c>
      <c r="T99" s="44" t="e">
        <f>(4200/$T$26)*$T$25/('RMCV.PB'!C99*S99)</f>
        <v>#DIV/0!</v>
      </c>
      <c r="U99" s="425" t="e">
        <f t="shared" si="31"/>
        <v>#DIV/0!</v>
      </c>
      <c r="V99" s="425">
        <f t="shared" si="32"/>
        <v>0</v>
      </c>
      <c r="W99" s="44" t="e">
        <f t="shared" si="33"/>
        <v>#DIV/0!</v>
      </c>
      <c r="X99" s="44" t="e">
        <f>T99+(W99/(B99*'RMCV.PB'!C99))*4200/FY</f>
        <v>#DIV/0!</v>
      </c>
      <c r="Y99" s="425" t="e">
        <f>IF('CG. MPB'!E100="CONCRETO","F/DISEÑO",IF(FY=4200,IF(X99&gt;0.002,"BIEN","MAL"),(IF(X99&gt;4200*0.002/FY,"BIEN","MAL"))))</f>
        <v>#DIV/0!</v>
      </c>
    </row>
    <row r="100" spans="1:25">
      <c r="A100" s="684">
        <f>'CG. MPB'!A101</f>
        <v>21</v>
      </c>
      <c r="B100" s="576">
        <f>'RMCV.PB'!B100</f>
        <v>0</v>
      </c>
      <c r="C100" s="579">
        <f t="shared" si="23"/>
        <v>-2</v>
      </c>
      <c r="D100" s="579">
        <f t="shared" si="24"/>
        <v>-4</v>
      </c>
      <c r="E100" s="576">
        <f>'RMCS.PB'!L100</f>
        <v>0</v>
      </c>
      <c r="F100" s="576">
        <f>'RMCV.PB'!O100*1.1/1.4</f>
        <v>0</v>
      </c>
      <c r="G100" s="580">
        <f>IF('CG. MPB'!D101="CONFINADO",0.71*4,0)</f>
        <v>2.84</v>
      </c>
      <c r="H100" s="576">
        <f>('RMCV.PB'!P100+(2*0.6*$G$18*G100))</f>
        <v>14313.599999999999</v>
      </c>
      <c r="I100" s="60">
        <f t="shared" si="25"/>
        <v>0.8</v>
      </c>
      <c r="J100" s="576">
        <f t="shared" si="26"/>
        <v>-38169.599999999999</v>
      </c>
      <c r="K100" s="918">
        <f>ABS('ELEM. MECA.'!H227)</f>
        <v>0</v>
      </c>
      <c r="L100" s="936">
        <f t="shared" si="27"/>
        <v>-38169.599999999999</v>
      </c>
      <c r="M100" s="685" t="str">
        <f>IF('CG. MPB'!E101="CONCRETO","F/DISEÑO",IF(K100&gt;L100,"NO PASA","PASA"))</f>
        <v>NO PASA</v>
      </c>
      <c r="N100" s="44">
        <f>IF('RMCV.PA'!C49*6&gt;80,80,'RMCV.PA'!C49*6)</f>
        <v>0</v>
      </c>
      <c r="O100" s="44" t="e">
        <f t="shared" si="28"/>
        <v>#DIV/0!</v>
      </c>
      <c r="P100" s="456" t="e">
        <f t="shared" si="29"/>
        <v>#DIV/0!</v>
      </c>
      <c r="Q100" s="351" t="e">
        <f>IF(P100=0,G100,$Q$25)/('RMCV.PB'!C100*(B100/(P100+1)))*4200/$Q$26</f>
        <v>#DIV/0!</v>
      </c>
      <c r="R100" s="425" t="e">
        <f t="shared" si="30"/>
        <v>#DIV/0!</v>
      </c>
      <c r="S100" s="44">
        <f t="shared" si="22"/>
        <v>40</v>
      </c>
      <c r="T100" s="44" t="e">
        <f>(4200/$T$26)*$T$25/('RMCV.PB'!C100*S100)</f>
        <v>#DIV/0!</v>
      </c>
      <c r="U100" s="425" t="e">
        <f t="shared" si="31"/>
        <v>#DIV/0!</v>
      </c>
      <c r="V100" s="425">
        <f t="shared" si="32"/>
        <v>0</v>
      </c>
      <c r="W100" s="44" t="e">
        <f t="shared" si="33"/>
        <v>#DIV/0!</v>
      </c>
      <c r="X100" s="44" t="e">
        <f>T100+(W100/(B100*'RMCV.PB'!C100))*4200/FY</f>
        <v>#DIV/0!</v>
      </c>
      <c r="Y100" s="425" t="e">
        <f>IF('CG. MPB'!E101="CONCRETO","F/DISEÑO",IF(FY=4200,IF(X100&gt;0.002,"BIEN","MAL"),(IF(X100&gt;4200*0.002/FY,"BIEN","MAL"))))</f>
        <v>#DIV/0!</v>
      </c>
    </row>
    <row r="101" spans="1:25">
      <c r="A101" s="684">
        <f>'CG. MPB'!A102</f>
        <v>22</v>
      </c>
      <c r="B101" s="576">
        <f>'RMCV.PB'!B101</f>
        <v>0</v>
      </c>
      <c r="C101" s="579">
        <f t="shared" si="23"/>
        <v>-2</v>
      </c>
      <c r="D101" s="579">
        <f t="shared" si="24"/>
        <v>-4</v>
      </c>
      <c r="E101" s="576">
        <f>'RMCS.PB'!L101</f>
        <v>0</v>
      </c>
      <c r="F101" s="576">
        <f>'RMCV.PB'!O101*1.1/1.4</f>
        <v>0</v>
      </c>
      <c r="G101" s="580">
        <f>IF('CG. MPB'!D102="CONFINADO",0.71*4,0)</f>
        <v>2.84</v>
      </c>
      <c r="H101" s="576">
        <f>('RMCV.PB'!P101+(2*0.6*$G$18*G101))</f>
        <v>14313.599999999999</v>
      </c>
      <c r="I101" s="60">
        <f t="shared" si="25"/>
        <v>0.8</v>
      </c>
      <c r="J101" s="576">
        <f t="shared" si="26"/>
        <v>-38169.599999999999</v>
      </c>
      <c r="K101" s="918">
        <f>ABS('ELEM. MECA.'!H228)</f>
        <v>0</v>
      </c>
      <c r="L101" s="936">
        <f t="shared" si="27"/>
        <v>-38169.599999999999</v>
      </c>
      <c r="M101" s="685" t="str">
        <f>IF('CG. MPB'!E102="CONCRETO","F/DISEÑO",IF(K101&gt;L101,"NO PASA","PASA"))</f>
        <v>NO PASA</v>
      </c>
      <c r="N101" s="44">
        <f>IF('RMCV.PA'!C61*6&gt;80,80,'RMCV.PA'!C61*6)</f>
        <v>0</v>
      </c>
      <c r="O101" s="44" t="e">
        <f t="shared" si="28"/>
        <v>#DIV/0!</v>
      </c>
      <c r="P101" s="456" t="e">
        <f t="shared" si="29"/>
        <v>#DIV/0!</v>
      </c>
      <c r="Q101" s="351" t="e">
        <f>IF(P101=0,G101,$Q$25)/('RMCV.PB'!C101*(B101/(P101+1)))*4200/$Q$26</f>
        <v>#DIV/0!</v>
      </c>
      <c r="R101" s="425" t="e">
        <f t="shared" si="30"/>
        <v>#DIV/0!</v>
      </c>
      <c r="S101" s="44">
        <f t="shared" si="22"/>
        <v>40</v>
      </c>
      <c r="T101" s="44" t="e">
        <f>(4200/$T$26)*$T$25/('RMCV.PB'!C101*S101)</f>
        <v>#DIV/0!</v>
      </c>
      <c r="U101" s="425" t="e">
        <f t="shared" si="31"/>
        <v>#DIV/0!</v>
      </c>
      <c r="V101" s="425">
        <f t="shared" si="32"/>
        <v>0</v>
      </c>
      <c r="W101" s="44" t="e">
        <f t="shared" si="33"/>
        <v>#DIV/0!</v>
      </c>
      <c r="X101" s="44" t="e">
        <f>T101+(W101/(B101*'RMCV.PB'!C101))*4200/FY</f>
        <v>#DIV/0!</v>
      </c>
      <c r="Y101" s="425" t="e">
        <f>IF('CG. MPB'!E102="CONCRETO","F/DISEÑO",IF(FY=4200,IF(X101&gt;0.002,"BIEN","MAL"),(IF(X101&gt;4200*0.002/FY,"BIEN","MAL"))))</f>
        <v>#DIV/0!</v>
      </c>
    </row>
    <row r="102" spans="1:25">
      <c r="A102" s="684">
        <f>'CG. MPB'!A103</f>
        <v>23</v>
      </c>
      <c r="B102" s="576">
        <f>'RMCV.PB'!B102</f>
        <v>0</v>
      </c>
      <c r="C102" s="579">
        <f t="shared" si="23"/>
        <v>-2</v>
      </c>
      <c r="D102" s="579">
        <f t="shared" si="24"/>
        <v>-4</v>
      </c>
      <c r="E102" s="576">
        <f>'RMCS.PB'!L102</f>
        <v>0</v>
      </c>
      <c r="F102" s="576">
        <f>'RMCV.PB'!O102*1.1/1.4</f>
        <v>0</v>
      </c>
      <c r="G102" s="580">
        <f>IF('CG. MPB'!D103="CONFINADO",0.71*4,0)</f>
        <v>2.84</v>
      </c>
      <c r="H102" s="576">
        <f>('RMCV.PB'!P102+(2*0.6*$G$18*G102))</f>
        <v>14313.599999999999</v>
      </c>
      <c r="I102" s="60">
        <f t="shared" si="25"/>
        <v>0.8</v>
      </c>
      <c r="J102" s="576">
        <f t="shared" si="26"/>
        <v>-38169.599999999999</v>
      </c>
      <c r="K102" s="918">
        <f>ABS('ELEM. MECA.'!H229)</f>
        <v>0</v>
      </c>
      <c r="L102" s="936">
        <f t="shared" si="27"/>
        <v>-38169.599999999999</v>
      </c>
      <c r="M102" s="685" t="str">
        <f>IF('CG. MPB'!E103="CONCRETO","F/DISEÑO",IF(K102&gt;L102,"NO PASA","PASA"))</f>
        <v>NO PASA</v>
      </c>
      <c r="N102" s="44">
        <f>IF('RMCV.PA'!C62*6&gt;80,80,'RMCV.PA'!C62*6)</f>
        <v>0</v>
      </c>
      <c r="O102" s="44" t="e">
        <f t="shared" si="28"/>
        <v>#DIV/0!</v>
      </c>
      <c r="P102" s="456" t="e">
        <f t="shared" si="29"/>
        <v>#DIV/0!</v>
      </c>
      <c r="Q102" s="351" t="e">
        <f>IF(P102=0,G102,$Q$25)/('RMCV.PB'!C102*(B102/(P102+1)))*4200/$Q$26</f>
        <v>#DIV/0!</v>
      </c>
      <c r="R102" s="425" t="e">
        <f t="shared" si="30"/>
        <v>#DIV/0!</v>
      </c>
      <c r="S102" s="44">
        <f t="shared" si="22"/>
        <v>40</v>
      </c>
      <c r="T102" s="44" t="e">
        <f>(4200/$T$26)*$T$25/('RMCV.PB'!C102*S102)</f>
        <v>#DIV/0!</v>
      </c>
      <c r="U102" s="425" t="e">
        <f t="shared" si="31"/>
        <v>#DIV/0!</v>
      </c>
      <c r="V102" s="425">
        <f t="shared" si="32"/>
        <v>0</v>
      </c>
      <c r="W102" s="44" t="e">
        <f t="shared" si="33"/>
        <v>#DIV/0!</v>
      </c>
      <c r="X102" s="44" t="e">
        <f>T102+(W102/(B102*'RMCV.PB'!C102))*4200/FY</f>
        <v>#DIV/0!</v>
      </c>
      <c r="Y102" s="425" t="e">
        <f>IF('CG. MPB'!E103="CONCRETO","F/DISEÑO",IF(FY=4200,IF(X102&gt;0.002,"BIEN","MAL"),(IF(X102&gt;4200*0.002/FY,"BIEN","MAL"))))</f>
        <v>#DIV/0!</v>
      </c>
    </row>
    <row r="103" spans="1:25">
      <c r="A103" s="684">
        <f>'CG. MPB'!A104</f>
        <v>24</v>
      </c>
      <c r="B103" s="576">
        <f>'RMCV.PB'!B103</f>
        <v>0</v>
      </c>
      <c r="C103" s="579">
        <f t="shared" si="23"/>
        <v>-2</v>
      </c>
      <c r="D103" s="579">
        <f t="shared" si="24"/>
        <v>-4</v>
      </c>
      <c r="E103" s="576">
        <f>'RMCS.PB'!L103</f>
        <v>0</v>
      </c>
      <c r="F103" s="576">
        <f>'RMCV.PB'!O103*1.1/1.4</f>
        <v>0</v>
      </c>
      <c r="G103" s="580">
        <f>IF('CG. MPB'!D104="CONFINADO",0.71*4,0)</f>
        <v>2.84</v>
      </c>
      <c r="H103" s="576">
        <f>('RMCV.PB'!P103+(2*0.6*$G$18*G103))</f>
        <v>14313.599999999999</v>
      </c>
      <c r="I103" s="60">
        <f t="shared" si="25"/>
        <v>0.8</v>
      </c>
      <c r="J103" s="576">
        <f t="shared" si="26"/>
        <v>-38169.599999999999</v>
      </c>
      <c r="K103" s="918">
        <f>ABS('ELEM. MECA.'!H230)</f>
        <v>0</v>
      </c>
      <c r="L103" s="936">
        <f t="shared" si="27"/>
        <v>-38169.599999999999</v>
      </c>
      <c r="M103" s="685" t="str">
        <f>IF('CG. MPB'!E104="CONCRETO","F/DISEÑO",IF(K103&gt;L103,"NO PASA","PASA"))</f>
        <v>NO PASA</v>
      </c>
      <c r="N103" s="44">
        <f>IF('RMCV.PA'!C63*6&gt;80,80,'RMCV.PA'!C63*6)</f>
        <v>0</v>
      </c>
      <c r="O103" s="44" t="e">
        <f t="shared" si="28"/>
        <v>#DIV/0!</v>
      </c>
      <c r="P103" s="456" t="e">
        <f t="shared" si="29"/>
        <v>#DIV/0!</v>
      </c>
      <c r="Q103" s="351" t="e">
        <f>IF(P103=0,G103,$Q$25)/('RMCV.PB'!C103*(B103/(P103+1)))*4200/$Q$26</f>
        <v>#DIV/0!</v>
      </c>
      <c r="R103" s="425" t="e">
        <f t="shared" si="30"/>
        <v>#DIV/0!</v>
      </c>
      <c r="S103" s="44">
        <f t="shared" si="22"/>
        <v>40</v>
      </c>
      <c r="T103" s="44" t="e">
        <f>(4200/$T$26)*$T$25/('RMCV.PB'!C103*S103)</f>
        <v>#DIV/0!</v>
      </c>
      <c r="U103" s="425" t="e">
        <f t="shared" si="31"/>
        <v>#DIV/0!</v>
      </c>
      <c r="V103" s="425">
        <f t="shared" si="32"/>
        <v>0</v>
      </c>
      <c r="W103" s="44" t="e">
        <f t="shared" si="33"/>
        <v>#DIV/0!</v>
      </c>
      <c r="X103" s="44" t="e">
        <f>T103+(W103/(B103*'RMCV.PB'!C103))*4200/FY</f>
        <v>#DIV/0!</v>
      </c>
      <c r="Y103" s="425" t="e">
        <f>IF('CG. MPB'!E104="CONCRETO","F/DISEÑO",IF(FY=4200,IF(X103&gt;0.002,"BIEN","MAL"),(IF(X103&gt;4200*0.002/FY,"BIEN","MAL"))))</f>
        <v>#DIV/0!</v>
      </c>
    </row>
    <row r="104" spans="1:25">
      <c r="A104" s="684">
        <f>'CG. MPB'!A105</f>
        <v>25</v>
      </c>
      <c r="B104" s="576">
        <f>'RMCV.PB'!B104</f>
        <v>0</v>
      </c>
      <c r="C104" s="579">
        <f t="shared" si="23"/>
        <v>-2</v>
      </c>
      <c r="D104" s="579">
        <f t="shared" si="24"/>
        <v>-4</v>
      </c>
      <c r="E104" s="576">
        <f>'RMCS.PB'!L104</f>
        <v>0</v>
      </c>
      <c r="F104" s="576">
        <f>'RMCV.PB'!O104*1.1/1.4</f>
        <v>0</v>
      </c>
      <c r="G104" s="580">
        <f>IF('CG. MPB'!D105="CONFINADO",0.71*4,0)</f>
        <v>2.84</v>
      </c>
      <c r="H104" s="576">
        <f>('RMCV.PB'!P104+(2*0.6*$G$18*G104))</f>
        <v>14313.599999999999</v>
      </c>
      <c r="I104" s="60">
        <f t="shared" si="25"/>
        <v>0.8</v>
      </c>
      <c r="J104" s="576">
        <f t="shared" si="26"/>
        <v>-38169.599999999999</v>
      </c>
      <c r="K104" s="918">
        <f>ABS('ELEM. MECA.'!H231)</f>
        <v>0</v>
      </c>
      <c r="L104" s="936">
        <f t="shared" si="27"/>
        <v>-38169.599999999999</v>
      </c>
      <c r="M104" s="685" t="str">
        <f>IF('CG. MPB'!E105="CONCRETO","F/DISEÑO",IF(K104&gt;L104,"NO PASA","PASA"))</f>
        <v>NO PASA</v>
      </c>
      <c r="N104" s="44">
        <f>IF('RMCV.PA'!C64*6&gt;80,80,'RMCV.PA'!C64*6)</f>
        <v>0</v>
      </c>
      <c r="O104" s="44" t="e">
        <f t="shared" si="28"/>
        <v>#DIV/0!</v>
      </c>
      <c r="P104" s="456" t="e">
        <f t="shared" si="29"/>
        <v>#DIV/0!</v>
      </c>
      <c r="Q104" s="351" t="e">
        <f>IF(P104=0,G104,$Q$25)/('RMCV.PB'!C104*(B104/(P104+1)))*4200/$Q$26</f>
        <v>#DIV/0!</v>
      </c>
      <c r="R104" s="425" t="e">
        <f t="shared" si="30"/>
        <v>#DIV/0!</v>
      </c>
      <c r="S104" s="44">
        <f t="shared" si="22"/>
        <v>40</v>
      </c>
      <c r="T104" s="44" t="e">
        <f>(4200/$T$26)*$T$25/('RMCV.PB'!C104*S104)</f>
        <v>#DIV/0!</v>
      </c>
      <c r="U104" s="425" t="e">
        <f t="shared" si="31"/>
        <v>#DIV/0!</v>
      </c>
      <c r="V104" s="425">
        <f t="shared" si="32"/>
        <v>0</v>
      </c>
      <c r="W104" s="44" t="e">
        <f t="shared" si="33"/>
        <v>#DIV/0!</v>
      </c>
      <c r="X104" s="44" t="e">
        <f>T104+(W104/(B104*'RMCV.PB'!C104))*4200/FY</f>
        <v>#DIV/0!</v>
      </c>
      <c r="Y104" s="425" t="e">
        <f>IF('CG. MPB'!E105="CONCRETO","F/DISEÑO",IF(FY=4200,IF(X104&gt;0.002,"BIEN","MAL"),(IF(X104&gt;4200*0.002/FY,"BIEN","MAL"))))</f>
        <v>#DIV/0!</v>
      </c>
    </row>
    <row r="105" spans="1:25">
      <c r="A105" s="684">
        <f>'CG. MPB'!A106</f>
        <v>26</v>
      </c>
      <c r="B105" s="576">
        <f>'RMCV.PB'!B105</f>
        <v>0</v>
      </c>
      <c r="C105" s="579">
        <f t="shared" si="23"/>
        <v>-2</v>
      </c>
      <c r="D105" s="579">
        <f t="shared" si="24"/>
        <v>-4</v>
      </c>
      <c r="E105" s="576">
        <f>'RMCS.PB'!L105</f>
        <v>0</v>
      </c>
      <c r="F105" s="576">
        <f>'RMCV.PB'!O105*1.1/1.4</f>
        <v>0</v>
      </c>
      <c r="G105" s="580">
        <f>IF('CG. MPB'!D106="CONFINADO",0.71*4,0)</f>
        <v>2.84</v>
      </c>
      <c r="H105" s="576">
        <f>('RMCV.PB'!P105+(2*0.6*$G$18*G105))</f>
        <v>14313.599999999999</v>
      </c>
      <c r="I105" s="60">
        <f t="shared" si="25"/>
        <v>0.8</v>
      </c>
      <c r="J105" s="576">
        <f t="shared" si="26"/>
        <v>-38169.599999999999</v>
      </c>
      <c r="K105" s="918">
        <f>ABS('ELEM. MECA.'!H232)</f>
        <v>0</v>
      </c>
      <c r="L105" s="936">
        <f t="shared" si="27"/>
        <v>-38169.599999999999</v>
      </c>
      <c r="M105" s="685" t="str">
        <f>IF('CG. MPB'!E106="CONCRETO","F/DISEÑO",IF(K105&gt;L105,"NO PASA","PASA"))</f>
        <v>NO PASA</v>
      </c>
      <c r="N105" s="44">
        <f>IF('RMCV.PA'!C65*6&gt;80,80,'RMCV.PA'!C65*6)</f>
        <v>0</v>
      </c>
      <c r="O105" s="44" t="e">
        <f t="shared" si="28"/>
        <v>#DIV/0!</v>
      </c>
      <c r="P105" s="456" t="e">
        <f t="shared" si="29"/>
        <v>#DIV/0!</v>
      </c>
      <c r="Q105" s="351" t="e">
        <f>IF(P105=0,G105,$Q$25)/('RMCV.PB'!C105*(B105/(P105+1)))*4200/$Q$26</f>
        <v>#DIV/0!</v>
      </c>
      <c r="R105" s="425" t="e">
        <f t="shared" si="30"/>
        <v>#DIV/0!</v>
      </c>
      <c r="S105" s="44">
        <f t="shared" si="22"/>
        <v>40</v>
      </c>
      <c r="T105" s="44" t="e">
        <f>(4200/$T$26)*$T$25/('RMCV.PB'!C105*S105)</f>
        <v>#DIV/0!</v>
      </c>
      <c r="U105" s="425" t="e">
        <f t="shared" si="31"/>
        <v>#DIV/0!</v>
      </c>
      <c r="V105" s="425">
        <f t="shared" si="32"/>
        <v>0</v>
      </c>
      <c r="W105" s="44" t="e">
        <f t="shared" si="33"/>
        <v>#DIV/0!</v>
      </c>
      <c r="X105" s="44" t="e">
        <f>T105+(W105/(B105*'RMCV.PB'!C105))*4200/FY</f>
        <v>#DIV/0!</v>
      </c>
      <c r="Y105" s="425" t="e">
        <f>IF('CG. MPB'!E106="CONCRETO","F/DISEÑO",IF(FY=4200,IF(X105&gt;0.002,"BIEN","MAL"),(IF(X105&gt;4200*0.002/FY,"BIEN","MAL"))))</f>
        <v>#DIV/0!</v>
      </c>
    </row>
    <row r="106" spans="1:25">
      <c r="A106" s="684">
        <f>'CG. MPB'!A107</f>
        <v>27</v>
      </c>
      <c r="B106" s="576">
        <f>'RMCV.PB'!B106</f>
        <v>0</v>
      </c>
      <c r="C106" s="579">
        <f t="shared" si="23"/>
        <v>-2</v>
      </c>
      <c r="D106" s="579">
        <f t="shared" si="24"/>
        <v>-4</v>
      </c>
      <c r="E106" s="576">
        <f>'RMCS.PB'!L106</f>
        <v>0</v>
      </c>
      <c r="F106" s="576">
        <f>'RMCV.PB'!O106*1.1/1.4</f>
        <v>0</v>
      </c>
      <c r="G106" s="580">
        <f>IF('CG. MPB'!D107="CONFINADO",0.71*4,0)</f>
        <v>2.84</v>
      </c>
      <c r="H106" s="576">
        <f>('RMCV.PB'!P106+(2*0.6*$G$18*G106))</f>
        <v>14313.599999999999</v>
      </c>
      <c r="I106" s="60">
        <f t="shared" si="25"/>
        <v>0.8</v>
      </c>
      <c r="J106" s="576">
        <f t="shared" si="26"/>
        <v>-38169.599999999999</v>
      </c>
      <c r="K106" s="918">
        <f>ABS('ELEM. MECA.'!H233)</f>
        <v>0</v>
      </c>
      <c r="L106" s="936">
        <f t="shared" si="27"/>
        <v>-38169.599999999999</v>
      </c>
      <c r="M106" s="685" t="str">
        <f>IF('CG. MPB'!E107="CONCRETO","F/DISEÑO",IF(K106&gt;L106,"NO PASA","PASA"))</f>
        <v>NO PASA</v>
      </c>
      <c r="N106" s="44">
        <f>IF('RMCV.PA'!C66*6&gt;80,80,'RMCV.PA'!C66*6)</f>
        <v>0</v>
      </c>
      <c r="O106" s="44" t="e">
        <f t="shared" si="28"/>
        <v>#DIV/0!</v>
      </c>
      <c r="P106" s="456" t="e">
        <f t="shared" si="29"/>
        <v>#DIV/0!</v>
      </c>
      <c r="Q106" s="351" t="e">
        <f>IF(P106=0,G106,$Q$25)/('RMCV.PB'!C106*(B106/(P106+1)))*4200/$Q$26</f>
        <v>#DIV/0!</v>
      </c>
      <c r="R106" s="425" t="e">
        <f t="shared" si="30"/>
        <v>#DIV/0!</v>
      </c>
      <c r="S106" s="44">
        <f t="shared" si="22"/>
        <v>40</v>
      </c>
      <c r="T106" s="44" t="e">
        <f>(4200/$T$26)*$T$25/('RMCV.PB'!C106*S106)</f>
        <v>#DIV/0!</v>
      </c>
      <c r="U106" s="425" t="e">
        <f t="shared" si="31"/>
        <v>#DIV/0!</v>
      </c>
      <c r="V106" s="425">
        <f t="shared" si="32"/>
        <v>0</v>
      </c>
      <c r="W106" s="44" t="e">
        <f t="shared" si="33"/>
        <v>#DIV/0!</v>
      </c>
      <c r="X106" s="44" t="e">
        <f>T106+(W106/(B106*'RMCV.PB'!C106))*4200/FY</f>
        <v>#DIV/0!</v>
      </c>
      <c r="Y106" s="425" t="e">
        <f>IF('CG. MPB'!E107="CONCRETO","F/DISEÑO",IF(FY=4200,IF(X106&gt;0.002,"BIEN","MAL"),(IF(X106&gt;4200*0.002/FY,"BIEN","MAL"))))</f>
        <v>#DIV/0!</v>
      </c>
    </row>
    <row r="107" spans="1:25">
      <c r="A107" s="684">
        <f>'CG. MPB'!A108</f>
        <v>28</v>
      </c>
      <c r="B107" s="576">
        <f>'RMCV.PB'!B107</f>
        <v>0</v>
      </c>
      <c r="C107" s="579">
        <f t="shared" si="23"/>
        <v>-2</v>
      </c>
      <c r="D107" s="579">
        <f t="shared" si="24"/>
        <v>-4</v>
      </c>
      <c r="E107" s="576">
        <f>'RMCS.PB'!L107</f>
        <v>0</v>
      </c>
      <c r="F107" s="576">
        <f>'RMCV.PB'!O107*1.1/1.4</f>
        <v>0</v>
      </c>
      <c r="G107" s="580">
        <f>IF('CG. MPB'!D108="CONFINADO",0.71*4,0)</f>
        <v>2.84</v>
      </c>
      <c r="H107" s="576">
        <f>('RMCV.PB'!P107+(2*0.6*$G$18*G107))</f>
        <v>14313.599999999999</v>
      </c>
      <c r="I107" s="60">
        <f t="shared" si="25"/>
        <v>0.8</v>
      </c>
      <c r="J107" s="576">
        <f t="shared" si="26"/>
        <v>-38169.599999999999</v>
      </c>
      <c r="K107" s="918">
        <f>ABS('ELEM. MECA.'!H234)</f>
        <v>0</v>
      </c>
      <c r="L107" s="936">
        <f t="shared" si="27"/>
        <v>-38169.599999999999</v>
      </c>
      <c r="M107" s="685" t="str">
        <f>IF('CG. MPB'!E108="CONCRETO","F/DISEÑO",IF(K107&gt;L107,"NO PASA","PASA"))</f>
        <v>NO PASA</v>
      </c>
      <c r="N107" s="44">
        <f>IF('RMCV.PA'!C67*6&gt;80,80,'RMCV.PA'!C67*6)</f>
        <v>0</v>
      </c>
      <c r="O107" s="44" t="e">
        <f t="shared" si="28"/>
        <v>#DIV/0!</v>
      </c>
      <c r="P107" s="456" t="e">
        <f t="shared" si="29"/>
        <v>#DIV/0!</v>
      </c>
      <c r="Q107" s="351" t="e">
        <f>IF(P107=0,G107,$Q$25)/('RMCV.PB'!C107*(B107/(P107+1)))*4200/$Q$26</f>
        <v>#DIV/0!</v>
      </c>
      <c r="R107" s="425" t="e">
        <f t="shared" si="30"/>
        <v>#DIV/0!</v>
      </c>
      <c r="S107" s="44">
        <f t="shared" si="22"/>
        <v>40</v>
      </c>
      <c r="T107" s="44" t="e">
        <f>(4200/$T$26)*$T$25/('RMCV.PB'!C107*S107)</f>
        <v>#DIV/0!</v>
      </c>
      <c r="U107" s="425" t="e">
        <f t="shared" si="31"/>
        <v>#DIV/0!</v>
      </c>
      <c r="V107" s="425">
        <f t="shared" si="32"/>
        <v>0</v>
      </c>
      <c r="W107" s="44" t="e">
        <f t="shared" si="33"/>
        <v>#DIV/0!</v>
      </c>
      <c r="X107" s="44" t="e">
        <f>T107+(W107/(B107*'RMCV.PB'!C107))*4200/FY</f>
        <v>#DIV/0!</v>
      </c>
      <c r="Y107" s="425" t="e">
        <f>IF('CG. MPB'!E108="CONCRETO","F/DISEÑO",IF(FY=4200,IF(X107&gt;0.002,"BIEN","MAL"),(IF(X107&gt;4200*0.002/FY,"BIEN","MAL"))))</f>
        <v>#DIV/0!</v>
      </c>
    </row>
    <row r="108" spans="1:25">
      <c r="A108" s="684">
        <f>'CG. MPB'!A109</f>
        <v>29</v>
      </c>
      <c r="B108" s="576">
        <f>'RMCV.PB'!B108</f>
        <v>0</v>
      </c>
      <c r="C108" s="579">
        <f t="shared" si="23"/>
        <v>-2</v>
      </c>
      <c r="D108" s="579">
        <f t="shared" si="24"/>
        <v>-4</v>
      </c>
      <c r="E108" s="576">
        <f>'RMCS.PB'!L108</f>
        <v>0</v>
      </c>
      <c r="F108" s="576">
        <f>'RMCV.PB'!O108*1.1/1.4</f>
        <v>0</v>
      </c>
      <c r="G108" s="580">
        <f>IF('CG. MPB'!D109="CONFINADO",0.71*4,0)</f>
        <v>2.84</v>
      </c>
      <c r="H108" s="576">
        <f>('RMCV.PB'!P108+(2*0.6*$G$18*G108))</f>
        <v>14313.599999999999</v>
      </c>
      <c r="I108" s="60">
        <f t="shared" si="25"/>
        <v>0.8</v>
      </c>
      <c r="J108" s="576">
        <f t="shared" si="26"/>
        <v>-38169.599999999999</v>
      </c>
      <c r="K108" s="918">
        <f>ABS('ELEM. MECA.'!H235)</f>
        <v>0</v>
      </c>
      <c r="L108" s="936">
        <f t="shared" si="27"/>
        <v>-38169.599999999999</v>
      </c>
      <c r="M108" s="685" t="str">
        <f>IF('CG. MPB'!E109="CONCRETO","F/DISEÑO",IF(K108&gt;L108,"NO PASA","PASA"))</f>
        <v>NO PASA</v>
      </c>
      <c r="N108" s="44">
        <f>IF('RMCV.PA'!C68*6&gt;80,80,'RMCV.PA'!C68*6)</f>
        <v>0</v>
      </c>
      <c r="O108" s="44" t="e">
        <f t="shared" si="28"/>
        <v>#DIV/0!</v>
      </c>
      <c r="P108" s="456" t="e">
        <f t="shared" si="29"/>
        <v>#DIV/0!</v>
      </c>
      <c r="Q108" s="351" t="e">
        <f>IF(P108=0,G108,$Q$25)/('RMCV.PB'!C108*(B108/(P108+1)))*4200/$Q$26</f>
        <v>#DIV/0!</v>
      </c>
      <c r="R108" s="425" t="e">
        <f t="shared" si="30"/>
        <v>#DIV/0!</v>
      </c>
      <c r="S108" s="44">
        <f t="shared" si="22"/>
        <v>40</v>
      </c>
      <c r="T108" s="44" t="e">
        <f>(4200/$T$26)*$T$25/('RMCV.PB'!C108*S108)</f>
        <v>#DIV/0!</v>
      </c>
      <c r="U108" s="425" t="e">
        <f t="shared" si="31"/>
        <v>#DIV/0!</v>
      </c>
      <c r="V108" s="425">
        <f t="shared" si="32"/>
        <v>0</v>
      </c>
      <c r="W108" s="44" t="e">
        <f t="shared" si="33"/>
        <v>#DIV/0!</v>
      </c>
      <c r="X108" s="44" t="e">
        <f>T108+(W108/(B108*'RMCV.PB'!C108))*4200/FY</f>
        <v>#DIV/0!</v>
      </c>
      <c r="Y108" s="425" t="e">
        <f>IF('CG. MPB'!E109="CONCRETO","F/DISEÑO",IF(FY=4200,IF(X108&gt;0.002,"BIEN","MAL"),(IF(X108&gt;4200*0.002/FY,"BIEN","MAL"))))</f>
        <v>#DIV/0!</v>
      </c>
    </row>
    <row r="109" spans="1:25">
      <c r="A109" s="684">
        <f>'CG. MPB'!A110</f>
        <v>30</v>
      </c>
      <c r="B109" s="576">
        <f>'RMCV.PB'!B109</f>
        <v>0</v>
      </c>
      <c r="C109" s="579">
        <f t="shared" si="23"/>
        <v>-2</v>
      </c>
      <c r="D109" s="579">
        <f t="shared" si="24"/>
        <v>-4</v>
      </c>
      <c r="E109" s="576">
        <f>'RMCS.PB'!L109</f>
        <v>0</v>
      </c>
      <c r="F109" s="576">
        <f>'RMCV.PB'!O109*1.1/1.4</f>
        <v>0</v>
      </c>
      <c r="G109" s="580">
        <f>IF('CG. MPB'!D110="CONFINADO",0.71*4,0)</f>
        <v>2.84</v>
      </c>
      <c r="H109" s="576">
        <f>('RMCV.PB'!P109+(2*0.6*$G$18*G109))</f>
        <v>14313.599999999999</v>
      </c>
      <c r="I109" s="60">
        <f t="shared" si="25"/>
        <v>0.8</v>
      </c>
      <c r="J109" s="576">
        <f t="shared" si="26"/>
        <v>-38169.599999999999</v>
      </c>
      <c r="K109" s="918">
        <f>ABS('ELEM. MECA.'!H236)</f>
        <v>0</v>
      </c>
      <c r="L109" s="936">
        <f t="shared" si="27"/>
        <v>-38169.599999999999</v>
      </c>
      <c r="M109" s="685" t="str">
        <f>IF('CG. MPB'!E110="CONCRETO","F/DISEÑO",IF(K109&gt;L109,"NO PASA","PASA"))</f>
        <v>NO PASA</v>
      </c>
      <c r="N109" s="44">
        <f>IF('RMCV.PA'!C69*6&gt;80,80,'RMCV.PA'!C69*6)</f>
        <v>0</v>
      </c>
      <c r="O109" s="44" t="e">
        <f t="shared" si="28"/>
        <v>#DIV/0!</v>
      </c>
      <c r="P109" s="456" t="e">
        <f t="shared" si="29"/>
        <v>#DIV/0!</v>
      </c>
      <c r="Q109" s="351" t="e">
        <f>IF(P109=0,G109,$Q$25)/('RMCV.PB'!C109*(B109/(P109+1)))*4200/$Q$26</f>
        <v>#DIV/0!</v>
      </c>
      <c r="R109" s="425" t="e">
        <f t="shared" si="30"/>
        <v>#DIV/0!</v>
      </c>
      <c r="S109" s="44">
        <f t="shared" si="22"/>
        <v>40</v>
      </c>
      <c r="T109" s="44" t="e">
        <f>(4200/$T$26)*$T$25/('RMCV.PB'!C109*S109)</f>
        <v>#DIV/0!</v>
      </c>
      <c r="U109" s="425" t="e">
        <f t="shared" si="31"/>
        <v>#DIV/0!</v>
      </c>
      <c r="V109" s="425">
        <f t="shared" si="32"/>
        <v>0</v>
      </c>
      <c r="W109" s="44" t="e">
        <f t="shared" si="33"/>
        <v>#DIV/0!</v>
      </c>
      <c r="X109" s="44" t="e">
        <f>T109+(W109/(B109*'RMCV.PB'!C109))*4200/FY</f>
        <v>#DIV/0!</v>
      </c>
      <c r="Y109" s="425" t="e">
        <f>IF('CG. MPB'!E110="CONCRETO","F/DISEÑO",IF(FY=4200,IF(X109&gt;0.002,"BIEN","MAL"),(IF(X109&gt;4200*0.002/FY,"BIEN","MAL"))))</f>
        <v>#DIV/0!</v>
      </c>
    </row>
    <row r="110" spans="1:25">
      <c r="A110" s="684">
        <f>'CG. MPB'!A111</f>
        <v>31</v>
      </c>
      <c r="B110" s="576">
        <f>'RMCV.PB'!B110</f>
        <v>0</v>
      </c>
      <c r="C110" s="579">
        <f t="shared" si="23"/>
        <v>-2</v>
      </c>
      <c r="D110" s="579">
        <f t="shared" si="24"/>
        <v>-4</v>
      </c>
      <c r="E110" s="576">
        <f>'RMCS.PB'!L110</f>
        <v>0</v>
      </c>
      <c r="F110" s="576">
        <f>'RMCV.PB'!O110*1.1/1.4</f>
        <v>0</v>
      </c>
      <c r="G110" s="580">
        <f>IF('CG. MPB'!D111="CONFINADO",0.71*4,0)</f>
        <v>2.84</v>
      </c>
      <c r="H110" s="576">
        <f>('RMCV.PB'!P110+(2*0.6*$G$18*G110))</f>
        <v>14313.599999999999</v>
      </c>
      <c r="I110" s="60">
        <f t="shared" si="25"/>
        <v>0.8</v>
      </c>
      <c r="J110" s="576">
        <f t="shared" si="26"/>
        <v>-38169.599999999999</v>
      </c>
      <c r="K110" s="918">
        <f>ABS('ELEM. MECA.'!H237)</f>
        <v>0</v>
      </c>
      <c r="L110" s="936">
        <f t="shared" si="27"/>
        <v>-38169.599999999999</v>
      </c>
      <c r="M110" s="685" t="str">
        <f>IF('CG. MPB'!E111="CONCRETO","F/DISEÑO",IF(K110&gt;L110,"NO PASA","PASA"))</f>
        <v>NO PASA</v>
      </c>
      <c r="N110" s="44">
        <f>IF('RMCV.PA'!C78*6&gt;80,80,'RMCV.PA'!C78*6)</f>
        <v>0</v>
      </c>
      <c r="O110" s="44" t="e">
        <f t="shared" ref="O110:O127" si="44">ROUNDUP(IF((B110/N110)-1&gt;0,(B110/N110)-1,0),0)</f>
        <v>#DIV/0!</v>
      </c>
      <c r="P110" s="456" t="e">
        <f t="shared" ref="P110:P127" si="45">O110</f>
        <v>#DIV/0!</v>
      </c>
      <c r="Q110" s="351" t="e">
        <f>IF(P110=0,G110,$Q$25)/('RMCV.PB'!C110*(B110/(P110+1)))*4200/$Q$26</f>
        <v>#DIV/0!</v>
      </c>
      <c r="R110" s="425" t="e">
        <f t="shared" ref="R110:R127" si="46">IF($Q$26=4200,IF(Q110&gt;0.0007,"BIEN","MAL"),IF(Q110&gt;0.0007*4200/$Q$26,"BIEN","MAL"))</f>
        <v>#DIV/0!</v>
      </c>
      <c r="S110" s="44">
        <f t="shared" si="22"/>
        <v>40</v>
      </c>
      <c r="T110" s="44" t="e">
        <f>(4200/$T$26)*$T$25/('RMCV.PB'!C110*S110)</f>
        <v>#DIV/0!</v>
      </c>
      <c r="U110" s="425" t="e">
        <f t="shared" ref="U110:U127" si="47">IF($T$26=4200,IF(T110&gt;0.0007,"BIEN","MAL"),IF(T110&gt;0.0007*4200/$T$26,"BIEN","MAL"))</f>
        <v>#DIV/0!</v>
      </c>
      <c r="V110" s="425">
        <f t="shared" ref="V110:V127" si="48">ROUNDUP(IF(B110&gt;300,(B110/300)-1,0),0)</f>
        <v>0</v>
      </c>
      <c r="W110" s="44" t="e">
        <f t="shared" ref="W110:W127" si="49">G110*2+V110*$Q$25+P110*$Q$25</f>
        <v>#DIV/0!</v>
      </c>
      <c r="X110" s="44" t="e">
        <f>T110+(W110/(B110*'RMCV.PB'!C110))*4200/FY</f>
        <v>#DIV/0!</v>
      </c>
      <c r="Y110" s="425" t="e">
        <f>IF('CG. MPB'!E111="CONCRETO","F/DISEÑO",IF(FY=4200,IF(X110&gt;0.002,"BIEN","MAL"),(IF(X110&gt;4200*0.002/FY,"BIEN","MAL"))))</f>
        <v>#DIV/0!</v>
      </c>
    </row>
    <row r="111" spans="1:25">
      <c r="A111" s="684">
        <f>'CG. MPB'!A112</f>
        <v>32</v>
      </c>
      <c r="B111" s="576">
        <f>'RMCV.PB'!B111</f>
        <v>0</v>
      </c>
      <c r="C111" s="579">
        <f t="shared" si="23"/>
        <v>-2</v>
      </c>
      <c r="D111" s="579">
        <f t="shared" si="24"/>
        <v>-4</v>
      </c>
      <c r="E111" s="576">
        <f>'RMCS.PB'!L111</f>
        <v>0</v>
      </c>
      <c r="F111" s="576">
        <f>'RMCV.PB'!O111*1.1/1.4</f>
        <v>0</v>
      </c>
      <c r="G111" s="580">
        <f>IF('CG. MPB'!D112="CONFINADO",0.71*4,0)</f>
        <v>2.84</v>
      </c>
      <c r="H111" s="576">
        <f>('RMCV.PB'!P111+(2*0.6*$G$18*G111))</f>
        <v>14313.599999999999</v>
      </c>
      <c r="I111" s="60">
        <f t="shared" si="25"/>
        <v>0.8</v>
      </c>
      <c r="J111" s="576">
        <f t="shared" si="26"/>
        <v>-38169.599999999999</v>
      </c>
      <c r="K111" s="918">
        <f>ABS('ELEM. MECA.'!H238)</f>
        <v>0</v>
      </c>
      <c r="L111" s="936">
        <f t="shared" si="27"/>
        <v>-38169.599999999999</v>
      </c>
      <c r="M111" s="685" t="str">
        <f>IF('CG. MPB'!E112="CONCRETO","F/DISEÑO",IF(K111&gt;L111,"NO PASA","PASA"))</f>
        <v>NO PASA</v>
      </c>
      <c r="N111" s="44">
        <f>IF('RMCV.PA'!C79*6&gt;80,80,'RMCV.PA'!C79*6)</f>
        <v>0</v>
      </c>
      <c r="O111" s="44" t="e">
        <f t="shared" si="44"/>
        <v>#DIV/0!</v>
      </c>
      <c r="P111" s="456" t="e">
        <f t="shared" si="45"/>
        <v>#DIV/0!</v>
      </c>
      <c r="Q111" s="351" t="e">
        <f>IF(P111=0,G111,$Q$25)/('RMCV.PB'!C111*(B111/(P111+1)))*4200/$Q$26</f>
        <v>#DIV/0!</v>
      </c>
      <c r="R111" s="425" t="e">
        <f t="shared" si="46"/>
        <v>#DIV/0!</v>
      </c>
      <c r="S111" s="44">
        <f t="shared" si="22"/>
        <v>40</v>
      </c>
      <c r="T111" s="44" t="e">
        <f>(4200/$T$26)*$T$25/('RMCV.PB'!C111*S111)</f>
        <v>#DIV/0!</v>
      </c>
      <c r="U111" s="425" t="e">
        <f t="shared" si="47"/>
        <v>#DIV/0!</v>
      </c>
      <c r="V111" s="425">
        <f t="shared" si="48"/>
        <v>0</v>
      </c>
      <c r="W111" s="44" t="e">
        <f t="shared" si="49"/>
        <v>#DIV/0!</v>
      </c>
      <c r="X111" s="44" t="e">
        <f>T111+(W111/(B111*'RMCV.PB'!C111))*4200/FY</f>
        <v>#DIV/0!</v>
      </c>
      <c r="Y111" s="425" t="e">
        <f>IF('CG. MPB'!E112="CONCRETO","F/DISEÑO",IF(FY=4200,IF(X111&gt;0.002,"BIEN","MAL"),(IF(X111&gt;4200*0.002/FY,"BIEN","MAL"))))</f>
        <v>#DIV/0!</v>
      </c>
    </row>
    <row r="112" spans="1:25">
      <c r="A112" s="684">
        <f>'CG. MPB'!A113</f>
        <v>33</v>
      </c>
      <c r="B112" s="576">
        <f>'RMCV.PB'!B112</f>
        <v>0</v>
      </c>
      <c r="C112" s="579">
        <f t="shared" si="23"/>
        <v>-2</v>
      </c>
      <c r="D112" s="579">
        <f t="shared" si="24"/>
        <v>-4</v>
      </c>
      <c r="E112" s="576">
        <f>'RMCS.PB'!L112</f>
        <v>0</v>
      </c>
      <c r="F112" s="576">
        <f>'RMCV.PB'!O112*1.1/1.4</f>
        <v>0</v>
      </c>
      <c r="G112" s="580">
        <f>IF('CG. MPB'!D113="CONFINADO",0.71*4,0)</f>
        <v>2.84</v>
      </c>
      <c r="H112" s="576">
        <f>('RMCV.PB'!P112+(2*0.6*$G$18*G112))</f>
        <v>14313.599999999999</v>
      </c>
      <c r="I112" s="60">
        <f t="shared" si="25"/>
        <v>0.8</v>
      </c>
      <c r="J112" s="576">
        <f t="shared" si="26"/>
        <v>-38169.599999999999</v>
      </c>
      <c r="K112" s="918">
        <f>ABS('ELEM. MECA.'!H239)</f>
        <v>0</v>
      </c>
      <c r="L112" s="936">
        <f t="shared" si="27"/>
        <v>-38169.599999999999</v>
      </c>
      <c r="M112" s="685" t="str">
        <f>IF('CG. MPB'!E113="CONCRETO","F/DISEÑO",IF(K112&gt;L112,"NO PASA","PASA"))</f>
        <v>NO PASA</v>
      </c>
      <c r="N112" s="44">
        <f>IF('RMCV.PA'!C80*6&gt;80,80,'RMCV.PA'!C80*6)</f>
        <v>80</v>
      </c>
      <c r="O112" s="44">
        <f t="shared" si="44"/>
        <v>0</v>
      </c>
      <c r="P112" s="456">
        <f t="shared" si="45"/>
        <v>0</v>
      </c>
      <c r="Q112" s="351" t="e">
        <f>IF(P112=0,G112,$Q$25)/('RMCV.PB'!C112*(B112/(P112+1)))*4200/$Q$26</f>
        <v>#DIV/0!</v>
      </c>
      <c r="R112" s="425" t="e">
        <f t="shared" si="46"/>
        <v>#DIV/0!</v>
      </c>
      <c r="S112" s="44">
        <f t="shared" si="22"/>
        <v>40</v>
      </c>
      <c r="T112" s="44" t="e">
        <f>(4200/$T$26)*$T$25/('RMCV.PB'!C112*S112)</f>
        <v>#DIV/0!</v>
      </c>
      <c r="U112" s="425" t="e">
        <f t="shared" si="47"/>
        <v>#DIV/0!</v>
      </c>
      <c r="V112" s="425">
        <f t="shared" si="48"/>
        <v>0</v>
      </c>
      <c r="W112" s="44">
        <f t="shared" si="49"/>
        <v>5.68</v>
      </c>
      <c r="X112" s="44" t="e">
        <f>T112+(W112/(B112*'RMCV.PB'!C112))*4200/FY</f>
        <v>#DIV/0!</v>
      </c>
      <c r="Y112" s="425" t="e">
        <f>IF('CG. MPB'!E113="CONCRETO","F/DISEÑO",IF(FY=4200,IF(X112&gt;0.002,"BIEN","MAL"),(IF(X112&gt;4200*0.002/FY,"BIEN","MAL"))))</f>
        <v>#DIV/0!</v>
      </c>
    </row>
    <row r="113" spans="1:25">
      <c r="A113" s="684">
        <f>'CG. MPB'!A114</f>
        <v>34</v>
      </c>
      <c r="B113" s="576">
        <f>'RMCV.PB'!B113</f>
        <v>0</v>
      </c>
      <c r="C113" s="579">
        <f t="shared" si="23"/>
        <v>-2</v>
      </c>
      <c r="D113" s="579">
        <f t="shared" si="24"/>
        <v>-4</v>
      </c>
      <c r="E113" s="576">
        <f>'RMCS.PB'!L113</f>
        <v>0</v>
      </c>
      <c r="F113" s="576">
        <f>'RMCV.PB'!O113*1.1/1.4</f>
        <v>0</v>
      </c>
      <c r="G113" s="580">
        <f>IF('CG. MPB'!D114="CONFINADO",0.71*4,0)</f>
        <v>2.84</v>
      </c>
      <c r="H113" s="576">
        <f>('RMCV.PB'!P113+(2*0.6*$G$18*G113))</f>
        <v>14313.599999999999</v>
      </c>
      <c r="I113" s="60">
        <f t="shared" si="25"/>
        <v>0.8</v>
      </c>
      <c r="J113" s="576">
        <f t="shared" si="26"/>
        <v>-38169.599999999999</v>
      </c>
      <c r="K113" s="918">
        <f>ABS('ELEM. MECA.'!H240)</f>
        <v>0</v>
      </c>
      <c r="L113" s="936">
        <f t="shared" si="27"/>
        <v>-38169.599999999999</v>
      </c>
      <c r="M113" s="685" t="str">
        <f>IF('CG. MPB'!E114="CONCRETO","F/DISEÑO",IF(K113&gt;L113,"NO PASA","PASA"))</f>
        <v>NO PASA</v>
      </c>
      <c r="N113" s="44">
        <f>IF('RMCV.PA'!C81*6&gt;80,80,'RMCV.PA'!C81*6)</f>
        <v>80</v>
      </c>
      <c r="O113" s="44">
        <f t="shared" si="44"/>
        <v>0</v>
      </c>
      <c r="P113" s="456">
        <f t="shared" si="45"/>
        <v>0</v>
      </c>
      <c r="Q113" s="351" t="e">
        <f>IF(P113=0,G113,$Q$25)/('RMCV.PB'!C113*(B113/(P113+1)))*4200/$Q$26</f>
        <v>#DIV/0!</v>
      </c>
      <c r="R113" s="425" t="e">
        <f t="shared" si="46"/>
        <v>#DIV/0!</v>
      </c>
      <c r="S113" s="44">
        <f t="shared" si="22"/>
        <v>40</v>
      </c>
      <c r="T113" s="44" t="e">
        <f>(4200/$T$26)*$T$25/('RMCV.PB'!C113*S113)</f>
        <v>#DIV/0!</v>
      </c>
      <c r="U113" s="425" t="e">
        <f t="shared" si="47"/>
        <v>#DIV/0!</v>
      </c>
      <c r="V113" s="425">
        <f t="shared" si="48"/>
        <v>0</v>
      </c>
      <c r="W113" s="44">
        <f t="shared" si="49"/>
        <v>5.68</v>
      </c>
      <c r="X113" s="44" t="e">
        <f>T113+(W113/(B113*'RMCV.PB'!C113))*4200/FY</f>
        <v>#DIV/0!</v>
      </c>
      <c r="Y113" s="425" t="e">
        <f>IF('CG. MPB'!E114="CONCRETO","F/DISEÑO",IF(FY=4200,IF(X113&gt;0.002,"BIEN","MAL"),(IF(X113&gt;4200*0.002/FY,"BIEN","MAL"))))</f>
        <v>#DIV/0!</v>
      </c>
    </row>
    <row r="114" spans="1:25">
      <c r="A114" s="684">
        <f>'CG. MPB'!A115</f>
        <v>35</v>
      </c>
      <c r="B114" s="576">
        <f>'RMCV.PB'!B114</f>
        <v>0</v>
      </c>
      <c r="C114" s="579">
        <f t="shared" si="23"/>
        <v>-2</v>
      </c>
      <c r="D114" s="579">
        <f t="shared" si="24"/>
        <v>-4</v>
      </c>
      <c r="E114" s="576">
        <f>'RMCS.PB'!L114</f>
        <v>0</v>
      </c>
      <c r="F114" s="576">
        <f>'RMCV.PB'!O114*1.1/1.4</f>
        <v>0</v>
      </c>
      <c r="G114" s="580">
        <f>IF('CG. MPB'!D115="CONFINADO",0.71*4,0)</f>
        <v>2.84</v>
      </c>
      <c r="H114" s="576">
        <f>('RMCV.PB'!P114+(2*0.6*$G$18*G114))</f>
        <v>14313.599999999999</v>
      </c>
      <c r="I114" s="60">
        <f t="shared" si="25"/>
        <v>0.8</v>
      </c>
      <c r="J114" s="576">
        <f t="shared" si="26"/>
        <v>-38169.599999999999</v>
      </c>
      <c r="K114" s="918">
        <f>ABS('ELEM. MECA.'!H241)</f>
        <v>0</v>
      </c>
      <c r="L114" s="936">
        <f t="shared" si="27"/>
        <v>-38169.599999999999</v>
      </c>
      <c r="M114" s="685" t="str">
        <f>IF('CG. MPB'!E115="CONCRETO","F/DISEÑO",IF(K114&gt;L114,"NO PASA","PASA"))</f>
        <v>NO PASA</v>
      </c>
      <c r="N114" s="44">
        <f>IF('RMCV.PA'!C82*6&gt;80,80,'RMCV.PA'!C82*6)</f>
        <v>80</v>
      </c>
      <c r="O114" s="44">
        <f t="shared" si="44"/>
        <v>0</v>
      </c>
      <c r="P114" s="456">
        <f t="shared" si="45"/>
        <v>0</v>
      </c>
      <c r="Q114" s="351" t="e">
        <f>IF(P114=0,G114,$Q$25)/('RMCV.PB'!C114*(B114/(P114+1)))*4200/$Q$26</f>
        <v>#DIV/0!</v>
      </c>
      <c r="R114" s="425" t="e">
        <f t="shared" si="46"/>
        <v>#DIV/0!</v>
      </c>
      <c r="S114" s="44">
        <f t="shared" si="22"/>
        <v>40</v>
      </c>
      <c r="T114" s="44" t="e">
        <f>(4200/$T$26)*$T$25/('RMCV.PB'!C114*S114)</f>
        <v>#DIV/0!</v>
      </c>
      <c r="U114" s="425" t="e">
        <f t="shared" si="47"/>
        <v>#DIV/0!</v>
      </c>
      <c r="V114" s="425">
        <f t="shared" si="48"/>
        <v>0</v>
      </c>
      <c r="W114" s="44">
        <f t="shared" si="49"/>
        <v>5.68</v>
      </c>
      <c r="X114" s="44" t="e">
        <f>T114+(W114/(B114*'RMCV.PB'!C114))*4200/FY</f>
        <v>#DIV/0!</v>
      </c>
      <c r="Y114" s="425" t="e">
        <f>IF('CG. MPB'!E115="CONCRETO","F/DISEÑO",IF(FY=4200,IF(X114&gt;0.002,"BIEN","MAL"),(IF(X114&gt;4200*0.002/FY,"BIEN","MAL"))))</f>
        <v>#DIV/0!</v>
      </c>
    </row>
    <row r="115" spans="1:25">
      <c r="A115" s="684">
        <f>'CG. MPB'!A116</f>
        <v>36</v>
      </c>
      <c r="B115" s="576">
        <f>'RMCV.PB'!B115</f>
        <v>0</v>
      </c>
      <c r="C115" s="579">
        <f t="shared" si="23"/>
        <v>-2</v>
      </c>
      <c r="D115" s="579">
        <f t="shared" si="24"/>
        <v>-4</v>
      </c>
      <c r="E115" s="576">
        <f>'RMCS.PB'!L115</f>
        <v>0</v>
      </c>
      <c r="F115" s="576">
        <f>'RMCV.PB'!O115*1.1/1.4</f>
        <v>0</v>
      </c>
      <c r="G115" s="580">
        <f>IF('CG. MPB'!D116="CONFINADO",0.71*4,0)</f>
        <v>2.84</v>
      </c>
      <c r="H115" s="576">
        <f>('RMCV.PB'!P115+(2*0.6*$G$18*G115))</f>
        <v>14313.599999999999</v>
      </c>
      <c r="I115" s="60">
        <f t="shared" si="25"/>
        <v>0.8</v>
      </c>
      <c r="J115" s="576">
        <f t="shared" si="26"/>
        <v>-38169.599999999999</v>
      </c>
      <c r="K115" s="918">
        <f>ABS('ELEM. MECA.'!H242)</f>
        <v>0</v>
      </c>
      <c r="L115" s="936">
        <f t="shared" si="27"/>
        <v>-38169.599999999999</v>
      </c>
      <c r="M115" s="685" t="str">
        <f>IF('CG. MPB'!E116="CONCRETO","F/DISEÑO",IF(K115&gt;L115,"NO PASA","PASA"))</f>
        <v>NO PASA</v>
      </c>
      <c r="N115" s="44">
        <f>IF('RMCV.PA'!C83*6&gt;80,80,'RMCV.PA'!C83*6)</f>
        <v>80</v>
      </c>
      <c r="O115" s="44">
        <f t="shared" si="44"/>
        <v>0</v>
      </c>
      <c r="P115" s="456">
        <f t="shared" si="45"/>
        <v>0</v>
      </c>
      <c r="Q115" s="351" t="e">
        <f>IF(P115=0,G115,$Q$25)/('RMCV.PB'!C115*(B115/(P115+1)))*4200/$Q$26</f>
        <v>#DIV/0!</v>
      </c>
      <c r="R115" s="425" t="e">
        <f t="shared" si="46"/>
        <v>#DIV/0!</v>
      </c>
      <c r="S115" s="44">
        <f t="shared" si="22"/>
        <v>40</v>
      </c>
      <c r="T115" s="44" t="e">
        <f>(4200/$T$26)*$T$25/('RMCV.PB'!C115*S115)</f>
        <v>#DIV/0!</v>
      </c>
      <c r="U115" s="425" t="e">
        <f t="shared" si="47"/>
        <v>#DIV/0!</v>
      </c>
      <c r="V115" s="425">
        <f t="shared" si="48"/>
        <v>0</v>
      </c>
      <c r="W115" s="44">
        <f t="shared" si="49"/>
        <v>5.68</v>
      </c>
      <c r="X115" s="44" t="e">
        <f>T115+(W115/(B115*'RMCV.PB'!C115))*4200/FY</f>
        <v>#DIV/0!</v>
      </c>
      <c r="Y115" s="425" t="e">
        <f>IF('CG. MPB'!E116="CONCRETO","F/DISEÑO",IF(FY=4200,IF(X115&gt;0.002,"BIEN","MAL"),(IF(X115&gt;4200*0.002/FY,"BIEN","MAL"))))</f>
        <v>#DIV/0!</v>
      </c>
    </row>
    <row r="116" spans="1:25">
      <c r="A116" s="684">
        <f>'CG. MPB'!A117</f>
        <v>37</v>
      </c>
      <c r="B116" s="576">
        <f>'RMCV.PB'!B116</f>
        <v>0</v>
      </c>
      <c r="C116" s="579">
        <f t="shared" si="23"/>
        <v>-2</v>
      </c>
      <c r="D116" s="579">
        <f t="shared" si="24"/>
        <v>-4</v>
      </c>
      <c r="E116" s="576">
        <f>'RMCS.PB'!L116</f>
        <v>0</v>
      </c>
      <c r="F116" s="576">
        <f>'RMCV.PB'!O116*1.1/1.4</f>
        <v>0</v>
      </c>
      <c r="G116" s="580">
        <f>IF('CG. MPB'!D117="CONFINADO",0.71*4,0)</f>
        <v>2.84</v>
      </c>
      <c r="H116" s="576">
        <f>('RMCV.PB'!P116+(2*0.6*$G$18*G116))</f>
        <v>14313.599999999999</v>
      </c>
      <c r="I116" s="60">
        <f t="shared" si="25"/>
        <v>0.8</v>
      </c>
      <c r="J116" s="576">
        <f t="shared" si="26"/>
        <v>-38169.599999999999</v>
      </c>
      <c r="K116" s="918">
        <f>ABS('ELEM. MECA.'!H243)</f>
        <v>0</v>
      </c>
      <c r="L116" s="936">
        <f t="shared" si="27"/>
        <v>-38169.599999999999</v>
      </c>
      <c r="M116" s="685" t="str">
        <f>IF('CG. MPB'!E117="CONCRETO","F/DISEÑO",IF(K116&gt;L116,"NO PASA","PASA"))</f>
        <v>NO PASA</v>
      </c>
      <c r="N116" s="44">
        <f>IF('RMCV.PA'!C84*6&gt;80,80,'RMCV.PA'!C84*6)</f>
        <v>80</v>
      </c>
      <c r="O116" s="44">
        <f t="shared" si="44"/>
        <v>0</v>
      </c>
      <c r="P116" s="456">
        <f t="shared" si="45"/>
        <v>0</v>
      </c>
      <c r="Q116" s="351" t="e">
        <f>IF(P116=0,G116,$Q$25)/('RMCV.PB'!C116*(B116/(P116+1)))*4200/$Q$26</f>
        <v>#DIV/0!</v>
      </c>
      <c r="R116" s="425" t="e">
        <f t="shared" si="46"/>
        <v>#DIV/0!</v>
      </c>
      <c r="S116" s="44">
        <f t="shared" si="22"/>
        <v>40</v>
      </c>
      <c r="T116" s="44" t="e">
        <f>(4200/$T$26)*$T$25/('RMCV.PB'!C116*S116)</f>
        <v>#DIV/0!</v>
      </c>
      <c r="U116" s="425" t="e">
        <f t="shared" si="47"/>
        <v>#DIV/0!</v>
      </c>
      <c r="V116" s="425">
        <f t="shared" si="48"/>
        <v>0</v>
      </c>
      <c r="W116" s="44">
        <f t="shared" si="49"/>
        <v>5.68</v>
      </c>
      <c r="X116" s="44" t="e">
        <f>T116+(W116/(B116*'RMCV.PB'!C116))*4200/FY</f>
        <v>#DIV/0!</v>
      </c>
      <c r="Y116" s="425" t="e">
        <f>IF('CG. MPB'!E117="CONCRETO","F/DISEÑO",IF(FY=4200,IF(X116&gt;0.002,"BIEN","MAL"),(IF(X116&gt;4200*0.002/FY,"BIEN","MAL"))))</f>
        <v>#DIV/0!</v>
      </c>
    </row>
    <row r="117" spans="1:25">
      <c r="A117" s="684">
        <f>'CG. MPB'!A118</f>
        <v>38</v>
      </c>
      <c r="B117" s="576">
        <f>'RMCV.PB'!B117</f>
        <v>0</v>
      </c>
      <c r="C117" s="579">
        <f t="shared" si="23"/>
        <v>-2</v>
      </c>
      <c r="D117" s="579">
        <f t="shared" si="24"/>
        <v>-4</v>
      </c>
      <c r="E117" s="576">
        <f>'RMCS.PB'!L117</f>
        <v>0</v>
      </c>
      <c r="F117" s="576">
        <f>'RMCV.PB'!O117*1.1/1.4</f>
        <v>0</v>
      </c>
      <c r="G117" s="580">
        <f>IF('CG. MPB'!D118="CONFINADO",0.71*4,0)</f>
        <v>2.84</v>
      </c>
      <c r="H117" s="576">
        <f>('RMCV.PB'!P117+(2*0.6*$G$18*G117))</f>
        <v>14313.599999999999</v>
      </c>
      <c r="I117" s="60">
        <f t="shared" si="25"/>
        <v>0.8</v>
      </c>
      <c r="J117" s="576">
        <f t="shared" si="26"/>
        <v>-38169.599999999999</v>
      </c>
      <c r="K117" s="918">
        <f>ABS('ELEM. MECA.'!H244)</f>
        <v>0</v>
      </c>
      <c r="L117" s="936">
        <f t="shared" si="27"/>
        <v>-38169.599999999999</v>
      </c>
      <c r="M117" s="685" t="str">
        <f>IF('CG. MPB'!E118="CONCRETO","F/DISEÑO",IF(K117&gt;L117,"NO PASA","PASA"))</f>
        <v>NO PASA</v>
      </c>
      <c r="N117" s="44">
        <f>IF('RMCV.PA'!C85*6&gt;80,80,'RMCV.PA'!C85*6)</f>
        <v>80</v>
      </c>
      <c r="O117" s="44">
        <f t="shared" si="44"/>
        <v>0</v>
      </c>
      <c r="P117" s="456">
        <f t="shared" si="45"/>
        <v>0</v>
      </c>
      <c r="Q117" s="351" t="e">
        <f>IF(P117=0,G117,$Q$25)/('RMCV.PB'!C117*(B117/(P117+1)))*4200/$Q$26</f>
        <v>#DIV/0!</v>
      </c>
      <c r="R117" s="425" t="e">
        <f t="shared" si="46"/>
        <v>#DIV/0!</v>
      </c>
      <c r="S117" s="44">
        <f t="shared" si="22"/>
        <v>40</v>
      </c>
      <c r="T117" s="44" t="e">
        <f>(4200/$T$26)*$T$25/('RMCV.PB'!C117*S117)</f>
        <v>#DIV/0!</v>
      </c>
      <c r="U117" s="425" t="e">
        <f t="shared" si="47"/>
        <v>#DIV/0!</v>
      </c>
      <c r="V117" s="425">
        <f t="shared" si="48"/>
        <v>0</v>
      </c>
      <c r="W117" s="44">
        <f t="shared" si="49"/>
        <v>5.68</v>
      </c>
      <c r="X117" s="44" t="e">
        <f>T117+(W117/(B117*'RMCV.PB'!C117))*4200/FY</f>
        <v>#DIV/0!</v>
      </c>
      <c r="Y117" s="425" t="e">
        <f>IF('CG. MPB'!E118="CONCRETO","F/DISEÑO",IF(FY=4200,IF(X117&gt;0.002,"BIEN","MAL"),(IF(X117&gt;4200*0.002/FY,"BIEN","MAL"))))</f>
        <v>#DIV/0!</v>
      </c>
    </row>
    <row r="118" spans="1:25">
      <c r="A118" s="684">
        <f>'CG. MPB'!A119</f>
        <v>39</v>
      </c>
      <c r="B118" s="576">
        <f>'RMCV.PB'!B118</f>
        <v>0</v>
      </c>
      <c r="C118" s="579">
        <f t="shared" si="23"/>
        <v>-2</v>
      </c>
      <c r="D118" s="579">
        <f t="shared" si="24"/>
        <v>-4</v>
      </c>
      <c r="E118" s="576">
        <f>'RMCS.PB'!L118</f>
        <v>0</v>
      </c>
      <c r="F118" s="576">
        <f>'RMCV.PB'!O118*1.1/1.4</f>
        <v>0</v>
      </c>
      <c r="G118" s="580">
        <f>IF('CG. MPB'!D119="CONFINADO",0.71*4,0)</f>
        <v>2.84</v>
      </c>
      <c r="H118" s="576">
        <f>('RMCV.PB'!P118+(2*0.6*$G$18*G118))</f>
        <v>14313.599999999999</v>
      </c>
      <c r="I118" s="60">
        <f t="shared" si="25"/>
        <v>0.8</v>
      </c>
      <c r="J118" s="576">
        <f t="shared" si="26"/>
        <v>-38169.599999999999</v>
      </c>
      <c r="K118" s="918">
        <f>ABS('ELEM. MECA.'!H245)</f>
        <v>0</v>
      </c>
      <c r="L118" s="936">
        <f t="shared" si="27"/>
        <v>-38169.599999999999</v>
      </c>
      <c r="M118" s="685" t="str">
        <f>IF('CG. MPB'!E119="CONCRETO","F/DISEÑO",IF(K118&gt;L118,"NO PASA","PASA"))</f>
        <v>NO PASA</v>
      </c>
      <c r="N118" s="44">
        <f>IF('RMCV.PA'!C86*6&gt;80,80,'RMCV.PA'!C86*6)</f>
        <v>80</v>
      </c>
      <c r="O118" s="44">
        <f t="shared" si="44"/>
        <v>0</v>
      </c>
      <c r="P118" s="456">
        <f t="shared" si="45"/>
        <v>0</v>
      </c>
      <c r="Q118" s="351" t="e">
        <f>IF(P118=0,G118,$Q$25)/('RMCV.PB'!C118*(B118/(P118+1)))*4200/$Q$26</f>
        <v>#DIV/0!</v>
      </c>
      <c r="R118" s="425" t="e">
        <f t="shared" si="46"/>
        <v>#DIV/0!</v>
      </c>
      <c r="S118" s="44">
        <f t="shared" si="22"/>
        <v>40</v>
      </c>
      <c r="T118" s="44" t="e">
        <f>(4200/$T$26)*$T$25/('RMCV.PB'!C118*S118)</f>
        <v>#DIV/0!</v>
      </c>
      <c r="U118" s="425" t="e">
        <f t="shared" si="47"/>
        <v>#DIV/0!</v>
      </c>
      <c r="V118" s="425">
        <f t="shared" si="48"/>
        <v>0</v>
      </c>
      <c r="W118" s="44">
        <f t="shared" si="49"/>
        <v>5.68</v>
      </c>
      <c r="X118" s="44" t="e">
        <f>T118+(W118/(B118*'RMCV.PB'!C118))*4200/FY</f>
        <v>#DIV/0!</v>
      </c>
      <c r="Y118" s="425" t="e">
        <f>IF('CG. MPB'!E119="CONCRETO","F/DISEÑO",IF(FY=4200,IF(X118&gt;0.002,"BIEN","MAL"),(IF(X118&gt;4200*0.002/FY,"BIEN","MAL"))))</f>
        <v>#DIV/0!</v>
      </c>
    </row>
    <row r="119" spans="1:25">
      <c r="A119" s="684">
        <f>'CG. MPB'!A120</f>
        <v>40</v>
      </c>
      <c r="B119" s="576">
        <f>'RMCV.PB'!B119</f>
        <v>0</v>
      </c>
      <c r="C119" s="579">
        <f t="shared" si="23"/>
        <v>-2</v>
      </c>
      <c r="D119" s="579">
        <f t="shared" si="24"/>
        <v>-4</v>
      </c>
      <c r="E119" s="576">
        <f>'RMCS.PB'!L119</f>
        <v>0</v>
      </c>
      <c r="F119" s="576">
        <f>'RMCV.PB'!O119*1.1/1.4</f>
        <v>0</v>
      </c>
      <c r="G119" s="580">
        <f>IF('CG. MPB'!D120="CONFINADO",0.71*4,0)</f>
        <v>2.84</v>
      </c>
      <c r="H119" s="576">
        <f>('RMCV.PB'!P119+(2*0.6*$G$18*G119))</f>
        <v>14313.599999999999</v>
      </c>
      <c r="I119" s="60">
        <f t="shared" si="25"/>
        <v>0.8</v>
      </c>
      <c r="J119" s="576">
        <f t="shared" si="26"/>
        <v>-38169.599999999999</v>
      </c>
      <c r="K119" s="918">
        <f>ABS('ELEM. MECA.'!H246)</f>
        <v>0</v>
      </c>
      <c r="L119" s="936">
        <f t="shared" si="27"/>
        <v>-38169.599999999999</v>
      </c>
      <c r="M119" s="685" t="str">
        <f>IF('CG. MPB'!E120="CONCRETO","F/DISEÑO",IF(K119&gt;L119,"NO PASA","PASA"))</f>
        <v>NO PASA</v>
      </c>
      <c r="N119" s="44" t="e">
        <f>IF('RMCV.PA'!C87*6&gt;80,80,'RMCV.PA'!C87*6)</f>
        <v>#VALUE!</v>
      </c>
      <c r="O119" s="44" t="e">
        <f t="shared" si="44"/>
        <v>#VALUE!</v>
      </c>
      <c r="P119" s="456" t="e">
        <f t="shared" si="45"/>
        <v>#VALUE!</v>
      </c>
      <c r="Q119" s="351" t="e">
        <f>IF(P119=0,G119,$Q$25)/('RMCV.PB'!C119*(B119/(P119+1)))*4200/$Q$26</f>
        <v>#VALUE!</v>
      </c>
      <c r="R119" s="425" t="e">
        <f t="shared" si="46"/>
        <v>#VALUE!</v>
      </c>
      <c r="S119" s="44">
        <f t="shared" si="22"/>
        <v>40</v>
      </c>
      <c r="T119" s="44" t="e">
        <f>(4200/$T$26)*$T$25/('RMCV.PB'!C119*S119)</f>
        <v>#DIV/0!</v>
      </c>
      <c r="U119" s="425" t="e">
        <f t="shared" si="47"/>
        <v>#DIV/0!</v>
      </c>
      <c r="V119" s="425">
        <f t="shared" si="48"/>
        <v>0</v>
      </c>
      <c r="W119" s="44" t="e">
        <f t="shared" si="49"/>
        <v>#VALUE!</v>
      </c>
      <c r="X119" s="44" t="e">
        <f>T119+(W119/(B119*'RMCV.PB'!C119))*4200/FY</f>
        <v>#DIV/0!</v>
      </c>
      <c r="Y119" s="425" t="e">
        <f>IF('CG. MPB'!E120="CONCRETO","F/DISEÑO",IF(FY=4200,IF(X119&gt;0.002,"BIEN","MAL"),(IF(X119&gt;4200*0.002/FY,"BIEN","MAL"))))</f>
        <v>#DIV/0!</v>
      </c>
    </row>
    <row r="120" spans="1:25">
      <c r="A120" s="684">
        <f>'CG. MPB'!A121</f>
        <v>41</v>
      </c>
      <c r="B120" s="576">
        <f>'RMCV.PB'!B120</f>
        <v>0</v>
      </c>
      <c r="C120" s="579">
        <f t="shared" si="23"/>
        <v>-2</v>
      </c>
      <c r="D120" s="579">
        <f t="shared" si="24"/>
        <v>-4</v>
      </c>
      <c r="E120" s="576">
        <f>'RMCS.PB'!L120</f>
        <v>0</v>
      </c>
      <c r="F120" s="576">
        <f>'RMCV.PB'!O120*1.1/1.4</f>
        <v>0</v>
      </c>
      <c r="G120" s="580">
        <f>IF('CG. MPB'!D121="CONFINADO",0.71*4,0)</f>
        <v>2.84</v>
      </c>
      <c r="H120" s="576">
        <f>('RMCV.PB'!P120+(2*0.6*$G$18*G120))</f>
        <v>14313.599999999999</v>
      </c>
      <c r="I120" s="60">
        <f t="shared" si="25"/>
        <v>0.8</v>
      </c>
      <c r="J120" s="576">
        <f t="shared" si="26"/>
        <v>-38169.599999999999</v>
      </c>
      <c r="K120" s="918">
        <f>ABS('ELEM. MECA.'!H247)</f>
        <v>0</v>
      </c>
      <c r="L120" s="936">
        <f t="shared" si="27"/>
        <v>-38169.599999999999</v>
      </c>
      <c r="M120" s="685" t="str">
        <f>IF('CG. MPB'!E121="CONCRETO","F/DISEÑO",IF(K120&gt;L120,"NO PASA","PASA"))</f>
        <v>NO PASA</v>
      </c>
      <c r="N120" s="44" t="e">
        <f>IF('RMCV.PA'!C88*6&gt;80,80,'RMCV.PA'!C88*6)</f>
        <v>#VALUE!</v>
      </c>
      <c r="O120" s="44" t="e">
        <f t="shared" si="44"/>
        <v>#VALUE!</v>
      </c>
      <c r="P120" s="456" t="e">
        <f t="shared" si="45"/>
        <v>#VALUE!</v>
      </c>
      <c r="Q120" s="351" t="e">
        <f>IF(P120=0,G120,$Q$25)/('RMCV.PB'!C120*(B120/(P120+1)))*4200/$Q$26</f>
        <v>#VALUE!</v>
      </c>
      <c r="R120" s="425" t="e">
        <f t="shared" si="46"/>
        <v>#VALUE!</v>
      </c>
      <c r="S120" s="44">
        <f t="shared" si="22"/>
        <v>40</v>
      </c>
      <c r="T120" s="44" t="e">
        <f>(4200/$T$26)*$T$25/('RMCV.PB'!C120*S120)</f>
        <v>#DIV/0!</v>
      </c>
      <c r="U120" s="425" t="e">
        <f t="shared" si="47"/>
        <v>#DIV/0!</v>
      </c>
      <c r="V120" s="425">
        <f t="shared" si="48"/>
        <v>0</v>
      </c>
      <c r="W120" s="44" t="e">
        <f t="shared" si="49"/>
        <v>#VALUE!</v>
      </c>
      <c r="X120" s="44" t="e">
        <f>T120+(W120/(B120*'RMCV.PB'!C120))*4200/FY</f>
        <v>#DIV/0!</v>
      </c>
      <c r="Y120" s="425" t="e">
        <f>IF('CG. MPB'!E121="CONCRETO","F/DISEÑO",IF(FY=4200,IF(X120&gt;0.002,"BIEN","MAL"),(IF(X120&gt;4200*0.002/FY,"BIEN","MAL"))))</f>
        <v>#DIV/0!</v>
      </c>
    </row>
    <row r="121" spans="1:25">
      <c r="A121" s="684">
        <f>'CG. MPB'!A122</f>
        <v>42</v>
      </c>
      <c r="B121" s="576">
        <f>'RMCV.PB'!B121</f>
        <v>0</v>
      </c>
      <c r="C121" s="579">
        <f t="shared" si="23"/>
        <v>-2</v>
      </c>
      <c r="D121" s="579">
        <f t="shared" si="24"/>
        <v>-4</v>
      </c>
      <c r="E121" s="576">
        <f>'RMCS.PB'!L121</f>
        <v>0</v>
      </c>
      <c r="F121" s="576">
        <f>'RMCV.PB'!O121*1.1/1.4</f>
        <v>0</v>
      </c>
      <c r="G121" s="580">
        <f>IF('CG. MPB'!D122="CONFINADO",0.71*4,0)</f>
        <v>2.84</v>
      </c>
      <c r="H121" s="576">
        <f>('RMCV.PB'!P121+(2*0.6*$G$18*G121))</f>
        <v>14313.599999999999</v>
      </c>
      <c r="I121" s="60">
        <f t="shared" si="25"/>
        <v>0.8</v>
      </c>
      <c r="J121" s="576">
        <f t="shared" si="26"/>
        <v>-38169.599999999999</v>
      </c>
      <c r="K121" s="918">
        <f>ABS('ELEM. MECA.'!H248)</f>
        <v>0</v>
      </c>
      <c r="L121" s="936">
        <f t="shared" si="27"/>
        <v>-38169.599999999999</v>
      </c>
      <c r="M121" s="685" t="str">
        <f>IF('CG. MPB'!E122="CONCRETO","F/DISEÑO",IF(K121&gt;L121,"NO PASA","PASA"))</f>
        <v>NO PASA</v>
      </c>
      <c r="N121" s="44">
        <f>IF('RMCV.PA'!C89*6&gt;80,80,'RMCV.PA'!C89*6)</f>
        <v>0</v>
      </c>
      <c r="O121" s="44" t="e">
        <f t="shared" si="44"/>
        <v>#DIV/0!</v>
      </c>
      <c r="P121" s="456" t="e">
        <f t="shared" si="45"/>
        <v>#DIV/0!</v>
      </c>
      <c r="Q121" s="351" t="e">
        <f>IF(P121=0,G121,$Q$25)/('RMCV.PB'!C121*(B121/(P121+1)))*4200/$Q$26</f>
        <v>#DIV/0!</v>
      </c>
      <c r="R121" s="425" t="e">
        <f t="shared" si="46"/>
        <v>#DIV/0!</v>
      </c>
      <c r="S121" s="44">
        <f t="shared" si="22"/>
        <v>40</v>
      </c>
      <c r="T121" s="44" t="e">
        <f>(4200/$T$26)*$T$25/('RMCV.PB'!C121*S121)</f>
        <v>#DIV/0!</v>
      </c>
      <c r="U121" s="425" t="e">
        <f t="shared" si="47"/>
        <v>#DIV/0!</v>
      </c>
      <c r="V121" s="425">
        <f t="shared" si="48"/>
        <v>0</v>
      </c>
      <c r="W121" s="44" t="e">
        <f t="shared" si="49"/>
        <v>#DIV/0!</v>
      </c>
      <c r="X121" s="44" t="e">
        <f>T121+(W121/(B121*'RMCV.PB'!C121))*4200/FY</f>
        <v>#DIV/0!</v>
      </c>
      <c r="Y121" s="425" t="e">
        <f>IF('CG. MPB'!E122="CONCRETO","F/DISEÑO",IF(FY=4200,IF(X121&gt;0.002,"BIEN","MAL"),(IF(X121&gt;4200*0.002/FY,"BIEN","MAL"))))</f>
        <v>#DIV/0!</v>
      </c>
    </row>
    <row r="122" spans="1:25">
      <c r="A122" s="684">
        <f>'CG. MPB'!A123</f>
        <v>43</v>
      </c>
      <c r="B122" s="576">
        <f>'RMCV.PB'!B122</f>
        <v>0</v>
      </c>
      <c r="C122" s="579">
        <f t="shared" si="23"/>
        <v>-2</v>
      </c>
      <c r="D122" s="579">
        <f t="shared" si="24"/>
        <v>-4</v>
      </c>
      <c r="E122" s="576">
        <f>'RMCS.PB'!L122</f>
        <v>0</v>
      </c>
      <c r="F122" s="576">
        <f>'RMCV.PB'!O122*1.1/1.4</f>
        <v>0</v>
      </c>
      <c r="G122" s="580">
        <f>IF('CG. MPB'!D123="CONFINADO",0.71*4,0)</f>
        <v>2.84</v>
      </c>
      <c r="H122" s="576">
        <f>('RMCV.PB'!P122+(2*0.6*$G$18*G122))</f>
        <v>14313.599999999999</v>
      </c>
      <c r="I122" s="60">
        <f t="shared" si="25"/>
        <v>0.8</v>
      </c>
      <c r="J122" s="576">
        <f t="shared" si="26"/>
        <v>-38169.599999999999</v>
      </c>
      <c r="K122" s="918">
        <f>ABS('ELEM. MECA.'!H249)</f>
        <v>0</v>
      </c>
      <c r="L122" s="936">
        <f t="shared" si="27"/>
        <v>-38169.599999999999</v>
      </c>
      <c r="M122" s="685" t="str">
        <f>IF('CG. MPB'!E123="CONCRETO","F/DISEÑO",IF(K122&gt;L122,"NO PASA","PASA"))</f>
        <v>NO PASA</v>
      </c>
      <c r="N122" s="44">
        <f>IF('RMCV.PA'!C90*6&gt;80,80,'RMCV.PA'!C90*6)</f>
        <v>0</v>
      </c>
      <c r="O122" s="44" t="e">
        <f t="shared" si="44"/>
        <v>#DIV/0!</v>
      </c>
      <c r="P122" s="456" t="e">
        <f t="shared" si="45"/>
        <v>#DIV/0!</v>
      </c>
      <c r="Q122" s="351" t="e">
        <f>IF(P122=0,G122,$Q$25)/('RMCV.PB'!C122*(B122/(P122+1)))*4200/$Q$26</f>
        <v>#DIV/0!</v>
      </c>
      <c r="R122" s="425" t="e">
        <f t="shared" si="46"/>
        <v>#DIV/0!</v>
      </c>
      <c r="S122" s="44">
        <f t="shared" si="22"/>
        <v>40</v>
      </c>
      <c r="T122" s="44" t="e">
        <f>(4200/$T$26)*$T$25/('RMCV.PB'!C122*S122)</f>
        <v>#DIV/0!</v>
      </c>
      <c r="U122" s="425" t="e">
        <f t="shared" si="47"/>
        <v>#DIV/0!</v>
      </c>
      <c r="V122" s="425">
        <f t="shared" si="48"/>
        <v>0</v>
      </c>
      <c r="W122" s="44" t="e">
        <f t="shared" si="49"/>
        <v>#DIV/0!</v>
      </c>
      <c r="X122" s="44" t="e">
        <f>T122+(W122/(B122*'RMCV.PB'!C122))*4200/FY</f>
        <v>#DIV/0!</v>
      </c>
      <c r="Y122" s="425" t="e">
        <f>IF('CG. MPB'!E123="CONCRETO","F/DISEÑO",IF(FY=4200,IF(X122&gt;0.002,"BIEN","MAL"),(IF(X122&gt;4200*0.002/FY,"BIEN","MAL"))))</f>
        <v>#DIV/0!</v>
      </c>
    </row>
    <row r="123" spans="1:25">
      <c r="A123" s="684">
        <f>'CG. MPB'!A124</f>
        <v>44</v>
      </c>
      <c r="B123" s="576">
        <f>'RMCV.PB'!B123</f>
        <v>0</v>
      </c>
      <c r="C123" s="579">
        <f t="shared" si="23"/>
        <v>-2</v>
      </c>
      <c r="D123" s="579">
        <f t="shared" si="24"/>
        <v>-4</v>
      </c>
      <c r="E123" s="576">
        <f>'RMCS.PB'!L123</f>
        <v>0</v>
      </c>
      <c r="F123" s="576">
        <f>'RMCV.PB'!O123*1.1/1.4</f>
        <v>0</v>
      </c>
      <c r="G123" s="580">
        <f>IF('CG. MPB'!D124="CONFINADO",0.71*4,0)</f>
        <v>2.84</v>
      </c>
      <c r="H123" s="576">
        <f>('RMCV.PB'!P123+(2*0.6*$G$18*G123))</f>
        <v>14313.599999999999</v>
      </c>
      <c r="I123" s="60">
        <f t="shared" si="25"/>
        <v>0.8</v>
      </c>
      <c r="J123" s="576">
        <f t="shared" si="26"/>
        <v>-38169.599999999999</v>
      </c>
      <c r="K123" s="918">
        <f>ABS('ELEM. MECA.'!H250)</f>
        <v>0</v>
      </c>
      <c r="L123" s="936">
        <f t="shared" si="27"/>
        <v>-38169.599999999999</v>
      </c>
      <c r="M123" s="685" t="str">
        <f>IF('CG. MPB'!E124="CONCRETO","F/DISEÑO",IF(K123&gt;L123,"NO PASA","PASA"))</f>
        <v>NO PASA</v>
      </c>
      <c r="N123" s="44">
        <f>IF('RMCV.PA'!C91*6&gt;80,80,'RMCV.PA'!C91*6)</f>
        <v>0</v>
      </c>
      <c r="O123" s="44" t="e">
        <f t="shared" si="44"/>
        <v>#DIV/0!</v>
      </c>
      <c r="P123" s="456" t="e">
        <f t="shared" si="45"/>
        <v>#DIV/0!</v>
      </c>
      <c r="Q123" s="351" t="e">
        <f>IF(P123=0,G123,$Q$25)/('RMCV.PB'!C123*(B123/(P123+1)))*4200/$Q$26</f>
        <v>#DIV/0!</v>
      </c>
      <c r="R123" s="425" t="e">
        <f t="shared" si="46"/>
        <v>#DIV/0!</v>
      </c>
      <c r="S123" s="44">
        <f t="shared" si="22"/>
        <v>40</v>
      </c>
      <c r="T123" s="44" t="e">
        <f>(4200/$T$26)*$T$25/('RMCV.PB'!C123*S123)</f>
        <v>#DIV/0!</v>
      </c>
      <c r="U123" s="425" t="e">
        <f t="shared" si="47"/>
        <v>#DIV/0!</v>
      </c>
      <c r="V123" s="425">
        <f t="shared" si="48"/>
        <v>0</v>
      </c>
      <c r="W123" s="44" t="e">
        <f t="shared" si="49"/>
        <v>#DIV/0!</v>
      </c>
      <c r="X123" s="44" t="e">
        <f>T123+(W123/(B123*'RMCV.PB'!C123))*4200/FY</f>
        <v>#DIV/0!</v>
      </c>
      <c r="Y123" s="425" t="e">
        <f>IF('CG. MPB'!E124="CONCRETO","F/DISEÑO",IF(FY=4200,IF(X123&gt;0.002,"BIEN","MAL"),(IF(X123&gt;4200*0.002/FY,"BIEN","MAL"))))</f>
        <v>#DIV/0!</v>
      </c>
    </row>
    <row r="124" spans="1:25">
      <c r="A124" s="684">
        <f>'CG. MPB'!A125</f>
        <v>45</v>
      </c>
      <c r="B124" s="576">
        <f>'RMCV.PB'!B124</f>
        <v>0</v>
      </c>
      <c r="C124" s="579">
        <f t="shared" si="23"/>
        <v>-2</v>
      </c>
      <c r="D124" s="579">
        <f t="shared" si="24"/>
        <v>-4</v>
      </c>
      <c r="E124" s="576">
        <f>'RMCS.PB'!L124</f>
        <v>0</v>
      </c>
      <c r="F124" s="576">
        <f>'RMCV.PB'!O124*1.1/1.4</f>
        <v>0</v>
      </c>
      <c r="G124" s="580">
        <f>IF('CG. MPB'!D125="CONFINADO",0.71*4,0)</f>
        <v>2.84</v>
      </c>
      <c r="H124" s="576">
        <f>('RMCV.PB'!P124+(2*0.6*$G$18*G124))</f>
        <v>14313.599999999999</v>
      </c>
      <c r="I124" s="60">
        <f t="shared" si="25"/>
        <v>0.8</v>
      </c>
      <c r="J124" s="576">
        <f t="shared" si="26"/>
        <v>-38169.599999999999</v>
      </c>
      <c r="K124" s="918">
        <f>ABS('ELEM. MECA.'!H251)</f>
        <v>0</v>
      </c>
      <c r="L124" s="936">
        <f t="shared" si="27"/>
        <v>-38169.599999999999</v>
      </c>
      <c r="M124" s="685" t="str">
        <f>IF('CG. MPB'!E125="CONCRETO","F/DISEÑO",IF(K124&gt;L124,"NO PASA","PASA"))</f>
        <v>NO PASA</v>
      </c>
      <c r="N124" s="44">
        <f>IF('RMCV.PA'!C92*6&gt;80,80,'RMCV.PA'!C92*6)</f>
        <v>0</v>
      </c>
      <c r="O124" s="44" t="e">
        <f t="shared" si="44"/>
        <v>#DIV/0!</v>
      </c>
      <c r="P124" s="456" t="e">
        <f t="shared" si="45"/>
        <v>#DIV/0!</v>
      </c>
      <c r="Q124" s="351" t="e">
        <f>IF(P124=0,G124,$Q$25)/('RMCV.PB'!C124*(B124/(P124+1)))*4200/$Q$26</f>
        <v>#DIV/0!</v>
      </c>
      <c r="R124" s="425" t="e">
        <f t="shared" si="46"/>
        <v>#DIV/0!</v>
      </c>
      <c r="S124" s="44">
        <f t="shared" si="22"/>
        <v>40</v>
      </c>
      <c r="T124" s="44" t="e">
        <f>(4200/$T$26)*$T$25/('RMCV.PB'!C124*S124)</f>
        <v>#DIV/0!</v>
      </c>
      <c r="U124" s="425" t="e">
        <f t="shared" si="47"/>
        <v>#DIV/0!</v>
      </c>
      <c r="V124" s="425">
        <f t="shared" si="48"/>
        <v>0</v>
      </c>
      <c r="W124" s="44" t="e">
        <f t="shared" si="49"/>
        <v>#DIV/0!</v>
      </c>
      <c r="X124" s="44" t="e">
        <f>T124+(W124/(B124*'RMCV.PB'!C124))*4200/FY</f>
        <v>#DIV/0!</v>
      </c>
      <c r="Y124" s="425" t="e">
        <f>IF('CG. MPB'!E125="CONCRETO","F/DISEÑO",IF(FY=4200,IF(X124&gt;0.002,"BIEN","MAL"),(IF(X124&gt;4200*0.002/FY,"BIEN","MAL"))))</f>
        <v>#DIV/0!</v>
      </c>
    </row>
    <row r="125" spans="1:25">
      <c r="A125" s="684">
        <f>'CG. MPB'!A126</f>
        <v>46</v>
      </c>
      <c r="B125" s="576">
        <f>'RMCV.PB'!B125</f>
        <v>0</v>
      </c>
      <c r="C125" s="579">
        <f t="shared" si="23"/>
        <v>-2</v>
      </c>
      <c r="D125" s="579">
        <f t="shared" si="24"/>
        <v>-4</v>
      </c>
      <c r="E125" s="576">
        <f>'RMCS.PB'!L125</f>
        <v>0</v>
      </c>
      <c r="F125" s="576">
        <f>'RMCV.PB'!O125*1.1/1.4</f>
        <v>0</v>
      </c>
      <c r="G125" s="580">
        <f>IF('CG. MPB'!D126="CONFINADO",0.71*4,0)</f>
        <v>2.84</v>
      </c>
      <c r="H125" s="576">
        <f>('RMCV.PB'!P125+(2*0.6*$G$18*G125))</f>
        <v>14313.599999999999</v>
      </c>
      <c r="I125" s="60">
        <f t="shared" si="25"/>
        <v>0.8</v>
      </c>
      <c r="J125" s="576">
        <f t="shared" si="26"/>
        <v>-38169.599999999999</v>
      </c>
      <c r="K125" s="918">
        <f>ABS('ELEM. MECA.'!H252)</f>
        <v>0</v>
      </c>
      <c r="L125" s="936">
        <f t="shared" si="27"/>
        <v>-38169.599999999999</v>
      </c>
      <c r="M125" s="685" t="str">
        <f>IF('CG. MPB'!E126="CONCRETO","F/DISEÑO",IF(K125&gt;L125,"NO PASA","PASA"))</f>
        <v>NO PASA</v>
      </c>
      <c r="N125" s="44">
        <f>IF('RMCV.PA'!C93*6&gt;80,80,'RMCV.PA'!C93*6)</f>
        <v>0</v>
      </c>
      <c r="O125" s="44" t="e">
        <f t="shared" si="44"/>
        <v>#DIV/0!</v>
      </c>
      <c r="P125" s="456" t="e">
        <f t="shared" si="45"/>
        <v>#DIV/0!</v>
      </c>
      <c r="Q125" s="351" t="e">
        <f>IF(P125=0,G125,$Q$25)/('RMCV.PB'!C125*(B125/(P125+1)))*4200/$Q$26</f>
        <v>#DIV/0!</v>
      </c>
      <c r="R125" s="425" t="e">
        <f t="shared" si="46"/>
        <v>#DIV/0!</v>
      </c>
      <c r="S125" s="44">
        <f t="shared" si="22"/>
        <v>40</v>
      </c>
      <c r="T125" s="44" t="e">
        <f>(4200/$T$26)*$T$25/('RMCV.PB'!C125*S125)</f>
        <v>#DIV/0!</v>
      </c>
      <c r="U125" s="425" t="e">
        <f t="shared" si="47"/>
        <v>#DIV/0!</v>
      </c>
      <c r="V125" s="425">
        <f t="shared" si="48"/>
        <v>0</v>
      </c>
      <c r="W125" s="44" t="e">
        <f t="shared" si="49"/>
        <v>#DIV/0!</v>
      </c>
      <c r="X125" s="44" t="e">
        <f>T125+(W125/(B125*'RMCV.PB'!C125))*4200/FY</f>
        <v>#DIV/0!</v>
      </c>
      <c r="Y125" s="425" t="e">
        <f>IF('CG. MPB'!E126="CONCRETO","F/DISEÑO",IF(FY=4200,IF(X125&gt;0.002,"BIEN","MAL"),(IF(X125&gt;4200*0.002/FY,"BIEN","MAL"))))</f>
        <v>#DIV/0!</v>
      </c>
    </row>
    <row r="126" spans="1:25">
      <c r="A126" s="684">
        <f>'CG. MPB'!A127</f>
        <v>47</v>
      </c>
      <c r="B126" s="576">
        <f>'RMCV.PB'!B126</f>
        <v>0</v>
      </c>
      <c r="C126" s="579">
        <f t="shared" si="23"/>
        <v>-2</v>
      </c>
      <c r="D126" s="579">
        <f t="shared" si="24"/>
        <v>-4</v>
      </c>
      <c r="E126" s="576">
        <f>'RMCS.PB'!L126</f>
        <v>0</v>
      </c>
      <c r="F126" s="576">
        <f>'RMCV.PB'!O126*1.1/1.4</f>
        <v>0</v>
      </c>
      <c r="G126" s="580">
        <f>IF('CG. MPB'!D127="CONFINADO",0.71*4,0)</f>
        <v>2.84</v>
      </c>
      <c r="H126" s="576">
        <f>('RMCV.PB'!P126+(2*0.6*$G$18*G126))</f>
        <v>14313.599999999999</v>
      </c>
      <c r="I126" s="60">
        <f t="shared" si="25"/>
        <v>0.8</v>
      </c>
      <c r="J126" s="576">
        <f t="shared" si="26"/>
        <v>-38169.599999999999</v>
      </c>
      <c r="K126" s="918">
        <f>ABS('ELEM. MECA.'!H253)</f>
        <v>0</v>
      </c>
      <c r="L126" s="936">
        <f t="shared" si="27"/>
        <v>-38169.599999999999</v>
      </c>
      <c r="M126" s="685" t="str">
        <f>IF('CG. MPB'!E127="CONCRETO","F/DISEÑO",IF(K126&gt;L126,"NO PASA","PASA"))</f>
        <v>NO PASA</v>
      </c>
      <c r="N126" s="44">
        <f>IF('RMCV.PA'!C94*6&gt;80,80,'RMCV.PA'!C94*6)</f>
        <v>0</v>
      </c>
      <c r="O126" s="44" t="e">
        <f t="shared" si="44"/>
        <v>#DIV/0!</v>
      </c>
      <c r="P126" s="456" t="e">
        <f t="shared" si="45"/>
        <v>#DIV/0!</v>
      </c>
      <c r="Q126" s="351" t="e">
        <f>IF(P126=0,G126,$Q$25)/('RMCV.PB'!C126*(B126/(P126+1)))*4200/$Q$26</f>
        <v>#DIV/0!</v>
      </c>
      <c r="R126" s="425" t="e">
        <f t="shared" si="46"/>
        <v>#DIV/0!</v>
      </c>
      <c r="S126" s="44">
        <f t="shared" si="22"/>
        <v>40</v>
      </c>
      <c r="T126" s="44" t="e">
        <f>(4200/$T$26)*$T$25/('RMCV.PB'!C126*S126)</f>
        <v>#DIV/0!</v>
      </c>
      <c r="U126" s="425" t="e">
        <f t="shared" si="47"/>
        <v>#DIV/0!</v>
      </c>
      <c r="V126" s="425">
        <f t="shared" si="48"/>
        <v>0</v>
      </c>
      <c r="W126" s="44" t="e">
        <f t="shared" si="49"/>
        <v>#DIV/0!</v>
      </c>
      <c r="X126" s="44" t="e">
        <f>T126+(W126/(B126*'RMCV.PB'!C126))*4200/FY</f>
        <v>#DIV/0!</v>
      </c>
      <c r="Y126" s="425" t="e">
        <f>IF('CG. MPB'!E127="CONCRETO","F/DISEÑO",IF(FY=4200,IF(X126&gt;0.002,"BIEN","MAL"),(IF(X126&gt;4200*0.002/FY,"BIEN","MAL"))))</f>
        <v>#DIV/0!</v>
      </c>
    </row>
    <row r="127" spans="1:25">
      <c r="A127" s="684">
        <f>'CG. MPB'!A128</f>
        <v>48</v>
      </c>
      <c r="B127" s="576">
        <f>'RMCV.PB'!B127</f>
        <v>0</v>
      </c>
      <c r="C127" s="579">
        <f t="shared" si="23"/>
        <v>-2</v>
      </c>
      <c r="D127" s="579">
        <f t="shared" si="24"/>
        <v>-4</v>
      </c>
      <c r="E127" s="576">
        <f>'RMCS.PB'!L127</f>
        <v>0</v>
      </c>
      <c r="F127" s="576">
        <f>'RMCV.PB'!O127*1.1/1.4</f>
        <v>0</v>
      </c>
      <c r="G127" s="580">
        <f>IF('CG. MPB'!D128="CONFINADO",0.71*4,0)</f>
        <v>2.84</v>
      </c>
      <c r="H127" s="576">
        <f>('RMCV.PB'!P127+(2*0.6*$G$18*G127))</f>
        <v>14313.599999999999</v>
      </c>
      <c r="I127" s="60">
        <f t="shared" si="25"/>
        <v>0.8</v>
      </c>
      <c r="J127" s="576">
        <f t="shared" si="26"/>
        <v>-38169.599999999999</v>
      </c>
      <c r="K127" s="918">
        <f>ABS('ELEM. MECA.'!H254)</f>
        <v>0</v>
      </c>
      <c r="L127" s="936">
        <f t="shared" si="27"/>
        <v>-38169.599999999999</v>
      </c>
      <c r="M127" s="685" t="str">
        <f>IF('CG. MPB'!E128="CONCRETO","F/DISEÑO",IF(K127&gt;L127,"NO PASA","PASA"))</f>
        <v>NO PASA</v>
      </c>
      <c r="N127" s="44">
        <f>IF('RMCV.PA'!C95*6&gt;80,80,'RMCV.PA'!C95*6)</f>
        <v>0</v>
      </c>
      <c r="O127" s="44" t="e">
        <f t="shared" si="44"/>
        <v>#DIV/0!</v>
      </c>
      <c r="P127" s="456" t="e">
        <f t="shared" si="45"/>
        <v>#DIV/0!</v>
      </c>
      <c r="Q127" s="351" t="e">
        <f>IF(P127=0,G127,$Q$25)/('RMCV.PB'!C127*(B127/(P127+1)))*4200/$Q$26</f>
        <v>#DIV/0!</v>
      </c>
      <c r="R127" s="425" t="e">
        <f t="shared" si="46"/>
        <v>#DIV/0!</v>
      </c>
      <c r="S127" s="44">
        <f t="shared" si="22"/>
        <v>40</v>
      </c>
      <c r="T127" s="44" t="e">
        <f>(4200/$T$26)*$T$25/('RMCV.PB'!C127*S127)</f>
        <v>#DIV/0!</v>
      </c>
      <c r="U127" s="425" t="e">
        <f t="shared" si="47"/>
        <v>#DIV/0!</v>
      </c>
      <c r="V127" s="425">
        <f t="shared" si="48"/>
        <v>0</v>
      </c>
      <c r="W127" s="44" t="e">
        <f t="shared" si="49"/>
        <v>#DIV/0!</v>
      </c>
      <c r="X127" s="44" t="e">
        <f>T127+(W127/(B127*'RMCV.PB'!C127))*4200/FY</f>
        <v>#DIV/0!</v>
      </c>
      <c r="Y127" s="425" t="e">
        <f>IF('CG. MPB'!E128="CONCRETO","F/DISEÑO",IF(FY=4200,IF(X127&gt;0.002,"BIEN","MAL"),(IF(X127&gt;4200*0.002/FY,"BIEN","MAL"))))</f>
        <v>#DIV/0!</v>
      </c>
    </row>
    <row r="128" spans="1:25">
      <c r="A128" s="684">
        <f>'CG. MPB'!A129</f>
        <v>49</v>
      </c>
      <c r="B128" s="576">
        <f>'RMCV.PB'!B128</f>
        <v>0</v>
      </c>
      <c r="C128" s="579">
        <f t="shared" si="23"/>
        <v>-2</v>
      </c>
      <c r="D128" s="579">
        <f t="shared" si="24"/>
        <v>-4</v>
      </c>
      <c r="E128" s="576">
        <f>'RMCS.PB'!L128</f>
        <v>0</v>
      </c>
      <c r="F128" s="576">
        <f>'RMCV.PB'!O128*1.1/1.4</f>
        <v>0</v>
      </c>
      <c r="G128" s="580">
        <f>IF('CG. MPB'!D129="CONFINADO",0.71*4,0)</f>
        <v>2.84</v>
      </c>
      <c r="H128" s="576">
        <f>('RMCV.PB'!P128+(2*0.6*$G$18*G128))</f>
        <v>14313.599999999999</v>
      </c>
      <c r="I128" s="60">
        <f t="shared" si="25"/>
        <v>0.8</v>
      </c>
      <c r="J128" s="576">
        <f t="shared" si="26"/>
        <v>-38169.599999999999</v>
      </c>
      <c r="K128" s="918">
        <f>ABS('ELEM. MECA.'!H255)</f>
        <v>0</v>
      </c>
      <c r="L128" s="936">
        <f t="shared" si="27"/>
        <v>-38169.599999999999</v>
      </c>
      <c r="M128" s="685" t="str">
        <f>IF('CG. MPB'!E129="CONCRETO","F/DISEÑO",IF(K128&gt;L128,"NO PASA","PASA"))</f>
        <v>NO PASA</v>
      </c>
      <c r="N128" s="44"/>
      <c r="O128" s="44"/>
      <c r="P128" s="44"/>
      <c r="Q128" s="44"/>
      <c r="R128" s="44"/>
      <c r="S128" s="44"/>
      <c r="T128" s="44"/>
      <c r="U128" s="44"/>
      <c r="V128" s="44"/>
      <c r="W128" s="44"/>
      <c r="X128" s="44"/>
      <c r="Y128" s="44"/>
    </row>
    <row r="129" spans="1:25" ht="15.75" thickBot="1">
      <c r="A129" s="686">
        <f>'CG. MPB'!A130</f>
        <v>50</v>
      </c>
      <c r="B129" s="687">
        <f>'RMCV.PB'!B129</f>
        <v>0</v>
      </c>
      <c r="C129" s="706">
        <f t="shared" si="23"/>
        <v>-2</v>
      </c>
      <c r="D129" s="706">
        <f t="shared" si="24"/>
        <v>-4</v>
      </c>
      <c r="E129" s="687">
        <f>'RMCS.PB'!L129</f>
        <v>0</v>
      </c>
      <c r="F129" s="687">
        <f>'RMCV.PB'!O129*1.1/1.4</f>
        <v>0</v>
      </c>
      <c r="G129" s="906">
        <f>IF('CG. MPB'!D130="CONFINADO",0.71*4,0)</f>
        <v>2.84</v>
      </c>
      <c r="H129" s="687">
        <f>('RMCV.PB'!P129+(2*0.6*$G$18*G129))</f>
        <v>14313.599999999999</v>
      </c>
      <c r="I129" s="708">
        <f t="shared" si="25"/>
        <v>0.8</v>
      </c>
      <c r="J129" s="687">
        <f t="shared" si="26"/>
        <v>-38169.599999999999</v>
      </c>
      <c r="K129" s="948">
        <f>ABS('ELEM. MECA.'!H256)</f>
        <v>0</v>
      </c>
      <c r="L129" s="945">
        <f t="shared" si="27"/>
        <v>-38169.599999999999</v>
      </c>
      <c r="M129" s="875" t="str">
        <f>IF('CG. MPB'!E130="CONCRETO","F/DISEÑO",IF(K129&gt;L129,"NO PASA","PASA"))</f>
        <v>NO PASA</v>
      </c>
      <c r="N129" s="44"/>
      <c r="O129" s="44"/>
      <c r="P129" s="44"/>
      <c r="Q129" s="44"/>
      <c r="R129" s="44"/>
      <c r="S129" s="44"/>
      <c r="T129" s="44"/>
      <c r="U129" s="44"/>
      <c r="V129" s="44"/>
      <c r="W129" s="44"/>
      <c r="X129" s="44"/>
      <c r="Y129" s="44"/>
    </row>
    <row r="130" spans="1:25">
      <c r="N130" s="44"/>
      <c r="O130" s="44"/>
      <c r="P130" s="44"/>
      <c r="Q130" s="44"/>
      <c r="R130" s="44"/>
      <c r="S130" s="44"/>
      <c r="T130" s="44"/>
      <c r="U130" s="44"/>
      <c r="V130" s="44"/>
      <c r="W130" s="44"/>
      <c r="X130" s="44"/>
      <c r="Y130" s="44"/>
    </row>
    <row r="131" spans="1:25">
      <c r="N131" s="44"/>
      <c r="O131" s="44"/>
      <c r="P131" s="44"/>
      <c r="Q131" s="44"/>
      <c r="R131" s="44"/>
      <c r="S131" s="44"/>
      <c r="T131" s="44"/>
      <c r="U131" s="44"/>
      <c r="V131" s="44"/>
      <c r="W131" s="44"/>
      <c r="X131" s="44"/>
      <c r="Y131" s="44"/>
    </row>
    <row r="132" spans="1:25">
      <c r="N132" s="44"/>
      <c r="O132" s="44"/>
      <c r="P132" s="44"/>
      <c r="Q132" s="44"/>
      <c r="R132" s="44"/>
      <c r="S132" s="44"/>
      <c r="T132" s="44"/>
      <c r="U132" s="44"/>
      <c r="V132" s="44"/>
      <c r="W132" s="44"/>
      <c r="X132" s="44"/>
      <c r="Y132" s="44"/>
    </row>
    <row r="133" spans="1:25">
      <c r="N133" s="44"/>
      <c r="O133" s="44"/>
      <c r="P133" s="44"/>
      <c r="Q133" s="44"/>
      <c r="R133" s="44"/>
      <c r="S133" s="44"/>
      <c r="T133" s="44"/>
      <c r="U133" s="44"/>
      <c r="V133" s="44"/>
      <c r="W133" s="44"/>
      <c r="X133" s="44"/>
      <c r="Y133" s="44"/>
    </row>
    <row r="134" spans="1:25">
      <c r="N134" s="44"/>
      <c r="O134" s="44"/>
      <c r="P134" s="44"/>
      <c r="Q134" s="44"/>
      <c r="R134" s="44"/>
      <c r="S134" s="44"/>
      <c r="T134" s="44"/>
      <c r="U134" s="44"/>
      <c r="V134" s="44"/>
      <c r="W134" s="44"/>
      <c r="X134" s="44"/>
      <c r="Y134" s="44"/>
    </row>
    <row r="135" spans="1:25">
      <c r="N135" s="44"/>
      <c r="O135" s="44"/>
      <c r="P135" s="44"/>
      <c r="Q135" s="44"/>
      <c r="R135" s="44"/>
      <c r="S135" s="44"/>
      <c r="T135" s="44"/>
      <c r="U135" s="44"/>
      <c r="V135" s="44"/>
      <c r="W135" s="44"/>
      <c r="X135" s="44"/>
      <c r="Y135" s="44"/>
    </row>
    <row r="136" spans="1:25">
      <c r="N136" s="44"/>
      <c r="O136" s="44"/>
      <c r="P136" s="44"/>
      <c r="Q136" s="44"/>
      <c r="R136" s="44"/>
      <c r="S136" s="44"/>
      <c r="T136" s="44"/>
      <c r="U136" s="44"/>
      <c r="V136" s="44"/>
      <c r="W136" s="44"/>
      <c r="X136" s="44"/>
      <c r="Y136" s="44"/>
    </row>
    <row r="137" spans="1:25">
      <c r="N137" s="44"/>
      <c r="O137" s="44"/>
      <c r="P137" s="44"/>
      <c r="Q137" s="44"/>
      <c r="R137" s="44"/>
      <c r="S137" s="44"/>
      <c r="T137" s="44"/>
      <c r="U137" s="44"/>
      <c r="V137" s="44"/>
      <c r="W137" s="44"/>
      <c r="X137" s="44"/>
      <c r="Y137" s="44"/>
    </row>
    <row r="138" spans="1:25">
      <c r="N138" s="44"/>
      <c r="O138" s="44"/>
      <c r="P138" s="44"/>
      <c r="Q138" s="44"/>
      <c r="R138" s="44"/>
      <c r="S138" s="44"/>
      <c r="T138" s="44"/>
      <c r="U138" s="44"/>
      <c r="V138" s="44"/>
      <c r="W138" s="44"/>
      <c r="X138" s="44"/>
      <c r="Y138" s="44"/>
    </row>
    <row r="139" spans="1:25">
      <c r="N139" s="44"/>
      <c r="O139" s="44"/>
      <c r="P139" s="44"/>
      <c r="Q139" s="44"/>
      <c r="R139" s="44"/>
      <c r="S139" s="44"/>
      <c r="T139" s="44"/>
      <c r="U139" s="44"/>
      <c r="V139" s="44"/>
      <c r="W139" s="44"/>
      <c r="X139" s="44"/>
      <c r="Y139" s="44"/>
    </row>
    <row r="140" spans="1:25">
      <c r="N140" s="44"/>
      <c r="O140" s="44"/>
      <c r="P140" s="44"/>
      <c r="Q140" s="44"/>
      <c r="R140" s="44"/>
      <c r="S140" s="44"/>
      <c r="T140" s="44"/>
      <c r="U140" s="44"/>
      <c r="V140" s="44"/>
      <c r="W140" s="44"/>
      <c r="X140" s="44"/>
      <c r="Y140" s="44"/>
    </row>
    <row r="141" spans="1:25">
      <c r="N141" s="44"/>
      <c r="O141" s="44"/>
      <c r="P141" s="44"/>
      <c r="Q141" s="44"/>
      <c r="R141" s="44"/>
      <c r="S141" s="44"/>
      <c r="T141" s="44"/>
      <c r="U141" s="44"/>
      <c r="V141" s="44"/>
      <c r="W141" s="44"/>
      <c r="X141" s="44"/>
      <c r="Y141" s="44"/>
    </row>
    <row r="142" spans="1:25">
      <c r="N142" s="44"/>
      <c r="O142" s="44"/>
      <c r="P142" s="44"/>
      <c r="Q142" s="44"/>
      <c r="R142" s="44"/>
      <c r="S142" s="44"/>
      <c r="T142" s="44"/>
      <c r="U142" s="44"/>
      <c r="V142" s="44"/>
      <c r="W142" s="44"/>
      <c r="X142" s="44"/>
      <c r="Y142" s="44"/>
    </row>
    <row r="143" spans="1:25">
      <c r="N143" s="44"/>
      <c r="O143" s="44"/>
      <c r="P143" s="44"/>
      <c r="Q143" s="44"/>
      <c r="R143" s="44"/>
      <c r="S143" s="44"/>
      <c r="T143" s="44"/>
      <c r="U143" s="44"/>
      <c r="V143" s="44"/>
      <c r="W143" s="44"/>
      <c r="X143" s="44"/>
      <c r="Y143" s="44"/>
    </row>
    <row r="144" spans="1:25">
      <c r="N144" s="44"/>
      <c r="O144" s="44"/>
      <c r="P144" s="44"/>
      <c r="Q144" s="44"/>
      <c r="R144" s="44"/>
      <c r="S144" s="44"/>
      <c r="T144" s="44"/>
      <c r="U144" s="44"/>
      <c r="V144" s="44"/>
      <c r="W144" s="44"/>
      <c r="X144" s="44"/>
      <c r="Y144" s="44"/>
    </row>
    <row r="145" spans="14:25">
      <c r="N145" s="44"/>
      <c r="O145" s="44"/>
      <c r="P145" s="44"/>
      <c r="Q145" s="44"/>
      <c r="R145" s="44"/>
      <c r="S145" s="44"/>
      <c r="T145" s="44"/>
      <c r="U145" s="44"/>
      <c r="V145" s="44"/>
      <c r="W145" s="44"/>
      <c r="X145" s="44"/>
      <c r="Y145" s="44"/>
    </row>
    <row r="146" spans="14:25">
      <c r="N146" s="44"/>
      <c r="O146" s="44"/>
      <c r="P146" s="44"/>
      <c r="Q146" s="44"/>
      <c r="R146" s="44"/>
      <c r="S146" s="44"/>
      <c r="T146" s="44"/>
      <c r="U146" s="44"/>
      <c r="V146" s="44"/>
      <c r="W146" s="44"/>
      <c r="X146" s="44"/>
      <c r="Y146" s="44"/>
    </row>
    <row r="147" spans="14:25">
      <c r="N147" s="44"/>
      <c r="O147" s="44"/>
      <c r="P147" s="44"/>
      <c r="Q147" s="44"/>
      <c r="R147" s="44"/>
      <c r="S147" s="44"/>
      <c r="T147" s="44"/>
      <c r="U147" s="44"/>
      <c r="V147" s="44"/>
      <c r="W147" s="44"/>
      <c r="X147" s="44"/>
      <c r="Y147" s="44"/>
    </row>
    <row r="148" spans="14:25">
      <c r="N148" s="44"/>
      <c r="O148" s="44"/>
      <c r="P148" s="44"/>
      <c r="Q148" s="44"/>
      <c r="R148" s="44"/>
      <c r="S148" s="44"/>
      <c r="T148" s="44"/>
      <c r="U148" s="44"/>
      <c r="V148" s="44"/>
      <c r="W148" s="44"/>
      <c r="X148" s="44"/>
      <c r="Y148" s="44"/>
    </row>
    <row r="149" spans="14:25">
      <c r="N149" s="44"/>
      <c r="O149" s="44"/>
      <c r="P149" s="44"/>
      <c r="Q149" s="44"/>
      <c r="R149" s="44"/>
      <c r="S149" s="44"/>
      <c r="T149" s="44"/>
      <c r="U149" s="44"/>
      <c r="V149" s="44"/>
      <c r="W149" s="44"/>
      <c r="X149" s="44"/>
      <c r="Y149" s="44"/>
    </row>
    <row r="150" spans="14:25">
      <c r="N150" s="44"/>
      <c r="O150" s="44"/>
      <c r="P150" s="44"/>
      <c r="Q150" s="44"/>
      <c r="R150" s="44"/>
      <c r="S150" s="44"/>
      <c r="T150" s="44"/>
      <c r="U150" s="44"/>
      <c r="V150" s="44"/>
      <c r="W150" s="44"/>
      <c r="X150" s="44"/>
      <c r="Y150" s="44"/>
    </row>
  </sheetData>
  <mergeCells count="12">
    <mergeCell ref="X25:Y25"/>
    <mergeCell ref="X26:Y26"/>
    <mergeCell ref="Q24:R24"/>
    <mergeCell ref="T24:U24"/>
    <mergeCell ref="N21:Y22"/>
    <mergeCell ref="A21:M22"/>
    <mergeCell ref="X23:Y23"/>
    <mergeCell ref="X24:Y24"/>
    <mergeCell ref="K23:L23"/>
    <mergeCell ref="A23:B23"/>
    <mergeCell ref="N23:R23"/>
    <mergeCell ref="S23:U23"/>
  </mergeCells>
  <phoneticPr fontId="0" type="noConversion"/>
  <conditionalFormatting sqref="M1:M1048576">
    <cfRule type="containsText" dxfId="9" priority="1" operator="containsText" text="NO PASA">
      <formula>NOT(ISERROR(SEARCH("NO PASA",M1)))</formula>
    </cfRule>
    <cfRule type="containsText" dxfId="8" priority="2" operator="containsText" text="PASA">
      <formula>NOT(ISERROR(SEARCH("PASA",M1)))</formula>
    </cfRule>
  </conditionalFormatting>
  <pageMargins left="0.59055118110236227" right="0.39370078740157483" top="0.39370078740157483" bottom="0.39370078740157483" header="0" footer="0"/>
  <pageSetup scale="60" orientation="portrait" horizontalDpi="300" verticalDpi="300" r:id="rId1"/>
  <headerFooter alignWithMargins="0">
    <oddFooter>&amp;L&amp;"Arial,Normal"TEL (FAX) 01 951 51 4 28 30&amp;C______________________________________________________________________________________________________________________________________________________
.&amp;R&amp;"Arial,Normal"CED.  PROF. 1718634</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CD955-06BD-4061-95E9-BB46ADEC326C}">
  <sheetPr codeName="Hoja10">
    <tabColor rgb="FF00B0F0"/>
  </sheetPr>
  <dimension ref="A1:Y132"/>
  <sheetViews>
    <sheetView showGridLines="0" zoomScale="109" workbookViewId="0">
      <selection activeCell="A13" sqref="A13:M86"/>
    </sheetView>
  </sheetViews>
  <sheetFormatPr baseColWidth="10" defaultColWidth="11" defaultRowHeight="15"/>
  <cols>
    <col min="1" max="1" width="7.5" style="4" customWidth="1"/>
    <col min="2" max="2" width="7.625" style="4" customWidth="1"/>
    <col min="3" max="3" width="8.125" style="4" bestFit="1" customWidth="1"/>
    <col min="4" max="4" width="7.625" style="4" customWidth="1"/>
    <col min="5" max="5" width="8.25" style="4" customWidth="1"/>
    <col min="6" max="6" width="8.125" style="4" bestFit="1" customWidth="1"/>
    <col min="7" max="7" width="7.5" style="4" customWidth="1"/>
    <col min="8" max="8" width="9.5" style="4" bestFit="1" customWidth="1"/>
    <col min="9" max="9" width="9.125" style="4" customWidth="1"/>
    <col min="10" max="10" width="13.25" style="4" bestFit="1" customWidth="1"/>
    <col min="11" max="12" width="15.25" style="909" bestFit="1" customWidth="1"/>
    <col min="13" max="13" width="12.5" style="4" customWidth="1"/>
    <col min="14" max="25" width="11" style="4" hidden="1" customWidth="1"/>
    <col min="26" max="26" width="0" style="4" hidden="1" customWidth="1"/>
    <col min="27" max="16384" width="11" style="4"/>
  </cols>
  <sheetData>
    <row r="1" spans="1:13" customFormat="1" ht="12.75">
      <c r="A1" s="518"/>
      <c r="B1" s="518"/>
      <c r="C1" s="518"/>
      <c r="D1" s="518"/>
      <c r="E1" s="518"/>
      <c r="F1" s="518"/>
      <c r="G1" s="518"/>
      <c r="H1" s="518"/>
      <c r="I1" s="518"/>
      <c r="K1" s="907"/>
      <c r="L1" s="907"/>
    </row>
    <row r="2" spans="1:13" customFormat="1" ht="12.75">
      <c r="A2" s="518"/>
      <c r="B2" s="518"/>
      <c r="C2" s="518"/>
      <c r="D2" s="518"/>
      <c r="E2" s="518"/>
      <c r="F2" s="518"/>
      <c r="G2" s="518"/>
      <c r="H2" s="518"/>
      <c r="I2" s="518"/>
      <c r="K2" s="907"/>
      <c r="L2" s="907"/>
    </row>
    <row r="3" spans="1:13" customFormat="1" ht="12.75">
      <c r="A3" s="518"/>
      <c r="B3" s="518"/>
      <c r="C3" s="518"/>
      <c r="D3" s="518"/>
      <c r="E3" s="518"/>
      <c r="F3" s="518"/>
      <c r="G3" s="518"/>
      <c r="H3" s="518"/>
      <c r="I3" s="518"/>
      <c r="K3" s="907"/>
      <c r="L3" s="907"/>
    </row>
    <row r="4" spans="1:13" customFormat="1" ht="12.75">
      <c r="A4" s="518"/>
      <c r="B4" s="518"/>
      <c r="C4" s="518"/>
      <c r="D4" s="518"/>
      <c r="E4" s="518"/>
      <c r="F4" s="518"/>
      <c r="G4" s="518"/>
      <c r="H4" s="518"/>
      <c r="I4" s="518"/>
      <c r="K4" s="907"/>
      <c r="L4" s="907"/>
    </row>
    <row r="5" spans="1:13" customFormat="1" ht="12.75">
      <c r="A5" s="518"/>
      <c r="B5" s="518"/>
      <c r="C5" s="518"/>
      <c r="D5" s="518"/>
      <c r="E5" s="518"/>
      <c r="F5" s="518"/>
      <c r="G5" s="518"/>
      <c r="H5" s="518"/>
      <c r="I5" s="518"/>
      <c r="K5" s="907"/>
      <c r="L5" s="907"/>
    </row>
    <row r="6" spans="1:13" customFormat="1" ht="12.75">
      <c r="A6" s="518"/>
      <c r="B6" s="518"/>
      <c r="C6" s="518"/>
      <c r="D6" s="518"/>
      <c r="E6" s="518"/>
      <c r="F6" s="518"/>
      <c r="G6" s="518"/>
      <c r="H6" s="518"/>
      <c r="I6" s="518"/>
      <c r="K6" s="907"/>
      <c r="L6" s="907"/>
    </row>
    <row r="7" spans="1:13">
      <c r="A7" s="4" t="str">
        <f>'CG. MPB'!A7</f>
        <v>PROPIETARIO   : ING. ROLANDO ORTIZ RAMOS</v>
      </c>
    </row>
    <row r="8" spans="1:13">
      <c r="A8" s="4" t="str">
        <f>'CG. MPB'!A8</f>
        <v xml:space="preserve">OBRA                   : </v>
      </c>
    </row>
    <row r="9" spans="1:13">
      <c r="A9" s="4" t="str">
        <f>'CG. MPB'!A9</f>
        <v>LOCALIZACION : 1ª PRIVADA 13 DE SEPTIEMBRE, COL. VICENTE SUAREZ</v>
      </c>
    </row>
    <row r="10" spans="1:13" hidden="1">
      <c r="A10" s="4">
        <f>'CG. MPB'!A10</f>
        <v>0</v>
      </c>
    </row>
    <row r="11" spans="1:13" hidden="1">
      <c r="A11" s="4" t="str">
        <f>'CG. MPB'!A11</f>
        <v>TABLA No. 1</v>
      </c>
    </row>
    <row r="12" spans="1:13" ht="15.75" thickBot="1"/>
    <row r="13" spans="1:13" ht="15.75">
      <c r="A13" s="670"/>
      <c r="B13" s="209"/>
      <c r="C13" s="209"/>
      <c r="D13" s="209"/>
      <c r="E13" s="209"/>
      <c r="F13" s="209"/>
      <c r="G13" s="209"/>
      <c r="H13" s="209"/>
      <c r="I13" s="209"/>
      <c r="J13" s="209"/>
      <c r="K13" s="967"/>
      <c r="L13" s="967"/>
      <c r="M13" s="701"/>
    </row>
    <row r="14" spans="1:13" ht="20.25">
      <c r="A14" s="673" t="s">
        <v>134</v>
      </c>
      <c r="B14" s="94"/>
      <c r="C14" s="94"/>
      <c r="D14" s="94"/>
      <c r="E14" s="94"/>
      <c r="F14" s="94"/>
      <c r="G14" s="94"/>
      <c r="H14" s="94"/>
      <c r="I14" s="94"/>
      <c r="J14" s="94"/>
      <c r="K14" s="968"/>
      <c r="L14" s="968"/>
      <c r="M14" s="702"/>
    </row>
    <row r="15" spans="1:13" ht="15.75">
      <c r="A15" s="646" t="str">
        <f>'CG. MPA'!A15:F15</f>
        <v>PRIMER NIVEL</v>
      </c>
      <c r="B15" s="94"/>
      <c r="C15" s="94"/>
      <c r="D15" s="94"/>
      <c r="E15" s="94"/>
      <c r="F15" s="94"/>
      <c r="G15" s="94"/>
      <c r="H15" s="94"/>
      <c r="I15" s="94"/>
      <c r="J15" s="94"/>
      <c r="K15" s="968"/>
      <c r="L15" s="968"/>
      <c r="M15" s="702"/>
    </row>
    <row r="16" spans="1:13" ht="15.75" thickBot="1">
      <c r="A16" s="703"/>
      <c r="B16" s="95"/>
      <c r="C16" s="95"/>
      <c r="D16" s="95"/>
      <c r="E16" s="95"/>
      <c r="F16" s="95"/>
      <c r="G16" s="95"/>
      <c r="H16" s="95"/>
      <c r="I16" s="95"/>
      <c r="J16" s="95"/>
      <c r="K16" s="969"/>
      <c r="L16" s="969"/>
      <c r="M16" s="704"/>
    </row>
    <row r="17" spans="1:25" ht="15.75" thickTop="1">
      <c r="A17" s="698"/>
      <c r="M17" s="210"/>
    </row>
    <row r="18" spans="1:25" ht="19.5" customHeight="1">
      <c r="A18" s="698"/>
      <c r="G18" s="232" t="s">
        <v>78</v>
      </c>
      <c r="H18" s="233">
        <v>4200</v>
      </c>
      <c r="I18" s="234" t="s">
        <v>194</v>
      </c>
      <c r="J18" s="72"/>
      <c r="M18" s="210"/>
      <c r="N18" s="459"/>
    </row>
    <row r="19" spans="1:25" ht="15.75" hidden="1" customHeight="1">
      <c r="A19" s="588" t="s">
        <v>91</v>
      </c>
      <c r="B19" s="26" t="s">
        <v>92</v>
      </c>
      <c r="C19" s="26" t="s">
        <v>93</v>
      </c>
      <c r="D19" s="26" t="s">
        <v>94</v>
      </c>
      <c r="E19" s="26" t="s">
        <v>95</v>
      </c>
      <c r="F19" s="26" t="s">
        <v>97</v>
      </c>
      <c r="G19" s="26" t="s">
        <v>99</v>
      </c>
      <c r="H19" s="26" t="s">
        <v>100</v>
      </c>
      <c r="I19" s="26" t="s">
        <v>101</v>
      </c>
      <c r="J19" s="26" t="s">
        <v>102</v>
      </c>
      <c r="K19" s="913" t="s">
        <v>103</v>
      </c>
      <c r="L19" s="913" t="s">
        <v>104</v>
      </c>
      <c r="M19" s="589" t="s">
        <v>105</v>
      </c>
    </row>
    <row r="20" spans="1:25" ht="15.75" customHeight="1" thickBot="1">
      <c r="A20" s="588"/>
      <c r="B20" s="26"/>
      <c r="C20" s="26"/>
      <c r="D20" s="26"/>
      <c r="E20" s="26"/>
      <c r="F20" s="26"/>
      <c r="G20" s="26"/>
      <c r="H20" s="26"/>
      <c r="I20" s="26"/>
      <c r="J20" s="26"/>
      <c r="K20" s="913"/>
      <c r="L20" s="913"/>
      <c r="M20" s="589"/>
    </row>
    <row r="21" spans="1:25" ht="15.75" customHeight="1">
      <c r="A21" s="1141" t="s">
        <v>375</v>
      </c>
      <c r="B21" s="1142"/>
      <c r="C21" s="1142"/>
      <c r="D21" s="1142"/>
      <c r="E21" s="1142"/>
      <c r="F21" s="1142"/>
      <c r="G21" s="1142"/>
      <c r="H21" s="1142"/>
      <c r="I21" s="1142"/>
      <c r="J21" s="1142"/>
      <c r="K21" s="1142"/>
      <c r="L21" s="1142"/>
      <c r="M21" s="1143"/>
      <c r="N21" s="1157" t="s">
        <v>376</v>
      </c>
      <c r="O21" s="1157"/>
      <c r="P21" s="1157"/>
      <c r="Q21" s="1157"/>
      <c r="R21" s="1157"/>
      <c r="S21" s="1157"/>
      <c r="T21" s="1157"/>
      <c r="U21" s="1157"/>
      <c r="V21" s="1157"/>
      <c r="W21" s="1157"/>
      <c r="X21" s="1157"/>
      <c r="Y21" s="1158"/>
    </row>
    <row r="22" spans="1:25" ht="15.75" thickBot="1">
      <c r="A22" s="1144"/>
      <c r="B22" s="1145"/>
      <c r="C22" s="1145"/>
      <c r="D22" s="1145"/>
      <c r="E22" s="1145"/>
      <c r="F22" s="1145"/>
      <c r="G22" s="1145"/>
      <c r="H22" s="1145"/>
      <c r="I22" s="1145"/>
      <c r="J22" s="1145"/>
      <c r="K22" s="1145"/>
      <c r="L22" s="1145"/>
      <c r="M22" s="1146"/>
      <c r="N22" s="1159"/>
      <c r="O22" s="1159"/>
      <c r="P22" s="1159"/>
      <c r="Q22" s="1159"/>
      <c r="R22" s="1159"/>
      <c r="S22" s="1159"/>
      <c r="T22" s="1159"/>
      <c r="U22" s="1159"/>
      <c r="V22" s="1159"/>
      <c r="W22" s="1159"/>
      <c r="X22" s="1159"/>
      <c r="Y22" s="1160"/>
    </row>
    <row r="23" spans="1:25" ht="15.75">
      <c r="A23" s="1151" t="s">
        <v>117</v>
      </c>
      <c r="B23" s="1135"/>
      <c r="C23" s="26"/>
      <c r="D23" s="52"/>
      <c r="E23" s="26"/>
      <c r="F23" s="26"/>
      <c r="G23" s="26"/>
      <c r="H23" s="52"/>
      <c r="I23" s="26"/>
      <c r="J23" s="52"/>
      <c r="K23" s="1149" t="s">
        <v>133</v>
      </c>
      <c r="L23" s="1150"/>
      <c r="M23" s="589"/>
      <c r="N23" s="1152" t="s">
        <v>355</v>
      </c>
      <c r="O23" s="1152"/>
      <c r="P23" s="1152"/>
      <c r="Q23" s="1152"/>
      <c r="R23" s="1153"/>
      <c r="S23" s="1154" t="s">
        <v>356</v>
      </c>
      <c r="T23" s="1152"/>
      <c r="U23" s="1153"/>
      <c r="V23" s="48" t="s">
        <v>127</v>
      </c>
      <c r="W23" s="36"/>
      <c r="X23" s="1147" t="s">
        <v>372</v>
      </c>
      <c r="Y23" s="1148"/>
    </row>
    <row r="24" spans="1:25" ht="18.75">
      <c r="A24" s="588" t="s">
        <v>4</v>
      </c>
      <c r="B24" s="52" t="s">
        <v>109</v>
      </c>
      <c r="C24" s="26" t="s">
        <v>80</v>
      </c>
      <c r="D24" s="52" t="s">
        <v>81</v>
      </c>
      <c r="E24" s="26" t="s">
        <v>7</v>
      </c>
      <c r="F24" s="26" t="s">
        <v>82</v>
      </c>
      <c r="G24" s="26" t="s">
        <v>10</v>
      </c>
      <c r="H24" s="52" t="s">
        <v>202</v>
      </c>
      <c r="I24" s="26" t="s">
        <v>199</v>
      </c>
      <c r="J24" s="52" t="s">
        <v>83</v>
      </c>
      <c r="K24" s="913" t="s">
        <v>8</v>
      </c>
      <c r="L24" s="932" t="s">
        <v>203</v>
      </c>
      <c r="M24" s="589" t="s">
        <v>121</v>
      </c>
      <c r="N24" s="24" t="s">
        <v>351</v>
      </c>
      <c r="O24" s="27" t="s">
        <v>352</v>
      </c>
      <c r="Q24" s="1155" t="s">
        <v>19</v>
      </c>
      <c r="R24" s="1156"/>
      <c r="S24" s="92" t="s">
        <v>305</v>
      </c>
      <c r="T24" s="1154" t="s">
        <v>17</v>
      </c>
      <c r="U24" s="1153"/>
      <c r="V24" s="36" t="s">
        <v>353</v>
      </c>
      <c r="W24" s="458" t="s">
        <v>10</v>
      </c>
      <c r="X24" s="1147" t="s">
        <v>373</v>
      </c>
      <c r="Y24" s="1148"/>
    </row>
    <row r="25" spans="1:25" ht="18.75">
      <c r="A25" s="680"/>
      <c r="B25" s="56" t="s">
        <v>84</v>
      </c>
      <c r="C25" s="29" t="s">
        <v>84</v>
      </c>
      <c r="D25" s="56" t="s">
        <v>84</v>
      </c>
      <c r="E25" s="29" t="s">
        <v>85</v>
      </c>
      <c r="F25" s="29" t="s">
        <v>85</v>
      </c>
      <c r="G25" s="29" t="s">
        <v>193</v>
      </c>
      <c r="H25" s="56" t="s">
        <v>85</v>
      </c>
      <c r="I25" s="29"/>
      <c r="J25" s="56" t="s">
        <v>86</v>
      </c>
      <c r="K25" s="933" t="s">
        <v>115</v>
      </c>
      <c r="L25" s="915" t="s">
        <v>276</v>
      </c>
      <c r="M25" s="681"/>
      <c r="N25" s="700" t="s">
        <v>354</v>
      </c>
      <c r="O25" s="27" t="s">
        <v>353</v>
      </c>
      <c r="Q25" s="426">
        <v>0.71</v>
      </c>
      <c r="R25" s="36" t="s">
        <v>357</v>
      </c>
      <c r="S25" s="430">
        <v>10</v>
      </c>
      <c r="T25" s="426">
        <v>0.71</v>
      </c>
      <c r="U25" s="92" t="s">
        <v>357</v>
      </c>
      <c r="V25" s="431" t="s">
        <v>371</v>
      </c>
      <c r="W25" s="48" t="s">
        <v>112</v>
      </c>
      <c r="X25" s="1147" t="s">
        <v>374</v>
      </c>
      <c r="Y25" s="1148"/>
    </row>
    <row r="26" spans="1:25" ht="15.75" hidden="1">
      <c r="A26" s="680"/>
      <c r="B26" s="56"/>
      <c r="C26" s="29"/>
      <c r="D26" s="56"/>
      <c r="E26" s="29"/>
      <c r="F26" s="29"/>
      <c r="G26" s="29"/>
      <c r="H26" s="56"/>
      <c r="I26" s="29"/>
      <c r="J26" s="56"/>
      <c r="K26" s="933"/>
      <c r="L26" s="915"/>
      <c r="M26" s="681"/>
      <c r="N26" s="30"/>
      <c r="O26" s="30"/>
      <c r="P26" s="82"/>
      <c r="Q26" s="427">
        <v>4200</v>
      </c>
      <c r="R26" s="41" t="s">
        <v>358</v>
      </c>
      <c r="S26" s="49"/>
      <c r="T26" s="427">
        <v>4200</v>
      </c>
      <c r="U26" s="49" t="s">
        <v>358</v>
      </c>
      <c r="V26" s="49"/>
      <c r="W26" s="49"/>
      <c r="X26" s="1154"/>
      <c r="Y26" s="1153"/>
    </row>
    <row r="27" spans="1:25" ht="15.75" hidden="1">
      <c r="A27" s="649"/>
      <c r="B27" s="46"/>
      <c r="C27" s="46"/>
      <c r="D27" s="46"/>
      <c r="E27" s="46"/>
      <c r="F27" s="46"/>
      <c r="G27" s="46"/>
      <c r="H27" s="46"/>
      <c r="I27" s="46"/>
      <c r="J27" s="46"/>
      <c r="K27" s="956"/>
      <c r="L27" s="956"/>
      <c r="M27" s="679"/>
    </row>
    <row r="28" spans="1:25" ht="15.75">
      <c r="A28" s="657" t="s">
        <v>87</v>
      </c>
      <c r="B28" s="39"/>
      <c r="C28" s="39"/>
      <c r="D28" s="39"/>
      <c r="E28" s="39"/>
      <c r="F28" s="39"/>
      <c r="G28" s="39"/>
      <c r="H28" s="39"/>
      <c r="I28" s="39"/>
      <c r="J28" s="39"/>
      <c r="K28" s="934"/>
      <c r="L28" s="934"/>
      <c r="M28" s="589"/>
    </row>
    <row r="29" spans="1:25">
      <c r="A29" s="684">
        <f>'CG. MPA'!A29</f>
        <v>1</v>
      </c>
      <c r="B29" s="579">
        <f>'RMCV.PA'!B29</f>
        <v>92</v>
      </c>
      <c r="C29" s="579">
        <f t="shared" ref="C29:C43" si="0">IF(B29&gt;60,(B29-7),(B29-2))</f>
        <v>85</v>
      </c>
      <c r="D29" s="579">
        <f t="shared" ref="D29:D43" si="1">IF(B29&gt;60,(B29-14),(B29-4))</f>
        <v>78</v>
      </c>
      <c r="E29" s="576">
        <f>'RMCS.PA'!M28</f>
        <v>1928.687967517654</v>
      </c>
      <c r="F29" s="576">
        <f>'RMCV.PA'!N29*1.1/1.4</f>
        <v>921.6750367218873</v>
      </c>
      <c r="G29" s="100">
        <f>IF('CG. MPA'!D29="CONFINADO",0.71*4,0)</f>
        <v>2.84</v>
      </c>
      <c r="H29" s="576">
        <f>('RMCV.PA'!O29+(2*0.6*$H$18*G29))</f>
        <v>32837.759999999995</v>
      </c>
      <c r="I29" s="60">
        <f t="shared" ref="I29:I43" si="2">IF(H29/3&gt;F29,0.8,0.6)</f>
        <v>0.8</v>
      </c>
      <c r="J29" s="576">
        <f t="shared" ref="J29:J43" si="3">(D29*G29*I29*$H$18)</f>
        <v>744307.20000000007</v>
      </c>
      <c r="K29" s="918">
        <f>ABS('ELEM. MECA.'!Q6)</f>
        <v>71784.708921557889</v>
      </c>
      <c r="L29" s="936">
        <f t="shared" ref="L29:L43" si="4">IF(I29=0.8,(J29+(0.3*F29*C29)),((J29*1.5)+((H29*C29*0.15)*(1-(F29/H29)))))</f>
        <v>767809.91343640815</v>
      </c>
      <c r="M29" s="705" t="str">
        <f>IF('CG. MPA'!E29="CONCRETO","F/DISEÑO",IF(K29&gt;L29,"NO PASA","PASA"))</f>
        <v>PASA</v>
      </c>
      <c r="N29" s="44">
        <f>IF('RMCV.PA'!C29*6&gt;80,80,'RMCV.PA'!C29*6)</f>
        <v>80</v>
      </c>
      <c r="O29" s="44">
        <f>ROUNDUP(IF((B29/N29)-1&gt;0,(B29/N29)-1,0),0)</f>
        <v>1</v>
      </c>
      <c r="P29" s="456">
        <f>O29</f>
        <v>1</v>
      </c>
      <c r="Q29" s="351">
        <f>IF(P29=0,G29,$Q$25)/('RMCV.PA'!C29*(B29/(P29+1)))*4200/$Q$26</f>
        <v>1.0289855072463767E-3</v>
      </c>
      <c r="R29" s="425" t="str">
        <f>IF($Q$26=4200,IF(Q29&gt;0.0007,"BIEN","MAL"),IF(Q29&gt;0.0007*4200/$Q$26,"BIEN","MAL"))</f>
        <v>BIEN</v>
      </c>
      <c r="S29" s="44">
        <f>IF($S$25*4&gt;60,60,$S$25*4)</f>
        <v>40</v>
      </c>
      <c r="T29" s="44">
        <f>(4200/$T$26)*$T$25/('RMCV.PA'!C29*S29)</f>
        <v>1.1833333333333333E-3</v>
      </c>
      <c r="U29" s="425" t="str">
        <f>IF($T$26=4200,IF(T29&gt;0.0007,"BIEN","MAL"),IF(T29&gt;0.0007*4200/$T$26,"BIEN","MAL"))</f>
        <v>BIEN</v>
      </c>
      <c r="V29" s="425">
        <f>ROUNDUP(IF(B29&gt;300,(B29/300)-1,0),0)</f>
        <v>0</v>
      </c>
      <c r="W29" s="44">
        <f>G29*2+V29*$Q$25+P29*$Q$25</f>
        <v>6.39</v>
      </c>
      <c r="X29" s="44">
        <f>(W29/'RMCV.PA'!C29)*4200/FY+T29</f>
        <v>0.4271833333333333</v>
      </c>
      <c r="Y29" s="425" t="str">
        <f>IF('CG. MPA'!E29="CONCRETO","F/DISEÑO",IF(FY=4200,IF(X29&gt;0.002,"BIEN","MAL"),(IF(X29&gt;4200*0.002/FY,"BIEN","MAL"))))</f>
        <v>BIEN</v>
      </c>
    </row>
    <row r="30" spans="1:25">
      <c r="A30" s="684">
        <f>'CG. MPA'!A30</f>
        <v>2</v>
      </c>
      <c r="B30" s="579">
        <f>'RMCV.PA'!B30</f>
        <v>119.99999999999993</v>
      </c>
      <c r="C30" s="579">
        <f t="shared" si="0"/>
        <v>112.99999999999993</v>
      </c>
      <c r="D30" s="579">
        <f t="shared" si="1"/>
        <v>105.99999999999993</v>
      </c>
      <c r="E30" s="576">
        <f>'RMCS.PA'!M29</f>
        <v>17038.037517748609</v>
      </c>
      <c r="F30" s="576">
        <f>'RMCV.PA'!N30*1.1/1.4</f>
        <v>12174.900812854921</v>
      </c>
      <c r="G30" s="100">
        <f>IF('CG. MPA'!D30="CONFINADO",0.71*4,0)</f>
        <v>2.84</v>
      </c>
      <c r="H30" s="576">
        <f>('RMCV.PA'!O30+(2*0.6*$H$18*G30))</f>
        <v>278481.06432535237</v>
      </c>
      <c r="I30" s="60">
        <f t="shared" si="2"/>
        <v>0.8</v>
      </c>
      <c r="J30" s="576">
        <f t="shared" si="3"/>
        <v>1011494.3999999993</v>
      </c>
      <c r="K30" s="918">
        <f>ABS('ELEM. MECA.'!Q7)</f>
        <v>2606270.8584905076</v>
      </c>
      <c r="L30" s="936">
        <f t="shared" si="4"/>
        <v>1424223.537555781</v>
      </c>
      <c r="M30" s="705" t="str">
        <f>IF('CG. MPA'!E30="CONCRETO","F/DISEÑO",IF(K30&gt;L30,"NO PASA","PASA"))</f>
        <v>F/DISEÑO</v>
      </c>
      <c r="N30" s="44">
        <f>IF('RMCV.PA'!C30*6&gt;80,80,'RMCV.PA'!C30*6)</f>
        <v>80</v>
      </c>
      <c r="O30" s="44">
        <f t="shared" ref="O30:O69" si="5">ROUNDUP(IF((B30/N30)-1&gt;0,(B30/N30)-1,0),0)</f>
        <v>1</v>
      </c>
      <c r="P30" s="456">
        <f t="shared" ref="P30:P69" si="6">O30</f>
        <v>1</v>
      </c>
      <c r="Q30" s="351">
        <f>IF(P30=0,G30,$Q$25)/('RMCV.PA'!C30*(B30/(P30+1)))*4200/$Q$26</f>
        <v>7.8888888888888932E-4</v>
      </c>
      <c r="R30" s="425" t="str">
        <f t="shared" ref="R30:R69" si="7">IF($Q$26=4200,IF(Q30&gt;0.0007,"BIEN","MAL"),IF(Q30&gt;0.0007*4200/$Q$26,"BIEN","MAL"))</f>
        <v>BIEN</v>
      </c>
      <c r="S30" s="44">
        <f t="shared" ref="S30:S69" si="8">IF($S$25*4&gt;60,60,$S$25*4)</f>
        <v>40</v>
      </c>
      <c r="T30" s="44">
        <f>(4200/$T$26)*$T$25/('RMCV.PA'!C30*S30)</f>
        <v>1.1833333333333333E-3</v>
      </c>
      <c r="U30" s="425" t="str">
        <f t="shared" ref="U30:U69" si="9">IF($T$26=4200,IF(T30&gt;0.0007,"BIEN","MAL"),IF(T30&gt;0.0007*4200/$T$26,"BIEN","MAL"))</f>
        <v>BIEN</v>
      </c>
      <c r="V30" s="425">
        <f t="shared" ref="V30:V69" si="10">ROUNDUP(IF(B30&gt;300,(B30/300)-1,0),0)</f>
        <v>0</v>
      </c>
      <c r="W30" s="44">
        <f t="shared" ref="W30:W69" si="11">G30*2+V30*$Q$25+P30*$Q$25</f>
        <v>6.39</v>
      </c>
      <c r="X30" s="44">
        <f>(W30/'RMCV.PA'!C30)*4200/FY+T30</f>
        <v>0.4271833333333333</v>
      </c>
      <c r="Y30" s="425" t="str">
        <f>IF('CG. MPA'!E30="CONCRETO","F/DISEÑO",IF(FY=4200,IF(X30&gt;0.002,"BIEN","MAL"),(IF(X30&gt;4200*0.002/FY,"BIEN","MAL"))))</f>
        <v>F/DISEÑO</v>
      </c>
    </row>
    <row r="31" spans="1:25">
      <c r="A31" s="684">
        <f>'CG. MPA'!A31</f>
        <v>3</v>
      </c>
      <c r="B31" s="579">
        <f>'RMCV.PA'!B31</f>
        <v>114.49999999999996</v>
      </c>
      <c r="C31" s="579">
        <f t="shared" si="0"/>
        <v>107.49999999999996</v>
      </c>
      <c r="D31" s="579">
        <f t="shared" si="1"/>
        <v>100.49999999999996</v>
      </c>
      <c r="E31" s="576">
        <f>'RMCS.PA'!M30</f>
        <v>3207.8511679491303</v>
      </c>
      <c r="F31" s="576">
        <f>'RMCV.PA'!N31*1.1/1.4</f>
        <v>1173.5419855229241</v>
      </c>
      <c r="G31" s="100">
        <f>IF('CG. MPA'!D31="CONFINADO",0.71*4,0)</f>
        <v>2.84</v>
      </c>
      <c r="H31" s="576">
        <f>('RMCV.PA'!O31+(2*0.6*$H$18*G31))</f>
        <v>32176.259999999991</v>
      </c>
      <c r="I31" s="60">
        <f t="shared" si="2"/>
        <v>0.8</v>
      </c>
      <c r="J31" s="576">
        <f t="shared" si="3"/>
        <v>959011.1999999996</v>
      </c>
      <c r="K31" s="918">
        <f>ABS('ELEM. MECA.'!Q8)</f>
        <v>79176.375570507997</v>
      </c>
      <c r="L31" s="936">
        <f t="shared" si="4"/>
        <v>996857.92903311388</v>
      </c>
      <c r="M31" s="705" t="str">
        <f>IF('CG. MPA'!E31="CONCRETO","F/DISEÑO",IF(K31&gt;L31,"NO PASA","PASA"))</f>
        <v>PASA</v>
      </c>
      <c r="N31" s="44">
        <f>IF('RMCV.PA'!C31*6&gt;80,80,'RMCV.PA'!C31*6)</f>
        <v>80</v>
      </c>
      <c r="O31" s="44">
        <f t="shared" si="5"/>
        <v>1</v>
      </c>
      <c r="P31" s="456">
        <f t="shared" si="6"/>
        <v>1</v>
      </c>
      <c r="Q31" s="351">
        <f>IF(P31=0,G31,$Q$25)/('RMCV.PA'!C31*(B31/(P31+1)))*4200/$Q$26</f>
        <v>8.2678311499272226E-4</v>
      </c>
      <c r="R31" s="425" t="str">
        <f t="shared" si="7"/>
        <v>BIEN</v>
      </c>
      <c r="S31" s="44">
        <f t="shared" si="8"/>
        <v>40</v>
      </c>
      <c r="T31" s="44">
        <f>(4200/$T$26)*$T$25/('RMCV.PA'!C31*S31)</f>
        <v>1.1833333333333333E-3</v>
      </c>
      <c r="U31" s="425" t="str">
        <f t="shared" si="9"/>
        <v>BIEN</v>
      </c>
      <c r="V31" s="425">
        <f t="shared" si="10"/>
        <v>0</v>
      </c>
      <c r="W31" s="44">
        <f t="shared" si="11"/>
        <v>6.39</v>
      </c>
      <c r="X31" s="44">
        <f>(W31/'RMCV.PA'!C31)*4200/FY+T31</f>
        <v>0.4271833333333333</v>
      </c>
      <c r="Y31" s="425" t="str">
        <f>IF('CG. MPA'!E31="CONCRETO","F/DISEÑO",IF(FY=4200,IF(X31&gt;0.002,"BIEN","MAL"),(IF(X31&gt;4200*0.002/FY,"BIEN","MAL"))))</f>
        <v>BIEN</v>
      </c>
    </row>
    <row r="32" spans="1:25">
      <c r="A32" s="684">
        <f>'CG. MPA'!A32</f>
        <v>4</v>
      </c>
      <c r="B32" s="579">
        <f>'RMCV.PA'!B32</f>
        <v>185.30000674581746</v>
      </c>
      <c r="C32" s="579">
        <f t="shared" si="0"/>
        <v>178.30000674581746</v>
      </c>
      <c r="D32" s="579">
        <f t="shared" si="1"/>
        <v>171.30000674581746</v>
      </c>
      <c r="E32" s="576">
        <f>'RMCS.PA'!M31</f>
        <v>4797.8149513925682</v>
      </c>
      <c r="F32" s="576">
        <f>'RMCV.PA'!N32*1.1/1.4</f>
        <v>3387.0046024085368</v>
      </c>
      <c r="G32" s="100">
        <f>IF('CG. MPA'!D32="CONFINADO",0.71*4,0)</f>
        <v>2.84</v>
      </c>
      <c r="H32" s="576">
        <f>('RMCV.PA'!O32+(2*0.6*$H$18*G32))</f>
        <v>37911.060546411216</v>
      </c>
      <c r="I32" s="60">
        <f t="shared" si="2"/>
        <v>0.8</v>
      </c>
      <c r="J32" s="576">
        <f t="shared" si="3"/>
        <v>1634613.1843712884</v>
      </c>
      <c r="K32" s="918">
        <f>ABS('ELEM. MECA.'!Q9)</f>
        <v>170582.86354746838</v>
      </c>
      <c r="L32" s="936">
        <f t="shared" si="4"/>
        <v>1815784.0674085554</v>
      </c>
      <c r="M32" s="705" t="str">
        <f>IF('CG. MPA'!E32="CONCRETO","F/DISEÑO",IF(K32&gt;L32,"NO PASA","PASA"))</f>
        <v>PASA</v>
      </c>
      <c r="N32" s="44">
        <f>IF('RMCV.PA'!C32*6&gt;80,80,'RMCV.PA'!C32*6)</f>
        <v>80</v>
      </c>
      <c r="O32" s="44">
        <f t="shared" si="5"/>
        <v>2</v>
      </c>
      <c r="P32" s="456">
        <f t="shared" si="6"/>
        <v>2</v>
      </c>
      <c r="Q32" s="351">
        <f>IF(P32=0,G32,$Q$25)/('RMCV.PA'!C32*(B32/(P32+1)))*4200/$Q$26</f>
        <v>7.6632485067734723E-4</v>
      </c>
      <c r="R32" s="425" t="str">
        <f t="shared" si="7"/>
        <v>BIEN</v>
      </c>
      <c r="S32" s="44">
        <f t="shared" si="8"/>
        <v>40</v>
      </c>
      <c r="T32" s="44">
        <f>(4200/$T$26)*$T$25/('RMCV.PA'!C32*S32)</f>
        <v>1.1833333333333333E-3</v>
      </c>
      <c r="U32" s="425" t="str">
        <f t="shared" si="9"/>
        <v>BIEN</v>
      </c>
      <c r="V32" s="425">
        <f t="shared" si="10"/>
        <v>0</v>
      </c>
      <c r="W32" s="44">
        <f t="shared" si="11"/>
        <v>7.1</v>
      </c>
      <c r="X32" s="44">
        <f>(W32/'RMCV.PA'!C32)*4200/FY+T32</f>
        <v>0.47451666666666664</v>
      </c>
      <c r="Y32" s="425" t="str">
        <f>IF('CG. MPA'!E32="CONCRETO","F/DISEÑO",IF(FY=4200,IF(X32&gt;0.002,"BIEN","MAL"),(IF(X32&gt;4200*0.002/FY,"BIEN","MAL"))))</f>
        <v>BIEN</v>
      </c>
    </row>
    <row r="33" spans="1:25">
      <c r="A33" s="684">
        <f>'CG. MPA'!A33</f>
        <v>5</v>
      </c>
      <c r="B33" s="579">
        <f>'RMCV.PA'!B33</f>
        <v>82.500015151513693</v>
      </c>
      <c r="C33" s="579">
        <f t="shared" si="0"/>
        <v>75.500015151513693</v>
      </c>
      <c r="D33" s="579">
        <f t="shared" si="1"/>
        <v>68.500015151513693</v>
      </c>
      <c r="E33" s="576">
        <f>'RMCS.PA'!M32</f>
        <v>16669.623003865341</v>
      </c>
      <c r="F33" s="576">
        <f>'RMCV.PA'!N33*1.1/1.4</f>
        <v>45340.316984009347</v>
      </c>
      <c r="G33" s="100">
        <f>IF('CG. MPA'!D33="CONFINADO",0.71*4,0)</f>
        <v>2.84</v>
      </c>
      <c r="H33" s="576">
        <f>('RMCV.PA'!O33+(2*0.6*$H$18*G33))</f>
        <v>196979.24626021253</v>
      </c>
      <c r="I33" s="60">
        <f t="shared" si="2"/>
        <v>0.8</v>
      </c>
      <c r="J33" s="576">
        <f t="shared" si="3"/>
        <v>653654.54458180431</v>
      </c>
      <c r="K33" s="918">
        <f>ABS('ELEM. MECA.'!Q10)</f>
        <v>1386567.1764195424</v>
      </c>
      <c r="L33" s="936">
        <f t="shared" si="4"/>
        <v>1680612.9303619461</v>
      </c>
      <c r="M33" s="705" t="str">
        <f>IF('CG. MPA'!E33="CONCRETO","F/DISEÑO",IF(K33&gt;L33,"NO PASA","PASA"))</f>
        <v>F/DISEÑO</v>
      </c>
      <c r="N33" s="44">
        <f>IF('RMCV.PA'!C33*6&gt;80,80,'RMCV.PA'!C33*6)</f>
        <v>80</v>
      </c>
      <c r="O33" s="44">
        <f t="shared" si="5"/>
        <v>1</v>
      </c>
      <c r="P33" s="456">
        <f t="shared" si="6"/>
        <v>1</v>
      </c>
      <c r="Q33" s="351">
        <f>IF(P33=0,G33,$Q$25)/('RMCV.PA'!C33*(B33/(P33+1)))*4200/$Q$26</f>
        <v>1.1474745367356426E-3</v>
      </c>
      <c r="R33" s="425" t="str">
        <f t="shared" si="7"/>
        <v>BIEN</v>
      </c>
      <c r="S33" s="44">
        <f t="shared" si="8"/>
        <v>40</v>
      </c>
      <c r="T33" s="44">
        <f>(4200/$T$26)*$T$25/('RMCV.PA'!C33*S33)</f>
        <v>1.1833333333333333E-3</v>
      </c>
      <c r="U33" s="425" t="str">
        <f t="shared" si="9"/>
        <v>BIEN</v>
      </c>
      <c r="V33" s="425">
        <f t="shared" si="10"/>
        <v>0</v>
      </c>
      <c r="W33" s="44">
        <f t="shared" si="11"/>
        <v>6.39</v>
      </c>
      <c r="X33" s="44">
        <f>(W33/'RMCV.PA'!C33)*4200/FY+T33</f>
        <v>0.4271833333333333</v>
      </c>
      <c r="Y33" s="425" t="str">
        <f>IF('CG. MPA'!E33="CONCRETO","F/DISEÑO",IF(FY=4200,IF(X33&gt;0.002,"BIEN","MAL"),(IF(X33&gt;4200*0.002/FY,"BIEN","MAL"))))</f>
        <v>F/DISEÑO</v>
      </c>
    </row>
    <row r="34" spans="1:25">
      <c r="A34" s="684">
        <f>'CG. MPA'!A34</f>
        <v>6</v>
      </c>
      <c r="B34" s="579">
        <f>'RMCV.PA'!B34</f>
        <v>302.50000000000006</v>
      </c>
      <c r="C34" s="579">
        <f t="shared" si="0"/>
        <v>295.50000000000006</v>
      </c>
      <c r="D34" s="579">
        <f t="shared" si="1"/>
        <v>288.50000000000006</v>
      </c>
      <c r="E34" s="576">
        <f>'RMCS.PA'!M33</f>
        <v>9364.6056781380867</v>
      </c>
      <c r="F34" s="576">
        <f>'RMCV.PA'!N34*1.1/1.4</f>
        <v>6642.7238284049463</v>
      </c>
      <c r="G34" s="100">
        <f>IF('CG. MPA'!D34="CONFINADO",0.71*4,0)</f>
        <v>2.84</v>
      </c>
      <c r="H34" s="576">
        <f>('RMCV.PA'!O34+(2*0.6*$H$18*G34))</f>
        <v>47404.26</v>
      </c>
      <c r="I34" s="60">
        <f t="shared" si="2"/>
        <v>0.8</v>
      </c>
      <c r="J34" s="576">
        <f t="shared" si="3"/>
        <v>2752982.4000000008</v>
      </c>
      <c r="K34" s="918">
        <f>ABS('ELEM. MECA.'!Q11)</f>
        <v>407431.45333635213</v>
      </c>
      <c r="L34" s="936">
        <f t="shared" si="4"/>
        <v>3341859.8673880994</v>
      </c>
      <c r="M34" s="705" t="str">
        <f>IF('CG. MPA'!E34="CONCRETO","F/DISEÑO",IF(K34&gt;L34,"NO PASA","PASA"))</f>
        <v>PASA</v>
      </c>
      <c r="N34" s="44">
        <f>IF('RMCV.PA'!C34*6&gt;80,80,'RMCV.PA'!C34*6)</f>
        <v>80</v>
      </c>
      <c r="O34" s="44">
        <f t="shared" si="5"/>
        <v>3</v>
      </c>
      <c r="P34" s="456">
        <f t="shared" si="6"/>
        <v>3</v>
      </c>
      <c r="Q34" s="351">
        <f>IF(P34=0,G34,$Q$25)/('RMCV.PA'!C34*(B34/(P34+1)))*4200/$Q$26</f>
        <v>6.2589531680440759E-4</v>
      </c>
      <c r="R34" s="425" t="str">
        <f t="shared" si="7"/>
        <v>MAL</v>
      </c>
      <c r="S34" s="44">
        <f t="shared" si="8"/>
        <v>40</v>
      </c>
      <c r="T34" s="44">
        <f>(4200/$T$26)*$T$25/('RMCV.PA'!C34*S34)</f>
        <v>1.1833333333333333E-3</v>
      </c>
      <c r="U34" s="425" t="str">
        <f t="shared" si="9"/>
        <v>BIEN</v>
      </c>
      <c r="V34" s="425">
        <f t="shared" si="10"/>
        <v>1</v>
      </c>
      <c r="W34" s="44">
        <f t="shared" si="11"/>
        <v>8.52</v>
      </c>
      <c r="X34" s="44">
        <f>(W34/'RMCV.PA'!C34)*4200/FY+T34</f>
        <v>0.56918333333333326</v>
      </c>
      <c r="Y34" s="425" t="str">
        <f>IF('CG. MPA'!E34="CONCRETO","F/DISEÑO",IF(FY=4200,IF(X34&gt;0.002,"BIEN","MAL"),(IF(X34&gt;4200*0.002/FY,"BIEN","MAL"))))</f>
        <v>BIEN</v>
      </c>
    </row>
    <row r="35" spans="1:25">
      <c r="A35" s="684">
        <f>'CG. MPA'!A35</f>
        <v>7</v>
      </c>
      <c r="B35" s="579">
        <f>'RMCV.PA'!B35</f>
        <v>275</v>
      </c>
      <c r="C35" s="579">
        <f t="shared" si="0"/>
        <v>268</v>
      </c>
      <c r="D35" s="579">
        <f t="shared" si="1"/>
        <v>261</v>
      </c>
      <c r="E35" s="576">
        <f>'RMCS.PA'!M34</f>
        <v>9592.4837077004486</v>
      </c>
      <c r="F35" s="576">
        <f>'RMCV.PA'!N35*1.1/1.4</f>
        <v>3514.9010879553475</v>
      </c>
      <c r="G35" s="100">
        <f>IF('CG. MPA'!D35="CONFINADO",0.71*4,0)</f>
        <v>2.84</v>
      </c>
      <c r="H35" s="576">
        <f>('RMCV.PA'!O35+(2*0.6*$H$18*G35))</f>
        <v>45176.759999999995</v>
      </c>
      <c r="I35" s="60">
        <f t="shared" si="2"/>
        <v>0.8</v>
      </c>
      <c r="J35" s="576">
        <f t="shared" si="3"/>
        <v>2490566.4000000004</v>
      </c>
      <c r="K35" s="918">
        <f>ABS('ELEM. MECA.'!Q12)</f>
        <v>271219.73219441384</v>
      </c>
      <c r="L35" s="936">
        <f t="shared" si="4"/>
        <v>2773164.4474716103</v>
      </c>
      <c r="M35" s="705" t="str">
        <f>IF('CG. MPA'!E35="CONCRETO","F/DISEÑO",IF(K35&gt;L35,"NO PASA","PASA"))</f>
        <v>PASA</v>
      </c>
      <c r="N35" s="44">
        <f>IF('RMCV.PA'!C35*6&gt;80,80,'RMCV.PA'!C35*6)</f>
        <v>80</v>
      </c>
      <c r="O35" s="44">
        <f t="shared" si="5"/>
        <v>3</v>
      </c>
      <c r="P35" s="456">
        <f t="shared" si="6"/>
        <v>3</v>
      </c>
      <c r="Q35" s="351">
        <f>IF(P35=0,G35,$Q$25)/('RMCV.PA'!C35*(B35/(P35+1)))*4200/$Q$26</f>
        <v>6.8848484848484841E-4</v>
      </c>
      <c r="R35" s="425" t="str">
        <f t="shared" si="7"/>
        <v>MAL</v>
      </c>
      <c r="S35" s="44">
        <f t="shared" si="8"/>
        <v>40</v>
      </c>
      <c r="T35" s="44">
        <f>(4200/$T$26)*$T$25/('RMCV.PA'!C35*S35)</f>
        <v>1.1833333333333333E-3</v>
      </c>
      <c r="U35" s="425" t="str">
        <f t="shared" si="9"/>
        <v>BIEN</v>
      </c>
      <c r="V35" s="425">
        <f t="shared" si="10"/>
        <v>0</v>
      </c>
      <c r="W35" s="44">
        <f t="shared" si="11"/>
        <v>7.81</v>
      </c>
      <c r="X35" s="44">
        <f>(W35/'RMCV.PA'!C35)*4200/FY+T35</f>
        <v>0.52184999999999993</v>
      </c>
      <c r="Y35" s="425" t="str">
        <f>IF('CG. MPA'!E35="CONCRETO","F/DISEÑO",IF(FY=4200,IF(X35&gt;0.002,"BIEN","MAL"),(IF(X35&gt;4200*0.002/FY,"BIEN","MAL"))))</f>
        <v>BIEN</v>
      </c>
    </row>
    <row r="36" spans="1:25">
      <c r="A36" s="684">
        <f>'CG. MPA'!A36</f>
        <v>8</v>
      </c>
      <c r="B36" s="579">
        <f>'RMCV.PA'!B36</f>
        <v>80.000562498022489</v>
      </c>
      <c r="C36" s="579">
        <f t="shared" si="0"/>
        <v>73.000562498022489</v>
      </c>
      <c r="D36" s="579">
        <f t="shared" si="1"/>
        <v>66.000562498022489</v>
      </c>
      <c r="E36" s="576">
        <f>'RMCS.PA'!M35</f>
        <v>2023.8069471574802</v>
      </c>
      <c r="F36" s="576">
        <f>'RMCV.PA'!N36*1.1/1.4</f>
        <v>1636.8455669751543</v>
      </c>
      <c r="G36" s="100">
        <f>IF('CG. MPA'!D36="CONFINADO",0.71*4,0)</f>
        <v>2.84</v>
      </c>
      <c r="H36" s="576">
        <f>('RMCV.PA'!O36+(2*0.6*$H$18*G36))</f>
        <v>29381.805562339818</v>
      </c>
      <c r="I36" s="60">
        <f t="shared" si="2"/>
        <v>0.8</v>
      </c>
      <c r="J36" s="576">
        <f t="shared" si="3"/>
        <v>629803.7675811298</v>
      </c>
      <c r="K36" s="918">
        <f>ABS('ELEM. MECA.'!Q13)</f>
        <v>84774.307186724211</v>
      </c>
      <c r="L36" s="936">
        <f t="shared" si="4"/>
        <v>665650.96171460405</v>
      </c>
      <c r="M36" s="705" t="str">
        <f>IF('CG. MPA'!E36="CONCRETO","F/DISEÑO",IF(K36&gt;L36,"NO PASA","PASA"))</f>
        <v>PASA</v>
      </c>
      <c r="N36" s="44">
        <f>IF('RMCV.PA'!C36*6&gt;80,80,'RMCV.PA'!C36*6)</f>
        <v>80</v>
      </c>
      <c r="O36" s="44">
        <f t="shared" si="5"/>
        <v>1</v>
      </c>
      <c r="P36" s="456">
        <f t="shared" si="6"/>
        <v>1</v>
      </c>
      <c r="Q36" s="351">
        <f>IF(P36=0,G36,$Q$25)/('RMCV.PA'!C36*(B36/(P36+1)))*4200/$Q$26</f>
        <v>1.1833250131085852E-3</v>
      </c>
      <c r="R36" s="425" t="str">
        <f t="shared" si="7"/>
        <v>BIEN</v>
      </c>
      <c r="S36" s="44">
        <f t="shared" si="8"/>
        <v>40</v>
      </c>
      <c r="T36" s="44">
        <f>(4200/$T$26)*$T$25/('RMCV.PA'!C36*S36)</f>
        <v>1.1833333333333333E-3</v>
      </c>
      <c r="U36" s="425" t="str">
        <f t="shared" si="9"/>
        <v>BIEN</v>
      </c>
      <c r="V36" s="425">
        <f t="shared" si="10"/>
        <v>0</v>
      </c>
      <c r="W36" s="44">
        <f t="shared" si="11"/>
        <v>6.39</v>
      </c>
      <c r="X36" s="44">
        <f>(W36/'RMCV.PA'!C36)*4200/FY+T36</f>
        <v>0.4271833333333333</v>
      </c>
      <c r="Y36" s="425" t="str">
        <f>IF('CG. MPA'!E36="CONCRETO","F/DISEÑO",IF(FY=4200,IF(X36&gt;0.002,"BIEN","MAL"),(IF(X36&gt;4200*0.002/FY,"BIEN","MAL"))))</f>
        <v>BIEN</v>
      </c>
    </row>
    <row r="37" spans="1:25">
      <c r="A37" s="684">
        <f>'CG. MPA'!A37</f>
        <v>9</v>
      </c>
      <c r="B37" s="579">
        <f>'RMCV.PA'!B37</f>
        <v>275</v>
      </c>
      <c r="C37" s="579">
        <f t="shared" si="0"/>
        <v>268</v>
      </c>
      <c r="D37" s="579">
        <f t="shared" si="1"/>
        <v>261</v>
      </c>
      <c r="E37" s="576">
        <f>'RMCS.PA'!M36</f>
        <v>8568.856155211346</v>
      </c>
      <c r="F37" s="576">
        <f>'RMCV.PA'!N37*1.1/1.4</f>
        <v>4846.6324625440138</v>
      </c>
      <c r="G37" s="100">
        <f>IF('CG. MPA'!D37="CONFINADO",0.71*4,0)</f>
        <v>2.84</v>
      </c>
      <c r="H37" s="576">
        <f>('RMCV.PA'!O37+(2*0.6*$H$18*G37))</f>
        <v>45176.759999999995</v>
      </c>
      <c r="I37" s="60">
        <f t="shared" si="2"/>
        <v>0.8</v>
      </c>
      <c r="J37" s="576">
        <f t="shared" si="3"/>
        <v>2490566.4000000004</v>
      </c>
      <c r="K37" s="918">
        <f>ABS('ELEM. MECA.'!Q14)</f>
        <v>432705.59196546284</v>
      </c>
      <c r="L37" s="936">
        <f t="shared" si="4"/>
        <v>2880235.6499885391</v>
      </c>
      <c r="M37" s="705" t="str">
        <f>IF('CG. MPA'!E37="CONCRETO","F/DISEÑO",IF(K37&gt;L37,"NO PASA","PASA"))</f>
        <v>PASA</v>
      </c>
      <c r="N37" s="44">
        <f>IF('RMCV.PA'!C37*6&gt;80,80,'RMCV.PA'!C37*6)</f>
        <v>80</v>
      </c>
      <c r="O37" s="44">
        <f t="shared" si="5"/>
        <v>3</v>
      </c>
      <c r="P37" s="456">
        <f t="shared" si="6"/>
        <v>3</v>
      </c>
      <c r="Q37" s="351">
        <f>IF(P37=0,G37,$Q$25)/('RMCV.PA'!C37*(B37/(P37+1)))*4200/$Q$26</f>
        <v>6.8848484848484841E-4</v>
      </c>
      <c r="R37" s="425" t="str">
        <f t="shared" si="7"/>
        <v>MAL</v>
      </c>
      <c r="S37" s="44">
        <f t="shared" si="8"/>
        <v>40</v>
      </c>
      <c r="T37" s="44">
        <f>(4200/$T$26)*$T$25/('RMCV.PA'!C37*S37)</f>
        <v>1.1833333333333333E-3</v>
      </c>
      <c r="U37" s="425" t="str">
        <f t="shared" si="9"/>
        <v>BIEN</v>
      </c>
      <c r="V37" s="425">
        <f t="shared" si="10"/>
        <v>0</v>
      </c>
      <c r="W37" s="44">
        <f t="shared" si="11"/>
        <v>7.81</v>
      </c>
      <c r="X37" s="44">
        <f>(W37/'RMCV.PA'!C37)*4200/FY+T37</f>
        <v>0.52184999999999993</v>
      </c>
      <c r="Y37" s="425" t="str">
        <f>IF('CG. MPA'!E37="CONCRETO","F/DISEÑO",IF(FY=4200,IF(X37&gt;0.002,"BIEN","MAL"),(IF(X37&gt;4200*0.002/FY,"BIEN","MAL"))))</f>
        <v>BIEN</v>
      </c>
    </row>
    <row r="38" spans="1:25">
      <c r="A38" s="684">
        <f>'CG. MPA'!A38</f>
        <v>10</v>
      </c>
      <c r="B38" s="579">
        <f>'RMCV.PA'!B38</f>
        <v>185.3</v>
      </c>
      <c r="C38" s="579">
        <f t="shared" si="0"/>
        <v>178.3</v>
      </c>
      <c r="D38" s="579">
        <f t="shared" si="1"/>
        <v>171.3</v>
      </c>
      <c r="E38" s="576">
        <f>'RMCS.PA'!M37</f>
        <v>6831.1107277146612</v>
      </c>
      <c r="F38" s="576">
        <f>'RMCV.PA'!N38*1.1/1.4</f>
        <v>5383.8479710912479</v>
      </c>
      <c r="G38" s="100">
        <f>IF('CG. MPA'!D38="CONFINADO",0.71*4,0)</f>
        <v>2.84</v>
      </c>
      <c r="H38" s="576">
        <f>('RMCV.PA'!O38+(2*0.6*$H$18*G38))</f>
        <v>37911.06</v>
      </c>
      <c r="I38" s="60">
        <f t="shared" si="2"/>
        <v>0.8</v>
      </c>
      <c r="J38" s="576">
        <f t="shared" si="3"/>
        <v>1634613.1200000003</v>
      </c>
      <c r="K38" s="918">
        <f>ABS('ELEM. MECA.'!Q15)</f>
        <v>272671.02546315442</v>
      </c>
      <c r="L38" s="936">
        <f t="shared" si="4"/>
        <v>1922595.1479736711</v>
      </c>
      <c r="M38" s="705" t="str">
        <f>IF('CG. MPA'!E38="CONCRETO","F/DISEÑO",IF(K38&gt;L38,"NO PASA","PASA"))</f>
        <v>PASA</v>
      </c>
      <c r="N38" s="44">
        <f>IF('RMCV.PA'!C38*6&gt;80,80,'RMCV.PA'!C38*6)</f>
        <v>80</v>
      </c>
      <c r="O38" s="44">
        <f t="shared" si="5"/>
        <v>2</v>
      </c>
      <c r="P38" s="456">
        <f t="shared" si="6"/>
        <v>2</v>
      </c>
      <c r="Q38" s="351">
        <f>IF(P38=0,G38,$Q$25)/('RMCV.PA'!C38*(B38/(P38+1)))*4200/$Q$26</f>
        <v>7.6632487857528314E-4</v>
      </c>
      <c r="R38" s="425" t="str">
        <f t="shared" si="7"/>
        <v>BIEN</v>
      </c>
      <c r="S38" s="44">
        <f t="shared" si="8"/>
        <v>40</v>
      </c>
      <c r="T38" s="44">
        <f>(4200/$T$26)*$T$25/('RMCV.PA'!C38*S38)</f>
        <v>1.1833333333333333E-3</v>
      </c>
      <c r="U38" s="425" t="str">
        <f t="shared" si="9"/>
        <v>BIEN</v>
      </c>
      <c r="V38" s="425">
        <f t="shared" si="10"/>
        <v>0</v>
      </c>
      <c r="W38" s="44">
        <f t="shared" si="11"/>
        <v>7.1</v>
      </c>
      <c r="X38" s="44">
        <f>(W38/'RMCV.PA'!C38)*4200/FY+T38</f>
        <v>0.47451666666666664</v>
      </c>
      <c r="Y38" s="425" t="str">
        <f>IF('CG. MPA'!E38="CONCRETO","F/DISEÑO",IF(FY=4200,IF(X38&gt;0.002,"BIEN","MAL"),(IF(X38&gt;4200*0.002/FY,"BIEN","MAL"))))</f>
        <v>BIEN</v>
      </c>
    </row>
    <row r="39" spans="1:25">
      <c r="A39" s="684">
        <f>'CG. MPA'!A39</f>
        <v>11</v>
      </c>
      <c r="B39" s="579">
        <f>'RMCV.PA'!B39</f>
        <v>242.50000000000006</v>
      </c>
      <c r="C39" s="579">
        <f t="shared" si="0"/>
        <v>235.50000000000006</v>
      </c>
      <c r="D39" s="579">
        <f t="shared" si="1"/>
        <v>228.50000000000006</v>
      </c>
      <c r="E39" s="576">
        <f>'RMCS.PA'!M38</f>
        <v>9575.0304494036955</v>
      </c>
      <c r="F39" s="576">
        <f>'RMCV.PA'!N39*1.1/1.4</f>
        <v>4167.8392304403615</v>
      </c>
      <c r="G39" s="100">
        <f>IF('CG. MPA'!D39="CONFINADO",0.71*4,0)</f>
        <v>2.84</v>
      </c>
      <c r="H39" s="576">
        <f>('RMCV.PA'!O39+(2*0.6*$H$18*G39))</f>
        <v>42544.26</v>
      </c>
      <c r="I39" s="60">
        <f t="shared" si="2"/>
        <v>0.8</v>
      </c>
      <c r="J39" s="576">
        <f t="shared" si="3"/>
        <v>2180438.4000000008</v>
      </c>
      <c r="K39" s="918">
        <f>ABS('ELEM. MECA.'!Q16)</f>
        <v>233334.47270452388</v>
      </c>
      <c r="L39" s="936">
        <f t="shared" si="4"/>
        <v>2474896.2416306124</v>
      </c>
      <c r="M39" s="705" t="str">
        <f>IF('CG. MPA'!E39="CONCRETO","F/DISEÑO",IF(K39&gt;L39,"NO PASA","PASA"))</f>
        <v>PASA</v>
      </c>
      <c r="N39" s="44">
        <f>IF('RMCV.PA'!C39*6&gt;80,80,'RMCV.PA'!C39*6)</f>
        <v>80</v>
      </c>
      <c r="O39" s="44">
        <f t="shared" si="5"/>
        <v>3</v>
      </c>
      <c r="P39" s="456">
        <f t="shared" si="6"/>
        <v>3</v>
      </c>
      <c r="Q39" s="351">
        <f>IF(P39=0,G39,$Q$25)/('RMCV.PA'!C39*(B39/(P39+1)))*4200/$Q$26</f>
        <v>7.8075601374570419E-4</v>
      </c>
      <c r="R39" s="425" t="str">
        <f t="shared" si="7"/>
        <v>BIEN</v>
      </c>
      <c r="S39" s="44">
        <f t="shared" si="8"/>
        <v>40</v>
      </c>
      <c r="T39" s="44">
        <f>(4200/$T$26)*$T$25/('RMCV.PA'!C39*S39)</f>
        <v>1.1833333333333333E-3</v>
      </c>
      <c r="U39" s="425" t="str">
        <f t="shared" si="9"/>
        <v>BIEN</v>
      </c>
      <c r="V39" s="425">
        <f t="shared" si="10"/>
        <v>0</v>
      </c>
      <c r="W39" s="44">
        <f t="shared" si="11"/>
        <v>7.81</v>
      </c>
      <c r="X39" s="44">
        <f>(W39/'RMCV.PA'!C39)*4200/FY+T39</f>
        <v>0.52184999999999993</v>
      </c>
      <c r="Y39" s="425" t="str">
        <f>IF('CG. MPA'!E39="CONCRETO","F/DISEÑO",IF(FY=4200,IF(X39&gt;0.002,"BIEN","MAL"),(IF(X39&gt;4200*0.002/FY,"BIEN","MAL"))))</f>
        <v>BIEN</v>
      </c>
    </row>
    <row r="40" spans="1:25">
      <c r="A40" s="684">
        <f>'CG. MPA'!A40</f>
        <v>12</v>
      </c>
      <c r="B40" s="579">
        <f>'RMCV.PA'!B40</f>
        <v>275</v>
      </c>
      <c r="C40" s="579">
        <f t="shared" si="0"/>
        <v>268</v>
      </c>
      <c r="D40" s="579">
        <f t="shared" si="1"/>
        <v>261</v>
      </c>
      <c r="E40" s="576">
        <f>'RMCS.PA'!M39</f>
        <v>8896.8644736832957</v>
      </c>
      <c r="F40" s="576">
        <f>'RMCV.PA'!N40*1.1/1.4</f>
        <v>6422.9114079270848</v>
      </c>
      <c r="G40" s="100">
        <f>IF('CG. MPA'!D40="CONFINADO",0.71*4,0)</f>
        <v>2.84</v>
      </c>
      <c r="H40" s="576">
        <f>('RMCV.PA'!O40+(2*0.6*$H$18*G40))</f>
        <v>45176.759999999995</v>
      </c>
      <c r="I40" s="60">
        <f t="shared" si="2"/>
        <v>0.8</v>
      </c>
      <c r="J40" s="576">
        <f t="shared" si="3"/>
        <v>2490566.4000000004</v>
      </c>
      <c r="K40" s="918">
        <f>ABS('ELEM. MECA.'!Q17)</f>
        <v>359434.69350360817</v>
      </c>
      <c r="L40" s="936">
        <f t="shared" si="4"/>
        <v>3006968.4771973379</v>
      </c>
      <c r="M40" s="705" t="str">
        <f>IF('CG. MPA'!E40="CONCRETO","F/DISEÑO",IF(K40&gt;L40,"NO PASA","PASA"))</f>
        <v>PASA</v>
      </c>
      <c r="N40" s="44">
        <f>IF('RMCV.PA'!C40*6&gt;80,80,'RMCV.PA'!C40*6)</f>
        <v>80</v>
      </c>
      <c r="O40" s="44">
        <f t="shared" si="5"/>
        <v>3</v>
      </c>
      <c r="P40" s="456">
        <f t="shared" si="6"/>
        <v>3</v>
      </c>
      <c r="Q40" s="351">
        <f>IF(P40=0,G40,$Q$25)/('RMCV.PA'!C40*(B40/(P40+1)))*4200/$Q$26</f>
        <v>6.8848484848484841E-4</v>
      </c>
      <c r="R40" s="425" t="str">
        <f t="shared" si="7"/>
        <v>MAL</v>
      </c>
      <c r="S40" s="44">
        <f t="shared" si="8"/>
        <v>40</v>
      </c>
      <c r="T40" s="44">
        <f>(4200/$T$26)*$T$25/('RMCV.PA'!C40*S40)</f>
        <v>1.1833333333333333E-3</v>
      </c>
      <c r="U40" s="425" t="str">
        <f t="shared" si="9"/>
        <v>BIEN</v>
      </c>
      <c r="V40" s="425">
        <f t="shared" si="10"/>
        <v>0</v>
      </c>
      <c r="W40" s="44">
        <f t="shared" si="11"/>
        <v>7.81</v>
      </c>
      <c r="X40" s="44">
        <f>(W40/'RMCV.PA'!C40)*4200/FY+T40</f>
        <v>0.52184999999999993</v>
      </c>
      <c r="Y40" s="425" t="str">
        <f>IF('CG. MPA'!E40="CONCRETO","F/DISEÑO",IF(FY=4200,IF(X40&gt;0.002,"BIEN","MAL"),(IF(X40&gt;4200*0.002/FY,"BIEN","MAL"))))</f>
        <v>BIEN</v>
      </c>
    </row>
    <row r="41" spans="1:25">
      <c r="A41" s="684">
        <f>'CG. MPA'!A41</f>
        <v>13</v>
      </c>
      <c r="B41" s="579">
        <f>'RMCV.PA'!B41</f>
        <v>374.70000333600223</v>
      </c>
      <c r="C41" s="579">
        <f t="shared" si="0"/>
        <v>367.70000333600223</v>
      </c>
      <c r="D41" s="579">
        <f t="shared" si="1"/>
        <v>360.70000333600223</v>
      </c>
      <c r="E41" s="576">
        <f>'RMCS.PA'!M40</f>
        <v>14235.680981772097</v>
      </c>
      <c r="F41" s="576">
        <f>'RMCV.PA'!N41*1.1/1.4</f>
        <v>15543.145971097811</v>
      </c>
      <c r="G41" s="100">
        <f>IF('CG. MPA'!D41="CONFINADO",0.71*4,0)</f>
        <v>2.84</v>
      </c>
      <c r="H41" s="576">
        <f>('RMCV.PA'!O41+(2*0.6*$H$18*G41))</f>
        <v>66232.080360288237</v>
      </c>
      <c r="I41" s="60">
        <f t="shared" si="2"/>
        <v>0.8</v>
      </c>
      <c r="J41" s="576">
        <f t="shared" si="3"/>
        <v>3441943.7118334672</v>
      </c>
      <c r="K41" s="918">
        <f>ABS('ELEM. MECA.'!Q18)</f>
        <v>865958.69783975254</v>
      </c>
      <c r="L41" s="936">
        <f t="shared" si="4"/>
        <v>5156508.1594608575</v>
      </c>
      <c r="M41" s="705" t="str">
        <f>IF('CG. MPA'!E41="CONCRETO","F/DISEÑO",IF(K41&gt;L41,"NO PASA","PASA"))</f>
        <v>PASA</v>
      </c>
      <c r="N41" s="44">
        <f>IF('RMCV.PA'!C41*6&gt;80,80,'RMCV.PA'!C41*6)</f>
        <v>80</v>
      </c>
      <c r="O41" s="44">
        <f t="shared" si="5"/>
        <v>4</v>
      </c>
      <c r="P41" s="456">
        <f t="shared" si="6"/>
        <v>4</v>
      </c>
      <c r="Q41" s="351">
        <f>IF(P41=0,G41,$Q$25)/('RMCV.PA'!C41*(B41/(P41+1)))*4200/$Q$26</f>
        <v>6.3161639861113671E-4</v>
      </c>
      <c r="R41" s="425" t="str">
        <f t="shared" si="7"/>
        <v>MAL</v>
      </c>
      <c r="S41" s="44">
        <f t="shared" si="8"/>
        <v>40</v>
      </c>
      <c r="T41" s="44">
        <f>(4200/$T$26)*$T$25/('RMCV.PA'!C41*S41)</f>
        <v>1.1833333333333333E-3</v>
      </c>
      <c r="U41" s="425" t="str">
        <f t="shared" si="9"/>
        <v>BIEN</v>
      </c>
      <c r="V41" s="425">
        <f t="shared" si="10"/>
        <v>1</v>
      </c>
      <c r="W41" s="44">
        <f t="shared" si="11"/>
        <v>9.23</v>
      </c>
      <c r="X41" s="44">
        <f>(W41/'RMCV.PA'!C41)*4200/FY+T41</f>
        <v>0.61651666666666671</v>
      </c>
      <c r="Y41" s="425" t="str">
        <f>IF('CG. MPA'!E41="CONCRETO","F/DISEÑO",IF(FY=4200,IF(X41&gt;0.002,"BIEN","MAL"),(IF(X41&gt;4200*0.002/FY,"BIEN","MAL"))))</f>
        <v>BIEN</v>
      </c>
    </row>
    <row r="42" spans="1:25" ht="15.75" thickBot="1">
      <c r="A42" s="684">
        <f>'CG. MPA'!A42</f>
        <v>14</v>
      </c>
      <c r="B42" s="579">
        <f>'RMCV.PA'!B42</f>
        <v>257.50000485436885</v>
      </c>
      <c r="C42" s="579">
        <f t="shared" si="0"/>
        <v>250.50000485436885</v>
      </c>
      <c r="D42" s="579">
        <f t="shared" si="1"/>
        <v>243.50000485436885</v>
      </c>
      <c r="E42" s="576">
        <f>'RMCS.PA'!M41</f>
        <v>10840.125115306037</v>
      </c>
      <c r="F42" s="576">
        <f>'RMCV.PA'!N42*1.1/1.4</f>
        <v>6948.5502456431259</v>
      </c>
      <c r="G42" s="100">
        <f>IF('CG. MPA'!D42="CONFINADO",0.71*4,0)</f>
        <v>2.84</v>
      </c>
      <c r="H42" s="576">
        <f>('RMCV.PA'!O42+(2*0.6*$H$18*G42))</f>
        <v>43759.260393203876</v>
      </c>
      <c r="I42" s="60">
        <f t="shared" si="2"/>
        <v>0.8</v>
      </c>
      <c r="J42" s="576">
        <f t="shared" si="3"/>
        <v>2323574.4463223293</v>
      </c>
      <c r="K42" s="918">
        <f>ABS('ELEM. MECA.'!Q19)</f>
        <v>326765.62762693228</v>
      </c>
      <c r="L42" s="936">
        <f t="shared" si="4"/>
        <v>2845758.0074016582</v>
      </c>
      <c r="M42" s="705" t="str">
        <f>IF('CG. MPA'!E42="CONCRETO","F/DISEÑO",IF(K42&gt;L42,"NO PASA","PASA"))</f>
        <v>PASA</v>
      </c>
      <c r="N42" s="44">
        <f>IF('RMCV.PA'!C42*6&gt;80,80,'RMCV.PA'!C42*6)</f>
        <v>80</v>
      </c>
      <c r="O42" s="44">
        <f t="shared" si="5"/>
        <v>3</v>
      </c>
      <c r="P42" s="456">
        <f t="shared" si="6"/>
        <v>3</v>
      </c>
      <c r="Q42" s="351">
        <f>IF(P42=0,G42,$Q$25)/('RMCV.PA'!C42*(B42/(P42+1)))*4200/$Q$26</f>
        <v>7.352750670448036E-4</v>
      </c>
      <c r="R42" s="425" t="str">
        <f t="shared" si="7"/>
        <v>BIEN</v>
      </c>
      <c r="S42" s="44">
        <f t="shared" si="8"/>
        <v>40</v>
      </c>
      <c r="T42" s="44">
        <f>(4200/$T$26)*$T$25/('RMCV.PA'!C42*S42)</f>
        <v>1.1833333333333333E-3</v>
      </c>
      <c r="U42" s="425" t="str">
        <f t="shared" si="9"/>
        <v>BIEN</v>
      </c>
      <c r="V42" s="425">
        <f t="shared" si="10"/>
        <v>0</v>
      </c>
      <c r="W42" s="44">
        <f t="shared" si="11"/>
        <v>7.81</v>
      </c>
      <c r="X42" s="44">
        <f>(W42/'RMCV.PA'!C42)*4200/FY+T42</f>
        <v>0.52184999999999993</v>
      </c>
      <c r="Y42" s="425" t="str">
        <f>IF('CG. MPA'!E42="CONCRETO","F/DISEÑO",IF(FY=4200,IF(X42&gt;0.002,"BIEN","MAL"),(IF(X42&gt;4200*0.002/FY,"BIEN","MAL"))))</f>
        <v>BIEN</v>
      </c>
    </row>
    <row r="43" spans="1:25" hidden="1">
      <c r="A43" s="684">
        <f>'CG. MPA'!A43</f>
        <v>15</v>
      </c>
      <c r="B43" s="579">
        <f>'RMCV.PA'!B43</f>
        <v>0</v>
      </c>
      <c r="C43" s="579">
        <f t="shared" si="0"/>
        <v>-2</v>
      </c>
      <c r="D43" s="579">
        <f t="shared" si="1"/>
        <v>-4</v>
      </c>
      <c r="E43" s="576" t="e">
        <f>'RMCS.PA'!M42</f>
        <v>#VALUE!</v>
      </c>
      <c r="F43" s="576" t="e">
        <f>'RMCV.PA'!N43*1.1/1.4</f>
        <v>#VALUE!</v>
      </c>
      <c r="G43" s="100">
        <f>IF('CG. MPA'!D43="CONFINADO",0.71*4,0)</f>
        <v>2.84</v>
      </c>
      <c r="H43" s="576">
        <f>('RMCV.PA'!O43+(2*0.6*$H$18*G43))</f>
        <v>14313.599999999999</v>
      </c>
      <c r="I43" s="60" t="e">
        <f t="shared" si="2"/>
        <v>#VALUE!</v>
      </c>
      <c r="J43" s="576" t="e">
        <f t="shared" si="3"/>
        <v>#VALUE!</v>
      </c>
      <c r="K43" s="918" t="e">
        <f>ABS('ELEM. MECA.'!Q20)</f>
        <v>#VALUE!</v>
      </c>
      <c r="L43" s="936" t="e">
        <f t="shared" si="4"/>
        <v>#VALUE!</v>
      </c>
      <c r="M43" s="705" t="e">
        <f>IF('CG. MPA'!E43="CONCRETO","F/DISEÑO",IF(K43&gt;L43,"NO PASA","PASA"))</f>
        <v>#VALUE!</v>
      </c>
      <c r="N43" s="44" t="e">
        <f>IF('RMCV.PA'!C43*6&gt;80,80,'RMCV.PA'!C43*6)</f>
        <v>#VALUE!</v>
      </c>
      <c r="O43" s="44" t="e">
        <f t="shared" si="5"/>
        <v>#VALUE!</v>
      </c>
      <c r="P43" s="456" t="e">
        <f t="shared" si="6"/>
        <v>#VALUE!</v>
      </c>
      <c r="Q43" s="351" t="e">
        <f>IF(P43=0,G43,$Q$25)/('RMCV.PA'!C43*(B43/(P43+1)))*4200/$Q$26</f>
        <v>#VALUE!</v>
      </c>
      <c r="R43" s="425" t="e">
        <f t="shared" si="7"/>
        <v>#VALUE!</v>
      </c>
      <c r="S43" s="44">
        <f t="shared" si="8"/>
        <v>40</v>
      </c>
      <c r="T43" s="44" t="e">
        <f>(4200/$T$26)*$T$25/('RMCV.PA'!C43*S43)</f>
        <v>#VALUE!</v>
      </c>
      <c r="U43" s="425" t="e">
        <f t="shared" si="9"/>
        <v>#VALUE!</v>
      </c>
      <c r="V43" s="425">
        <f t="shared" si="10"/>
        <v>0</v>
      </c>
      <c r="W43" s="44" t="e">
        <f t="shared" si="11"/>
        <v>#VALUE!</v>
      </c>
      <c r="X43" s="44" t="e">
        <f>(W43/'RMCV.PA'!C43)*4200/FY+T43</f>
        <v>#VALUE!</v>
      </c>
      <c r="Y43" s="425" t="e">
        <f>IF('CG. MPA'!E43="CONCRETO","F/DISEÑO",IF(FY=4200,IF(X43&gt;0.002,"BIEN","MAL"),(IF(X43&gt;4200*0.002/FY,"BIEN","MAL"))))</f>
        <v>#VALUE!</v>
      </c>
    </row>
    <row r="44" spans="1:25" hidden="1">
      <c r="A44" s="684">
        <f>'CG. MPA'!A44</f>
        <v>16</v>
      </c>
      <c r="B44" s="579">
        <f>'RMCV.PA'!B44</f>
        <v>0</v>
      </c>
      <c r="C44" s="579">
        <f t="shared" ref="C44:C69" si="12">IF(B44&gt;60,(B44-7),(B44-2))</f>
        <v>-2</v>
      </c>
      <c r="D44" s="579">
        <f t="shared" ref="D44:D69" si="13">IF(B44&gt;60,(B44-14),(B44-4))</f>
        <v>-4</v>
      </c>
      <c r="E44" s="576" t="e">
        <f>'RMCS.PA'!M43</f>
        <v>#VALUE!</v>
      </c>
      <c r="F44" s="576" t="e">
        <f>'RMCV.PA'!N44*1.1/1.4</f>
        <v>#VALUE!</v>
      </c>
      <c r="G44" s="100">
        <f>IF('CG. MPA'!D44="CONFINADO",0.71*4,0)</f>
        <v>2.84</v>
      </c>
      <c r="H44" s="576">
        <f>('RMCV.PA'!O44+(2*0.6*$H$18*G44))</f>
        <v>14313.599999999999</v>
      </c>
      <c r="I44" s="60" t="e">
        <f t="shared" ref="I44:I69" si="14">IF(H44/3&gt;F44,0.8,0.6)</f>
        <v>#VALUE!</v>
      </c>
      <c r="J44" s="576" t="e">
        <f t="shared" ref="J44:J69" si="15">(D44*G44*I44*$H$18)</f>
        <v>#VALUE!</v>
      </c>
      <c r="K44" s="918" t="e">
        <f>ABS('ELEM. MECA.'!Q21)</f>
        <v>#VALUE!</v>
      </c>
      <c r="L44" s="936" t="e">
        <f t="shared" ref="L44:L69" si="16">IF(I44=0.8,(J44+(0.3*F44*C44)),((J44*1.5)+((H44*C44*0.15)*(1-(F44/H44)))))</f>
        <v>#VALUE!</v>
      </c>
      <c r="M44" s="705" t="e">
        <f>IF('CG. MPA'!E44="CONCRETO","F/DISEÑO",IF(K44&gt;L44,"NO PASA","PASA"))</f>
        <v>#VALUE!</v>
      </c>
      <c r="N44" s="44" t="e">
        <f>IF('RMCV.PA'!C44*6&gt;80,80,'RMCV.PA'!C44*6)</f>
        <v>#VALUE!</v>
      </c>
      <c r="O44" s="44" t="e">
        <f t="shared" si="5"/>
        <v>#VALUE!</v>
      </c>
      <c r="P44" s="456" t="e">
        <f t="shared" si="6"/>
        <v>#VALUE!</v>
      </c>
      <c r="Q44" s="351" t="e">
        <f>IF(P44=0,G44,$Q$25)/('RMCV.PA'!C44*(B44/(P44+1)))*4200/$Q$26</f>
        <v>#VALUE!</v>
      </c>
      <c r="R44" s="425" t="e">
        <f t="shared" si="7"/>
        <v>#VALUE!</v>
      </c>
      <c r="S44" s="44">
        <f t="shared" si="8"/>
        <v>40</v>
      </c>
      <c r="T44" s="44" t="e">
        <f>(4200/$T$26)*$T$25/('RMCV.PA'!C44*S44)</f>
        <v>#VALUE!</v>
      </c>
      <c r="U44" s="425" t="e">
        <f t="shared" si="9"/>
        <v>#VALUE!</v>
      </c>
      <c r="V44" s="425">
        <f t="shared" si="10"/>
        <v>0</v>
      </c>
      <c r="W44" s="44" t="e">
        <f t="shared" si="11"/>
        <v>#VALUE!</v>
      </c>
      <c r="X44" s="44" t="e">
        <f>(W44/'RMCV.PA'!C44)*4200/FY+T44</f>
        <v>#VALUE!</v>
      </c>
      <c r="Y44" s="425" t="e">
        <f>IF('CG. MPA'!E44="CONCRETO","F/DISEÑO",IF(FY=4200,IF(X44&gt;0.002,"BIEN","MAL"),(IF(X44&gt;4200*0.002/FY,"BIEN","MAL"))))</f>
        <v>#VALUE!</v>
      </c>
    </row>
    <row r="45" spans="1:25" hidden="1">
      <c r="A45" s="684">
        <f>'CG. MPA'!A45</f>
        <v>17</v>
      </c>
      <c r="B45" s="579">
        <f>'RMCV.PA'!B45</f>
        <v>0</v>
      </c>
      <c r="C45" s="579">
        <f t="shared" si="12"/>
        <v>-2</v>
      </c>
      <c r="D45" s="579">
        <f t="shared" si="13"/>
        <v>-4</v>
      </c>
      <c r="E45" s="576">
        <f>'RMCS.PA'!M44</f>
        <v>0</v>
      </c>
      <c r="F45" s="576">
        <f>'RMCV.PA'!N45*1.1/1.4</f>
        <v>0</v>
      </c>
      <c r="G45" s="100">
        <f>IF('CG. MPA'!D45="CONFINADO",0.71*4,0)</f>
        <v>2.84</v>
      </c>
      <c r="H45" s="576">
        <f>('RMCV.PA'!O45+(2*0.6*$H$18*G45))</f>
        <v>14313.599999999999</v>
      </c>
      <c r="I45" s="60">
        <f t="shared" si="14"/>
        <v>0.8</v>
      </c>
      <c r="J45" s="576">
        <f t="shared" si="15"/>
        <v>-38169.599999999999</v>
      </c>
      <c r="K45" s="918">
        <f>ABS('ELEM. MECA.'!Q22)</f>
        <v>0</v>
      </c>
      <c r="L45" s="936">
        <f t="shared" si="16"/>
        <v>-38169.599999999999</v>
      </c>
      <c r="M45" s="705" t="str">
        <f>IF('CG. MPA'!E45="CONCRETO","F/DISEÑO",IF(K45&gt;L45,"NO PASA","PASA"))</f>
        <v>NO PASA</v>
      </c>
      <c r="N45" s="44">
        <f>IF('RMCV.PA'!C45*6&gt;80,80,'RMCV.PA'!C45*6)</f>
        <v>0</v>
      </c>
      <c r="O45" s="44" t="e">
        <f t="shared" si="5"/>
        <v>#DIV/0!</v>
      </c>
      <c r="P45" s="456" t="e">
        <f t="shared" si="6"/>
        <v>#DIV/0!</v>
      </c>
      <c r="Q45" s="351" t="e">
        <f>IF(P45=0,G45,$Q$25)/('RMCV.PA'!C45*(B45/(P45+1)))*4200/$Q$26</f>
        <v>#DIV/0!</v>
      </c>
      <c r="R45" s="425" t="e">
        <f t="shared" si="7"/>
        <v>#DIV/0!</v>
      </c>
      <c r="S45" s="44">
        <f t="shared" si="8"/>
        <v>40</v>
      </c>
      <c r="T45" s="44" t="e">
        <f>(4200/$T$26)*$T$25/('RMCV.PA'!C45*S45)</f>
        <v>#DIV/0!</v>
      </c>
      <c r="U45" s="425" t="e">
        <f t="shared" si="9"/>
        <v>#DIV/0!</v>
      </c>
      <c r="V45" s="425">
        <f t="shared" si="10"/>
        <v>0</v>
      </c>
      <c r="W45" s="44" t="e">
        <f t="shared" si="11"/>
        <v>#DIV/0!</v>
      </c>
      <c r="X45" s="44" t="e">
        <f>(W45/'RMCV.PA'!C45)*4200/FY+T45</f>
        <v>#DIV/0!</v>
      </c>
      <c r="Y45" s="425" t="e">
        <f>IF('CG. MPA'!E45="CONCRETO","F/DISEÑO",IF(FY=4200,IF(X45&gt;0.002,"BIEN","MAL"),(IF(X45&gt;4200*0.002/FY,"BIEN","MAL"))))</f>
        <v>#DIV/0!</v>
      </c>
    </row>
    <row r="46" spans="1:25" hidden="1">
      <c r="A46" s="684">
        <f>'CG. MPA'!A46</f>
        <v>18</v>
      </c>
      <c r="B46" s="579">
        <f>'RMCV.PA'!B46</f>
        <v>0</v>
      </c>
      <c r="C46" s="579">
        <f t="shared" si="12"/>
        <v>-2</v>
      </c>
      <c r="D46" s="579">
        <f t="shared" si="13"/>
        <v>-4</v>
      </c>
      <c r="E46" s="576">
        <f>'RMCS.PA'!M45</f>
        <v>0</v>
      </c>
      <c r="F46" s="576">
        <f>'RMCV.PA'!N46*1.1/1.4</f>
        <v>0</v>
      </c>
      <c r="G46" s="100">
        <f>IF('CG. MPA'!D46="CONFINADO",0.71*4,0)</f>
        <v>2.84</v>
      </c>
      <c r="H46" s="576">
        <f>('RMCV.PA'!O46+(2*0.6*$H$18*G46))</f>
        <v>14313.599999999999</v>
      </c>
      <c r="I46" s="60">
        <f t="shared" si="14"/>
        <v>0.8</v>
      </c>
      <c r="J46" s="576">
        <f t="shared" si="15"/>
        <v>-38169.599999999999</v>
      </c>
      <c r="K46" s="918">
        <f>ABS('ELEM. MECA.'!Q23)</f>
        <v>0</v>
      </c>
      <c r="L46" s="936">
        <f t="shared" si="16"/>
        <v>-38169.599999999999</v>
      </c>
      <c r="M46" s="705" t="str">
        <f>IF('CG. MPA'!E46="CONCRETO","F/DISEÑO",IF(K46&gt;L46,"NO PASA","PASA"))</f>
        <v>NO PASA</v>
      </c>
      <c r="N46" s="44">
        <f>IF('RMCV.PA'!C46*6&gt;80,80,'RMCV.PA'!C46*6)</f>
        <v>0</v>
      </c>
      <c r="O46" s="44" t="e">
        <f t="shared" si="5"/>
        <v>#DIV/0!</v>
      </c>
      <c r="P46" s="456" t="e">
        <f t="shared" si="6"/>
        <v>#DIV/0!</v>
      </c>
      <c r="Q46" s="351" t="e">
        <f>IF(P46=0,G46,$Q$25)/('RMCV.PA'!C46*(B46/(P46+1)))*4200/$Q$26</f>
        <v>#DIV/0!</v>
      </c>
      <c r="R46" s="425" t="e">
        <f t="shared" si="7"/>
        <v>#DIV/0!</v>
      </c>
      <c r="S46" s="44">
        <f t="shared" si="8"/>
        <v>40</v>
      </c>
      <c r="T46" s="44" t="e">
        <f>(4200/$T$26)*$T$25/('RMCV.PA'!C46*S46)</f>
        <v>#DIV/0!</v>
      </c>
      <c r="U46" s="425" t="e">
        <f t="shared" si="9"/>
        <v>#DIV/0!</v>
      </c>
      <c r="V46" s="425">
        <f t="shared" si="10"/>
        <v>0</v>
      </c>
      <c r="W46" s="44" t="e">
        <f t="shared" si="11"/>
        <v>#DIV/0!</v>
      </c>
      <c r="X46" s="44" t="e">
        <f>(W46/'RMCV.PA'!C46)*4200/FY+T46</f>
        <v>#DIV/0!</v>
      </c>
      <c r="Y46" s="425" t="e">
        <f>IF('CG. MPA'!E46="CONCRETO","F/DISEÑO",IF(FY=4200,IF(X46&gt;0.002,"BIEN","MAL"),(IF(X46&gt;4200*0.002/FY,"BIEN","MAL"))))</f>
        <v>#DIV/0!</v>
      </c>
    </row>
    <row r="47" spans="1:25" hidden="1">
      <c r="A47" s="684">
        <f>'CG. MPA'!A47</f>
        <v>19</v>
      </c>
      <c r="B47" s="579">
        <f>'RMCV.PA'!B47</f>
        <v>0</v>
      </c>
      <c r="C47" s="579">
        <f t="shared" si="12"/>
        <v>-2</v>
      </c>
      <c r="D47" s="579">
        <f t="shared" si="13"/>
        <v>-4</v>
      </c>
      <c r="E47" s="576">
        <f>'RMCS.PA'!M46</f>
        <v>0</v>
      </c>
      <c r="F47" s="576">
        <f>'RMCV.PA'!N47*1.1/1.4</f>
        <v>0</v>
      </c>
      <c r="G47" s="100">
        <f>IF('CG. MPA'!D47="CONFINADO",0.71*4,0)</f>
        <v>2.84</v>
      </c>
      <c r="H47" s="576">
        <f>('RMCV.PA'!O47+(2*0.6*$H$18*G47))</f>
        <v>14313.599999999999</v>
      </c>
      <c r="I47" s="60">
        <f t="shared" si="14"/>
        <v>0.8</v>
      </c>
      <c r="J47" s="576">
        <f t="shared" si="15"/>
        <v>-38169.599999999999</v>
      </c>
      <c r="K47" s="918">
        <f>ABS('ELEM. MECA.'!Q24)</f>
        <v>0</v>
      </c>
      <c r="L47" s="936">
        <f t="shared" si="16"/>
        <v>-38169.599999999999</v>
      </c>
      <c r="M47" s="705" t="str">
        <f>IF('CG. MPA'!E47="CONCRETO","F/DISEÑO",IF(K47&gt;L47,"NO PASA","PASA"))</f>
        <v>NO PASA</v>
      </c>
      <c r="N47" s="44">
        <f>IF('RMCV.PA'!C47*6&gt;80,80,'RMCV.PA'!C47*6)</f>
        <v>0</v>
      </c>
      <c r="O47" s="44" t="e">
        <f t="shared" si="5"/>
        <v>#DIV/0!</v>
      </c>
      <c r="P47" s="456" t="e">
        <f t="shared" si="6"/>
        <v>#DIV/0!</v>
      </c>
      <c r="Q47" s="351" t="e">
        <f>IF(P47=0,G47,$Q$25)/('RMCV.PA'!C47*(B47/(P47+1)))*4200/$Q$26</f>
        <v>#DIV/0!</v>
      </c>
      <c r="R47" s="425" t="e">
        <f t="shared" si="7"/>
        <v>#DIV/0!</v>
      </c>
      <c r="S47" s="44">
        <f t="shared" si="8"/>
        <v>40</v>
      </c>
      <c r="T47" s="44" t="e">
        <f>(4200/$T$26)*$T$25/('RMCV.PA'!C47*S47)</f>
        <v>#DIV/0!</v>
      </c>
      <c r="U47" s="425" t="e">
        <f t="shared" si="9"/>
        <v>#DIV/0!</v>
      </c>
      <c r="V47" s="425">
        <f t="shared" si="10"/>
        <v>0</v>
      </c>
      <c r="W47" s="44" t="e">
        <f t="shared" si="11"/>
        <v>#DIV/0!</v>
      </c>
      <c r="X47" s="44" t="e">
        <f>(W47/'RMCV.PA'!C47)*4200/FY+T47</f>
        <v>#DIV/0!</v>
      </c>
      <c r="Y47" s="425" t="e">
        <f>IF('CG. MPA'!E47="CONCRETO","F/DISEÑO",IF(FY=4200,IF(X47&gt;0.002,"BIEN","MAL"),(IF(X47&gt;4200*0.002/FY,"BIEN","MAL"))))</f>
        <v>#DIV/0!</v>
      </c>
    </row>
    <row r="48" spans="1:25" hidden="1">
      <c r="A48" s="684">
        <f>'CG. MPA'!A48</f>
        <v>20</v>
      </c>
      <c r="B48" s="579">
        <f>'RMCV.PA'!B48</f>
        <v>0</v>
      </c>
      <c r="C48" s="579">
        <f t="shared" si="12"/>
        <v>-2</v>
      </c>
      <c r="D48" s="579">
        <f t="shared" si="13"/>
        <v>-4</v>
      </c>
      <c r="E48" s="576">
        <f>'RMCS.PA'!M47</f>
        <v>0</v>
      </c>
      <c r="F48" s="576">
        <f>'RMCV.PA'!N48*1.1/1.4</f>
        <v>0</v>
      </c>
      <c r="G48" s="100">
        <f>IF('CG. MPA'!D48="CONFINADO",0.71*4,0)</f>
        <v>2.84</v>
      </c>
      <c r="H48" s="576">
        <f>('RMCV.PA'!O48+(2*0.6*$H$18*G48))</f>
        <v>14313.599999999999</v>
      </c>
      <c r="I48" s="60">
        <f t="shared" si="14"/>
        <v>0.8</v>
      </c>
      <c r="J48" s="576">
        <f t="shared" si="15"/>
        <v>-38169.599999999999</v>
      </c>
      <c r="K48" s="918">
        <f>ABS('ELEM. MECA.'!Q25)</f>
        <v>0</v>
      </c>
      <c r="L48" s="936">
        <f t="shared" si="16"/>
        <v>-38169.599999999999</v>
      </c>
      <c r="M48" s="705" t="str">
        <f>IF('CG. MPA'!E48="CONCRETO","F/DISEÑO",IF(K48&gt;L48,"NO PASA","PASA"))</f>
        <v>NO PASA</v>
      </c>
      <c r="N48" s="44">
        <f>IF('RMCV.PA'!C48*6&gt;80,80,'RMCV.PA'!C48*6)</f>
        <v>0</v>
      </c>
      <c r="O48" s="44" t="e">
        <f t="shared" si="5"/>
        <v>#DIV/0!</v>
      </c>
      <c r="P48" s="456" t="e">
        <f t="shared" si="6"/>
        <v>#DIV/0!</v>
      </c>
      <c r="Q48" s="351" t="e">
        <f>IF(P48=0,G48,$Q$25)/('RMCV.PA'!C48*(B48/(P48+1)))*4200/$Q$26</f>
        <v>#DIV/0!</v>
      </c>
      <c r="R48" s="425" t="e">
        <f t="shared" si="7"/>
        <v>#DIV/0!</v>
      </c>
      <c r="S48" s="44">
        <f t="shared" si="8"/>
        <v>40</v>
      </c>
      <c r="T48" s="44" t="e">
        <f>(4200/$T$26)*$T$25/('RMCV.PA'!C48*S48)</f>
        <v>#DIV/0!</v>
      </c>
      <c r="U48" s="425" t="e">
        <f t="shared" si="9"/>
        <v>#DIV/0!</v>
      </c>
      <c r="V48" s="425">
        <f t="shared" si="10"/>
        <v>0</v>
      </c>
      <c r="W48" s="44" t="e">
        <f t="shared" si="11"/>
        <v>#DIV/0!</v>
      </c>
      <c r="X48" s="44" t="e">
        <f>(W48/'RMCV.PA'!C48)*4200/FY+T48</f>
        <v>#DIV/0!</v>
      </c>
      <c r="Y48" s="425" t="e">
        <f>IF('CG. MPA'!E48="CONCRETO","F/DISEÑO",IF(FY=4200,IF(X48&gt;0.002,"BIEN","MAL"),(IF(X48&gt;4200*0.002/FY,"BIEN","MAL"))))</f>
        <v>#DIV/0!</v>
      </c>
    </row>
    <row r="49" spans="1:25" hidden="1">
      <c r="A49" s="684">
        <f>'CG. MPA'!A49</f>
        <v>21</v>
      </c>
      <c r="B49" s="579">
        <f>'RMCV.PA'!B49</f>
        <v>0</v>
      </c>
      <c r="C49" s="579">
        <f t="shared" ref="C49:C59" si="17">IF(B49&gt;60,(B49-7),(B49-2))</f>
        <v>-2</v>
      </c>
      <c r="D49" s="579">
        <f t="shared" ref="D49:D59" si="18">IF(B49&gt;60,(B49-14),(B49-4))</f>
        <v>-4</v>
      </c>
      <c r="E49" s="576">
        <f>'RMCS.PA'!M48</f>
        <v>0</v>
      </c>
      <c r="F49" s="576">
        <f>'RMCV.PA'!N49*1.1/1.4</f>
        <v>0</v>
      </c>
      <c r="G49" s="100">
        <f>IF('CG. MPA'!D49="CONFINADO",0.71*4,0)</f>
        <v>2.84</v>
      </c>
      <c r="H49" s="576">
        <f>('RMCV.PA'!O49+(2*0.6*$H$18*G49))</f>
        <v>14313.599999999999</v>
      </c>
      <c r="I49" s="60">
        <f t="shared" ref="I49:I59" si="19">IF(H49/3&gt;F49,0.8,0.6)</f>
        <v>0.8</v>
      </c>
      <c r="J49" s="576">
        <f t="shared" ref="J49:J59" si="20">(D49*G49*I49*$H$18)</f>
        <v>-38169.599999999999</v>
      </c>
      <c r="K49" s="918">
        <f>ABS('ELEM. MECA.'!Q26)</f>
        <v>0</v>
      </c>
      <c r="L49" s="936">
        <f t="shared" ref="L49:L59" si="21">IF(I49=0.8,(J49+(0.3*F49*C49)),((J49*1.5)+((H49*C49*0.15)*(1-(F49/H49)))))</f>
        <v>-38169.599999999999</v>
      </c>
      <c r="M49" s="705" t="str">
        <f>IF('CG. MPA'!E49="CONCRETO","F/DISEÑO",IF(K49&gt;L49,"NO PASA","PASA"))</f>
        <v>NO PASA</v>
      </c>
      <c r="N49" s="44"/>
      <c r="O49" s="44"/>
      <c r="P49" s="456"/>
      <c r="Q49" s="351"/>
      <c r="R49" s="425"/>
      <c r="S49" s="44"/>
      <c r="T49" s="44"/>
      <c r="U49" s="425"/>
      <c r="V49" s="425"/>
      <c r="W49" s="44"/>
      <c r="X49" s="44"/>
      <c r="Y49" s="425"/>
    </row>
    <row r="50" spans="1:25" hidden="1">
      <c r="A50" s="684">
        <f>'CG. MPA'!A50</f>
        <v>22</v>
      </c>
      <c r="B50" s="579">
        <f>'RMCV.PA'!B50</f>
        <v>0</v>
      </c>
      <c r="C50" s="579">
        <f t="shared" si="17"/>
        <v>-2</v>
      </c>
      <c r="D50" s="579">
        <f t="shared" si="18"/>
        <v>-4</v>
      </c>
      <c r="E50" s="576">
        <f>'RMCS.PA'!M49</f>
        <v>0</v>
      </c>
      <c r="F50" s="576">
        <f>'RMCV.PA'!N61*1.1/1.4</f>
        <v>0</v>
      </c>
      <c r="G50" s="100">
        <f>IF('CG. MPA'!D50="CONFINADO",0.71*4,0)</f>
        <v>2.84</v>
      </c>
      <c r="H50" s="576">
        <f>('RMCV.PA'!O61+(2*0.6*$H$18*G50))</f>
        <v>14313.599999999999</v>
      </c>
      <c r="I50" s="60">
        <f t="shared" si="19"/>
        <v>0.8</v>
      </c>
      <c r="J50" s="576">
        <f t="shared" si="20"/>
        <v>-38169.599999999999</v>
      </c>
      <c r="K50" s="918">
        <f>ABS('ELEM. MECA.'!Q27)</f>
        <v>0</v>
      </c>
      <c r="L50" s="936">
        <f t="shared" si="21"/>
        <v>-38169.599999999999</v>
      </c>
      <c r="M50" s="705" t="str">
        <f>IF('CG. MPA'!E50="CONCRETO","F/DISEÑO",IF(K50&gt;L50,"NO PASA","PASA"))</f>
        <v>NO PASA</v>
      </c>
      <c r="N50" s="44"/>
      <c r="O50" s="44"/>
      <c r="P50" s="456"/>
      <c r="Q50" s="351"/>
      <c r="R50" s="425"/>
      <c r="S50" s="44"/>
      <c r="T50" s="44"/>
      <c r="U50" s="425"/>
      <c r="V50" s="425"/>
      <c r="W50" s="44"/>
      <c r="X50" s="44"/>
      <c r="Y50" s="425"/>
    </row>
    <row r="51" spans="1:25" ht="15.75" hidden="1" thickBot="1">
      <c r="A51" s="684">
        <f>'CG. MPA'!A51</f>
        <v>23</v>
      </c>
      <c r="B51" s="579">
        <f>'RMCV.PA'!B51</f>
        <v>0</v>
      </c>
      <c r="C51" s="579">
        <f t="shared" si="17"/>
        <v>-2</v>
      </c>
      <c r="D51" s="579">
        <f t="shared" si="18"/>
        <v>-4</v>
      </c>
      <c r="E51" s="576">
        <f>'RMCS.PA'!M50</f>
        <v>0</v>
      </c>
      <c r="F51" s="576">
        <f>'RMCV.PA'!N62*1.1/1.4</f>
        <v>0</v>
      </c>
      <c r="G51" s="100">
        <f>IF('CG. MPA'!D51="CONFINADO",0.71*4,0)</f>
        <v>2.84</v>
      </c>
      <c r="H51" s="576">
        <f>('RMCV.PA'!O62+(2*0.6*$H$18*G51))</f>
        <v>14313.599999999999</v>
      </c>
      <c r="I51" s="60">
        <f t="shared" si="19"/>
        <v>0.8</v>
      </c>
      <c r="J51" s="576">
        <f t="shared" si="20"/>
        <v>-38169.599999999999</v>
      </c>
      <c r="K51" s="918">
        <f>ABS('ELEM. MECA.'!Q28)</f>
        <v>0</v>
      </c>
      <c r="L51" s="936">
        <f t="shared" si="21"/>
        <v>-38169.599999999999</v>
      </c>
      <c r="M51" s="705" t="str">
        <f>IF('CG. MPA'!E51="CONCRETO","F/DISEÑO",IF(K51&gt;L51,"NO PASA","PASA"))</f>
        <v>NO PASA</v>
      </c>
      <c r="N51" s="44"/>
      <c r="O51" s="44"/>
      <c r="P51" s="456"/>
      <c r="Q51" s="351"/>
      <c r="R51" s="425"/>
      <c r="S51" s="44"/>
      <c r="T51" s="44"/>
      <c r="U51" s="425"/>
      <c r="V51" s="425"/>
      <c r="W51" s="44"/>
      <c r="X51" s="44"/>
      <c r="Y51" s="425"/>
    </row>
    <row r="52" spans="1:25" hidden="1">
      <c r="A52" s="684">
        <f>'CG. MPA'!A52</f>
        <v>24</v>
      </c>
      <c r="B52" s="579">
        <f>'RMCV.PA'!B52</f>
        <v>0</v>
      </c>
      <c r="C52" s="579">
        <f t="shared" si="17"/>
        <v>-2</v>
      </c>
      <c r="D52" s="579">
        <f t="shared" si="18"/>
        <v>-4</v>
      </c>
      <c r="E52" s="576">
        <f>'RMCS.PA'!M51</f>
        <v>0</v>
      </c>
      <c r="F52" s="576">
        <f>'RMCV.PA'!N63*1.1/1.4</f>
        <v>0</v>
      </c>
      <c r="G52" s="100">
        <f>IF('CG. MPA'!D52="CONFINADO",0.71*4,0)</f>
        <v>2.84</v>
      </c>
      <c r="H52" s="576">
        <f>('RMCV.PA'!O63+(2*0.6*$H$18*G52))</f>
        <v>14313.599999999999</v>
      </c>
      <c r="I52" s="60">
        <f t="shared" si="19"/>
        <v>0.8</v>
      </c>
      <c r="J52" s="576">
        <f t="shared" si="20"/>
        <v>-38169.599999999999</v>
      </c>
      <c r="K52" s="918">
        <f>ABS('ELEM. MECA.'!Q29)</f>
        <v>0</v>
      </c>
      <c r="L52" s="936">
        <f t="shared" si="21"/>
        <v>-38169.599999999999</v>
      </c>
      <c r="M52" s="705" t="str">
        <f>IF('CG. MPA'!E52="CONCRETO","F/DISEÑO",IF(K52&gt;L52,"NO PASA","PASA"))</f>
        <v>NO PASA</v>
      </c>
      <c r="N52" s="44"/>
      <c r="O52" s="44"/>
      <c r="P52" s="456"/>
      <c r="Q52" s="351"/>
      <c r="R52" s="425"/>
      <c r="S52" s="44"/>
      <c r="T52" s="44"/>
      <c r="U52" s="425"/>
      <c r="V52" s="425"/>
      <c r="W52" s="44"/>
      <c r="X52" s="44"/>
      <c r="Y52" s="425"/>
    </row>
    <row r="53" spans="1:25" hidden="1">
      <c r="A53" s="684">
        <f>'CG. MPA'!A53</f>
        <v>25</v>
      </c>
      <c r="B53" s="579">
        <f>'RMCV.PA'!B53</f>
        <v>0</v>
      </c>
      <c r="C53" s="579">
        <f t="shared" si="17"/>
        <v>-2</v>
      </c>
      <c r="D53" s="579">
        <f t="shared" si="18"/>
        <v>-4</v>
      </c>
      <c r="E53" s="576">
        <f>'RMCS.PA'!M52</f>
        <v>0</v>
      </c>
      <c r="F53" s="576">
        <f>'RMCV.PA'!N64*1.1/1.4</f>
        <v>0</v>
      </c>
      <c r="G53" s="100">
        <f>IF('CG. MPA'!D53="CONFINADO",0.71*4,0)</f>
        <v>2.84</v>
      </c>
      <c r="H53" s="576">
        <f>('RMCV.PA'!O64+(2*0.6*$H$18*G53))</f>
        <v>14313.599999999999</v>
      </c>
      <c r="I53" s="60">
        <f t="shared" si="19"/>
        <v>0.8</v>
      </c>
      <c r="J53" s="576">
        <f t="shared" si="20"/>
        <v>-38169.599999999999</v>
      </c>
      <c r="K53" s="918">
        <f>ABS('ELEM. MECA.'!Q30)</f>
        <v>0</v>
      </c>
      <c r="L53" s="936">
        <f t="shared" si="21"/>
        <v>-38169.599999999999</v>
      </c>
      <c r="M53" s="705" t="str">
        <f>IF('CG. MPA'!E53="CONCRETO","F/DISEÑO",IF(K53&gt;L53,"NO PASA","PASA"))</f>
        <v>NO PASA</v>
      </c>
      <c r="N53" s="44"/>
      <c r="O53" s="44"/>
      <c r="P53" s="456"/>
      <c r="Q53" s="351"/>
      <c r="R53" s="425"/>
      <c r="S53" s="44"/>
      <c r="T53" s="44"/>
      <c r="U53" s="425"/>
      <c r="V53" s="425"/>
      <c r="W53" s="44"/>
      <c r="X53" s="44"/>
      <c r="Y53" s="425"/>
    </row>
    <row r="54" spans="1:25" hidden="1">
      <c r="A54" s="684">
        <f>'CG. MPA'!A54</f>
        <v>26</v>
      </c>
      <c r="B54" s="579">
        <f>'RMCV.PA'!B54</f>
        <v>0</v>
      </c>
      <c r="C54" s="579">
        <f t="shared" si="17"/>
        <v>-2</v>
      </c>
      <c r="D54" s="579">
        <f t="shared" si="18"/>
        <v>-4</v>
      </c>
      <c r="E54" s="576">
        <f>'RMCS.PA'!M53</f>
        <v>0</v>
      </c>
      <c r="F54" s="576">
        <f>'RMCV.PA'!N65*1.1/1.4</f>
        <v>0</v>
      </c>
      <c r="G54" s="100">
        <f>IF('CG. MPA'!D54="CONFINADO",0.71*4,0)</f>
        <v>2.84</v>
      </c>
      <c r="H54" s="576">
        <f>('RMCV.PA'!O65+(2*0.6*$H$18*G54))</f>
        <v>14313.599999999999</v>
      </c>
      <c r="I54" s="60">
        <f t="shared" si="19"/>
        <v>0.8</v>
      </c>
      <c r="J54" s="576">
        <f t="shared" si="20"/>
        <v>-38169.599999999999</v>
      </c>
      <c r="K54" s="918">
        <f>ABS('ELEM. MECA.'!Q31)</f>
        <v>0</v>
      </c>
      <c r="L54" s="936">
        <f t="shared" si="21"/>
        <v>-38169.599999999999</v>
      </c>
      <c r="M54" s="705" t="str">
        <f>IF('CG. MPA'!E54="CONCRETO","F/DISEÑO",IF(K54&gt;L54,"NO PASA","PASA"))</f>
        <v>NO PASA</v>
      </c>
      <c r="N54" s="44"/>
      <c r="O54" s="44"/>
      <c r="P54" s="456"/>
      <c r="Q54" s="351"/>
      <c r="R54" s="425"/>
      <c r="S54" s="44"/>
      <c r="T54" s="44"/>
      <c r="U54" s="425"/>
      <c r="V54" s="425"/>
      <c r="W54" s="44"/>
      <c r="X54" s="44"/>
      <c r="Y54" s="425"/>
    </row>
    <row r="55" spans="1:25" hidden="1">
      <c r="A55" s="684">
        <f>'CG. MPA'!A55</f>
        <v>27</v>
      </c>
      <c r="B55" s="579">
        <f>'RMCV.PA'!B55</f>
        <v>0</v>
      </c>
      <c r="C55" s="579">
        <f t="shared" si="17"/>
        <v>-2</v>
      </c>
      <c r="D55" s="579">
        <f t="shared" si="18"/>
        <v>-4</v>
      </c>
      <c r="E55" s="576">
        <f>'RMCS.PA'!M54</f>
        <v>0</v>
      </c>
      <c r="F55" s="576">
        <f>'RMCV.PA'!N66*1.1/1.4</f>
        <v>0</v>
      </c>
      <c r="G55" s="100">
        <f>IF('CG. MPA'!D55="CONFINADO",0.71*4,0)</f>
        <v>2.84</v>
      </c>
      <c r="H55" s="576">
        <f>('RMCV.PA'!O66+(2*0.6*$H$18*G55))</f>
        <v>14313.599999999999</v>
      </c>
      <c r="I55" s="60">
        <f t="shared" si="19"/>
        <v>0.8</v>
      </c>
      <c r="J55" s="576">
        <f t="shared" si="20"/>
        <v>-38169.599999999999</v>
      </c>
      <c r="K55" s="918">
        <f>ABS('ELEM. MECA.'!Q32)</f>
        <v>0</v>
      </c>
      <c r="L55" s="936">
        <f t="shared" si="21"/>
        <v>-38169.599999999999</v>
      </c>
      <c r="M55" s="705" t="str">
        <f>IF('CG. MPA'!E55="CONCRETO","F/DISEÑO",IF(K55&gt;L55,"NO PASA","PASA"))</f>
        <v>NO PASA</v>
      </c>
      <c r="N55" s="44"/>
      <c r="O55" s="44"/>
      <c r="P55" s="456"/>
      <c r="Q55" s="351"/>
      <c r="R55" s="425"/>
      <c r="S55" s="44"/>
      <c r="T55" s="44"/>
      <c r="U55" s="425"/>
      <c r="V55" s="425"/>
      <c r="W55" s="44"/>
      <c r="X55" s="44"/>
      <c r="Y55" s="425"/>
    </row>
    <row r="56" spans="1:25" hidden="1">
      <c r="A56" s="684">
        <f>'CG. MPA'!A56</f>
        <v>28</v>
      </c>
      <c r="B56" s="579">
        <f>'RMCV.PA'!B56</f>
        <v>0</v>
      </c>
      <c r="C56" s="579">
        <f t="shared" si="17"/>
        <v>-2</v>
      </c>
      <c r="D56" s="579">
        <f t="shared" si="18"/>
        <v>-4</v>
      </c>
      <c r="E56" s="576">
        <f>'RMCS.PA'!M55</f>
        <v>0</v>
      </c>
      <c r="F56" s="576">
        <f>'RMCV.PA'!N67*1.1/1.4</f>
        <v>0</v>
      </c>
      <c r="G56" s="100">
        <f>IF('CG. MPA'!D56="CONFINADO",0.71*4,0)</f>
        <v>2.84</v>
      </c>
      <c r="H56" s="576">
        <f>('RMCV.PA'!O67+(2*0.6*$H$18*G56))</f>
        <v>14313.599999999999</v>
      </c>
      <c r="I56" s="60">
        <f t="shared" si="19"/>
        <v>0.8</v>
      </c>
      <c r="J56" s="576">
        <f t="shared" si="20"/>
        <v>-38169.599999999999</v>
      </c>
      <c r="K56" s="918">
        <f>ABS('ELEM. MECA.'!Q33)</f>
        <v>0</v>
      </c>
      <c r="L56" s="936">
        <f t="shared" si="21"/>
        <v>-38169.599999999999</v>
      </c>
      <c r="M56" s="705" t="str">
        <f>IF('CG. MPA'!E56="CONCRETO","F/DISEÑO",IF(K56&gt;L56,"NO PASA","PASA"))</f>
        <v>NO PASA</v>
      </c>
      <c r="N56" s="44"/>
      <c r="O56" s="44"/>
      <c r="P56" s="456"/>
      <c r="Q56" s="351"/>
      <c r="R56" s="425"/>
      <c r="S56" s="44"/>
      <c r="T56" s="44"/>
      <c r="U56" s="425"/>
      <c r="V56" s="425"/>
      <c r="W56" s="44"/>
      <c r="X56" s="44"/>
      <c r="Y56" s="425"/>
    </row>
    <row r="57" spans="1:25" hidden="1">
      <c r="A57" s="684">
        <f>'CG. MPA'!A57</f>
        <v>29</v>
      </c>
      <c r="B57" s="579">
        <f>'RMCV.PA'!B57</f>
        <v>0</v>
      </c>
      <c r="C57" s="579">
        <f t="shared" si="17"/>
        <v>-2</v>
      </c>
      <c r="D57" s="579">
        <f t="shared" si="18"/>
        <v>-4</v>
      </c>
      <c r="E57" s="576">
        <f>'RMCS.PA'!M56</f>
        <v>0</v>
      </c>
      <c r="F57" s="576">
        <f>'RMCV.PA'!N68*1.1/1.4</f>
        <v>0</v>
      </c>
      <c r="G57" s="100">
        <f>IF('CG. MPA'!D57="CONFINADO",0.71*4,0)</f>
        <v>2.84</v>
      </c>
      <c r="H57" s="576">
        <f>('RMCV.PA'!O68+(2*0.6*$H$18*G57))</f>
        <v>14313.599999999999</v>
      </c>
      <c r="I57" s="60">
        <f t="shared" si="19"/>
        <v>0.8</v>
      </c>
      <c r="J57" s="576">
        <f t="shared" si="20"/>
        <v>-38169.599999999999</v>
      </c>
      <c r="K57" s="918">
        <f>ABS('ELEM. MECA.'!Q34)</f>
        <v>0</v>
      </c>
      <c r="L57" s="936">
        <f t="shared" si="21"/>
        <v>-38169.599999999999</v>
      </c>
      <c r="M57" s="705" t="str">
        <f>IF('CG. MPA'!E57="CONCRETO","F/DISEÑO",IF(K57&gt;L57,"NO PASA","PASA"))</f>
        <v>NO PASA</v>
      </c>
      <c r="N57" s="44"/>
      <c r="O57" s="44"/>
      <c r="P57" s="456"/>
      <c r="Q57" s="351"/>
      <c r="R57" s="425"/>
      <c r="S57" s="44"/>
      <c r="T57" s="44"/>
      <c r="U57" s="425"/>
      <c r="V57" s="425"/>
      <c r="W57" s="44"/>
      <c r="X57" s="44"/>
      <c r="Y57" s="425"/>
    </row>
    <row r="58" spans="1:25" hidden="1">
      <c r="A58" s="684">
        <f>'CG. MPA'!A58</f>
        <v>30</v>
      </c>
      <c r="B58" s="579">
        <f>'RMCV.PA'!B58</f>
        <v>0</v>
      </c>
      <c r="C58" s="579">
        <f t="shared" si="17"/>
        <v>-2</v>
      </c>
      <c r="D58" s="579">
        <f t="shared" si="18"/>
        <v>-4</v>
      </c>
      <c r="E58" s="576">
        <f>'RMCS.PA'!M57</f>
        <v>0</v>
      </c>
      <c r="F58" s="576">
        <f>'RMCV.PA'!N69*1.1/1.4</f>
        <v>0</v>
      </c>
      <c r="G58" s="100">
        <f>IF('CG. MPA'!D58="CONFINADO",0.71*4,0)</f>
        <v>2.84</v>
      </c>
      <c r="H58" s="576">
        <f>('RMCV.PA'!O69+(2*0.6*$H$18*G58))</f>
        <v>14313.599999999999</v>
      </c>
      <c r="I58" s="60">
        <f t="shared" si="19"/>
        <v>0.8</v>
      </c>
      <c r="J58" s="576">
        <f t="shared" si="20"/>
        <v>-38169.599999999999</v>
      </c>
      <c r="K58" s="918">
        <f>ABS('ELEM. MECA.'!Q35)</f>
        <v>0</v>
      </c>
      <c r="L58" s="936">
        <f t="shared" si="21"/>
        <v>-38169.599999999999</v>
      </c>
      <c r="M58" s="705" t="str">
        <f>IF('CG. MPA'!E58="CONCRETO","F/DISEÑO",IF(K58&gt;L58,"NO PASA","PASA"))</f>
        <v>NO PASA</v>
      </c>
      <c r="N58" s="44"/>
      <c r="O58" s="44"/>
      <c r="P58" s="456"/>
      <c r="Q58" s="351"/>
      <c r="R58" s="425"/>
      <c r="S58" s="44"/>
      <c r="T58" s="44"/>
      <c r="U58" s="425"/>
      <c r="V58" s="425"/>
      <c r="W58" s="44"/>
      <c r="X58" s="44"/>
      <c r="Y58" s="425"/>
    </row>
    <row r="59" spans="1:25" hidden="1">
      <c r="A59" s="684">
        <f>'CG. MPA'!A59</f>
        <v>31</v>
      </c>
      <c r="B59" s="579">
        <f>'RMCV.PA'!B59</f>
        <v>0</v>
      </c>
      <c r="C59" s="579">
        <f t="shared" si="17"/>
        <v>-2</v>
      </c>
      <c r="D59" s="579">
        <f t="shared" si="18"/>
        <v>-4</v>
      </c>
      <c r="E59" s="576">
        <f>'RMCS.PA'!M58</f>
        <v>0</v>
      </c>
      <c r="F59" s="576">
        <f>'RMCV.PA'!N70*1.1/1.4</f>
        <v>0</v>
      </c>
      <c r="G59" s="100">
        <f>IF('CG. MPA'!D59="CONFINADO",0.71*4,0)</f>
        <v>2.84</v>
      </c>
      <c r="H59" s="576">
        <f>('RMCV.PA'!O70+(2*0.6*$H$18*G59))</f>
        <v>14313.599999999999</v>
      </c>
      <c r="I59" s="60">
        <f t="shared" si="19"/>
        <v>0.8</v>
      </c>
      <c r="J59" s="576">
        <f t="shared" si="20"/>
        <v>-38169.599999999999</v>
      </c>
      <c r="K59" s="918">
        <f>ABS('ELEM. MECA.'!Q36)</f>
        <v>0</v>
      </c>
      <c r="L59" s="936">
        <f t="shared" si="21"/>
        <v>-38169.599999999999</v>
      </c>
      <c r="M59" s="705" t="str">
        <f>IF('CG. MPA'!E59="CONCRETO","F/DISEÑO",IF(K59&gt;L59,"NO PASA","PASA"))</f>
        <v>NO PASA</v>
      </c>
      <c r="N59" s="44"/>
      <c r="O59" s="44"/>
      <c r="P59" s="456"/>
      <c r="Q59" s="351"/>
      <c r="R59" s="425"/>
      <c r="S59" s="44"/>
      <c r="T59" s="44"/>
      <c r="U59" s="425"/>
      <c r="V59" s="425"/>
      <c r="W59" s="44"/>
      <c r="X59" s="44"/>
      <c r="Y59" s="425"/>
    </row>
    <row r="60" spans="1:25" hidden="1">
      <c r="A60" s="684">
        <f>'CG. MPA'!A60</f>
        <v>32</v>
      </c>
      <c r="B60" s="579">
        <f>'RMCV.PA'!B60</f>
        <v>0</v>
      </c>
      <c r="C60" s="579">
        <f t="shared" si="12"/>
        <v>-2</v>
      </c>
      <c r="D60" s="579">
        <f t="shared" si="13"/>
        <v>-4</v>
      </c>
      <c r="E60" s="576">
        <f>'RMCS.PA'!M59</f>
        <v>0</v>
      </c>
      <c r="F60" s="576">
        <f>'RMCV.PA'!N49*1.1/1.4</f>
        <v>0</v>
      </c>
      <c r="G60" s="100">
        <f>IF('CG. MPA'!D60="CONFINADO",0.71*4,0)</f>
        <v>2.84</v>
      </c>
      <c r="H60" s="576">
        <f>('RMCV.PA'!O49+(2*0.6*$H$18*G60))</f>
        <v>14313.599999999999</v>
      </c>
      <c r="I60" s="60">
        <f t="shared" si="14"/>
        <v>0.8</v>
      </c>
      <c r="J60" s="576">
        <f t="shared" si="15"/>
        <v>-38169.599999999999</v>
      </c>
      <c r="K60" s="918">
        <f>ABS('ELEM. MECA.'!Q37)</f>
        <v>0</v>
      </c>
      <c r="L60" s="936">
        <f t="shared" si="16"/>
        <v>-38169.599999999999</v>
      </c>
      <c r="M60" s="705" t="str">
        <f>IF('CG. MPA'!E60="CONCRETO","F/DISEÑO",IF(K60&gt;L60,"NO PASA","PASA"))</f>
        <v>NO PASA</v>
      </c>
      <c r="N60" s="44">
        <f>IF('RMCV.PA'!C49*6&gt;80,80,'RMCV.PA'!C49*6)</f>
        <v>0</v>
      </c>
      <c r="O60" s="44" t="e">
        <f t="shared" si="5"/>
        <v>#DIV/0!</v>
      </c>
      <c r="P60" s="456" t="e">
        <f t="shared" si="6"/>
        <v>#DIV/0!</v>
      </c>
      <c r="Q60" s="351" t="e">
        <f>IF(P60=0,G60,$Q$25)/('RMCV.PA'!C49*(B60/(P60+1)))*4200/$Q$26</f>
        <v>#DIV/0!</v>
      </c>
      <c r="R60" s="425" t="e">
        <f t="shared" si="7"/>
        <v>#DIV/0!</v>
      </c>
      <c r="S60" s="44">
        <f t="shared" si="8"/>
        <v>40</v>
      </c>
      <c r="T60" s="44" t="e">
        <f>(4200/$T$26)*$T$25/('RMCV.PA'!C49*S60)</f>
        <v>#DIV/0!</v>
      </c>
      <c r="U60" s="425" t="e">
        <f t="shared" si="9"/>
        <v>#DIV/0!</v>
      </c>
      <c r="V60" s="425">
        <f t="shared" si="10"/>
        <v>0</v>
      </c>
      <c r="W60" s="44" t="e">
        <f t="shared" si="11"/>
        <v>#DIV/0!</v>
      </c>
      <c r="X60" s="44" t="e">
        <f>(W60/'RMCV.PA'!C49)*4200/FY+T60</f>
        <v>#DIV/0!</v>
      </c>
      <c r="Y60" s="425" t="e">
        <f>IF('CG. MPA'!E60="CONCRETO","F/DISEÑO",IF(FY=4200,IF(X60&gt;0.002,"BIEN","MAL"),(IF(X60&gt;4200*0.002/FY,"BIEN","MAL"))))</f>
        <v>#DIV/0!</v>
      </c>
    </row>
    <row r="61" spans="1:25" hidden="1">
      <c r="A61" s="684">
        <f>'CG. MPA'!A61</f>
        <v>33</v>
      </c>
      <c r="B61" s="579">
        <f>'RMCV.PA'!B61</f>
        <v>0</v>
      </c>
      <c r="C61" s="579">
        <f t="shared" si="12"/>
        <v>-2</v>
      </c>
      <c r="D61" s="579">
        <f t="shared" si="13"/>
        <v>-4</v>
      </c>
      <c r="E61" s="576">
        <f>'RMCS.PA'!M60</f>
        <v>0</v>
      </c>
      <c r="F61" s="576">
        <f>'RMCV.PA'!N61*1.1/1.4</f>
        <v>0</v>
      </c>
      <c r="G61" s="100">
        <f>IF('CG. MPA'!D61="CONFINADO",0.71*4,0)</f>
        <v>2.84</v>
      </c>
      <c r="H61" s="576">
        <f>('RMCV.PA'!O61+(2*0.6*$H$18*G61))</f>
        <v>14313.599999999999</v>
      </c>
      <c r="I61" s="60">
        <f t="shared" si="14"/>
        <v>0.8</v>
      </c>
      <c r="J61" s="576">
        <f t="shared" si="15"/>
        <v>-38169.599999999999</v>
      </c>
      <c r="K61" s="918">
        <f>ABS('ELEM. MECA.'!Q38)</f>
        <v>0</v>
      </c>
      <c r="L61" s="936">
        <f t="shared" si="16"/>
        <v>-38169.599999999999</v>
      </c>
      <c r="M61" s="705" t="str">
        <f>IF('CG. MPA'!E61="CONCRETO","F/DISEÑO",IF(K61&gt;L61,"NO PASA","PASA"))</f>
        <v>NO PASA</v>
      </c>
      <c r="N61" s="44">
        <f>IF('RMCV.PA'!C61*6&gt;80,80,'RMCV.PA'!C61*6)</f>
        <v>0</v>
      </c>
      <c r="O61" s="44" t="e">
        <f t="shared" si="5"/>
        <v>#DIV/0!</v>
      </c>
      <c r="P61" s="456" t="e">
        <f t="shared" si="6"/>
        <v>#DIV/0!</v>
      </c>
      <c r="Q61" s="351" t="e">
        <f>IF(P61=0,G61,$Q$25)/('RMCV.PA'!C61*(B61/(P61+1)))*4200/$Q$26</f>
        <v>#DIV/0!</v>
      </c>
      <c r="R61" s="425" t="e">
        <f t="shared" si="7"/>
        <v>#DIV/0!</v>
      </c>
      <c r="S61" s="44">
        <f t="shared" si="8"/>
        <v>40</v>
      </c>
      <c r="T61" s="44" t="e">
        <f>(4200/$T$26)*$T$25/('RMCV.PA'!C61*S61)</f>
        <v>#DIV/0!</v>
      </c>
      <c r="U61" s="425" t="e">
        <f t="shared" si="9"/>
        <v>#DIV/0!</v>
      </c>
      <c r="V61" s="425">
        <f t="shared" si="10"/>
        <v>0</v>
      </c>
      <c r="W61" s="44" t="e">
        <f t="shared" si="11"/>
        <v>#DIV/0!</v>
      </c>
      <c r="X61" s="44" t="e">
        <f>(W61/'RMCV.PA'!C61)*4200/FY+T61</f>
        <v>#DIV/0!</v>
      </c>
      <c r="Y61" s="425" t="e">
        <f>IF('CG. MPA'!E61="CONCRETO","F/DISEÑO",IF(FY=4200,IF(X61&gt;0.002,"BIEN","MAL"),(IF(X61&gt;4200*0.002/FY,"BIEN","MAL"))))</f>
        <v>#DIV/0!</v>
      </c>
    </row>
    <row r="62" spans="1:25" hidden="1">
      <c r="A62" s="684">
        <f>'CG. MPA'!A62</f>
        <v>34</v>
      </c>
      <c r="B62" s="579">
        <f>'RMCV.PA'!B62</f>
        <v>0</v>
      </c>
      <c r="C62" s="579">
        <f t="shared" si="12"/>
        <v>-2</v>
      </c>
      <c r="D62" s="579">
        <f t="shared" si="13"/>
        <v>-4</v>
      </c>
      <c r="E62" s="576">
        <f>'RMCS.PA'!M61</f>
        <v>0</v>
      </c>
      <c r="F62" s="576">
        <f>'RMCV.PA'!N62*1.1/1.4</f>
        <v>0</v>
      </c>
      <c r="G62" s="100">
        <f>IF('CG. MPA'!D62="CONFINADO",0.71*4,0)</f>
        <v>2.84</v>
      </c>
      <c r="H62" s="576">
        <f>('RMCV.PA'!O62+(2*0.6*$H$18*G62))</f>
        <v>14313.599999999999</v>
      </c>
      <c r="I62" s="60">
        <f t="shared" si="14"/>
        <v>0.8</v>
      </c>
      <c r="J62" s="576">
        <f t="shared" si="15"/>
        <v>-38169.599999999999</v>
      </c>
      <c r="K62" s="918">
        <f>ABS('ELEM. MECA.'!Q39)</f>
        <v>0</v>
      </c>
      <c r="L62" s="936">
        <f t="shared" si="16"/>
        <v>-38169.599999999999</v>
      </c>
      <c r="M62" s="705" t="str">
        <f>IF('CG. MPA'!E62="CONCRETO","F/DISEÑO",IF(K62&gt;L62,"NO PASA","PASA"))</f>
        <v>NO PASA</v>
      </c>
      <c r="N62" s="44">
        <f>IF('RMCV.PA'!C62*6&gt;80,80,'RMCV.PA'!C62*6)</f>
        <v>0</v>
      </c>
      <c r="O62" s="44" t="e">
        <f t="shared" si="5"/>
        <v>#DIV/0!</v>
      </c>
      <c r="P62" s="456" t="e">
        <f t="shared" si="6"/>
        <v>#DIV/0!</v>
      </c>
      <c r="Q62" s="351" t="e">
        <f>IF(P62=0,G62,$Q$25)/('RMCV.PA'!C62*(B62/(P62+1)))*4200/$Q$26</f>
        <v>#DIV/0!</v>
      </c>
      <c r="R62" s="425" t="e">
        <f t="shared" si="7"/>
        <v>#DIV/0!</v>
      </c>
      <c r="S62" s="44">
        <f t="shared" si="8"/>
        <v>40</v>
      </c>
      <c r="T62" s="44" t="e">
        <f>(4200/$T$26)*$T$25/('RMCV.PA'!C62*S62)</f>
        <v>#DIV/0!</v>
      </c>
      <c r="U62" s="425" t="e">
        <f t="shared" si="9"/>
        <v>#DIV/0!</v>
      </c>
      <c r="V62" s="425">
        <f t="shared" si="10"/>
        <v>0</v>
      </c>
      <c r="W62" s="44" t="e">
        <f t="shared" si="11"/>
        <v>#DIV/0!</v>
      </c>
      <c r="X62" s="44" t="e">
        <f>(W62/'RMCV.PA'!C62)*4200/FY+T62</f>
        <v>#DIV/0!</v>
      </c>
      <c r="Y62" s="425" t="e">
        <f>IF('CG. MPA'!E62="CONCRETO","F/DISEÑO",IF(FY=4200,IF(X62&gt;0.002,"BIEN","MAL"),(IF(X62&gt;4200*0.002/FY,"BIEN","MAL"))))</f>
        <v>#DIV/0!</v>
      </c>
    </row>
    <row r="63" spans="1:25" hidden="1">
      <c r="A63" s="684">
        <f>'CG. MPA'!A63</f>
        <v>35</v>
      </c>
      <c r="B63" s="579">
        <f>'RMCV.PA'!B63</f>
        <v>0</v>
      </c>
      <c r="C63" s="579">
        <f t="shared" si="12"/>
        <v>-2</v>
      </c>
      <c r="D63" s="579">
        <f t="shared" si="13"/>
        <v>-4</v>
      </c>
      <c r="E63" s="576">
        <f>'RMCS.PA'!M62</f>
        <v>0</v>
      </c>
      <c r="F63" s="576">
        <f>'RMCV.PA'!N63*1.1/1.4</f>
        <v>0</v>
      </c>
      <c r="G63" s="100">
        <f>IF('CG. MPA'!D63="CONFINADO",0.71*4,0)</f>
        <v>2.84</v>
      </c>
      <c r="H63" s="576">
        <f>('RMCV.PA'!O63+(2*0.6*$H$18*G63))</f>
        <v>14313.599999999999</v>
      </c>
      <c r="I63" s="60">
        <f t="shared" si="14"/>
        <v>0.8</v>
      </c>
      <c r="J63" s="576">
        <f t="shared" si="15"/>
        <v>-38169.599999999999</v>
      </c>
      <c r="K63" s="918">
        <f>ABS('ELEM. MECA.'!Q40)</f>
        <v>0</v>
      </c>
      <c r="L63" s="936">
        <f t="shared" si="16"/>
        <v>-38169.599999999999</v>
      </c>
      <c r="M63" s="705" t="str">
        <f>IF('CG. MPA'!E63="CONCRETO","F/DISEÑO",IF(K63&gt;L63,"NO PASA","PASA"))</f>
        <v>NO PASA</v>
      </c>
      <c r="N63" s="44">
        <f>IF('RMCV.PA'!C63*6&gt;80,80,'RMCV.PA'!C63*6)</f>
        <v>0</v>
      </c>
      <c r="O63" s="44" t="e">
        <f t="shared" si="5"/>
        <v>#DIV/0!</v>
      </c>
      <c r="P63" s="456" t="e">
        <f t="shared" si="6"/>
        <v>#DIV/0!</v>
      </c>
      <c r="Q63" s="351" t="e">
        <f>IF(P63=0,G63,$Q$25)/('RMCV.PA'!C63*(B63/(P63+1)))*4200/$Q$26</f>
        <v>#DIV/0!</v>
      </c>
      <c r="R63" s="425" t="e">
        <f t="shared" si="7"/>
        <v>#DIV/0!</v>
      </c>
      <c r="S63" s="44">
        <f t="shared" si="8"/>
        <v>40</v>
      </c>
      <c r="T63" s="44" t="e">
        <f>(4200/$T$26)*$T$25/('RMCV.PA'!C63*S63)</f>
        <v>#DIV/0!</v>
      </c>
      <c r="U63" s="425" t="e">
        <f t="shared" si="9"/>
        <v>#DIV/0!</v>
      </c>
      <c r="V63" s="425">
        <f t="shared" si="10"/>
        <v>0</v>
      </c>
      <c r="W63" s="44" t="e">
        <f t="shared" si="11"/>
        <v>#DIV/0!</v>
      </c>
      <c r="X63" s="44" t="e">
        <f>(W63/'RMCV.PA'!C63)*4200/FY+T63</f>
        <v>#DIV/0!</v>
      </c>
      <c r="Y63" s="425" t="e">
        <f>IF('CG. MPA'!E63="CONCRETO","F/DISEÑO",IF(FY=4200,IF(X63&gt;0.002,"BIEN","MAL"),(IF(X63&gt;4200*0.002/FY,"BIEN","MAL"))))</f>
        <v>#DIV/0!</v>
      </c>
    </row>
    <row r="64" spans="1:25" hidden="1">
      <c r="A64" s="684">
        <f>'CG. MPA'!A64</f>
        <v>36</v>
      </c>
      <c r="B64" s="579">
        <f>'RMCV.PA'!B64</f>
        <v>0</v>
      </c>
      <c r="C64" s="579">
        <f t="shared" si="12"/>
        <v>-2</v>
      </c>
      <c r="D64" s="579">
        <f t="shared" si="13"/>
        <v>-4</v>
      </c>
      <c r="E64" s="576">
        <f>'RMCS.PA'!M63</f>
        <v>0</v>
      </c>
      <c r="F64" s="576">
        <f>'RMCV.PA'!N64*1.1/1.4</f>
        <v>0</v>
      </c>
      <c r="G64" s="100">
        <f>IF('CG. MPA'!D64="CONFINADO",0.71*4,0)</f>
        <v>2.84</v>
      </c>
      <c r="H64" s="576">
        <f>('RMCV.PA'!O64+(2*0.6*$H$18*G64))</f>
        <v>14313.599999999999</v>
      </c>
      <c r="I64" s="60">
        <f t="shared" si="14"/>
        <v>0.8</v>
      </c>
      <c r="J64" s="576">
        <f t="shared" si="15"/>
        <v>-38169.599999999999</v>
      </c>
      <c r="K64" s="918">
        <f>ABS('ELEM. MECA.'!Q41)</f>
        <v>0</v>
      </c>
      <c r="L64" s="936">
        <f t="shared" si="16"/>
        <v>-38169.599999999999</v>
      </c>
      <c r="M64" s="705" t="str">
        <f>IF('CG. MPA'!E64="CONCRETO","F/DISEÑO",IF(K64&gt;L64,"NO PASA","PASA"))</f>
        <v>NO PASA</v>
      </c>
      <c r="N64" s="44">
        <f>IF('RMCV.PA'!C64*6&gt;80,80,'RMCV.PA'!C64*6)</f>
        <v>0</v>
      </c>
      <c r="O64" s="44" t="e">
        <f t="shared" si="5"/>
        <v>#DIV/0!</v>
      </c>
      <c r="P64" s="456" t="e">
        <f t="shared" si="6"/>
        <v>#DIV/0!</v>
      </c>
      <c r="Q64" s="351" t="e">
        <f>IF(P64=0,G64,$Q$25)/('RMCV.PA'!C64*(B64/(P64+1)))*4200/$Q$26</f>
        <v>#DIV/0!</v>
      </c>
      <c r="R64" s="425" t="e">
        <f t="shared" si="7"/>
        <v>#DIV/0!</v>
      </c>
      <c r="S64" s="44">
        <f t="shared" si="8"/>
        <v>40</v>
      </c>
      <c r="T64" s="44" t="e">
        <f>(4200/$T$26)*$T$25/('RMCV.PA'!C64*S64)</f>
        <v>#DIV/0!</v>
      </c>
      <c r="U64" s="425" t="e">
        <f t="shared" si="9"/>
        <v>#DIV/0!</v>
      </c>
      <c r="V64" s="425">
        <f t="shared" si="10"/>
        <v>0</v>
      </c>
      <c r="W64" s="44" t="e">
        <f t="shared" si="11"/>
        <v>#DIV/0!</v>
      </c>
      <c r="X64" s="44" t="e">
        <f>(W64/'RMCV.PA'!C64)*4200/FY+T64</f>
        <v>#DIV/0!</v>
      </c>
      <c r="Y64" s="425" t="e">
        <f>IF('CG. MPA'!E64="CONCRETO","F/DISEÑO",IF(FY=4200,IF(X64&gt;0.002,"BIEN","MAL"),(IF(X64&gt;4200*0.002/FY,"BIEN","MAL"))))</f>
        <v>#DIV/0!</v>
      </c>
    </row>
    <row r="65" spans="1:25" hidden="1">
      <c r="A65" s="684">
        <f>'CG. MPA'!A65</f>
        <v>37</v>
      </c>
      <c r="B65" s="579">
        <f>'RMCV.PA'!B65</f>
        <v>0</v>
      </c>
      <c r="C65" s="579">
        <f t="shared" si="12"/>
        <v>-2</v>
      </c>
      <c r="D65" s="579">
        <f t="shared" si="13"/>
        <v>-4</v>
      </c>
      <c r="E65" s="576">
        <f>'RMCS.PA'!M64</f>
        <v>0</v>
      </c>
      <c r="F65" s="576">
        <f>'RMCV.PA'!N65*1.1/1.4</f>
        <v>0</v>
      </c>
      <c r="G65" s="100">
        <f>IF('CG. MPA'!D65="CONFINADO",0.71*4,0)</f>
        <v>2.84</v>
      </c>
      <c r="H65" s="576">
        <f>('RMCV.PA'!O65+(2*0.6*$H$18*G65))</f>
        <v>14313.599999999999</v>
      </c>
      <c r="I65" s="60">
        <f t="shared" si="14"/>
        <v>0.8</v>
      </c>
      <c r="J65" s="576">
        <f t="shared" si="15"/>
        <v>-38169.599999999999</v>
      </c>
      <c r="K65" s="918">
        <f>ABS('ELEM. MECA.'!Q42)</f>
        <v>0</v>
      </c>
      <c r="L65" s="936">
        <f t="shared" si="16"/>
        <v>-38169.599999999999</v>
      </c>
      <c r="M65" s="705" t="str">
        <f>IF('CG. MPA'!E65="CONCRETO","F/DISEÑO",IF(K65&gt;L65,"NO PASA","PASA"))</f>
        <v>NO PASA</v>
      </c>
      <c r="N65" s="44">
        <f>IF('RMCV.PA'!C65*6&gt;80,80,'RMCV.PA'!C65*6)</f>
        <v>0</v>
      </c>
      <c r="O65" s="44" t="e">
        <f t="shared" si="5"/>
        <v>#DIV/0!</v>
      </c>
      <c r="P65" s="456" t="e">
        <f t="shared" si="6"/>
        <v>#DIV/0!</v>
      </c>
      <c r="Q65" s="351" t="e">
        <f>IF(P65=0,G65,$Q$25)/('RMCV.PA'!C65*(B65/(P65+1)))*4200/$Q$26</f>
        <v>#DIV/0!</v>
      </c>
      <c r="R65" s="425" t="e">
        <f t="shared" si="7"/>
        <v>#DIV/0!</v>
      </c>
      <c r="S65" s="44">
        <f t="shared" si="8"/>
        <v>40</v>
      </c>
      <c r="T65" s="44" t="e">
        <f>(4200/$T$26)*$T$25/('RMCV.PA'!C65*S65)</f>
        <v>#DIV/0!</v>
      </c>
      <c r="U65" s="425" t="e">
        <f t="shared" si="9"/>
        <v>#DIV/0!</v>
      </c>
      <c r="V65" s="425">
        <f t="shared" si="10"/>
        <v>0</v>
      </c>
      <c r="W65" s="44" t="e">
        <f t="shared" si="11"/>
        <v>#DIV/0!</v>
      </c>
      <c r="X65" s="44" t="e">
        <f>(W65/'RMCV.PA'!C65)*4200/FY+T65</f>
        <v>#DIV/0!</v>
      </c>
      <c r="Y65" s="425" t="e">
        <f>IF('CG. MPA'!E65="CONCRETO","F/DISEÑO",IF(FY=4200,IF(X65&gt;0.002,"BIEN","MAL"),(IF(X65&gt;4200*0.002/FY,"BIEN","MAL"))))</f>
        <v>#DIV/0!</v>
      </c>
    </row>
    <row r="66" spans="1:25" hidden="1">
      <c r="A66" s="684">
        <f>'CG. MPA'!A66</f>
        <v>38</v>
      </c>
      <c r="B66" s="579">
        <f>'RMCV.PA'!B66</f>
        <v>0</v>
      </c>
      <c r="C66" s="579">
        <f t="shared" si="12"/>
        <v>-2</v>
      </c>
      <c r="D66" s="579">
        <f t="shared" si="13"/>
        <v>-4</v>
      </c>
      <c r="E66" s="576">
        <f>'RMCS.PA'!M65</f>
        <v>0</v>
      </c>
      <c r="F66" s="576">
        <f>'RMCV.PA'!N66*1.1/1.4</f>
        <v>0</v>
      </c>
      <c r="G66" s="100">
        <f>IF('CG. MPA'!D66="CONFINADO",0.71*4,0)</f>
        <v>2.84</v>
      </c>
      <c r="H66" s="576">
        <f>('RMCV.PA'!O66+(2*0.6*$H$18*G66))</f>
        <v>14313.599999999999</v>
      </c>
      <c r="I66" s="60">
        <f t="shared" si="14"/>
        <v>0.8</v>
      </c>
      <c r="J66" s="576">
        <f t="shared" si="15"/>
        <v>-38169.599999999999</v>
      </c>
      <c r="K66" s="918">
        <f>ABS('ELEM. MECA.'!Q43)</f>
        <v>0</v>
      </c>
      <c r="L66" s="936">
        <f t="shared" si="16"/>
        <v>-38169.599999999999</v>
      </c>
      <c r="M66" s="705" t="str">
        <f>IF('CG. MPA'!E66="CONCRETO","F/DISEÑO",IF(K66&gt;L66,"NO PASA","PASA"))</f>
        <v>NO PASA</v>
      </c>
      <c r="N66" s="44">
        <f>IF('RMCV.PA'!C66*6&gt;80,80,'RMCV.PA'!C66*6)</f>
        <v>0</v>
      </c>
      <c r="O66" s="44" t="e">
        <f t="shared" si="5"/>
        <v>#DIV/0!</v>
      </c>
      <c r="P66" s="456" t="e">
        <f t="shared" si="6"/>
        <v>#DIV/0!</v>
      </c>
      <c r="Q66" s="351" t="e">
        <f>IF(P66=0,G66,$Q$25)/('RMCV.PA'!C66*(B66/(P66+1)))*4200/$Q$26</f>
        <v>#DIV/0!</v>
      </c>
      <c r="R66" s="425" t="e">
        <f t="shared" si="7"/>
        <v>#DIV/0!</v>
      </c>
      <c r="S66" s="44">
        <f t="shared" si="8"/>
        <v>40</v>
      </c>
      <c r="T66" s="44" t="e">
        <f>(4200/$T$26)*$T$25/('RMCV.PA'!C66*S66)</f>
        <v>#DIV/0!</v>
      </c>
      <c r="U66" s="425" t="e">
        <f t="shared" si="9"/>
        <v>#DIV/0!</v>
      </c>
      <c r="V66" s="425">
        <f t="shared" si="10"/>
        <v>0</v>
      </c>
      <c r="W66" s="44" t="e">
        <f t="shared" si="11"/>
        <v>#DIV/0!</v>
      </c>
      <c r="X66" s="44" t="e">
        <f>(W66/'RMCV.PA'!C66)*4200/FY+T66</f>
        <v>#DIV/0!</v>
      </c>
      <c r="Y66" s="425" t="e">
        <f>IF('CG. MPA'!E66="CONCRETO","F/DISEÑO",IF(FY=4200,IF(X66&gt;0.002,"BIEN","MAL"),(IF(X66&gt;4200*0.002/FY,"BIEN","MAL"))))</f>
        <v>#DIV/0!</v>
      </c>
    </row>
    <row r="67" spans="1:25" hidden="1">
      <c r="A67" s="684">
        <f>'CG. MPA'!A67</f>
        <v>39</v>
      </c>
      <c r="B67" s="579">
        <f>'RMCV.PA'!B67</f>
        <v>0</v>
      </c>
      <c r="C67" s="579">
        <f t="shared" si="12"/>
        <v>-2</v>
      </c>
      <c r="D67" s="579">
        <f t="shared" si="13"/>
        <v>-4</v>
      </c>
      <c r="E67" s="576">
        <f>'RMCS.PA'!M66</f>
        <v>0</v>
      </c>
      <c r="F67" s="576">
        <f>'RMCV.PA'!N67*1.1/1.4</f>
        <v>0</v>
      </c>
      <c r="G67" s="100">
        <f>IF('CG. MPA'!D67="CONFINADO",0.71*4,0)</f>
        <v>2.84</v>
      </c>
      <c r="H67" s="576">
        <f>('RMCV.PA'!O67+(2*0.6*$H$18*G67))</f>
        <v>14313.599999999999</v>
      </c>
      <c r="I67" s="60">
        <f t="shared" si="14"/>
        <v>0.8</v>
      </c>
      <c r="J67" s="576">
        <f t="shared" si="15"/>
        <v>-38169.599999999999</v>
      </c>
      <c r="K67" s="918">
        <f>ABS('ELEM. MECA.'!Q44)</f>
        <v>0</v>
      </c>
      <c r="L67" s="936">
        <f t="shared" si="16"/>
        <v>-38169.599999999999</v>
      </c>
      <c r="M67" s="705" t="str">
        <f>IF('CG. MPA'!E67="CONCRETO","F/DISEÑO",IF(K67&gt;L67,"NO PASA","PASA"))</f>
        <v>NO PASA</v>
      </c>
      <c r="N67" s="44">
        <f>IF('RMCV.PA'!C67*6&gt;80,80,'RMCV.PA'!C67*6)</f>
        <v>0</v>
      </c>
      <c r="O67" s="44" t="e">
        <f t="shared" si="5"/>
        <v>#DIV/0!</v>
      </c>
      <c r="P67" s="456" t="e">
        <f t="shared" si="6"/>
        <v>#DIV/0!</v>
      </c>
      <c r="Q67" s="351" t="e">
        <f>IF(P67=0,G67,$Q$25)/('RMCV.PA'!C67*(B67/(P67+1)))*4200/$Q$26</f>
        <v>#DIV/0!</v>
      </c>
      <c r="R67" s="425" t="e">
        <f t="shared" si="7"/>
        <v>#DIV/0!</v>
      </c>
      <c r="S67" s="44">
        <f t="shared" si="8"/>
        <v>40</v>
      </c>
      <c r="T67" s="44" t="e">
        <f>(4200/$T$26)*$T$25/('RMCV.PA'!C67*S67)</f>
        <v>#DIV/0!</v>
      </c>
      <c r="U67" s="425" t="e">
        <f t="shared" si="9"/>
        <v>#DIV/0!</v>
      </c>
      <c r="V67" s="425">
        <f t="shared" si="10"/>
        <v>0</v>
      </c>
      <c r="W67" s="44" t="e">
        <f t="shared" si="11"/>
        <v>#DIV/0!</v>
      </c>
      <c r="X67" s="44" t="e">
        <f>(W67/'RMCV.PA'!C67)*4200/FY+T67</f>
        <v>#DIV/0!</v>
      </c>
      <c r="Y67" s="425" t="e">
        <f>IF('CG. MPA'!E67="CONCRETO","F/DISEÑO",IF(FY=4200,IF(X67&gt;0.002,"BIEN","MAL"),(IF(X67&gt;4200*0.002/FY,"BIEN","MAL"))))</f>
        <v>#DIV/0!</v>
      </c>
    </row>
    <row r="68" spans="1:25" hidden="1">
      <c r="A68" s="684">
        <f>'CG. MPA'!A68</f>
        <v>40</v>
      </c>
      <c r="B68" s="579">
        <f>'RMCV.PA'!B68</f>
        <v>0</v>
      </c>
      <c r="C68" s="579">
        <f t="shared" si="12"/>
        <v>-2</v>
      </c>
      <c r="D68" s="579">
        <f t="shared" si="13"/>
        <v>-4</v>
      </c>
      <c r="E68" s="576">
        <f>'RMCS.PA'!M67</f>
        <v>0</v>
      </c>
      <c r="F68" s="576">
        <f>'RMCV.PA'!N68*1.1/1.4</f>
        <v>0</v>
      </c>
      <c r="G68" s="100">
        <f>IF('CG. MPA'!D68="CONFINADO",0.71*4,0)</f>
        <v>2.84</v>
      </c>
      <c r="H68" s="576">
        <f>('RMCV.PA'!O68+(2*0.6*$H$18*G68))</f>
        <v>14313.599999999999</v>
      </c>
      <c r="I68" s="60">
        <f t="shared" si="14"/>
        <v>0.8</v>
      </c>
      <c r="J68" s="576">
        <f t="shared" si="15"/>
        <v>-38169.599999999999</v>
      </c>
      <c r="K68" s="918">
        <f>ABS('ELEM. MECA.'!Q45)</f>
        <v>0</v>
      </c>
      <c r="L68" s="936">
        <f t="shared" si="16"/>
        <v>-38169.599999999999</v>
      </c>
      <c r="M68" s="705" t="str">
        <f>IF('CG. MPA'!E68="CONCRETO","F/DISEÑO",IF(K68&gt;L68,"NO PASA","PASA"))</f>
        <v>NO PASA</v>
      </c>
      <c r="N68" s="44">
        <f>IF('RMCV.PA'!C68*6&gt;80,80,'RMCV.PA'!C68*6)</f>
        <v>0</v>
      </c>
      <c r="O68" s="44" t="e">
        <f t="shared" si="5"/>
        <v>#DIV/0!</v>
      </c>
      <c r="P68" s="456" t="e">
        <f t="shared" si="6"/>
        <v>#DIV/0!</v>
      </c>
      <c r="Q68" s="351" t="e">
        <f>IF(P68=0,G68,$Q$25)/('RMCV.PA'!C68*(B68/(P68+1)))*4200/$Q$26</f>
        <v>#DIV/0!</v>
      </c>
      <c r="R68" s="425" t="e">
        <f t="shared" si="7"/>
        <v>#DIV/0!</v>
      </c>
      <c r="S68" s="44">
        <f t="shared" si="8"/>
        <v>40</v>
      </c>
      <c r="T68" s="44" t="e">
        <f>(4200/$T$26)*$T$25/('RMCV.PA'!C68*S68)</f>
        <v>#DIV/0!</v>
      </c>
      <c r="U68" s="425" t="e">
        <f t="shared" si="9"/>
        <v>#DIV/0!</v>
      </c>
      <c r="V68" s="425">
        <f t="shared" si="10"/>
        <v>0</v>
      </c>
      <c r="W68" s="44" t="e">
        <f t="shared" si="11"/>
        <v>#DIV/0!</v>
      </c>
      <c r="X68" s="44" t="e">
        <f>(W68/'RMCV.PA'!C68)*4200/FY+T68</f>
        <v>#DIV/0!</v>
      </c>
      <c r="Y68" s="425" t="e">
        <f>IF('CG. MPA'!E68="CONCRETO","F/DISEÑO",IF(FY=4200,IF(X68&gt;0.002,"BIEN","MAL"),(IF(X68&gt;4200*0.002/FY,"BIEN","MAL"))))</f>
        <v>#DIV/0!</v>
      </c>
    </row>
    <row r="69" spans="1:25" hidden="1">
      <c r="A69" s="684">
        <f>'CG. MPA'!A69</f>
        <v>41</v>
      </c>
      <c r="B69" s="579">
        <f>'RMCV.PA'!B69</f>
        <v>0</v>
      </c>
      <c r="C69" s="579">
        <f t="shared" si="12"/>
        <v>-2</v>
      </c>
      <c r="D69" s="579">
        <f t="shared" si="13"/>
        <v>-4</v>
      </c>
      <c r="E69" s="576">
        <f>'RMCS.PA'!M68</f>
        <v>0</v>
      </c>
      <c r="F69" s="576">
        <f>'RMCV.PA'!N69*1.1/1.4</f>
        <v>0</v>
      </c>
      <c r="G69" s="100">
        <f>IF('CG. MPA'!D69="CONFINADO",0.71*4,0)</f>
        <v>2.84</v>
      </c>
      <c r="H69" s="576">
        <f>('RMCV.PA'!O69+(2*0.6*$H$18*G69))</f>
        <v>14313.599999999999</v>
      </c>
      <c r="I69" s="60">
        <f t="shared" si="14"/>
        <v>0.8</v>
      </c>
      <c r="J69" s="576">
        <f t="shared" si="15"/>
        <v>-38169.599999999999</v>
      </c>
      <c r="K69" s="918">
        <f>ABS('ELEM. MECA.'!Q46)</f>
        <v>0</v>
      </c>
      <c r="L69" s="936">
        <f t="shared" si="16"/>
        <v>-38169.599999999999</v>
      </c>
      <c r="M69" s="705" t="str">
        <f>IF('CG. MPA'!E69="CONCRETO","F/DISEÑO",IF(K69&gt;L69,"NO PASA","PASA"))</f>
        <v>NO PASA</v>
      </c>
      <c r="N69" s="44">
        <f>IF('RMCV.PA'!C69*6&gt;80,80,'RMCV.PA'!C69*6)</f>
        <v>0</v>
      </c>
      <c r="O69" s="44" t="e">
        <f t="shared" si="5"/>
        <v>#DIV/0!</v>
      </c>
      <c r="P69" s="456" t="e">
        <f t="shared" si="6"/>
        <v>#DIV/0!</v>
      </c>
      <c r="Q69" s="351" t="e">
        <f>IF(P69=0,G69,$Q$25)/('RMCV.PA'!C69*(B69/(P69+1)))*4200/$Q$26</f>
        <v>#DIV/0!</v>
      </c>
      <c r="R69" s="425" t="e">
        <f t="shared" si="7"/>
        <v>#DIV/0!</v>
      </c>
      <c r="S69" s="44">
        <f t="shared" si="8"/>
        <v>40</v>
      </c>
      <c r="T69" s="44" t="e">
        <f>(4200/$T$26)*$T$25/('RMCV.PA'!C69*S69)</f>
        <v>#DIV/0!</v>
      </c>
      <c r="U69" s="425" t="e">
        <f t="shared" si="9"/>
        <v>#DIV/0!</v>
      </c>
      <c r="V69" s="425">
        <f t="shared" si="10"/>
        <v>0</v>
      </c>
      <c r="W69" s="44" t="e">
        <f t="shared" si="11"/>
        <v>#DIV/0!</v>
      </c>
      <c r="X69" s="44" t="e">
        <f>(W69/'RMCV.PA'!C69)*4200/FY+T69</f>
        <v>#DIV/0!</v>
      </c>
      <c r="Y69" s="425" t="e">
        <f>IF('CG. MPA'!E69="CONCRETO","F/DISEÑO",IF(FY=4200,IF(X69&gt;0.002,"BIEN","MAL"),(IF(X69&gt;4200*0.002/FY,"BIEN","MAL"))))</f>
        <v>#DIV/0!</v>
      </c>
    </row>
    <row r="70" spans="1:25" hidden="1">
      <c r="A70" s="684">
        <f>'CG. MPA'!A70</f>
        <v>42</v>
      </c>
      <c r="B70" s="579">
        <f>'RMCV.PA'!B70</f>
        <v>0</v>
      </c>
      <c r="C70" s="579">
        <f t="shared" ref="C70:C78" si="22">IF(B70&gt;60,(B70-7),(B70-2))</f>
        <v>-2</v>
      </c>
      <c r="D70" s="579">
        <f t="shared" ref="D70:D78" si="23">IF(B70&gt;60,(B70-14),(B70-4))</f>
        <v>-4</v>
      </c>
      <c r="E70" s="576">
        <f>'RMCS.PA'!M69</f>
        <v>0</v>
      </c>
      <c r="F70" s="576">
        <f>'RMCV.PA'!N70*1.1/1.4</f>
        <v>0</v>
      </c>
      <c r="G70" s="100">
        <f>IF('CG. MPA'!D70="CONFINADO",0.71*4,0)</f>
        <v>2.84</v>
      </c>
      <c r="H70" s="576">
        <f>('RMCV.PA'!O70+(2*0.6*$H$18*G70))</f>
        <v>14313.599999999999</v>
      </c>
      <c r="I70" s="60">
        <f t="shared" ref="I70:I78" si="24">IF(H70/3&gt;F70,0.8,0.6)</f>
        <v>0.8</v>
      </c>
      <c r="J70" s="576">
        <f t="shared" ref="J70:J78" si="25">(D70*G70*I70*$H$18)</f>
        <v>-38169.599999999999</v>
      </c>
      <c r="K70" s="918">
        <f>ABS('ELEM. MECA.'!Q47)</f>
        <v>0</v>
      </c>
      <c r="L70" s="936">
        <f t="shared" ref="L70:L78" si="26">IF(I70=0.8,(J70+(0.3*F70*C70)),((J70*1.5)+((H70*C70*0.15)*(1-(F70/H70)))))</f>
        <v>-38169.599999999999</v>
      </c>
      <c r="M70" s="705" t="str">
        <f>IF('CG. MPA'!E70="CONCRETO","F/DISEÑO",IF(K70&gt;L70,"NO PASA","PASA"))</f>
        <v>NO PASA</v>
      </c>
      <c r="N70" s="44"/>
      <c r="O70" s="44"/>
      <c r="P70" s="456"/>
      <c r="Q70" s="351"/>
      <c r="R70" s="425"/>
      <c r="S70" s="44"/>
      <c r="T70" s="44"/>
      <c r="U70" s="425"/>
      <c r="V70" s="425"/>
      <c r="W70" s="44"/>
      <c r="X70" s="44"/>
      <c r="Y70" s="425"/>
    </row>
    <row r="71" spans="1:25" hidden="1">
      <c r="A71" s="684">
        <f>'CG. MPA'!A71</f>
        <v>43</v>
      </c>
      <c r="B71" s="579">
        <f>'RMCV.PA'!B71</f>
        <v>0</v>
      </c>
      <c r="C71" s="579">
        <f t="shared" si="22"/>
        <v>-2</v>
      </c>
      <c r="D71" s="579">
        <f t="shared" si="23"/>
        <v>-4</v>
      </c>
      <c r="E71" s="576">
        <f>'RMCS.PA'!M70</f>
        <v>0</v>
      </c>
      <c r="F71" s="576">
        <f>'RMCV.PA'!N71*1.1/1.4</f>
        <v>0</v>
      </c>
      <c r="G71" s="100">
        <f>IF('CG. MPA'!D71="CONFINADO",0.71*4,0)</f>
        <v>2.84</v>
      </c>
      <c r="H71" s="576">
        <f>('RMCV.PA'!O71+(2*0.6*$H$18*G71))</f>
        <v>14313.599999999999</v>
      </c>
      <c r="I71" s="60">
        <f t="shared" si="24"/>
        <v>0.8</v>
      </c>
      <c r="J71" s="576">
        <f t="shared" si="25"/>
        <v>-38169.599999999999</v>
      </c>
      <c r="K71" s="918">
        <f>ABS('ELEM. MECA.'!Q48)</f>
        <v>0</v>
      </c>
      <c r="L71" s="936">
        <f t="shared" si="26"/>
        <v>-38169.599999999999</v>
      </c>
      <c r="M71" s="705" t="str">
        <f>IF('CG. MPA'!E71="CONCRETO","F/DISEÑO",IF(K71&gt;L71,"NO PASA","PASA"))</f>
        <v>NO PASA</v>
      </c>
      <c r="N71" s="44"/>
      <c r="O71" s="44"/>
      <c r="P71" s="456"/>
      <c r="Q71" s="351"/>
      <c r="R71" s="425"/>
      <c r="S71" s="44"/>
      <c r="T71" s="44"/>
      <c r="U71" s="425"/>
      <c r="V71" s="425"/>
      <c r="W71" s="44"/>
      <c r="X71" s="44"/>
      <c r="Y71" s="425"/>
    </row>
    <row r="72" spans="1:25" hidden="1">
      <c r="A72" s="684">
        <f>'CG. MPA'!A72</f>
        <v>44</v>
      </c>
      <c r="B72" s="579">
        <f>'RMCV.PA'!B72</f>
        <v>0</v>
      </c>
      <c r="C72" s="579">
        <f t="shared" si="22"/>
        <v>-2</v>
      </c>
      <c r="D72" s="579">
        <f t="shared" si="23"/>
        <v>-4</v>
      </c>
      <c r="E72" s="576">
        <f>'RMCS.PA'!M71</f>
        <v>0</v>
      </c>
      <c r="F72" s="576">
        <f>'RMCV.PA'!N72*1.1/1.4</f>
        <v>0</v>
      </c>
      <c r="G72" s="100">
        <f>IF('CG. MPA'!D72="CONFINADO",0.71*4,0)</f>
        <v>2.84</v>
      </c>
      <c r="H72" s="576">
        <f>('RMCV.PA'!O72+(2*0.6*$H$18*G72))</f>
        <v>14313.599999999999</v>
      </c>
      <c r="I72" s="60">
        <f t="shared" si="24"/>
        <v>0.8</v>
      </c>
      <c r="J72" s="576">
        <f t="shared" si="25"/>
        <v>-38169.599999999999</v>
      </c>
      <c r="K72" s="918">
        <f>ABS('ELEM. MECA.'!Q49)</f>
        <v>0</v>
      </c>
      <c r="L72" s="936">
        <f t="shared" si="26"/>
        <v>-38169.599999999999</v>
      </c>
      <c r="M72" s="705" t="str">
        <f>IF('CG. MPA'!E72="CONCRETO","F/DISEÑO",IF(K72&gt;L72,"NO PASA","PASA"))</f>
        <v>NO PASA</v>
      </c>
      <c r="N72" s="44"/>
      <c r="O72" s="44"/>
      <c r="P72" s="456"/>
      <c r="Q72" s="351"/>
      <c r="R72" s="425"/>
      <c r="S72" s="44"/>
      <c r="T72" s="44"/>
      <c r="U72" s="425"/>
      <c r="V72" s="425"/>
      <c r="W72" s="44"/>
      <c r="X72" s="44"/>
      <c r="Y72" s="425"/>
    </row>
    <row r="73" spans="1:25" hidden="1">
      <c r="A73" s="684">
        <f>'CG. MPA'!A73</f>
        <v>45</v>
      </c>
      <c r="B73" s="579">
        <f>'RMCV.PA'!B73</f>
        <v>0</v>
      </c>
      <c r="C73" s="579">
        <f t="shared" si="22"/>
        <v>-2</v>
      </c>
      <c r="D73" s="579">
        <f t="shared" si="23"/>
        <v>-4</v>
      </c>
      <c r="E73" s="576">
        <f>'RMCS.PA'!M72</f>
        <v>0</v>
      </c>
      <c r="F73" s="576">
        <f>'RMCV.PA'!N73*1.1/1.4</f>
        <v>0</v>
      </c>
      <c r="G73" s="100">
        <f>IF('CG. MPA'!D73="CONFINADO",0.71*4,0)</f>
        <v>2.84</v>
      </c>
      <c r="H73" s="576">
        <f>('RMCV.PA'!O73+(2*0.6*$H$18*G73))</f>
        <v>14313.599999999999</v>
      </c>
      <c r="I73" s="60">
        <f t="shared" si="24"/>
        <v>0.8</v>
      </c>
      <c r="J73" s="576">
        <f t="shared" si="25"/>
        <v>-38169.599999999999</v>
      </c>
      <c r="K73" s="918">
        <f>ABS('ELEM. MECA.'!Q50)</f>
        <v>0</v>
      </c>
      <c r="L73" s="936">
        <f t="shared" si="26"/>
        <v>-38169.599999999999</v>
      </c>
      <c r="M73" s="705" t="str">
        <f>IF('CG. MPA'!E73="CONCRETO","F/DISEÑO",IF(K73&gt;L73,"NO PASA","PASA"))</f>
        <v>NO PASA</v>
      </c>
      <c r="N73" s="44"/>
      <c r="O73" s="44"/>
      <c r="P73" s="456"/>
      <c r="Q73" s="351"/>
      <c r="R73" s="425"/>
      <c r="S73" s="44"/>
      <c r="T73" s="44"/>
      <c r="U73" s="425"/>
      <c r="V73" s="425"/>
      <c r="W73" s="44"/>
      <c r="X73" s="44"/>
      <c r="Y73" s="425"/>
    </row>
    <row r="74" spans="1:25" hidden="1">
      <c r="A74" s="684">
        <f>'CG. MPA'!A74</f>
        <v>46</v>
      </c>
      <c r="B74" s="579">
        <f>'RMCV.PA'!B74</f>
        <v>0</v>
      </c>
      <c r="C74" s="579">
        <f t="shared" si="22"/>
        <v>-2</v>
      </c>
      <c r="D74" s="579">
        <f t="shared" si="23"/>
        <v>-4</v>
      </c>
      <c r="E74" s="576">
        <f>'RMCS.PA'!M73</f>
        <v>0</v>
      </c>
      <c r="F74" s="576">
        <f>'RMCV.PA'!N74*1.1/1.4</f>
        <v>0</v>
      </c>
      <c r="G74" s="100">
        <f>IF('CG. MPA'!D74="CONFINADO",0.71*4,0)</f>
        <v>2.84</v>
      </c>
      <c r="H74" s="576">
        <f>('RMCV.PA'!O74+(2*0.6*$H$18*G74))</f>
        <v>14313.599999999999</v>
      </c>
      <c r="I74" s="60">
        <f t="shared" si="24"/>
        <v>0.8</v>
      </c>
      <c r="J74" s="576">
        <f t="shared" si="25"/>
        <v>-38169.599999999999</v>
      </c>
      <c r="K74" s="918">
        <f>ABS('ELEM. MECA.'!Q51)</f>
        <v>0</v>
      </c>
      <c r="L74" s="936">
        <f t="shared" si="26"/>
        <v>-38169.599999999999</v>
      </c>
      <c r="M74" s="705" t="str">
        <f>IF('CG. MPA'!E74="CONCRETO","F/DISEÑO",IF(K74&gt;L74,"NO PASA","PASA"))</f>
        <v>NO PASA</v>
      </c>
      <c r="N74" s="44"/>
      <c r="O74" s="44"/>
      <c r="P74" s="456"/>
      <c r="Q74" s="351"/>
      <c r="R74" s="425"/>
      <c r="S74" s="44"/>
      <c r="T74" s="44"/>
      <c r="U74" s="425"/>
      <c r="V74" s="425"/>
      <c r="W74" s="44"/>
      <c r="X74" s="44"/>
      <c r="Y74" s="425"/>
    </row>
    <row r="75" spans="1:25" hidden="1">
      <c r="A75" s="684">
        <f>'CG. MPA'!A75</f>
        <v>47</v>
      </c>
      <c r="B75" s="579">
        <f>'RMCV.PA'!B75</f>
        <v>0</v>
      </c>
      <c r="C75" s="579">
        <f t="shared" si="22"/>
        <v>-2</v>
      </c>
      <c r="D75" s="579">
        <f t="shared" si="23"/>
        <v>-4</v>
      </c>
      <c r="E75" s="576">
        <f>'RMCS.PA'!M74</f>
        <v>0</v>
      </c>
      <c r="F75" s="576">
        <f>'RMCV.PA'!N75*1.1/1.4</f>
        <v>0</v>
      </c>
      <c r="G75" s="100">
        <f>IF('CG. MPA'!D75="CONFINADO",0.71*4,0)</f>
        <v>2.84</v>
      </c>
      <c r="H75" s="576">
        <f>('RMCV.PA'!O75+(2*0.6*$H$18*G75))</f>
        <v>14313.599999999999</v>
      </c>
      <c r="I75" s="60">
        <f t="shared" si="24"/>
        <v>0.8</v>
      </c>
      <c r="J75" s="576">
        <f t="shared" si="25"/>
        <v>-38169.599999999999</v>
      </c>
      <c r="K75" s="918">
        <f>ABS('ELEM. MECA.'!Q52)</f>
        <v>0</v>
      </c>
      <c r="L75" s="936">
        <f t="shared" si="26"/>
        <v>-38169.599999999999</v>
      </c>
      <c r="M75" s="705" t="str">
        <f>IF('CG. MPA'!E75="CONCRETO","F/DISEÑO",IF(K75&gt;L75,"NO PASA","PASA"))</f>
        <v>NO PASA</v>
      </c>
      <c r="N75" s="44"/>
      <c r="O75" s="44"/>
      <c r="P75" s="456"/>
      <c r="Q75" s="351"/>
      <c r="R75" s="425"/>
      <c r="S75" s="44"/>
      <c r="T75" s="44"/>
      <c r="U75" s="425"/>
      <c r="V75" s="425"/>
      <c r="W75" s="44"/>
      <c r="X75" s="44"/>
      <c r="Y75" s="425"/>
    </row>
    <row r="76" spans="1:25" hidden="1">
      <c r="A76" s="684">
        <f>'CG. MPA'!A76</f>
        <v>48</v>
      </c>
      <c r="B76" s="579">
        <f>'RMCV.PA'!B76</f>
        <v>0</v>
      </c>
      <c r="C76" s="579">
        <f t="shared" si="22"/>
        <v>-2</v>
      </c>
      <c r="D76" s="579">
        <f t="shared" si="23"/>
        <v>-4</v>
      </c>
      <c r="E76" s="576">
        <f>'RMCS.PA'!M75</f>
        <v>0</v>
      </c>
      <c r="F76" s="576">
        <f>'RMCV.PA'!N76*1.1/1.4</f>
        <v>0</v>
      </c>
      <c r="G76" s="100">
        <f>IF('CG. MPA'!D76="CONFINADO",0.71*4,0)</f>
        <v>2.84</v>
      </c>
      <c r="H76" s="576">
        <f>('RMCV.PA'!O76+(2*0.6*$H$18*G76))</f>
        <v>14313.599999999999</v>
      </c>
      <c r="I76" s="60">
        <f t="shared" si="24"/>
        <v>0.8</v>
      </c>
      <c r="J76" s="576">
        <f t="shared" si="25"/>
        <v>-38169.599999999999</v>
      </c>
      <c r="K76" s="918">
        <f>ABS('ELEM. MECA.'!Q53)</f>
        <v>0</v>
      </c>
      <c r="L76" s="936">
        <f t="shared" si="26"/>
        <v>-38169.599999999999</v>
      </c>
      <c r="M76" s="705" t="str">
        <f>IF('CG. MPA'!E76="CONCRETO","F/DISEÑO",IF(K76&gt;L76,"NO PASA","PASA"))</f>
        <v>NO PASA</v>
      </c>
      <c r="N76" s="44"/>
      <c r="O76" s="44"/>
      <c r="P76" s="456"/>
      <c r="Q76" s="351"/>
      <c r="R76" s="425"/>
      <c r="S76" s="44"/>
      <c r="T76" s="44"/>
      <c r="U76" s="425"/>
      <c r="V76" s="425"/>
      <c r="W76" s="44"/>
      <c r="X76" s="44"/>
      <c r="Y76" s="425"/>
    </row>
    <row r="77" spans="1:25" hidden="1">
      <c r="A77" s="684">
        <f>'CG. MPA'!A77</f>
        <v>49</v>
      </c>
      <c r="B77" s="579">
        <f>'RMCV.PA'!B77</f>
        <v>0</v>
      </c>
      <c r="C77" s="579">
        <f t="shared" si="22"/>
        <v>-2</v>
      </c>
      <c r="D77" s="579">
        <f t="shared" si="23"/>
        <v>-4</v>
      </c>
      <c r="E77" s="576">
        <f>'RMCS.PA'!M76</f>
        <v>0</v>
      </c>
      <c r="F77" s="576">
        <f>'RMCV.PA'!N77*1.1/1.4</f>
        <v>0</v>
      </c>
      <c r="G77" s="100">
        <f>IF('CG. MPA'!D77="CONFINADO",0.71*4,0)</f>
        <v>2.84</v>
      </c>
      <c r="H77" s="576">
        <f>('RMCV.PA'!O77+(2*0.6*$H$18*G77))</f>
        <v>14313.599999999999</v>
      </c>
      <c r="I77" s="60">
        <f t="shared" si="24"/>
        <v>0.8</v>
      </c>
      <c r="J77" s="576">
        <f t="shared" si="25"/>
        <v>-38169.599999999999</v>
      </c>
      <c r="K77" s="918">
        <f>ABS('ELEM. MECA.'!Q54)</f>
        <v>0</v>
      </c>
      <c r="L77" s="936">
        <f t="shared" si="26"/>
        <v>-38169.599999999999</v>
      </c>
      <c r="M77" s="705" t="str">
        <f>IF('CG. MPA'!E77="CONCRETO","F/DISEÑO",IF(K77&gt;L77,"NO PASA","PASA"))</f>
        <v>NO PASA</v>
      </c>
      <c r="N77" s="44"/>
      <c r="O77" s="44"/>
      <c r="P77" s="456"/>
      <c r="Q77" s="351"/>
      <c r="R77" s="425"/>
      <c r="S77" s="44"/>
      <c r="T77" s="44"/>
      <c r="U77" s="425"/>
      <c r="V77" s="425"/>
      <c r="W77" s="44"/>
      <c r="X77" s="44"/>
      <c r="Y77" s="425"/>
    </row>
    <row r="78" spans="1:25" ht="15.75" hidden="1" thickBot="1">
      <c r="A78" s="684">
        <f>'CG. MPA'!A78</f>
        <v>50</v>
      </c>
      <c r="B78" s="579">
        <f>'RMCV.PA'!B78</f>
        <v>0</v>
      </c>
      <c r="C78" s="579">
        <f t="shared" si="22"/>
        <v>-2</v>
      </c>
      <c r="D78" s="579">
        <f t="shared" si="23"/>
        <v>-4</v>
      </c>
      <c r="E78" s="576">
        <f>'RMCS.PA'!M77</f>
        <v>0</v>
      </c>
      <c r="F78" s="576">
        <f>'RMCV.PA'!N78*1.1/1.4</f>
        <v>0</v>
      </c>
      <c r="G78" s="100">
        <f>IF('CG. MPA'!D78="CONFINADO",0.71*4,0)</f>
        <v>2.84</v>
      </c>
      <c r="H78" s="576">
        <f>('RMCV.PA'!O78+(2*0.6*$H$18*G78))</f>
        <v>14313.599999999999</v>
      </c>
      <c r="I78" s="60">
        <f t="shared" si="24"/>
        <v>0.8</v>
      </c>
      <c r="J78" s="576">
        <f t="shared" si="25"/>
        <v>-38169.599999999999</v>
      </c>
      <c r="K78" s="918">
        <f>ABS('ELEM. MECA.'!Q55)</f>
        <v>0</v>
      </c>
      <c r="L78" s="936">
        <f t="shared" si="26"/>
        <v>-38169.599999999999</v>
      </c>
      <c r="M78" s="705" t="str">
        <f>IF('CG. MPA'!E78="CONCRETO","F/DISEÑO",IF(K78&gt;L78,"NO PASA","PASA"))</f>
        <v>NO PASA</v>
      </c>
      <c r="N78" s="44"/>
      <c r="O78" s="44"/>
      <c r="P78" s="44"/>
      <c r="Q78" s="44"/>
      <c r="R78" s="44"/>
      <c r="S78" s="44"/>
      <c r="T78" s="44"/>
      <c r="U78" s="425"/>
      <c r="V78" s="425"/>
      <c r="W78" s="44"/>
      <c r="X78" s="44"/>
      <c r="Y78" s="425"/>
    </row>
    <row r="79" spans="1:25" ht="15.75">
      <c r="A79" s="665" t="s">
        <v>88</v>
      </c>
      <c r="B79" s="710"/>
      <c r="C79" s="710"/>
      <c r="D79" s="710"/>
      <c r="E79" s="692"/>
      <c r="F79" s="693"/>
      <c r="G79" s="711"/>
      <c r="H79" s="692"/>
      <c r="I79" s="712"/>
      <c r="J79" s="692"/>
      <c r="K79" s="920"/>
      <c r="L79" s="938"/>
      <c r="M79" s="713"/>
      <c r="N79" s="44"/>
      <c r="O79" s="44"/>
      <c r="P79" s="44"/>
      <c r="Q79" s="44"/>
      <c r="R79" s="44"/>
      <c r="S79" s="44"/>
      <c r="T79" s="44"/>
      <c r="U79" s="425"/>
      <c r="V79" s="425"/>
      <c r="W79" s="44"/>
      <c r="X79" s="44"/>
      <c r="Y79" s="425"/>
    </row>
    <row r="80" spans="1:25">
      <c r="A80" s="684">
        <f>'CG. MPA'!A80</f>
        <v>1</v>
      </c>
      <c r="B80" s="579">
        <f>'RMCV.PA'!B80</f>
        <v>102.54999999999994</v>
      </c>
      <c r="C80" s="579">
        <f t="shared" ref="C80:C88" si="27">IF(B80&gt;60,(B80-7),(B80-2))</f>
        <v>95.54999999999994</v>
      </c>
      <c r="D80" s="579">
        <f t="shared" ref="D80:D88" si="28">IF(B80&gt;60,(B80-14),(B80-4))</f>
        <v>88.54999999999994</v>
      </c>
      <c r="E80" s="576">
        <f>'RMCS.PA'!M79</f>
        <v>2110.0551019103332</v>
      </c>
      <c r="F80" s="576">
        <f>'RMCV.PA'!N80*1.1/1.4</f>
        <v>2815.0766288690947</v>
      </c>
      <c r="G80" s="100">
        <f>IF('CG. MPA'!D80="CONFINADO",0.71*4,0)</f>
        <v>2.84</v>
      </c>
      <c r="H80" s="576">
        <f>('RMCV.PA'!O80+(2*0.6*$H$18*G80))</f>
        <v>33977.159999999989</v>
      </c>
      <c r="I80" s="60">
        <f t="shared" ref="I80:I88" si="29">IF(H80/3&gt;F80,0.8,0.6)</f>
        <v>0.8</v>
      </c>
      <c r="J80" s="576">
        <f t="shared" ref="J80:J88" si="30">(D80*G80*I80*$H$18)</f>
        <v>844979.51999999955</v>
      </c>
      <c r="K80" s="918">
        <f>ABS('ELEM. MECA.'!Q207)</f>
        <v>56120.811852681727</v>
      </c>
      <c r="L80" s="936">
        <f t="shared" ref="L80:L83" si="31">IF(I80=0.8,(J80+(0.3*F80*C80)),((J80*1.5)+((H80*C80*0.15)*(1-(F80/H80)))))</f>
        <v>925673.69156653213</v>
      </c>
      <c r="M80" s="705" t="str">
        <f>IF('CG. MPA'!E80="CONCRETO","F/DISEÑO",IF(K80&gt;L80,"NO PASA","PASA"))</f>
        <v>PASA</v>
      </c>
      <c r="N80" s="44">
        <f>IF('RMCV.PA'!C80*6&gt;80,80,'RMCV.PA'!C80*6)</f>
        <v>80</v>
      </c>
      <c r="O80" s="44">
        <f>ROUNDUP(IF((B80/N80)-1&gt;0,(B80/N80)-1,0),0)</f>
        <v>1</v>
      </c>
      <c r="P80" s="456">
        <f>O80</f>
        <v>1</v>
      </c>
      <c r="Q80" s="351">
        <f>IF(P80=0,G80,$Q$25)/('RMCV.PA'!C80*(B80/(P80+1)))*4200/$Q$26</f>
        <v>9.2312692995286897E-4</v>
      </c>
      <c r="R80" s="425" t="str">
        <f>IF($Q$26=4200,IF(Q80&gt;0.0007,"BIEN","MAL"),IF(Q80&gt;0.0007*4200/$Q$26,"BIEN","MAL"))</f>
        <v>BIEN</v>
      </c>
      <c r="S80" s="44">
        <f t="shared" ref="S80:S127" si="32">IF($S$25*4&gt;60,60,$S$25*4)</f>
        <v>40</v>
      </c>
      <c r="T80" s="44">
        <f>(4200/$T$26)*$T$25/('RMCV.PA'!C80*S80)</f>
        <v>1.1833333333333333E-3</v>
      </c>
      <c r="U80" s="425" t="str">
        <f>IF($T$26=4200,IF(T80&gt;0.0007,"BIEN","MAL"),IF(T80&gt;0.0007*4200/$T$26,"BIEN","MAL"))</f>
        <v>BIEN</v>
      </c>
      <c r="V80" s="425">
        <f>ROUNDUP(IF(B80&gt;300,(B80/300)-1,0),0)</f>
        <v>0</v>
      </c>
      <c r="W80" s="44">
        <f>G80*2+V80*$Q$25+P80*$Q$25</f>
        <v>6.39</v>
      </c>
      <c r="X80" s="44">
        <f>W80/'RMCV.PA'!C80*4200/FY+T80</f>
        <v>0.4271833333333333</v>
      </c>
      <c r="Y80" s="425" t="str">
        <f>IF('CG. MPA'!E80="CONCRETO","F/DISEÑO",IF(FY=4200,IF(X80&gt;0.002,"BIEN","MAL"),(IF(X80&gt;4200*0.002/FY,"BIEN","MAL"))))</f>
        <v>BIEN</v>
      </c>
    </row>
    <row r="81" spans="1:25">
      <c r="A81" s="684">
        <f>'CG. MPA'!A81</f>
        <v>2</v>
      </c>
      <c r="B81" s="579">
        <f>'RMCV.PA'!B81</f>
        <v>130.35000000000005</v>
      </c>
      <c r="C81" s="579">
        <f t="shared" si="27"/>
        <v>123.35000000000005</v>
      </c>
      <c r="D81" s="579">
        <f t="shared" si="28"/>
        <v>116.35000000000005</v>
      </c>
      <c r="E81" s="576">
        <f>'RMCS.PA'!M80</f>
        <v>5421.1790329408459</v>
      </c>
      <c r="F81" s="576">
        <f>'RMCV.PA'!N81*1.1/1.4</f>
        <v>4532.5996696462853</v>
      </c>
      <c r="G81" s="100">
        <f>IF('CG. MPA'!D81="CONFINADO",0.71*4,0)</f>
        <v>2.84</v>
      </c>
      <c r="H81" s="576">
        <f>('RMCV.PA'!O81+(2*0.6*$H$18*G81))</f>
        <v>33460.11</v>
      </c>
      <c r="I81" s="60">
        <f t="shared" si="29"/>
        <v>0.8</v>
      </c>
      <c r="J81" s="576">
        <f t="shared" si="30"/>
        <v>1110258.2400000005</v>
      </c>
      <c r="K81" s="918">
        <f>ABS('ELEM. MECA.'!Q208)</f>
        <v>184351.12348468741</v>
      </c>
      <c r="L81" s="936">
        <f t="shared" si="31"/>
        <v>1277987.0907752614</v>
      </c>
      <c r="M81" s="705" t="str">
        <f>IF('CG. MPA'!E81="CONCRETO","F/DISEÑO",IF(K81&gt;L81,"NO PASA","PASA"))</f>
        <v>PASA</v>
      </c>
      <c r="N81" s="44">
        <f>IF('RMCV.PA'!C81*6&gt;80,80,'RMCV.PA'!C81*6)</f>
        <v>80</v>
      </c>
      <c r="O81" s="44">
        <f t="shared" ref="O81:O109" si="33">ROUNDUP(IF((B81/N81)-1&gt;0,(B81/N81)-1,0),0)</f>
        <v>1</v>
      </c>
      <c r="P81" s="456">
        <f t="shared" ref="P81:P109" si="34">O81</f>
        <v>1</v>
      </c>
      <c r="Q81" s="351">
        <f>IF(P81=0,G81,$Q$25)/('RMCV.PA'!C81*(B81/(P81+1)))*4200/$Q$26</f>
        <v>7.2624984017389052E-4</v>
      </c>
      <c r="R81" s="425" t="str">
        <f t="shared" ref="R81:R109" si="35">IF($Q$26=4200,IF(Q81&gt;0.0007,"BIEN","MAL"),IF(Q81&gt;0.0007*4200/$Q$26,"BIEN","MAL"))</f>
        <v>BIEN</v>
      </c>
      <c r="S81" s="44">
        <f t="shared" si="32"/>
        <v>40</v>
      </c>
      <c r="T81" s="44">
        <f>(4200/$T$26)*$T$25/('RMCV.PA'!C81*S81)</f>
        <v>1.1833333333333333E-3</v>
      </c>
      <c r="U81" s="425" t="str">
        <f t="shared" ref="U81:U109" si="36">IF($T$26=4200,IF(T81&gt;0.0007,"BIEN","MAL"),IF(T81&gt;0.0007*4200/$T$26,"BIEN","MAL"))</f>
        <v>BIEN</v>
      </c>
      <c r="V81" s="425">
        <f t="shared" ref="V81:V109" si="37">ROUNDUP(IF(B81&gt;300,(B81/300)-1,0),0)</f>
        <v>0</v>
      </c>
      <c r="W81" s="44">
        <f t="shared" ref="W81:W109" si="38">G81*2+V81*$Q$25+P81*$Q$25</f>
        <v>6.39</v>
      </c>
      <c r="X81" s="44">
        <f>W81/'RMCV.PA'!C81*4200/FY+T81</f>
        <v>0.4271833333333333</v>
      </c>
      <c r="Y81" s="425" t="str">
        <f>IF('CG. MPA'!E81="CONCRETO","F/DISEÑO",IF(FY=4200,IF(X81&gt;0.002,"BIEN","MAL"),(IF(X81&gt;4200*0.002/FY,"BIEN","MAL"))))</f>
        <v>BIEN</v>
      </c>
    </row>
    <row r="82" spans="1:25">
      <c r="A82" s="684">
        <f>'CG. MPA'!A82</f>
        <v>3</v>
      </c>
      <c r="B82" s="579">
        <f>'RMCV.PA'!B82</f>
        <v>264.69999999999993</v>
      </c>
      <c r="C82" s="579">
        <f>IF(B82&gt;60,(B82-7),(B82-2))</f>
        <v>257.69999999999993</v>
      </c>
      <c r="D82" s="579">
        <f>IF(B82&gt;60,(B82-14),(B82-4))</f>
        <v>250.69999999999993</v>
      </c>
      <c r="E82" s="576">
        <f>'RMCS.PA'!M81</f>
        <v>7902.2754432398497</v>
      </c>
      <c r="F82" s="576">
        <f>'RMCV.PA'!N82*1.1/1.4</f>
        <v>2581.4303827409608</v>
      </c>
      <c r="G82" s="100">
        <f>IF('CG. MPA'!D82="CONFINADO",0.71*4,0)</f>
        <v>2.84</v>
      </c>
      <c r="H82" s="576">
        <f>('RMCV.PA'!O82+(2*0.6*$H$18*G82))</f>
        <v>44342.459999999992</v>
      </c>
      <c r="I82" s="60">
        <f>IF(H82/3&gt;F82,0.8,0.6)</f>
        <v>0.8</v>
      </c>
      <c r="J82" s="576">
        <f>(D82*G82*I82*$H$18)</f>
        <v>2392279.6799999992</v>
      </c>
      <c r="K82" s="918">
        <f>ABS('ELEM. MECA.'!Q209)</f>
        <v>296794.1247812832</v>
      </c>
      <c r="L82" s="936">
        <f>IF(I82=0.8,(J82+(0.3*F82*C82)),((J82*1.5)+((H82*C82*0.15)*(1-(F82/H82)))))</f>
        <v>2591850.0628897026</v>
      </c>
      <c r="M82" s="705" t="str">
        <f>IF('CG. MPA'!E82="CONCRETO","F/DISEÑO",IF(K82&gt;L82,"NO PASA","PASA"))</f>
        <v>PASA</v>
      </c>
      <c r="N82" s="44">
        <f>IF('RMCV.PA'!C82*6&gt;80,80,'RMCV.PA'!C82*6)</f>
        <v>80</v>
      </c>
      <c r="O82" s="44">
        <f t="shared" si="33"/>
        <v>3</v>
      </c>
      <c r="P82" s="456">
        <f t="shared" si="34"/>
        <v>3</v>
      </c>
      <c r="Q82" s="351">
        <f>IF(P82=0,G82,$Q$25)/('RMCV.PA'!C82*(B82/(P82+1)))*4200/$Q$26</f>
        <v>7.1527515426268739E-4</v>
      </c>
      <c r="R82" s="425" t="str">
        <f t="shared" si="35"/>
        <v>BIEN</v>
      </c>
      <c r="S82" s="44">
        <f t="shared" si="32"/>
        <v>40</v>
      </c>
      <c r="T82" s="44">
        <f>(4200/$T$26)*$T$25/('RMCV.PA'!C82*S82)</f>
        <v>1.1833333333333333E-3</v>
      </c>
      <c r="U82" s="425" t="str">
        <f t="shared" si="36"/>
        <v>BIEN</v>
      </c>
      <c r="V82" s="425">
        <f t="shared" si="37"/>
        <v>0</v>
      </c>
      <c r="W82" s="44">
        <f t="shared" si="38"/>
        <v>7.81</v>
      </c>
      <c r="X82" s="44">
        <f>W82/'RMCV.PA'!C82*4200/FY+T82</f>
        <v>0.52184999999999993</v>
      </c>
      <c r="Y82" s="425" t="str">
        <f>IF('CG. MPA'!E82="CONCRETO","F/DISEÑO",IF(FY=4200,IF(X82&gt;0.002,"BIEN","MAL"),(IF(X82&gt;4200*0.002/FY,"BIEN","MAL"))))</f>
        <v>BIEN</v>
      </c>
    </row>
    <row r="83" spans="1:25">
      <c r="A83" s="684">
        <f>'CG. MPA'!A83</f>
        <v>4</v>
      </c>
      <c r="B83" s="579">
        <f>'RMCV.PA'!B83</f>
        <v>384.99999999999994</v>
      </c>
      <c r="C83" s="579">
        <f t="shared" si="27"/>
        <v>377.99999999999994</v>
      </c>
      <c r="D83" s="579">
        <f t="shared" si="28"/>
        <v>370.99999999999994</v>
      </c>
      <c r="E83" s="576">
        <f>'RMCS.PA'!M82</f>
        <v>69583.31868167092</v>
      </c>
      <c r="F83" s="576">
        <f>'RMCV.PA'!N83*1.1/1.4</f>
        <v>71588.768566747996</v>
      </c>
      <c r="G83" s="100">
        <f>IF('CG. MPA'!D83="CONFINADO",0.71*4,0)</f>
        <v>2.84</v>
      </c>
      <c r="H83" s="576">
        <f>('RMCV.PA'!O83+(2*0.6*$H$18*G83))</f>
        <v>847170.59820415953</v>
      </c>
      <c r="I83" s="60">
        <f t="shared" si="29"/>
        <v>0.8</v>
      </c>
      <c r="J83" s="576">
        <f t="shared" si="30"/>
        <v>3540230.3999999994</v>
      </c>
      <c r="K83" s="918">
        <f>ABS('ELEM. MECA.'!Q210)</f>
        <v>14456182.896646254</v>
      </c>
      <c r="L83" s="936">
        <f t="shared" si="31"/>
        <v>11658396.755469222</v>
      </c>
      <c r="M83" s="705" t="str">
        <f>IF('CG. MPA'!E83="CONCRETO","F/DISEÑO",IF(K83&gt;L83,"NO PASA","PASA"))</f>
        <v>F/DISEÑO</v>
      </c>
      <c r="N83" s="44">
        <f>IF('RMCV.PA'!C83*6&gt;80,80,'RMCV.PA'!C83*6)</f>
        <v>80</v>
      </c>
      <c r="O83" s="44">
        <f t="shared" si="33"/>
        <v>4</v>
      </c>
      <c r="P83" s="456">
        <f t="shared" si="34"/>
        <v>4</v>
      </c>
      <c r="Q83" s="351">
        <f>IF(P83=0,G83,$Q$25)/('RMCV.PA'!C83*(B83/(P83+1)))*4200/$Q$26</f>
        <v>6.1471861471861476E-4</v>
      </c>
      <c r="R83" s="425" t="str">
        <f t="shared" si="35"/>
        <v>MAL</v>
      </c>
      <c r="S83" s="44">
        <f t="shared" si="32"/>
        <v>40</v>
      </c>
      <c r="T83" s="44">
        <f>(4200/$T$26)*$T$25/('RMCV.PA'!C83*S83)</f>
        <v>1.1833333333333333E-3</v>
      </c>
      <c r="U83" s="425" t="str">
        <f t="shared" si="36"/>
        <v>BIEN</v>
      </c>
      <c r="V83" s="425">
        <f t="shared" si="37"/>
        <v>1</v>
      </c>
      <c r="W83" s="44">
        <f t="shared" si="38"/>
        <v>9.23</v>
      </c>
      <c r="X83" s="44">
        <f>W83/'RMCV.PA'!C83*4200/FY+T83</f>
        <v>0.61651666666666671</v>
      </c>
      <c r="Y83" s="425" t="str">
        <f>IF('CG. MPA'!E83="CONCRETO","F/DISEÑO",IF(FY=4200,IF(X83&gt;0.002,"BIEN","MAL"),(IF(X83&gt;4200*0.002/FY,"BIEN","MAL"))))</f>
        <v>F/DISEÑO</v>
      </c>
    </row>
    <row r="84" spans="1:25">
      <c r="A84" s="684">
        <f>'CG. MPA'!A84</f>
        <v>5</v>
      </c>
      <c r="B84" s="579">
        <f>'RMCV.PA'!B84</f>
        <v>59.200000000000053</v>
      </c>
      <c r="C84" s="579">
        <f t="shared" si="27"/>
        <v>57.200000000000053</v>
      </c>
      <c r="D84" s="579">
        <f t="shared" si="28"/>
        <v>55.200000000000053</v>
      </c>
      <c r="E84" s="576">
        <f>'RMCS.PA'!M83</f>
        <v>4062.8456158001572</v>
      </c>
      <c r="F84" s="576">
        <f>'RMCV.PA'!N84*1.1/1.4</f>
        <v>13145.292602984509</v>
      </c>
      <c r="G84" s="100">
        <f>IF('CG. MPA'!D84="CONFINADO",0.71*4,0)</f>
        <v>2.84</v>
      </c>
      <c r="H84" s="576">
        <f>('RMCV.PA'!O84+(2*0.6*$H$18*G84))</f>
        <v>142203.40643672275</v>
      </c>
      <c r="I84" s="60">
        <f t="shared" si="29"/>
        <v>0.8</v>
      </c>
      <c r="J84" s="576">
        <f t="shared" si="30"/>
        <v>526740.48000000045</v>
      </c>
      <c r="K84" s="918">
        <f>ABS('ELEM. MECA.'!Q211)</f>
        <v>377228.58578135405</v>
      </c>
      <c r="L84" s="936">
        <f t="shared" ref="L84:L88" si="39">IF(I84=0.8,(J84+(0.3*F84*C84)),((J84*1.5)+((H84*C84*0.15)*(1-(F84/H84)))))</f>
        <v>752313.70106721483</v>
      </c>
      <c r="M84" s="705" t="str">
        <f>IF('CG. MPA'!E84="CONCRETO","F/DISEÑO",IF(K84&gt;L84,"NO PASA","PASA"))</f>
        <v>F/DISEÑO</v>
      </c>
      <c r="N84" s="44">
        <f>IF('RMCV.PA'!C84*6&gt;80,80,'RMCV.PA'!C84*6)</f>
        <v>80</v>
      </c>
      <c r="O84" s="44">
        <f t="shared" si="33"/>
        <v>0</v>
      </c>
      <c r="P84" s="456">
        <f t="shared" si="34"/>
        <v>0</v>
      </c>
      <c r="Q84" s="351">
        <f>IF(P84=0,G84,$Q$25)/('RMCV.PA'!C84*(B84/(P84+1)))*4200/$Q$26</f>
        <v>3.198198198198195E-3</v>
      </c>
      <c r="R84" s="425" t="str">
        <f t="shared" si="35"/>
        <v>BIEN</v>
      </c>
      <c r="S84" s="44">
        <f t="shared" si="32"/>
        <v>40</v>
      </c>
      <c r="T84" s="44">
        <f>(4200/$T$26)*$T$25/('RMCV.PA'!C84*S84)</f>
        <v>1.1833333333333333E-3</v>
      </c>
      <c r="U84" s="425" t="str">
        <f t="shared" si="36"/>
        <v>BIEN</v>
      </c>
      <c r="V84" s="425">
        <f t="shared" si="37"/>
        <v>0</v>
      </c>
      <c r="W84" s="44">
        <f t="shared" si="38"/>
        <v>5.68</v>
      </c>
      <c r="X84" s="44">
        <f>W84/'RMCV.PA'!C84*4200/FY+T84</f>
        <v>0.37984999999999997</v>
      </c>
      <c r="Y84" s="425" t="str">
        <f>IF('CG. MPA'!E84="CONCRETO","F/DISEÑO",IF(FY=4200,IF(X84&gt;0.002,"BIEN","MAL"),(IF(X84&gt;4200*0.002/FY,"BIEN","MAL"))))</f>
        <v>F/DISEÑO</v>
      </c>
    </row>
    <row r="85" spans="1:25">
      <c r="A85" s="684">
        <f>'CG. MPA'!A85</f>
        <v>6</v>
      </c>
      <c r="B85" s="579">
        <f>'RMCV.PA'!B85</f>
        <v>102.54999999999994</v>
      </c>
      <c r="C85" s="579">
        <f t="shared" si="27"/>
        <v>95.54999999999994</v>
      </c>
      <c r="D85" s="579">
        <f t="shared" si="28"/>
        <v>88.54999999999994</v>
      </c>
      <c r="E85" s="576">
        <f>'RMCS.PA'!M84</f>
        <v>14504.908258551837</v>
      </c>
      <c r="F85" s="576">
        <f>'RMCV.PA'!N85*1.1/1.4</f>
        <v>9373.0710980704807</v>
      </c>
      <c r="G85" s="100">
        <f>IF('CG. MPA'!D85="CONFINADO",0.71*4,0)</f>
        <v>2.84</v>
      </c>
      <c r="H85" s="576">
        <f>('RMCV.PA'!O85+(2*0.6*$H$18*G85))</f>
        <v>239193.67717240506</v>
      </c>
      <c r="I85" s="60">
        <f t="shared" si="29"/>
        <v>0.8</v>
      </c>
      <c r="J85" s="576">
        <f t="shared" si="30"/>
        <v>844979.51999999955</v>
      </c>
      <c r="K85" s="918">
        <f>ABS('ELEM. MECA.'!Q212)</f>
        <v>1743582.0452938208</v>
      </c>
      <c r="L85" s="936">
        <f t="shared" si="39"/>
        <v>1113658.6030261898</v>
      </c>
      <c r="M85" s="705" t="str">
        <f>IF('CG. MPA'!E85="CONCRETO","F/DISEÑO",IF(K85&gt;L85,"NO PASA","PASA"))</f>
        <v>F/DISEÑO</v>
      </c>
      <c r="N85" s="44">
        <f>IF('RMCV.PA'!C85*6&gt;80,80,'RMCV.PA'!C85*6)</f>
        <v>80</v>
      </c>
      <c r="O85" s="44">
        <f t="shared" si="33"/>
        <v>1</v>
      </c>
      <c r="P85" s="456">
        <f t="shared" si="34"/>
        <v>1</v>
      </c>
      <c r="Q85" s="351">
        <f>IF(P85=0,G85,$Q$25)/('RMCV.PA'!C85*(B85/(P85+1)))*4200/$Q$26</f>
        <v>9.2312692995286897E-4</v>
      </c>
      <c r="R85" s="425" t="str">
        <f t="shared" si="35"/>
        <v>BIEN</v>
      </c>
      <c r="S85" s="44">
        <f t="shared" si="32"/>
        <v>40</v>
      </c>
      <c r="T85" s="44">
        <f>(4200/$T$26)*$T$25/('RMCV.PA'!C85*S85)</f>
        <v>1.1833333333333333E-3</v>
      </c>
      <c r="U85" s="425" t="str">
        <f t="shared" si="36"/>
        <v>BIEN</v>
      </c>
      <c r="V85" s="425">
        <f t="shared" si="37"/>
        <v>0</v>
      </c>
      <c r="W85" s="44">
        <f t="shared" si="38"/>
        <v>6.39</v>
      </c>
      <c r="X85" s="44">
        <f>W85/'RMCV.PA'!C85*4200/FY+T85</f>
        <v>0.4271833333333333</v>
      </c>
      <c r="Y85" s="425" t="str">
        <f>IF('CG. MPA'!E85="CONCRETO","F/DISEÑO",IF(FY=4200,IF(X85&gt;0.002,"BIEN","MAL"),(IF(X85&gt;4200*0.002/FY,"BIEN","MAL"))))</f>
        <v>F/DISEÑO</v>
      </c>
    </row>
    <row r="86" spans="1:25">
      <c r="A86" s="684">
        <f>'CG. MPA'!A86</f>
        <v>7</v>
      </c>
      <c r="B86" s="579">
        <f>'RMCV.PA'!B86</f>
        <v>341.5</v>
      </c>
      <c r="C86" s="579">
        <f t="shared" si="27"/>
        <v>334.5</v>
      </c>
      <c r="D86" s="579">
        <f t="shared" si="28"/>
        <v>327.5</v>
      </c>
      <c r="E86" s="576">
        <f>'RMCS.PA'!M85</f>
        <v>14619.118748495403</v>
      </c>
      <c r="F86" s="576">
        <f>'RMCV.PA'!N86*1.1/1.4</f>
        <v>5026.816443615905</v>
      </c>
      <c r="G86" s="100">
        <f>IF('CG. MPA'!D86="CONFINADO",0.71*4,0)</f>
        <v>2.84</v>
      </c>
      <c r="H86" s="576">
        <f>('RMCV.PA'!O86+(2*0.6*$H$18*G86))</f>
        <v>50563.259999999995</v>
      </c>
      <c r="I86" s="60">
        <f t="shared" si="29"/>
        <v>0.8</v>
      </c>
      <c r="J86" s="576">
        <f t="shared" si="30"/>
        <v>3125135.9999999995</v>
      </c>
      <c r="K86" s="918">
        <f>ABS('ELEM. MECA.'!Q213)</f>
        <v>328620.75652021018</v>
      </c>
      <c r="L86" s="936">
        <f t="shared" si="39"/>
        <v>3629577.0301168556</v>
      </c>
      <c r="M86" s="705" t="str">
        <f>IF('CG. MPA'!E86="CONCRETO","F/DISEÑO",IF(K86&gt;L86,"NO PASA","PASA"))</f>
        <v>PASA</v>
      </c>
      <c r="N86" s="44">
        <f>IF('RMCV.PA'!C86*6&gt;80,80,'RMCV.PA'!C86*6)</f>
        <v>80</v>
      </c>
      <c r="O86" s="44">
        <f t="shared" si="33"/>
        <v>4</v>
      </c>
      <c r="P86" s="456">
        <f t="shared" si="34"/>
        <v>4</v>
      </c>
      <c r="Q86" s="351">
        <f>IF(P86=0,G86,$Q$25)/('RMCV.PA'!C86*(B86/(P86+1)))*4200/$Q$26</f>
        <v>6.9302098584675452E-4</v>
      </c>
      <c r="R86" s="425" t="str">
        <f t="shared" si="35"/>
        <v>MAL</v>
      </c>
      <c r="S86" s="44">
        <f t="shared" si="32"/>
        <v>40</v>
      </c>
      <c r="T86" s="44">
        <f>(4200/$T$26)*$T$25/('RMCV.PA'!C86*S86)</f>
        <v>1.1833333333333333E-3</v>
      </c>
      <c r="U86" s="425" t="str">
        <f t="shared" si="36"/>
        <v>BIEN</v>
      </c>
      <c r="V86" s="425">
        <f t="shared" si="37"/>
        <v>1</v>
      </c>
      <c r="W86" s="44">
        <f t="shared" si="38"/>
        <v>9.23</v>
      </c>
      <c r="X86" s="44">
        <f>W86/'RMCV.PA'!C86*4200/FY+T86</f>
        <v>0.61651666666666671</v>
      </c>
      <c r="Y86" s="425" t="str">
        <f>IF('CG. MPA'!E86="CONCRETO","F/DISEÑO",IF(FY=4200,IF(X86&gt;0.002,"BIEN","MAL"),(IF(X86&gt;4200*0.002/FY,"BIEN","MAL"))))</f>
        <v>BIEN</v>
      </c>
    </row>
    <row r="87" spans="1:25">
      <c r="A87" s="684">
        <f>'CG. MPA'!A87</f>
        <v>8</v>
      </c>
      <c r="B87" s="579">
        <f>'RMCV.PA'!B87</f>
        <v>0</v>
      </c>
      <c r="C87" s="579">
        <f t="shared" si="27"/>
        <v>-2</v>
      </c>
      <c r="D87" s="579">
        <f t="shared" si="28"/>
        <v>-4</v>
      </c>
      <c r="E87" s="576" t="e">
        <f>'RMCS.PA'!M86</f>
        <v>#VALUE!</v>
      </c>
      <c r="F87" s="576" t="e">
        <f>'RMCV.PA'!N87*1.1/1.4</f>
        <v>#VALUE!</v>
      </c>
      <c r="G87" s="100">
        <f>IF('CG. MPA'!D87="CONFINADO",0.71*4,0)</f>
        <v>2.84</v>
      </c>
      <c r="H87" s="576">
        <f>('RMCV.PA'!O87+(2*0.6*$H$18*G87))</f>
        <v>14313.599999999999</v>
      </c>
      <c r="I87" s="60" t="e">
        <f t="shared" si="29"/>
        <v>#VALUE!</v>
      </c>
      <c r="J87" s="576" t="e">
        <f t="shared" si="30"/>
        <v>#VALUE!</v>
      </c>
      <c r="K87" s="918" t="e">
        <f>ABS('ELEM. MECA.'!Q214)</f>
        <v>#VALUE!</v>
      </c>
      <c r="L87" s="936" t="e">
        <f t="shared" si="39"/>
        <v>#VALUE!</v>
      </c>
      <c r="M87" s="705" t="e">
        <f>IF('CG. MPA'!E87="CONCRETO","F/DISEÑO",IF(K87&gt;L87,"NO PASA","PASA"))</f>
        <v>#VALUE!</v>
      </c>
      <c r="N87" s="44" t="e">
        <f>IF('RMCV.PA'!C87*6&gt;80,80,'RMCV.PA'!C87*6)</f>
        <v>#VALUE!</v>
      </c>
      <c r="O87" s="44" t="e">
        <f t="shared" si="33"/>
        <v>#VALUE!</v>
      </c>
      <c r="P87" s="456" t="e">
        <f t="shared" si="34"/>
        <v>#VALUE!</v>
      </c>
      <c r="Q87" s="351" t="e">
        <f>IF(P87=0,G87,$Q$25)/('RMCV.PA'!C87*(B87/(P87+1)))*4200/$Q$26</f>
        <v>#VALUE!</v>
      </c>
      <c r="R87" s="425" t="e">
        <f t="shared" si="35"/>
        <v>#VALUE!</v>
      </c>
      <c r="S87" s="44">
        <f t="shared" si="32"/>
        <v>40</v>
      </c>
      <c r="T87" s="44" t="e">
        <f>(4200/$T$26)*$T$25/('RMCV.PA'!C87*S87)</f>
        <v>#VALUE!</v>
      </c>
      <c r="U87" s="425" t="e">
        <f t="shared" si="36"/>
        <v>#VALUE!</v>
      </c>
      <c r="V87" s="425">
        <f t="shared" si="37"/>
        <v>0</v>
      </c>
      <c r="W87" s="44" t="e">
        <f t="shared" si="38"/>
        <v>#VALUE!</v>
      </c>
      <c r="X87" s="44" t="e">
        <f>W87/'RMCV.PA'!C87*4200/FY+T87</f>
        <v>#VALUE!</v>
      </c>
      <c r="Y87" s="425" t="e">
        <f>IF('CG. MPA'!E87="CONCRETO","F/DISEÑO",IF(FY=4200,IF(X87&gt;0.002,"BIEN","MAL"),(IF(X87&gt;4200*0.002/FY,"BIEN","MAL"))))</f>
        <v>#VALUE!</v>
      </c>
    </row>
    <row r="88" spans="1:25">
      <c r="A88" s="684">
        <f>'CG. MPA'!A88</f>
        <v>9</v>
      </c>
      <c r="B88" s="579">
        <f>'RMCV.PA'!B88</f>
        <v>0</v>
      </c>
      <c r="C88" s="579">
        <f t="shared" si="27"/>
        <v>-2</v>
      </c>
      <c r="D88" s="579">
        <f t="shared" si="28"/>
        <v>-4</v>
      </c>
      <c r="E88" s="576" t="e">
        <f>'RMCS.PA'!M87</f>
        <v>#VALUE!</v>
      </c>
      <c r="F88" s="576" t="e">
        <f>'RMCV.PA'!N88*1.1/1.4</f>
        <v>#VALUE!</v>
      </c>
      <c r="G88" s="100">
        <f>IF('CG. MPA'!D88="CONFINADO",0.71*4,0)</f>
        <v>2.84</v>
      </c>
      <c r="H88" s="576">
        <f>('RMCV.PA'!O88+(2*0.6*$H$18*G88))</f>
        <v>14313.599999999999</v>
      </c>
      <c r="I88" s="60" t="e">
        <f t="shared" si="29"/>
        <v>#VALUE!</v>
      </c>
      <c r="J88" s="576" t="e">
        <f t="shared" si="30"/>
        <v>#VALUE!</v>
      </c>
      <c r="K88" s="918" t="e">
        <f>ABS('ELEM. MECA.'!Q215)</f>
        <v>#VALUE!</v>
      </c>
      <c r="L88" s="936" t="e">
        <f t="shared" si="39"/>
        <v>#VALUE!</v>
      </c>
      <c r="M88" s="705" t="e">
        <f>IF('CG. MPA'!E88="CONCRETO","F/DISEÑO",IF(K88&gt;L88,"NO PASA","PASA"))</f>
        <v>#VALUE!</v>
      </c>
      <c r="N88" s="44" t="e">
        <f>IF('RMCV.PA'!C88*6&gt;80,80,'RMCV.PA'!C88*6)</f>
        <v>#VALUE!</v>
      </c>
      <c r="O88" s="44" t="e">
        <f t="shared" si="33"/>
        <v>#VALUE!</v>
      </c>
      <c r="P88" s="456" t="e">
        <f t="shared" si="34"/>
        <v>#VALUE!</v>
      </c>
      <c r="Q88" s="351" t="e">
        <f>IF(P88=0,G88,$Q$25)/('RMCV.PA'!C88*(B88/(P88+1)))*4200/$Q$26</f>
        <v>#VALUE!</v>
      </c>
      <c r="R88" s="425" t="e">
        <f t="shared" si="35"/>
        <v>#VALUE!</v>
      </c>
      <c r="S88" s="44">
        <f t="shared" si="32"/>
        <v>40</v>
      </c>
      <c r="T88" s="44" t="e">
        <f>(4200/$T$26)*$T$25/('RMCV.PA'!C88*S88)</f>
        <v>#VALUE!</v>
      </c>
      <c r="U88" s="425" t="e">
        <f t="shared" si="36"/>
        <v>#VALUE!</v>
      </c>
      <c r="V88" s="425">
        <f t="shared" si="37"/>
        <v>0</v>
      </c>
      <c r="W88" s="44" t="e">
        <f t="shared" si="38"/>
        <v>#VALUE!</v>
      </c>
      <c r="X88" s="44" t="e">
        <f>W88/'RMCV.PA'!C88*4200/FY+T88</f>
        <v>#VALUE!</v>
      </c>
      <c r="Y88" s="425" t="e">
        <f>IF('CG. MPA'!E88="CONCRETO","F/DISEÑO",IF(FY=4200,IF(X88&gt;0.002,"BIEN","MAL"),(IF(X88&gt;4200*0.002/FY,"BIEN","MAL"))))</f>
        <v>#VALUE!</v>
      </c>
    </row>
    <row r="89" spans="1:25">
      <c r="A89" s="684">
        <f>'CG. MPA'!A89</f>
        <v>10</v>
      </c>
      <c r="B89" s="579">
        <f>'RMCV.PA'!B89</f>
        <v>0</v>
      </c>
      <c r="C89" s="579">
        <f>IF(B89&gt;60,(B89-7),(B89-2))</f>
        <v>-2</v>
      </c>
      <c r="D89" s="579">
        <f>IF(B89&gt;60,(B89-14),(B89-4))</f>
        <v>-4</v>
      </c>
      <c r="E89" s="576">
        <f>'RMCS.PA'!M88</f>
        <v>0</v>
      </c>
      <c r="F89" s="576">
        <f>'RMCV.PA'!N89*1.1/1.4</f>
        <v>0</v>
      </c>
      <c r="G89" s="100">
        <f>IF('CG. MPA'!D89="CONFINADO",0.71*4,0)</f>
        <v>2.84</v>
      </c>
      <c r="H89" s="576">
        <f>('RMCV.PA'!O89+(2*0.6*$H$18*G89))</f>
        <v>14313.599999999999</v>
      </c>
      <c r="I89" s="60">
        <f>IF(H89/3&gt;F89,0.8,0.6)</f>
        <v>0.8</v>
      </c>
      <c r="J89" s="576">
        <f>(D89*G89*I89*$H$18)</f>
        <v>-38169.599999999999</v>
      </c>
      <c r="K89" s="918">
        <f>ABS('ELEM. MECA.'!Q216)</f>
        <v>0</v>
      </c>
      <c r="L89" s="936">
        <f>IF(I89=0.8,(J89+(0.3*F89*C89)),((J89*1.5)+((H89*C89*0.15)*(1-(F89/H89)))))</f>
        <v>-38169.599999999999</v>
      </c>
      <c r="M89" s="705" t="str">
        <f>IF('CG. MPA'!E89="CONCRETO","F/DISEÑO",IF(K89&gt;L89,"NO PASA","PASA"))</f>
        <v>NO PASA</v>
      </c>
      <c r="N89" s="44">
        <f>IF('RMCV.PA'!C89*6&gt;80,80,'RMCV.PA'!C89*6)</f>
        <v>0</v>
      </c>
      <c r="O89" s="44" t="e">
        <f t="shared" si="33"/>
        <v>#DIV/0!</v>
      </c>
      <c r="P89" s="456" t="e">
        <f t="shared" si="34"/>
        <v>#DIV/0!</v>
      </c>
      <c r="Q89" s="351" t="e">
        <f>IF(P89=0,G89,$Q$25)/('RMCV.PA'!C89*(B89/(P89+1)))*4200/$Q$26</f>
        <v>#DIV/0!</v>
      </c>
      <c r="R89" s="425" t="e">
        <f t="shared" si="35"/>
        <v>#DIV/0!</v>
      </c>
      <c r="S89" s="44">
        <f t="shared" si="32"/>
        <v>40</v>
      </c>
      <c r="T89" s="44" t="e">
        <f>(4200/$T$26)*$T$25/('RMCV.PA'!C89*S89)</f>
        <v>#DIV/0!</v>
      </c>
      <c r="U89" s="425" t="e">
        <f t="shared" si="36"/>
        <v>#DIV/0!</v>
      </c>
      <c r="V89" s="425">
        <f t="shared" si="37"/>
        <v>0</v>
      </c>
      <c r="W89" s="44" t="e">
        <f t="shared" si="38"/>
        <v>#DIV/0!</v>
      </c>
      <c r="X89" s="44" t="e">
        <f>W89/'RMCV.PA'!C89*4200/FY+T89</f>
        <v>#DIV/0!</v>
      </c>
      <c r="Y89" s="425" t="e">
        <f>IF('CG. MPA'!E89="CONCRETO","F/DISEÑO",IF(FY=4200,IF(X89&gt;0.002,"BIEN","MAL"),(IF(X89&gt;4200*0.002/FY,"BIEN","MAL"))))</f>
        <v>#DIV/0!</v>
      </c>
    </row>
    <row r="90" spans="1:25">
      <c r="A90" s="684">
        <f>'CG. MPA'!A90</f>
        <v>11</v>
      </c>
      <c r="B90" s="579">
        <f>'RMCV.PA'!B90</f>
        <v>0</v>
      </c>
      <c r="C90" s="579">
        <f t="shared" ref="C90:C94" si="40">IF(B90&gt;60,(B90-7),(B90-2))</f>
        <v>-2</v>
      </c>
      <c r="D90" s="579">
        <f t="shared" ref="D90:D94" si="41">IF(B90&gt;60,(B90-14),(B90-4))</f>
        <v>-4</v>
      </c>
      <c r="E90" s="576">
        <f>'RMCS.PA'!M89</f>
        <v>0</v>
      </c>
      <c r="F90" s="576">
        <f>'RMCV.PA'!N90*1.1/1.4</f>
        <v>0</v>
      </c>
      <c r="G90" s="100">
        <f>IF('CG. MPA'!D90="CONFINADO",0.71*4,0)</f>
        <v>2.84</v>
      </c>
      <c r="H90" s="576">
        <f>('RMCV.PA'!O90+(2*0.6*$H$18*G90))</f>
        <v>14313.599999999999</v>
      </c>
      <c r="I90" s="60">
        <f t="shared" ref="I90:I94" si="42">IF(H90/3&gt;F90,0.8,0.6)</f>
        <v>0.8</v>
      </c>
      <c r="J90" s="576">
        <f t="shared" ref="J90:J94" si="43">(D90*G90*I90*$H$18)</f>
        <v>-38169.599999999999</v>
      </c>
      <c r="K90" s="918">
        <f>ABS('ELEM. MECA.'!Q217)</f>
        <v>0</v>
      </c>
      <c r="L90" s="936">
        <f t="shared" ref="L90:L94" si="44">IF(I90=0.8,(J90+(0.3*F90*C90)),((J90*1.5)+((H90*C90*0.15)*(1-(F90/H90)))))</f>
        <v>-38169.599999999999</v>
      </c>
      <c r="M90" s="705" t="str">
        <f>IF('CG. MPA'!E90="CONCRETO","F/DISEÑO",IF(K90&gt;L90,"NO PASA","PASA"))</f>
        <v>NO PASA</v>
      </c>
      <c r="N90" s="44">
        <f>IF('RMCV.PA'!C90*6&gt;80,80,'RMCV.PA'!C90*6)</f>
        <v>0</v>
      </c>
      <c r="O90" s="44" t="e">
        <f t="shared" si="33"/>
        <v>#DIV/0!</v>
      </c>
      <c r="P90" s="456" t="e">
        <f t="shared" si="34"/>
        <v>#DIV/0!</v>
      </c>
      <c r="Q90" s="351" t="e">
        <f>IF(P90=0,G90,$Q$25)/('RMCV.PA'!C90*(B90/(P90+1)))*4200/$Q$26</f>
        <v>#DIV/0!</v>
      </c>
      <c r="R90" s="425" t="e">
        <f t="shared" si="35"/>
        <v>#DIV/0!</v>
      </c>
      <c r="S90" s="44">
        <f t="shared" si="32"/>
        <v>40</v>
      </c>
      <c r="T90" s="44" t="e">
        <f>(4200/$T$26)*$T$25/('RMCV.PA'!C90*S90)</f>
        <v>#DIV/0!</v>
      </c>
      <c r="U90" s="425" t="e">
        <f t="shared" si="36"/>
        <v>#DIV/0!</v>
      </c>
      <c r="V90" s="425">
        <f t="shared" si="37"/>
        <v>0</v>
      </c>
      <c r="W90" s="44" t="e">
        <f t="shared" si="38"/>
        <v>#DIV/0!</v>
      </c>
      <c r="X90" s="44" t="e">
        <f>W90/'RMCV.PA'!C90*4200/FY+T90</f>
        <v>#DIV/0!</v>
      </c>
      <c r="Y90" s="425" t="e">
        <f>IF('CG. MPA'!E90="CONCRETO","F/DISEÑO",IF(FY=4200,IF(X90&gt;0.002,"BIEN","MAL"),(IF(X90&gt;4200*0.002/FY,"BIEN","MAL"))))</f>
        <v>#DIV/0!</v>
      </c>
    </row>
    <row r="91" spans="1:25">
      <c r="A91" s="684">
        <f>'CG. MPA'!A91</f>
        <v>12</v>
      </c>
      <c r="B91" s="579">
        <f>'RMCV.PA'!B91</f>
        <v>0</v>
      </c>
      <c r="C91" s="579">
        <f t="shared" si="40"/>
        <v>-2</v>
      </c>
      <c r="D91" s="579">
        <f t="shared" si="41"/>
        <v>-4</v>
      </c>
      <c r="E91" s="576">
        <f>'RMCS.PA'!M90</f>
        <v>0</v>
      </c>
      <c r="F91" s="576">
        <f>'RMCV.PA'!N91*1.1/1.4</f>
        <v>0</v>
      </c>
      <c r="G91" s="100">
        <f>IF('CG. MPA'!D91="CONFINADO",0.71*4,0)</f>
        <v>2.84</v>
      </c>
      <c r="H91" s="576">
        <f>('RMCV.PA'!O91+(2*0.6*$H$18*G91))</f>
        <v>14313.599999999999</v>
      </c>
      <c r="I91" s="60">
        <f t="shared" si="42"/>
        <v>0.8</v>
      </c>
      <c r="J91" s="576">
        <f t="shared" si="43"/>
        <v>-38169.599999999999</v>
      </c>
      <c r="K91" s="918">
        <f>ABS('ELEM. MECA.'!Q218)</f>
        <v>0</v>
      </c>
      <c r="L91" s="936">
        <f t="shared" si="44"/>
        <v>-38169.599999999999</v>
      </c>
      <c r="M91" s="705" t="str">
        <f>IF('CG. MPA'!E91="CONCRETO","F/DISEÑO",IF(K91&gt;L91,"NO PASA","PASA"))</f>
        <v>NO PASA</v>
      </c>
      <c r="N91" s="44">
        <f>IF('RMCV.PA'!C91*6&gt;80,80,'RMCV.PA'!C91*6)</f>
        <v>0</v>
      </c>
      <c r="O91" s="44" t="e">
        <f t="shared" si="33"/>
        <v>#DIV/0!</v>
      </c>
      <c r="P91" s="456" t="e">
        <f t="shared" si="34"/>
        <v>#DIV/0!</v>
      </c>
      <c r="Q91" s="351" t="e">
        <f>IF(P91=0,G91,$Q$25)/('RMCV.PA'!C91*(B91/(P91+1)))*4200/$Q$26</f>
        <v>#DIV/0!</v>
      </c>
      <c r="R91" s="425" t="e">
        <f t="shared" si="35"/>
        <v>#DIV/0!</v>
      </c>
      <c r="S91" s="44">
        <f t="shared" si="32"/>
        <v>40</v>
      </c>
      <c r="T91" s="44" t="e">
        <f>(4200/$T$26)*$T$25/('RMCV.PA'!C91*S91)</f>
        <v>#DIV/0!</v>
      </c>
      <c r="U91" s="425" t="e">
        <f t="shared" si="36"/>
        <v>#DIV/0!</v>
      </c>
      <c r="V91" s="425">
        <f t="shared" si="37"/>
        <v>0</v>
      </c>
      <c r="W91" s="44" t="e">
        <f t="shared" si="38"/>
        <v>#DIV/0!</v>
      </c>
      <c r="X91" s="44" t="e">
        <f>W91/'RMCV.PA'!C91*4200/FY+T91</f>
        <v>#DIV/0!</v>
      </c>
      <c r="Y91" s="425" t="e">
        <f>IF('CG. MPA'!E91="CONCRETO","F/DISEÑO",IF(FY=4200,IF(X91&gt;0.002,"BIEN","MAL"),(IF(X91&gt;4200*0.002/FY,"BIEN","MAL"))))</f>
        <v>#DIV/0!</v>
      </c>
    </row>
    <row r="92" spans="1:25">
      <c r="A92" s="684">
        <f>'CG. MPA'!A92</f>
        <v>13</v>
      </c>
      <c r="B92" s="579">
        <f>'RMCV.PA'!B92</f>
        <v>0</v>
      </c>
      <c r="C92" s="579">
        <f t="shared" si="40"/>
        <v>-2</v>
      </c>
      <c r="D92" s="579">
        <f t="shared" si="41"/>
        <v>-4</v>
      </c>
      <c r="E92" s="576">
        <f>'RMCS.PA'!M91</f>
        <v>0</v>
      </c>
      <c r="F92" s="576">
        <f>'RMCV.PA'!N92*1.1/1.4</f>
        <v>0</v>
      </c>
      <c r="G92" s="100">
        <f>IF('CG. MPA'!D92="CONFINADO",0.71*4,0)</f>
        <v>2.84</v>
      </c>
      <c r="H92" s="576">
        <f>('RMCV.PA'!O92+(2*0.6*$H$18*G92))</f>
        <v>14313.599999999999</v>
      </c>
      <c r="I92" s="60">
        <f t="shared" si="42"/>
        <v>0.8</v>
      </c>
      <c r="J92" s="576">
        <f t="shared" si="43"/>
        <v>-38169.599999999999</v>
      </c>
      <c r="K92" s="918">
        <f>ABS('ELEM. MECA.'!Q219)</f>
        <v>0</v>
      </c>
      <c r="L92" s="936">
        <f t="shared" si="44"/>
        <v>-38169.599999999999</v>
      </c>
      <c r="M92" s="705" t="str">
        <f>IF('CG. MPA'!E92="CONCRETO","F/DISEÑO",IF(K92&gt;L92,"NO PASA","PASA"))</f>
        <v>NO PASA</v>
      </c>
      <c r="N92" s="44">
        <f>IF('RMCV.PA'!C92*6&gt;80,80,'RMCV.PA'!C92*6)</f>
        <v>0</v>
      </c>
      <c r="O92" s="44" t="e">
        <f t="shared" si="33"/>
        <v>#DIV/0!</v>
      </c>
      <c r="P92" s="456" t="e">
        <f t="shared" si="34"/>
        <v>#DIV/0!</v>
      </c>
      <c r="Q92" s="351" t="e">
        <f>IF(P92=0,G92,$Q$25)/('RMCV.PA'!C92*(B92/(P92+1)))*4200/$Q$26</f>
        <v>#DIV/0!</v>
      </c>
      <c r="R92" s="425" t="e">
        <f t="shared" si="35"/>
        <v>#DIV/0!</v>
      </c>
      <c r="S92" s="44">
        <f t="shared" si="32"/>
        <v>40</v>
      </c>
      <c r="T92" s="44" t="e">
        <f>(4200/$T$26)*$T$25/('RMCV.PA'!C92*S92)</f>
        <v>#DIV/0!</v>
      </c>
      <c r="U92" s="425" t="e">
        <f t="shared" si="36"/>
        <v>#DIV/0!</v>
      </c>
      <c r="V92" s="425">
        <f t="shared" si="37"/>
        <v>0</v>
      </c>
      <c r="W92" s="44" t="e">
        <f t="shared" si="38"/>
        <v>#DIV/0!</v>
      </c>
      <c r="X92" s="44" t="e">
        <f>W92/'RMCV.PA'!C92*4200/FY+T92</f>
        <v>#DIV/0!</v>
      </c>
      <c r="Y92" s="425" t="e">
        <f>IF('CG. MPA'!E92="CONCRETO","F/DISEÑO",IF(FY=4200,IF(X92&gt;0.002,"BIEN","MAL"),(IF(X92&gt;4200*0.002/FY,"BIEN","MAL"))))</f>
        <v>#DIV/0!</v>
      </c>
    </row>
    <row r="93" spans="1:25">
      <c r="A93" s="684">
        <f>'CG. MPA'!A93</f>
        <v>14</v>
      </c>
      <c r="B93" s="579">
        <f>'RMCV.PA'!B93</f>
        <v>0</v>
      </c>
      <c r="C93" s="579">
        <f t="shared" si="40"/>
        <v>-2</v>
      </c>
      <c r="D93" s="579">
        <f t="shared" si="41"/>
        <v>-4</v>
      </c>
      <c r="E93" s="576">
        <f>'RMCS.PA'!M92</f>
        <v>0</v>
      </c>
      <c r="F93" s="576">
        <f>'RMCV.PA'!N93*1.1/1.4</f>
        <v>0</v>
      </c>
      <c r="G93" s="100">
        <f>IF('CG. MPA'!D93="CONFINADO",0.71*4,0)</f>
        <v>2.84</v>
      </c>
      <c r="H93" s="576">
        <f>('RMCV.PA'!O93+(2*0.6*$H$18*G93))</f>
        <v>14313.599999999999</v>
      </c>
      <c r="I93" s="60">
        <f t="shared" si="42"/>
        <v>0.8</v>
      </c>
      <c r="J93" s="576">
        <f t="shared" si="43"/>
        <v>-38169.599999999999</v>
      </c>
      <c r="K93" s="918">
        <f>ABS('ELEM. MECA.'!Q220)</f>
        <v>0</v>
      </c>
      <c r="L93" s="936">
        <f t="shared" si="44"/>
        <v>-38169.599999999999</v>
      </c>
      <c r="M93" s="705" t="str">
        <f>IF('CG. MPA'!E93="CONCRETO","F/DISEÑO",IF(K93&gt;L93,"NO PASA","PASA"))</f>
        <v>NO PASA</v>
      </c>
      <c r="N93" s="44">
        <f>IF('RMCV.PA'!C93*6&gt;80,80,'RMCV.PA'!C93*6)</f>
        <v>0</v>
      </c>
      <c r="O93" s="44" t="e">
        <f t="shared" si="33"/>
        <v>#DIV/0!</v>
      </c>
      <c r="P93" s="456" t="e">
        <f t="shared" si="34"/>
        <v>#DIV/0!</v>
      </c>
      <c r="Q93" s="351" t="e">
        <f>IF(P93=0,G93,$Q$25)/('RMCV.PA'!C93*(B93/(P93+1)))*4200/$Q$26</f>
        <v>#DIV/0!</v>
      </c>
      <c r="R93" s="425" t="e">
        <f t="shared" si="35"/>
        <v>#DIV/0!</v>
      </c>
      <c r="S93" s="44">
        <f t="shared" si="32"/>
        <v>40</v>
      </c>
      <c r="T93" s="44" t="e">
        <f>(4200/$T$26)*$T$25/('RMCV.PA'!C93*S93)</f>
        <v>#DIV/0!</v>
      </c>
      <c r="U93" s="425" t="e">
        <f t="shared" si="36"/>
        <v>#DIV/0!</v>
      </c>
      <c r="V93" s="425">
        <f t="shared" si="37"/>
        <v>0</v>
      </c>
      <c r="W93" s="44" t="e">
        <f t="shared" si="38"/>
        <v>#DIV/0!</v>
      </c>
      <c r="X93" s="44" t="e">
        <f>W93/'RMCV.PA'!C93*4200/FY+T93</f>
        <v>#DIV/0!</v>
      </c>
      <c r="Y93" s="425" t="e">
        <f>IF('CG. MPA'!E93="CONCRETO","F/DISEÑO",IF(FY=4200,IF(X93&gt;0.002,"BIEN","MAL"),(IF(X93&gt;4200*0.002/FY,"BIEN","MAL"))))</f>
        <v>#DIV/0!</v>
      </c>
    </row>
    <row r="94" spans="1:25">
      <c r="A94" s="684">
        <f>'CG. MPA'!A94</f>
        <v>15</v>
      </c>
      <c r="B94" s="579">
        <f>'RMCV.PA'!B94</f>
        <v>0</v>
      </c>
      <c r="C94" s="579">
        <f t="shared" si="40"/>
        <v>-2</v>
      </c>
      <c r="D94" s="579">
        <f t="shared" si="41"/>
        <v>-4</v>
      </c>
      <c r="E94" s="576">
        <f>'RMCS.PA'!M93</f>
        <v>0</v>
      </c>
      <c r="F94" s="576">
        <f>'RMCV.PA'!N94*1.1/1.4</f>
        <v>0</v>
      </c>
      <c r="G94" s="100">
        <f>IF('CG. MPA'!D94="CONFINADO",0.71*4,0)</f>
        <v>2.84</v>
      </c>
      <c r="H94" s="576">
        <f>('RMCV.PA'!O94+(2*0.6*$H$18*G94))</f>
        <v>14313.599999999999</v>
      </c>
      <c r="I94" s="60">
        <f t="shared" si="42"/>
        <v>0.8</v>
      </c>
      <c r="J94" s="576">
        <f t="shared" si="43"/>
        <v>-38169.599999999999</v>
      </c>
      <c r="K94" s="918">
        <f>ABS('ELEM. MECA.'!Q221)</f>
        <v>0</v>
      </c>
      <c r="L94" s="936">
        <f t="shared" si="44"/>
        <v>-38169.599999999999</v>
      </c>
      <c r="M94" s="705" t="str">
        <f>IF('CG. MPA'!E94="CONCRETO","F/DISEÑO",IF(K94&gt;L94,"NO PASA","PASA"))</f>
        <v>NO PASA</v>
      </c>
      <c r="N94" s="44">
        <f>IF('RMCV.PA'!C94*6&gt;80,80,'RMCV.PA'!C94*6)</f>
        <v>0</v>
      </c>
      <c r="O94" s="44" t="e">
        <f t="shared" si="33"/>
        <v>#DIV/0!</v>
      </c>
      <c r="P94" s="456" t="e">
        <f t="shared" si="34"/>
        <v>#DIV/0!</v>
      </c>
      <c r="Q94" s="351" t="e">
        <f>IF(P94=0,G94,$Q$25)/('RMCV.PA'!C94*(B94/(P94+1)))*4200/$Q$26</f>
        <v>#DIV/0!</v>
      </c>
      <c r="R94" s="425" t="e">
        <f t="shared" si="35"/>
        <v>#DIV/0!</v>
      </c>
      <c r="S94" s="44">
        <f t="shared" si="32"/>
        <v>40</v>
      </c>
      <c r="T94" s="44" t="e">
        <f>(4200/$T$26)*$T$25/('RMCV.PA'!C94*S94)</f>
        <v>#DIV/0!</v>
      </c>
      <c r="U94" s="425" t="e">
        <f t="shared" si="36"/>
        <v>#DIV/0!</v>
      </c>
      <c r="V94" s="425">
        <f t="shared" si="37"/>
        <v>0</v>
      </c>
      <c r="W94" s="44" t="e">
        <f t="shared" si="38"/>
        <v>#DIV/0!</v>
      </c>
      <c r="X94" s="44" t="e">
        <f>W94/'RMCV.PA'!C94*4200/FY+T94</f>
        <v>#DIV/0!</v>
      </c>
      <c r="Y94" s="425" t="e">
        <f>IF('CG. MPA'!E94="CONCRETO","F/DISEÑO",IF(FY=4200,IF(X94&gt;0.002,"BIEN","MAL"),(IF(X94&gt;4200*0.002/FY,"BIEN","MAL"))))</f>
        <v>#DIV/0!</v>
      </c>
    </row>
    <row r="95" spans="1:25">
      <c r="A95" s="684">
        <f>'CG. MPA'!A95</f>
        <v>16</v>
      </c>
      <c r="B95" s="579">
        <f>'RMCV.PA'!B95</f>
        <v>0</v>
      </c>
      <c r="C95" s="579">
        <f t="shared" ref="C95:C129" si="45">IF(B95&gt;60,(B95-7),(B95-2))</f>
        <v>-2</v>
      </c>
      <c r="D95" s="579">
        <f t="shared" ref="D95:D129" si="46">IF(B95&gt;60,(B95-14),(B95-4))</f>
        <v>-4</v>
      </c>
      <c r="E95" s="576">
        <f>'RMCS.PA'!M94</f>
        <v>0</v>
      </c>
      <c r="F95" s="576">
        <f>'RMCV.PA'!N95*1.1/1.4</f>
        <v>0</v>
      </c>
      <c r="G95" s="100">
        <f>IF('CG. MPA'!D95="CONFINADO",0.71*4,0)</f>
        <v>2.84</v>
      </c>
      <c r="H95" s="576">
        <f>('RMCV.PA'!O95+(2*0.6*$H$18*G95))</f>
        <v>14313.599999999999</v>
      </c>
      <c r="I95" s="60">
        <f t="shared" ref="I95:I129" si="47">IF(H95/3&gt;F95,0.8,0.6)</f>
        <v>0.8</v>
      </c>
      <c r="J95" s="576">
        <f t="shared" ref="J95:J129" si="48">(D95*G95*I95*$H$18)</f>
        <v>-38169.599999999999</v>
      </c>
      <c r="K95" s="918">
        <f>ABS('ELEM. MECA.'!Q222)</f>
        <v>0</v>
      </c>
      <c r="L95" s="936">
        <f t="shared" ref="L95:L129" si="49">IF(I95=0.8,(J95+(0.3*F95*C95)),((J95*1.5)+((H95*C95*0.15)*(1-(F95/H95)))))</f>
        <v>-38169.599999999999</v>
      </c>
      <c r="M95" s="705" t="str">
        <f>IF('CG. MPA'!E95="CONCRETO","F/DISEÑO",IF(K95&gt;L95,"NO PASA","PASA"))</f>
        <v>NO PASA</v>
      </c>
      <c r="N95" s="44">
        <f>IF('RMCV.PA'!C95*6&gt;80,80,'RMCV.PA'!C95*6)</f>
        <v>0</v>
      </c>
      <c r="O95" s="44" t="e">
        <f t="shared" si="33"/>
        <v>#DIV/0!</v>
      </c>
      <c r="P95" s="456" t="e">
        <f t="shared" si="34"/>
        <v>#DIV/0!</v>
      </c>
      <c r="Q95" s="351" t="e">
        <f>IF(P95=0,G95,$Q$25)/('RMCV.PA'!C95*(B95/(P95+1)))*4200/$Q$26</f>
        <v>#DIV/0!</v>
      </c>
      <c r="R95" s="425" t="e">
        <f t="shared" si="35"/>
        <v>#DIV/0!</v>
      </c>
      <c r="S95" s="44">
        <f t="shared" si="32"/>
        <v>40</v>
      </c>
      <c r="T95" s="44" t="e">
        <f>(4200/$T$26)*$T$25/('RMCV.PA'!C95*S95)</f>
        <v>#DIV/0!</v>
      </c>
      <c r="U95" s="425" t="e">
        <f t="shared" si="36"/>
        <v>#DIV/0!</v>
      </c>
      <c r="V95" s="425">
        <f t="shared" si="37"/>
        <v>0</v>
      </c>
      <c r="W95" s="44" t="e">
        <f t="shared" si="38"/>
        <v>#DIV/0!</v>
      </c>
      <c r="X95" s="44" t="e">
        <f>W95/'RMCV.PA'!C95*4200/FY+T95</f>
        <v>#DIV/0!</v>
      </c>
      <c r="Y95" s="425" t="e">
        <f>IF('CG. MPA'!E95="CONCRETO","F/DISEÑO",IF(FY=4200,IF(X95&gt;0.002,"BIEN","MAL"),(IF(X95&gt;4200*0.002/FY,"BIEN","MAL"))))</f>
        <v>#DIV/0!</v>
      </c>
    </row>
    <row r="96" spans="1:25">
      <c r="A96" s="684">
        <f>'CG. MPA'!A96</f>
        <v>17</v>
      </c>
      <c r="B96" s="579">
        <f>'RMCV.PA'!B96</f>
        <v>0</v>
      </c>
      <c r="C96" s="579">
        <f t="shared" si="45"/>
        <v>-2</v>
      </c>
      <c r="D96" s="579">
        <f t="shared" si="46"/>
        <v>-4</v>
      </c>
      <c r="E96" s="576">
        <f>'RMCS.PA'!M95</f>
        <v>0</v>
      </c>
      <c r="F96" s="576">
        <f>'RMCV.PA'!N96*1.1/1.4</f>
        <v>0</v>
      </c>
      <c r="G96" s="100">
        <f>IF('CG. MPA'!D96="CONFINADO",0.71*4,0)</f>
        <v>2.84</v>
      </c>
      <c r="H96" s="576">
        <f>('RMCV.PA'!O96+(2*0.6*$H$18*G96))</f>
        <v>14313.599999999999</v>
      </c>
      <c r="I96" s="60">
        <f t="shared" si="47"/>
        <v>0.8</v>
      </c>
      <c r="J96" s="576">
        <f t="shared" si="48"/>
        <v>-38169.599999999999</v>
      </c>
      <c r="K96" s="918">
        <f>ABS('ELEM. MECA.'!Q223)</f>
        <v>0</v>
      </c>
      <c r="L96" s="936">
        <f t="shared" si="49"/>
        <v>-38169.599999999999</v>
      </c>
      <c r="M96" s="705" t="str">
        <f>IF('CG. MPA'!E96="CONCRETO","F/DISEÑO",IF(K96&gt;L96,"NO PASA","PASA"))</f>
        <v>NO PASA</v>
      </c>
      <c r="N96" s="44">
        <f>IF('RMCV.PA'!C96*6&gt;80,80,'RMCV.PA'!C96*6)</f>
        <v>0</v>
      </c>
      <c r="O96" s="44" t="e">
        <f t="shared" si="33"/>
        <v>#DIV/0!</v>
      </c>
      <c r="P96" s="456" t="e">
        <f t="shared" si="34"/>
        <v>#DIV/0!</v>
      </c>
      <c r="Q96" s="351" t="e">
        <f>IF(P96=0,G96,$Q$25)/('RMCV.PA'!C96*(B96/(P96+1)))*4200/$Q$26</f>
        <v>#DIV/0!</v>
      </c>
      <c r="R96" s="425" t="e">
        <f t="shared" si="35"/>
        <v>#DIV/0!</v>
      </c>
      <c r="S96" s="44">
        <f t="shared" si="32"/>
        <v>40</v>
      </c>
      <c r="T96" s="44" t="e">
        <f>(4200/$T$26)*$T$25/('RMCV.PA'!C96*S96)</f>
        <v>#DIV/0!</v>
      </c>
      <c r="U96" s="425" t="e">
        <f t="shared" si="36"/>
        <v>#DIV/0!</v>
      </c>
      <c r="V96" s="425">
        <f t="shared" si="37"/>
        <v>0</v>
      </c>
      <c r="W96" s="44" t="e">
        <f t="shared" si="38"/>
        <v>#DIV/0!</v>
      </c>
      <c r="X96" s="44" t="e">
        <f>W96/'RMCV.PA'!C96*4200/FY+T96</f>
        <v>#DIV/0!</v>
      </c>
      <c r="Y96" s="425" t="e">
        <f>IF('CG. MPA'!E96="CONCRETO","F/DISEÑO",IF(FY=4200,IF(X96&gt;0.002,"BIEN","MAL"),(IF(X96&gt;4200*0.002/FY,"BIEN","MAL"))))</f>
        <v>#DIV/0!</v>
      </c>
    </row>
    <row r="97" spans="1:25">
      <c r="A97" s="684">
        <f>'CG. MPA'!A97</f>
        <v>18</v>
      </c>
      <c r="B97" s="579">
        <f>'RMCV.PA'!B97</f>
        <v>0</v>
      </c>
      <c r="C97" s="579">
        <f t="shared" si="45"/>
        <v>-2</v>
      </c>
      <c r="D97" s="579">
        <f t="shared" si="46"/>
        <v>-4</v>
      </c>
      <c r="E97" s="576">
        <f>'RMCS.PA'!M96</f>
        <v>0</v>
      </c>
      <c r="F97" s="576">
        <f>'RMCV.PA'!N97*1.1/1.4</f>
        <v>0</v>
      </c>
      <c r="G97" s="100">
        <f>IF('CG. MPA'!D97="CONFINADO",0.71*4,0)</f>
        <v>2.84</v>
      </c>
      <c r="H97" s="576">
        <f>('RMCV.PA'!O97+(2*0.6*$H$18*G97))</f>
        <v>14313.599999999999</v>
      </c>
      <c r="I97" s="60">
        <f t="shared" si="47"/>
        <v>0.8</v>
      </c>
      <c r="J97" s="576">
        <f t="shared" si="48"/>
        <v>-38169.599999999999</v>
      </c>
      <c r="K97" s="918">
        <f>ABS('ELEM. MECA.'!Q224)</f>
        <v>0</v>
      </c>
      <c r="L97" s="936">
        <f t="shared" si="49"/>
        <v>-38169.599999999999</v>
      </c>
      <c r="M97" s="705" t="str">
        <f>IF('CG. MPA'!E97="CONCRETO","F/DISEÑO",IF(K97&gt;L97,"NO PASA","PASA"))</f>
        <v>NO PASA</v>
      </c>
      <c r="N97" s="44">
        <f>IF('RMCV.PA'!C97*6&gt;80,80,'RMCV.PA'!C97*6)</f>
        <v>0</v>
      </c>
      <c r="O97" s="44" t="e">
        <f t="shared" si="33"/>
        <v>#DIV/0!</v>
      </c>
      <c r="P97" s="456" t="e">
        <f t="shared" si="34"/>
        <v>#DIV/0!</v>
      </c>
      <c r="Q97" s="351" t="e">
        <f>IF(P97=0,G97,$Q$25)/('RMCV.PA'!C97*(B97/(P97+1)))*4200/$Q$26</f>
        <v>#DIV/0!</v>
      </c>
      <c r="R97" s="425" t="e">
        <f t="shared" si="35"/>
        <v>#DIV/0!</v>
      </c>
      <c r="S97" s="44">
        <f t="shared" si="32"/>
        <v>40</v>
      </c>
      <c r="T97" s="44" t="e">
        <f>(4200/$T$26)*$T$25/('RMCV.PA'!C97*S97)</f>
        <v>#DIV/0!</v>
      </c>
      <c r="U97" s="425" t="e">
        <f t="shared" si="36"/>
        <v>#DIV/0!</v>
      </c>
      <c r="V97" s="425">
        <f t="shared" si="37"/>
        <v>0</v>
      </c>
      <c r="W97" s="44" t="e">
        <f t="shared" si="38"/>
        <v>#DIV/0!</v>
      </c>
      <c r="X97" s="44" t="e">
        <f>W97/'RMCV.PA'!C97*4200/FY+T97</f>
        <v>#DIV/0!</v>
      </c>
      <c r="Y97" s="425" t="e">
        <f>IF('CG. MPA'!E97="CONCRETO","F/DISEÑO",IF(FY=4200,IF(X97&gt;0.002,"BIEN","MAL"),(IF(X97&gt;4200*0.002/FY,"BIEN","MAL"))))</f>
        <v>#DIV/0!</v>
      </c>
    </row>
    <row r="98" spans="1:25">
      <c r="A98" s="684">
        <f>'CG. MPA'!A98</f>
        <v>19</v>
      </c>
      <c r="B98" s="579">
        <f>'RMCV.PA'!B98</f>
        <v>0</v>
      </c>
      <c r="C98" s="579">
        <f t="shared" si="45"/>
        <v>-2</v>
      </c>
      <c r="D98" s="579">
        <f t="shared" si="46"/>
        <v>-4</v>
      </c>
      <c r="E98" s="576">
        <f>'RMCS.PA'!M97</f>
        <v>0</v>
      </c>
      <c r="F98" s="576">
        <f>'RMCV.PA'!N98*1.1/1.4</f>
        <v>0</v>
      </c>
      <c r="G98" s="100">
        <f>IF('CG. MPA'!D98="CONFINADO",0.71*4,0)</f>
        <v>2.84</v>
      </c>
      <c r="H98" s="576">
        <f>('RMCV.PA'!O98+(2*0.6*$H$18*G98))</f>
        <v>14313.599999999999</v>
      </c>
      <c r="I98" s="60">
        <f t="shared" si="47"/>
        <v>0.8</v>
      </c>
      <c r="J98" s="576">
        <f t="shared" si="48"/>
        <v>-38169.599999999999</v>
      </c>
      <c r="K98" s="918">
        <f>ABS('ELEM. MECA.'!Q225)</f>
        <v>0</v>
      </c>
      <c r="L98" s="936">
        <f t="shared" si="49"/>
        <v>-38169.599999999999</v>
      </c>
      <c r="M98" s="705" t="str">
        <f>IF('CG. MPA'!E98="CONCRETO","F/DISEÑO",IF(K98&gt;L98,"NO PASA","PASA"))</f>
        <v>NO PASA</v>
      </c>
      <c r="N98" s="44">
        <f>IF('RMCV.PA'!C98*6&gt;80,80,'RMCV.PA'!C98*6)</f>
        <v>0</v>
      </c>
      <c r="O98" s="44" t="e">
        <f t="shared" si="33"/>
        <v>#DIV/0!</v>
      </c>
      <c r="P98" s="456" t="e">
        <f t="shared" si="34"/>
        <v>#DIV/0!</v>
      </c>
      <c r="Q98" s="351" t="e">
        <f>IF(P98=0,G98,$Q$25)/('RMCV.PA'!C98*(B98/(P98+1)))*4200/$Q$26</f>
        <v>#DIV/0!</v>
      </c>
      <c r="R98" s="425" t="e">
        <f t="shared" si="35"/>
        <v>#DIV/0!</v>
      </c>
      <c r="S98" s="44">
        <f t="shared" si="32"/>
        <v>40</v>
      </c>
      <c r="T98" s="44" t="e">
        <f>(4200/$T$26)*$T$25/('RMCV.PA'!C98*S98)</f>
        <v>#DIV/0!</v>
      </c>
      <c r="U98" s="425" t="e">
        <f t="shared" si="36"/>
        <v>#DIV/0!</v>
      </c>
      <c r="V98" s="425">
        <f t="shared" si="37"/>
        <v>0</v>
      </c>
      <c r="W98" s="44" t="e">
        <f t="shared" si="38"/>
        <v>#DIV/0!</v>
      </c>
      <c r="X98" s="44" t="e">
        <f>W98/'RMCV.PA'!C98*4200/FY+T98</f>
        <v>#DIV/0!</v>
      </c>
      <c r="Y98" s="425" t="e">
        <f>IF('CG. MPA'!E98="CONCRETO","F/DISEÑO",IF(FY=4200,IF(X98&gt;0.002,"BIEN","MAL"),(IF(X98&gt;4200*0.002/FY,"BIEN","MAL"))))</f>
        <v>#DIV/0!</v>
      </c>
    </row>
    <row r="99" spans="1:25">
      <c r="A99" s="684">
        <f>'CG. MPA'!A99</f>
        <v>20</v>
      </c>
      <c r="B99" s="579">
        <f>'RMCV.PA'!B99</f>
        <v>0</v>
      </c>
      <c r="C99" s="579">
        <f t="shared" si="45"/>
        <v>-2</v>
      </c>
      <c r="D99" s="579">
        <f t="shared" si="46"/>
        <v>-4</v>
      </c>
      <c r="E99" s="576">
        <f>'RMCS.PA'!M98</f>
        <v>0</v>
      </c>
      <c r="F99" s="576">
        <f>'RMCV.PA'!N99*1.1/1.4</f>
        <v>0</v>
      </c>
      <c r="G99" s="100">
        <f>IF('CG. MPA'!D99="CONFINADO",0.71*4,0)</f>
        <v>2.84</v>
      </c>
      <c r="H99" s="576">
        <f>('RMCV.PA'!O99+(2*0.6*$H$18*G99))</f>
        <v>14313.599999999999</v>
      </c>
      <c r="I99" s="60">
        <f t="shared" si="47"/>
        <v>0.8</v>
      </c>
      <c r="J99" s="576">
        <f t="shared" si="48"/>
        <v>-38169.599999999999</v>
      </c>
      <c r="K99" s="918">
        <f>ABS('ELEM. MECA.'!Q226)</f>
        <v>0</v>
      </c>
      <c r="L99" s="936">
        <f t="shared" si="49"/>
        <v>-38169.599999999999</v>
      </c>
      <c r="M99" s="705" t="str">
        <f>IF('CG. MPA'!E99="CONCRETO","F/DISEÑO",IF(K99&gt;L99,"NO PASA","PASA"))</f>
        <v>NO PASA</v>
      </c>
      <c r="N99" s="44">
        <f>IF('RMCV.PA'!C99*6&gt;80,80,'RMCV.PA'!C99*6)</f>
        <v>0</v>
      </c>
      <c r="O99" s="44" t="e">
        <f t="shared" si="33"/>
        <v>#DIV/0!</v>
      </c>
      <c r="P99" s="456" t="e">
        <f t="shared" si="34"/>
        <v>#DIV/0!</v>
      </c>
      <c r="Q99" s="351" t="e">
        <f>IF(P99=0,G99,$Q$25)/('RMCV.PA'!C99*(B99/(P99+1)))*4200/$Q$26</f>
        <v>#DIV/0!</v>
      </c>
      <c r="R99" s="425" t="e">
        <f t="shared" si="35"/>
        <v>#DIV/0!</v>
      </c>
      <c r="S99" s="44">
        <f t="shared" si="32"/>
        <v>40</v>
      </c>
      <c r="T99" s="44" t="e">
        <f>(4200/$T$26)*$T$25/('RMCV.PA'!C99*S99)</f>
        <v>#DIV/0!</v>
      </c>
      <c r="U99" s="425" t="e">
        <f t="shared" si="36"/>
        <v>#DIV/0!</v>
      </c>
      <c r="V99" s="425">
        <f t="shared" si="37"/>
        <v>0</v>
      </c>
      <c r="W99" s="44" t="e">
        <f t="shared" si="38"/>
        <v>#DIV/0!</v>
      </c>
      <c r="X99" s="44" t="e">
        <f>W99/'RMCV.PA'!C99*4200/FY+T99</f>
        <v>#DIV/0!</v>
      </c>
      <c r="Y99" s="425" t="e">
        <f>IF('CG. MPA'!E99="CONCRETO","F/DISEÑO",IF(FY=4200,IF(X99&gt;0.002,"BIEN","MAL"),(IF(X99&gt;4200*0.002/FY,"BIEN","MAL"))))</f>
        <v>#DIV/0!</v>
      </c>
    </row>
    <row r="100" spans="1:25">
      <c r="A100" s="684">
        <f>'CG. MPA'!A100</f>
        <v>21</v>
      </c>
      <c r="B100" s="579">
        <f>'RMCV.PA'!B100</f>
        <v>0</v>
      </c>
      <c r="C100" s="579">
        <f t="shared" si="45"/>
        <v>-2</v>
      </c>
      <c r="D100" s="579">
        <f t="shared" si="46"/>
        <v>-4</v>
      </c>
      <c r="E100" s="576">
        <f>'RMCS.PA'!M99</f>
        <v>0</v>
      </c>
      <c r="F100" s="576">
        <f>'RMCV.PA'!N100*1.1/1.4</f>
        <v>0</v>
      </c>
      <c r="G100" s="100">
        <f>IF('CG. MPA'!D100="CONFINADO",0.71*4,0)</f>
        <v>2.84</v>
      </c>
      <c r="H100" s="576">
        <f>('RMCV.PA'!O100+(2*0.6*$H$18*G100))</f>
        <v>14313.599999999999</v>
      </c>
      <c r="I100" s="60">
        <f t="shared" si="47"/>
        <v>0.8</v>
      </c>
      <c r="J100" s="576">
        <f t="shared" si="48"/>
        <v>-38169.599999999999</v>
      </c>
      <c r="K100" s="918">
        <f>ABS('ELEM. MECA.'!Q227)</f>
        <v>0</v>
      </c>
      <c r="L100" s="936">
        <f t="shared" si="49"/>
        <v>-38169.599999999999</v>
      </c>
      <c r="M100" s="705" t="str">
        <f>IF('CG. MPA'!E100="CONCRETO","F/DISEÑO",IF(K100&gt;L100,"NO PASA","PASA"))</f>
        <v>NO PASA</v>
      </c>
      <c r="N100" s="44">
        <f>IF('RMCV.PA'!C100*6&gt;80,80,'RMCV.PA'!C100*6)</f>
        <v>0</v>
      </c>
      <c r="O100" s="44" t="e">
        <f t="shared" si="33"/>
        <v>#DIV/0!</v>
      </c>
      <c r="P100" s="456" t="e">
        <f t="shared" si="34"/>
        <v>#DIV/0!</v>
      </c>
      <c r="Q100" s="351" t="e">
        <f>IF(P100=0,G100,$Q$25)/('RMCV.PA'!C100*(B100/(P100+1)))*4200/$Q$26</f>
        <v>#DIV/0!</v>
      </c>
      <c r="R100" s="425" t="e">
        <f t="shared" si="35"/>
        <v>#DIV/0!</v>
      </c>
      <c r="S100" s="44">
        <f t="shared" si="32"/>
        <v>40</v>
      </c>
      <c r="T100" s="44" t="e">
        <f>(4200/$T$26)*$T$25/('RMCV.PA'!C100*S100)</f>
        <v>#DIV/0!</v>
      </c>
      <c r="U100" s="425" t="e">
        <f t="shared" si="36"/>
        <v>#DIV/0!</v>
      </c>
      <c r="V100" s="425">
        <f t="shared" si="37"/>
        <v>0</v>
      </c>
      <c r="W100" s="44" t="e">
        <f t="shared" si="38"/>
        <v>#DIV/0!</v>
      </c>
      <c r="X100" s="44" t="e">
        <f>W100/'RMCV.PA'!C100*4200/FY+T100</f>
        <v>#DIV/0!</v>
      </c>
      <c r="Y100" s="425" t="e">
        <f>IF('CG. MPA'!E100="CONCRETO","F/DISEÑO",IF(FY=4200,IF(X100&gt;0.002,"BIEN","MAL"),(IF(X100&gt;4200*0.002/FY,"BIEN","MAL"))))</f>
        <v>#DIV/0!</v>
      </c>
    </row>
    <row r="101" spans="1:25">
      <c r="A101" s="684">
        <f>'CG. MPA'!A101</f>
        <v>22</v>
      </c>
      <c r="B101" s="579">
        <f>'RMCV.PA'!B101</f>
        <v>0</v>
      </c>
      <c r="C101" s="579">
        <f t="shared" si="45"/>
        <v>-2</v>
      </c>
      <c r="D101" s="579">
        <f t="shared" si="46"/>
        <v>-4</v>
      </c>
      <c r="E101" s="576">
        <f>'RMCS.PA'!M100</f>
        <v>0</v>
      </c>
      <c r="F101" s="576">
        <f>'RMCV.PA'!N101*1.1/1.4</f>
        <v>0</v>
      </c>
      <c r="G101" s="100">
        <f>IF('CG. MPA'!D101="CONFINADO",0.71*4,0)</f>
        <v>2.84</v>
      </c>
      <c r="H101" s="576">
        <f>('RMCV.PA'!O101+(2*0.6*$H$18*G101))</f>
        <v>14313.599999999999</v>
      </c>
      <c r="I101" s="60">
        <f t="shared" si="47"/>
        <v>0.8</v>
      </c>
      <c r="J101" s="576">
        <f t="shared" si="48"/>
        <v>-38169.599999999999</v>
      </c>
      <c r="K101" s="918">
        <f>ABS('ELEM. MECA.'!Q228)</f>
        <v>0</v>
      </c>
      <c r="L101" s="936">
        <f t="shared" si="49"/>
        <v>-38169.599999999999</v>
      </c>
      <c r="M101" s="705" t="str">
        <f>IF('CG. MPA'!E101="CONCRETO","F/DISEÑO",IF(K101&gt;L101,"NO PASA","PASA"))</f>
        <v>NO PASA</v>
      </c>
      <c r="N101" s="44">
        <f>IF('RMCV.PA'!C101*6&gt;80,80,'RMCV.PA'!C101*6)</f>
        <v>0</v>
      </c>
      <c r="O101" s="44" t="e">
        <f t="shared" si="33"/>
        <v>#DIV/0!</v>
      </c>
      <c r="P101" s="456" t="e">
        <f t="shared" si="34"/>
        <v>#DIV/0!</v>
      </c>
      <c r="Q101" s="351" t="e">
        <f>IF(P101=0,G101,$Q$25)/('RMCV.PA'!C101*(B101/(P101+1)))*4200/$Q$26</f>
        <v>#DIV/0!</v>
      </c>
      <c r="R101" s="425" t="e">
        <f t="shared" si="35"/>
        <v>#DIV/0!</v>
      </c>
      <c r="S101" s="44">
        <f t="shared" si="32"/>
        <v>40</v>
      </c>
      <c r="T101" s="44" t="e">
        <f>(4200/$T$26)*$T$25/('RMCV.PA'!C101*S101)</f>
        <v>#DIV/0!</v>
      </c>
      <c r="U101" s="425" t="e">
        <f t="shared" si="36"/>
        <v>#DIV/0!</v>
      </c>
      <c r="V101" s="425">
        <f t="shared" si="37"/>
        <v>0</v>
      </c>
      <c r="W101" s="44" t="e">
        <f t="shared" si="38"/>
        <v>#DIV/0!</v>
      </c>
      <c r="X101" s="44" t="e">
        <f>W101/'RMCV.PA'!C101*4200/FY+T101</f>
        <v>#DIV/0!</v>
      </c>
      <c r="Y101" s="425" t="e">
        <f>IF('CG. MPA'!E101="CONCRETO","F/DISEÑO",IF(FY=4200,IF(X101&gt;0.002,"BIEN","MAL"),(IF(X101&gt;4200*0.002/FY,"BIEN","MAL"))))</f>
        <v>#DIV/0!</v>
      </c>
    </row>
    <row r="102" spans="1:25">
      <c r="A102" s="684">
        <f>'CG. MPA'!A102</f>
        <v>23</v>
      </c>
      <c r="B102" s="579">
        <f>'RMCV.PA'!B102</f>
        <v>0</v>
      </c>
      <c r="C102" s="579">
        <f t="shared" si="45"/>
        <v>-2</v>
      </c>
      <c r="D102" s="579">
        <f t="shared" si="46"/>
        <v>-4</v>
      </c>
      <c r="E102" s="576">
        <f>'RMCS.PA'!M101</f>
        <v>0</v>
      </c>
      <c r="F102" s="576">
        <f>'RMCV.PA'!N102*1.1/1.4</f>
        <v>0</v>
      </c>
      <c r="G102" s="100">
        <f>IF('CG. MPA'!D102="CONFINADO",0.71*4,0)</f>
        <v>2.84</v>
      </c>
      <c r="H102" s="576">
        <f>('RMCV.PA'!O102+(2*0.6*$H$18*G102))</f>
        <v>14313.599999999999</v>
      </c>
      <c r="I102" s="60">
        <f t="shared" si="47"/>
        <v>0.8</v>
      </c>
      <c r="J102" s="576">
        <f t="shared" si="48"/>
        <v>-38169.599999999999</v>
      </c>
      <c r="K102" s="918">
        <f>ABS('ELEM. MECA.'!Q229)</f>
        <v>0</v>
      </c>
      <c r="L102" s="936">
        <f t="shared" si="49"/>
        <v>-38169.599999999999</v>
      </c>
      <c r="M102" s="705" t="str">
        <f>IF('CG. MPA'!E102="CONCRETO","F/DISEÑO",IF(K102&gt;L102,"NO PASA","PASA"))</f>
        <v>NO PASA</v>
      </c>
      <c r="N102" s="44">
        <f>IF('RMCV.PA'!C102*6&gt;80,80,'RMCV.PA'!C102*6)</f>
        <v>0</v>
      </c>
      <c r="O102" s="44" t="e">
        <f t="shared" si="33"/>
        <v>#DIV/0!</v>
      </c>
      <c r="P102" s="456" t="e">
        <f t="shared" si="34"/>
        <v>#DIV/0!</v>
      </c>
      <c r="Q102" s="351" t="e">
        <f>IF(P102=0,G102,$Q$25)/('RMCV.PA'!C102*(B102/(P102+1)))*4200/$Q$26</f>
        <v>#DIV/0!</v>
      </c>
      <c r="R102" s="425" t="e">
        <f t="shared" si="35"/>
        <v>#DIV/0!</v>
      </c>
      <c r="S102" s="44">
        <f t="shared" si="32"/>
        <v>40</v>
      </c>
      <c r="T102" s="44" t="e">
        <f>(4200/$T$26)*$T$25/('RMCV.PA'!C102*S102)</f>
        <v>#DIV/0!</v>
      </c>
      <c r="U102" s="425" t="e">
        <f t="shared" si="36"/>
        <v>#DIV/0!</v>
      </c>
      <c r="V102" s="425">
        <f t="shared" si="37"/>
        <v>0</v>
      </c>
      <c r="W102" s="44" t="e">
        <f t="shared" si="38"/>
        <v>#DIV/0!</v>
      </c>
      <c r="X102" s="44" t="e">
        <f>W102/'RMCV.PA'!C102*4200/FY+T102</f>
        <v>#DIV/0!</v>
      </c>
      <c r="Y102" s="425" t="e">
        <f>IF('CG. MPA'!E102="CONCRETO","F/DISEÑO",IF(FY=4200,IF(X102&gt;0.002,"BIEN","MAL"),(IF(X102&gt;4200*0.002/FY,"BIEN","MAL"))))</f>
        <v>#DIV/0!</v>
      </c>
    </row>
    <row r="103" spans="1:25">
      <c r="A103" s="684">
        <f>'CG. MPA'!A103</f>
        <v>24</v>
      </c>
      <c r="B103" s="579">
        <f>'RMCV.PA'!B103</f>
        <v>0</v>
      </c>
      <c r="C103" s="579">
        <f t="shared" si="45"/>
        <v>-2</v>
      </c>
      <c r="D103" s="579">
        <f t="shared" si="46"/>
        <v>-4</v>
      </c>
      <c r="E103" s="576">
        <f>'RMCS.PA'!M102</f>
        <v>0</v>
      </c>
      <c r="F103" s="576">
        <f>'RMCV.PA'!N103*1.1/1.4</f>
        <v>0</v>
      </c>
      <c r="G103" s="100">
        <f>IF('CG. MPA'!D103="CONFINADO",0.71*4,0)</f>
        <v>2.84</v>
      </c>
      <c r="H103" s="576">
        <f>('RMCV.PA'!O103+(2*0.6*$H$18*G103))</f>
        <v>14313.599999999999</v>
      </c>
      <c r="I103" s="60">
        <f t="shared" si="47"/>
        <v>0.8</v>
      </c>
      <c r="J103" s="576">
        <f t="shared" si="48"/>
        <v>-38169.599999999999</v>
      </c>
      <c r="K103" s="918">
        <f>ABS('ELEM. MECA.'!Q230)</f>
        <v>0</v>
      </c>
      <c r="L103" s="936">
        <f t="shared" si="49"/>
        <v>-38169.599999999999</v>
      </c>
      <c r="M103" s="705" t="str">
        <f>IF('CG. MPA'!E103="CONCRETO","F/DISEÑO",IF(K103&gt;L103,"NO PASA","PASA"))</f>
        <v>NO PASA</v>
      </c>
      <c r="N103" s="44">
        <f>IF('RMCV.PA'!C103*6&gt;80,80,'RMCV.PA'!C103*6)</f>
        <v>0</v>
      </c>
      <c r="O103" s="44" t="e">
        <f t="shared" si="33"/>
        <v>#DIV/0!</v>
      </c>
      <c r="P103" s="456" t="e">
        <f t="shared" si="34"/>
        <v>#DIV/0!</v>
      </c>
      <c r="Q103" s="351" t="e">
        <f>IF(P103=0,G103,$Q$25)/('RMCV.PA'!C103*(B103/(P103+1)))*4200/$Q$26</f>
        <v>#DIV/0!</v>
      </c>
      <c r="R103" s="425" t="e">
        <f t="shared" si="35"/>
        <v>#DIV/0!</v>
      </c>
      <c r="S103" s="44">
        <f t="shared" si="32"/>
        <v>40</v>
      </c>
      <c r="T103" s="44" t="e">
        <f>(4200/$T$26)*$T$25/('RMCV.PA'!C103*S103)</f>
        <v>#DIV/0!</v>
      </c>
      <c r="U103" s="425" t="e">
        <f t="shared" si="36"/>
        <v>#DIV/0!</v>
      </c>
      <c r="V103" s="425">
        <f t="shared" si="37"/>
        <v>0</v>
      </c>
      <c r="W103" s="44" t="e">
        <f t="shared" si="38"/>
        <v>#DIV/0!</v>
      </c>
      <c r="X103" s="44" t="e">
        <f>W103/'RMCV.PA'!C103*4200/FY+T103</f>
        <v>#DIV/0!</v>
      </c>
      <c r="Y103" s="425" t="e">
        <f>IF('CG. MPA'!E103="CONCRETO","F/DISEÑO",IF(FY=4200,IF(X103&gt;0.002,"BIEN","MAL"),(IF(X103&gt;4200*0.002/FY,"BIEN","MAL"))))</f>
        <v>#DIV/0!</v>
      </c>
    </row>
    <row r="104" spans="1:25">
      <c r="A104" s="684">
        <f>'CG. MPA'!A104</f>
        <v>25</v>
      </c>
      <c r="B104" s="579">
        <f>'RMCV.PA'!B104</f>
        <v>0</v>
      </c>
      <c r="C104" s="579">
        <f t="shared" si="45"/>
        <v>-2</v>
      </c>
      <c r="D104" s="579">
        <f t="shared" si="46"/>
        <v>-4</v>
      </c>
      <c r="E104" s="576">
        <f>'RMCS.PA'!M103</f>
        <v>0</v>
      </c>
      <c r="F104" s="576">
        <f>'RMCV.PA'!N104*1.1/1.4</f>
        <v>0</v>
      </c>
      <c r="G104" s="100">
        <f>IF('CG. MPA'!D104="CONFINADO",0.71*4,0)</f>
        <v>2.84</v>
      </c>
      <c r="H104" s="576">
        <f>('RMCV.PA'!O104+(2*0.6*$H$18*G104))</f>
        <v>14313.599999999999</v>
      </c>
      <c r="I104" s="60">
        <f t="shared" si="47"/>
        <v>0.8</v>
      </c>
      <c r="J104" s="576">
        <f t="shared" si="48"/>
        <v>-38169.599999999999</v>
      </c>
      <c r="K104" s="918">
        <f>ABS('ELEM. MECA.'!Q231)</f>
        <v>0</v>
      </c>
      <c r="L104" s="936">
        <f t="shared" si="49"/>
        <v>-38169.599999999999</v>
      </c>
      <c r="M104" s="705" t="str">
        <f>IF('CG. MPA'!E104="CONCRETO","F/DISEÑO",IF(K104&gt;L104,"NO PASA","PASA"))</f>
        <v>NO PASA</v>
      </c>
      <c r="N104" s="44">
        <f>IF('RMCV.PA'!C104*6&gt;80,80,'RMCV.PA'!C104*6)</f>
        <v>0</v>
      </c>
      <c r="O104" s="44" t="e">
        <f t="shared" si="33"/>
        <v>#DIV/0!</v>
      </c>
      <c r="P104" s="456" t="e">
        <f t="shared" si="34"/>
        <v>#DIV/0!</v>
      </c>
      <c r="Q104" s="351" t="e">
        <f>IF(P104=0,G104,$Q$25)/('RMCV.PA'!C104*(B104/(P104+1)))*4200/$Q$26</f>
        <v>#DIV/0!</v>
      </c>
      <c r="R104" s="425" t="e">
        <f t="shared" si="35"/>
        <v>#DIV/0!</v>
      </c>
      <c r="S104" s="44">
        <f t="shared" si="32"/>
        <v>40</v>
      </c>
      <c r="T104" s="44" t="e">
        <f>(4200/$T$26)*$T$25/('RMCV.PA'!C104*S104)</f>
        <v>#DIV/0!</v>
      </c>
      <c r="U104" s="425" t="e">
        <f t="shared" si="36"/>
        <v>#DIV/0!</v>
      </c>
      <c r="V104" s="425">
        <f t="shared" si="37"/>
        <v>0</v>
      </c>
      <c r="W104" s="44" t="e">
        <f t="shared" si="38"/>
        <v>#DIV/0!</v>
      </c>
      <c r="X104" s="44" t="e">
        <f>W104/'RMCV.PA'!C104*4200/FY+T104</f>
        <v>#DIV/0!</v>
      </c>
      <c r="Y104" s="425" t="e">
        <f>IF('CG. MPA'!E104="CONCRETO","F/DISEÑO",IF(FY=4200,IF(X104&gt;0.002,"BIEN","MAL"),(IF(X104&gt;4200*0.002/FY,"BIEN","MAL"))))</f>
        <v>#DIV/0!</v>
      </c>
    </row>
    <row r="105" spans="1:25">
      <c r="A105" s="684">
        <f>'CG. MPA'!A105</f>
        <v>26</v>
      </c>
      <c r="B105" s="579">
        <f>'RMCV.PA'!B105</f>
        <v>0</v>
      </c>
      <c r="C105" s="579">
        <f t="shared" si="45"/>
        <v>-2</v>
      </c>
      <c r="D105" s="579">
        <f t="shared" si="46"/>
        <v>-4</v>
      </c>
      <c r="E105" s="576">
        <f>'RMCS.PA'!M104</f>
        <v>0</v>
      </c>
      <c r="F105" s="576">
        <f>'RMCV.PA'!N105*1.1/1.4</f>
        <v>0</v>
      </c>
      <c r="G105" s="100">
        <f>IF('CG. MPA'!D105="CONFINADO",0.71*4,0)</f>
        <v>2.84</v>
      </c>
      <c r="H105" s="576">
        <f>('RMCV.PA'!O105+(2*0.6*$H$18*G105))</f>
        <v>14313.599999999999</v>
      </c>
      <c r="I105" s="60">
        <f t="shared" si="47"/>
        <v>0.8</v>
      </c>
      <c r="J105" s="576">
        <f t="shared" si="48"/>
        <v>-38169.599999999999</v>
      </c>
      <c r="K105" s="918">
        <f>ABS('ELEM. MECA.'!Q232)</f>
        <v>0</v>
      </c>
      <c r="L105" s="936">
        <f t="shared" si="49"/>
        <v>-38169.599999999999</v>
      </c>
      <c r="M105" s="705" t="str">
        <f>IF('CG. MPA'!E105="CONCRETO","F/DISEÑO",IF(K105&gt;L105,"NO PASA","PASA"))</f>
        <v>NO PASA</v>
      </c>
      <c r="N105" s="44">
        <f>IF('RMCV.PA'!C105*6&gt;80,80,'RMCV.PA'!C105*6)</f>
        <v>0</v>
      </c>
      <c r="O105" s="44" t="e">
        <f t="shared" si="33"/>
        <v>#DIV/0!</v>
      </c>
      <c r="P105" s="456" t="e">
        <f t="shared" si="34"/>
        <v>#DIV/0!</v>
      </c>
      <c r="Q105" s="351" t="e">
        <f>IF(P105=0,G105,$Q$25)/('RMCV.PA'!C105*(B105/(P105+1)))*4200/$Q$26</f>
        <v>#DIV/0!</v>
      </c>
      <c r="R105" s="425" t="e">
        <f t="shared" si="35"/>
        <v>#DIV/0!</v>
      </c>
      <c r="S105" s="44">
        <f t="shared" si="32"/>
        <v>40</v>
      </c>
      <c r="T105" s="44" t="e">
        <f>(4200/$T$26)*$T$25/('RMCV.PA'!C105*S105)</f>
        <v>#DIV/0!</v>
      </c>
      <c r="U105" s="425" t="e">
        <f t="shared" si="36"/>
        <v>#DIV/0!</v>
      </c>
      <c r="V105" s="425">
        <f t="shared" si="37"/>
        <v>0</v>
      </c>
      <c r="W105" s="44" t="e">
        <f t="shared" si="38"/>
        <v>#DIV/0!</v>
      </c>
      <c r="X105" s="44" t="e">
        <f>W105/'RMCV.PA'!C105*4200/FY+T105</f>
        <v>#DIV/0!</v>
      </c>
      <c r="Y105" s="425" t="e">
        <f>IF('CG. MPA'!E105="CONCRETO","F/DISEÑO",IF(FY=4200,IF(X105&gt;0.002,"BIEN","MAL"),(IF(X105&gt;4200*0.002/FY,"BIEN","MAL"))))</f>
        <v>#DIV/0!</v>
      </c>
    </row>
    <row r="106" spans="1:25">
      <c r="A106" s="684">
        <f>'CG. MPA'!A106</f>
        <v>27</v>
      </c>
      <c r="B106" s="579">
        <f>'RMCV.PA'!B106</f>
        <v>0</v>
      </c>
      <c r="C106" s="579">
        <f t="shared" si="45"/>
        <v>-2</v>
      </c>
      <c r="D106" s="579">
        <f t="shared" si="46"/>
        <v>-4</v>
      </c>
      <c r="E106" s="576">
        <f>'RMCS.PA'!M105</f>
        <v>0</v>
      </c>
      <c r="F106" s="576">
        <f>'RMCV.PA'!N106*1.1/1.4</f>
        <v>0</v>
      </c>
      <c r="G106" s="100">
        <f>IF('CG. MPA'!D106="CONFINADO",0.71*4,0)</f>
        <v>2.84</v>
      </c>
      <c r="H106" s="576">
        <f>('RMCV.PA'!O106+(2*0.6*$H$18*G106))</f>
        <v>14313.599999999999</v>
      </c>
      <c r="I106" s="60">
        <f t="shared" si="47"/>
        <v>0.8</v>
      </c>
      <c r="J106" s="576">
        <f t="shared" si="48"/>
        <v>-38169.599999999999</v>
      </c>
      <c r="K106" s="918">
        <f>ABS('ELEM. MECA.'!Q233)</f>
        <v>0</v>
      </c>
      <c r="L106" s="936">
        <f t="shared" si="49"/>
        <v>-38169.599999999999</v>
      </c>
      <c r="M106" s="705" t="str">
        <f>IF('CG. MPA'!E106="CONCRETO","F/DISEÑO",IF(K106&gt;L106,"NO PASA","PASA"))</f>
        <v>NO PASA</v>
      </c>
      <c r="N106" s="44">
        <f>IF('RMCV.PA'!C106*6&gt;80,80,'RMCV.PA'!C106*6)</f>
        <v>0</v>
      </c>
      <c r="O106" s="44" t="e">
        <f t="shared" si="33"/>
        <v>#DIV/0!</v>
      </c>
      <c r="P106" s="456" t="e">
        <f t="shared" si="34"/>
        <v>#DIV/0!</v>
      </c>
      <c r="Q106" s="351" t="e">
        <f>IF(P106=0,G106,$Q$25)/('RMCV.PA'!C106*(B106/(P106+1)))*4200/$Q$26</f>
        <v>#DIV/0!</v>
      </c>
      <c r="R106" s="425" t="e">
        <f t="shared" si="35"/>
        <v>#DIV/0!</v>
      </c>
      <c r="S106" s="44">
        <f t="shared" si="32"/>
        <v>40</v>
      </c>
      <c r="T106" s="44" t="e">
        <f>(4200/$T$26)*$T$25/('RMCV.PA'!C106*S106)</f>
        <v>#DIV/0!</v>
      </c>
      <c r="U106" s="425" t="e">
        <f t="shared" si="36"/>
        <v>#DIV/0!</v>
      </c>
      <c r="V106" s="425">
        <f t="shared" si="37"/>
        <v>0</v>
      </c>
      <c r="W106" s="44" t="e">
        <f t="shared" si="38"/>
        <v>#DIV/0!</v>
      </c>
      <c r="X106" s="44" t="e">
        <f>W106/'RMCV.PA'!C106*4200/FY+T106</f>
        <v>#DIV/0!</v>
      </c>
      <c r="Y106" s="425" t="e">
        <f>IF('CG. MPA'!E106="CONCRETO","F/DISEÑO",IF(FY=4200,IF(X106&gt;0.002,"BIEN","MAL"),(IF(X106&gt;4200*0.002/FY,"BIEN","MAL"))))</f>
        <v>#DIV/0!</v>
      </c>
    </row>
    <row r="107" spans="1:25">
      <c r="A107" s="684">
        <f>'CG. MPA'!A107</f>
        <v>28</v>
      </c>
      <c r="B107" s="579">
        <f>'RMCV.PA'!B107</f>
        <v>0</v>
      </c>
      <c r="C107" s="579">
        <f t="shared" si="45"/>
        <v>-2</v>
      </c>
      <c r="D107" s="579">
        <f t="shared" si="46"/>
        <v>-4</v>
      </c>
      <c r="E107" s="576">
        <f>'RMCS.PA'!M106</f>
        <v>0</v>
      </c>
      <c r="F107" s="576">
        <f>'RMCV.PA'!N107*1.1/1.4</f>
        <v>0</v>
      </c>
      <c r="G107" s="100">
        <f>IF('CG. MPA'!D107="CONFINADO",0.71*4,0)</f>
        <v>2.84</v>
      </c>
      <c r="H107" s="576">
        <f>('RMCV.PA'!O107+(2*0.6*$H$18*G107))</f>
        <v>14313.599999999999</v>
      </c>
      <c r="I107" s="60">
        <f t="shared" si="47"/>
        <v>0.8</v>
      </c>
      <c r="J107" s="576">
        <f t="shared" si="48"/>
        <v>-38169.599999999999</v>
      </c>
      <c r="K107" s="918">
        <f>ABS('ELEM. MECA.'!Q234)</f>
        <v>0</v>
      </c>
      <c r="L107" s="936">
        <f t="shared" si="49"/>
        <v>-38169.599999999999</v>
      </c>
      <c r="M107" s="705" t="str">
        <f>IF('CG. MPA'!E107="CONCRETO","F/DISEÑO",IF(K107&gt;L107,"NO PASA","PASA"))</f>
        <v>NO PASA</v>
      </c>
      <c r="N107" s="44">
        <f>IF('RMCV.PA'!C107*6&gt;80,80,'RMCV.PA'!C107*6)</f>
        <v>0</v>
      </c>
      <c r="O107" s="44" t="e">
        <f t="shared" si="33"/>
        <v>#DIV/0!</v>
      </c>
      <c r="P107" s="456" t="e">
        <f t="shared" si="34"/>
        <v>#DIV/0!</v>
      </c>
      <c r="Q107" s="351" t="e">
        <f>IF(P107=0,G107,$Q$25)/('RMCV.PA'!C107*(B107/(P107+1)))*4200/$Q$26</f>
        <v>#DIV/0!</v>
      </c>
      <c r="R107" s="425" t="e">
        <f t="shared" si="35"/>
        <v>#DIV/0!</v>
      </c>
      <c r="S107" s="44">
        <f t="shared" si="32"/>
        <v>40</v>
      </c>
      <c r="T107" s="44" t="e">
        <f>(4200/$T$26)*$T$25/('RMCV.PA'!C107*S107)</f>
        <v>#DIV/0!</v>
      </c>
      <c r="U107" s="425" t="e">
        <f t="shared" si="36"/>
        <v>#DIV/0!</v>
      </c>
      <c r="V107" s="425">
        <f t="shared" si="37"/>
        <v>0</v>
      </c>
      <c r="W107" s="44" t="e">
        <f t="shared" si="38"/>
        <v>#DIV/0!</v>
      </c>
      <c r="X107" s="44" t="e">
        <f>W107/'RMCV.PA'!C107*4200/FY+T107</f>
        <v>#DIV/0!</v>
      </c>
      <c r="Y107" s="425" t="e">
        <f>IF('CG. MPA'!E107="CONCRETO","F/DISEÑO",IF(FY=4200,IF(X107&gt;0.002,"BIEN","MAL"),(IF(X107&gt;4200*0.002/FY,"BIEN","MAL"))))</f>
        <v>#DIV/0!</v>
      </c>
    </row>
    <row r="108" spans="1:25">
      <c r="A108" s="684">
        <f>'CG. MPA'!A108</f>
        <v>29</v>
      </c>
      <c r="B108" s="579">
        <f>'RMCV.PA'!B108</f>
        <v>0</v>
      </c>
      <c r="C108" s="579">
        <f t="shared" si="45"/>
        <v>-2</v>
      </c>
      <c r="D108" s="579">
        <f t="shared" si="46"/>
        <v>-4</v>
      </c>
      <c r="E108" s="576">
        <f>'RMCS.PA'!M107</f>
        <v>0</v>
      </c>
      <c r="F108" s="576">
        <f>'RMCV.PA'!N108*1.1/1.4</f>
        <v>0</v>
      </c>
      <c r="G108" s="100">
        <f>IF('CG. MPA'!D108="CONFINADO",0.71*4,0)</f>
        <v>2.84</v>
      </c>
      <c r="H108" s="576">
        <f>('RMCV.PA'!O108+(2*0.6*$H$18*G108))</f>
        <v>14313.599999999999</v>
      </c>
      <c r="I108" s="60">
        <f t="shared" si="47"/>
        <v>0.8</v>
      </c>
      <c r="J108" s="576">
        <f t="shared" si="48"/>
        <v>-38169.599999999999</v>
      </c>
      <c r="K108" s="918">
        <f>ABS('ELEM. MECA.'!Q235)</f>
        <v>0</v>
      </c>
      <c r="L108" s="936">
        <f t="shared" si="49"/>
        <v>-38169.599999999999</v>
      </c>
      <c r="M108" s="705" t="str">
        <f>IF('CG. MPA'!E108="CONCRETO","F/DISEÑO",IF(K108&gt;L108,"NO PASA","PASA"))</f>
        <v>NO PASA</v>
      </c>
      <c r="N108" s="44">
        <f>IF('RMCV.PA'!C108*6&gt;80,80,'RMCV.PA'!C108*6)</f>
        <v>0</v>
      </c>
      <c r="O108" s="44" t="e">
        <f t="shared" si="33"/>
        <v>#DIV/0!</v>
      </c>
      <c r="P108" s="456" t="e">
        <f t="shared" si="34"/>
        <v>#DIV/0!</v>
      </c>
      <c r="Q108" s="351" t="e">
        <f>IF(P108=0,G108,$Q$25)/('RMCV.PA'!C108*(B108/(P108+1)))*4200/$Q$26</f>
        <v>#DIV/0!</v>
      </c>
      <c r="R108" s="425" t="e">
        <f t="shared" si="35"/>
        <v>#DIV/0!</v>
      </c>
      <c r="S108" s="44">
        <f t="shared" si="32"/>
        <v>40</v>
      </c>
      <c r="T108" s="44" t="e">
        <f>(4200/$T$26)*$T$25/('RMCV.PA'!C108*S108)</f>
        <v>#DIV/0!</v>
      </c>
      <c r="U108" s="425" t="e">
        <f t="shared" si="36"/>
        <v>#DIV/0!</v>
      </c>
      <c r="V108" s="425">
        <f t="shared" si="37"/>
        <v>0</v>
      </c>
      <c r="W108" s="44" t="e">
        <f t="shared" si="38"/>
        <v>#DIV/0!</v>
      </c>
      <c r="X108" s="44" t="e">
        <f>W108/'RMCV.PA'!C108*4200/FY+T108</f>
        <v>#DIV/0!</v>
      </c>
      <c r="Y108" s="425" t="e">
        <f>IF('CG. MPA'!E108="CONCRETO","F/DISEÑO",IF(FY=4200,IF(X108&gt;0.002,"BIEN","MAL"),(IF(X108&gt;4200*0.002/FY,"BIEN","MAL"))))</f>
        <v>#DIV/0!</v>
      </c>
    </row>
    <row r="109" spans="1:25">
      <c r="A109" s="684">
        <f>'CG. MPA'!A109</f>
        <v>30</v>
      </c>
      <c r="B109" s="579">
        <f>'RMCV.PA'!B109</f>
        <v>0</v>
      </c>
      <c r="C109" s="579">
        <f t="shared" si="45"/>
        <v>-2</v>
      </c>
      <c r="D109" s="579">
        <f t="shared" si="46"/>
        <v>-4</v>
      </c>
      <c r="E109" s="576">
        <f>'RMCS.PA'!M108</f>
        <v>0</v>
      </c>
      <c r="F109" s="576">
        <f>'RMCV.PA'!N109*1.1/1.4</f>
        <v>0</v>
      </c>
      <c r="G109" s="100">
        <f>IF('CG. MPA'!D109="CONFINADO",0.71*4,0)</f>
        <v>2.84</v>
      </c>
      <c r="H109" s="576">
        <f>('RMCV.PA'!O109+(2*0.6*$H$18*G109))</f>
        <v>14313.599999999999</v>
      </c>
      <c r="I109" s="60">
        <f t="shared" si="47"/>
        <v>0.8</v>
      </c>
      <c r="J109" s="576">
        <f t="shared" si="48"/>
        <v>-38169.599999999999</v>
      </c>
      <c r="K109" s="918">
        <f>ABS('ELEM. MECA.'!Q236)</f>
        <v>0</v>
      </c>
      <c r="L109" s="936">
        <f t="shared" si="49"/>
        <v>-38169.599999999999</v>
      </c>
      <c r="M109" s="705" t="str">
        <f>IF('CG. MPA'!E109="CONCRETO","F/DISEÑO",IF(K109&gt;L109,"NO PASA","PASA"))</f>
        <v>NO PASA</v>
      </c>
      <c r="N109" s="44">
        <f>IF('RMCV.PA'!C109*6&gt;80,80,'RMCV.PA'!C109*6)</f>
        <v>0</v>
      </c>
      <c r="O109" s="44" t="e">
        <f t="shared" si="33"/>
        <v>#DIV/0!</v>
      </c>
      <c r="P109" s="456" t="e">
        <f t="shared" si="34"/>
        <v>#DIV/0!</v>
      </c>
      <c r="Q109" s="351" t="e">
        <f>IF(P109=0,G109,$Q$25)/('RMCV.PA'!C109*(B109/(P109+1)))*4200/$Q$26</f>
        <v>#DIV/0!</v>
      </c>
      <c r="R109" s="425" t="e">
        <f t="shared" si="35"/>
        <v>#DIV/0!</v>
      </c>
      <c r="S109" s="44">
        <f t="shared" si="32"/>
        <v>40</v>
      </c>
      <c r="T109" s="44" t="e">
        <f>(4200/$T$26)*$T$25/('RMCV.PA'!C109*S109)</f>
        <v>#DIV/0!</v>
      </c>
      <c r="U109" s="425" t="e">
        <f t="shared" si="36"/>
        <v>#DIV/0!</v>
      </c>
      <c r="V109" s="425">
        <f t="shared" si="37"/>
        <v>0</v>
      </c>
      <c r="W109" s="44" t="e">
        <f t="shared" si="38"/>
        <v>#DIV/0!</v>
      </c>
      <c r="X109" s="44" t="e">
        <f>W109/'RMCV.PA'!C109*4200/FY+T109</f>
        <v>#DIV/0!</v>
      </c>
      <c r="Y109" s="425" t="e">
        <f>IF('CG. MPA'!E109="CONCRETO","F/DISEÑO",IF(FY=4200,IF(X109&gt;0.002,"BIEN","MAL"),(IF(X109&gt;4200*0.002/FY,"BIEN","MAL"))))</f>
        <v>#DIV/0!</v>
      </c>
    </row>
    <row r="110" spans="1:25">
      <c r="A110" s="684">
        <f>'CG. MPA'!A110</f>
        <v>31</v>
      </c>
      <c r="B110" s="579">
        <f>'RMCV.PA'!B110</f>
        <v>0</v>
      </c>
      <c r="C110" s="579">
        <f t="shared" si="45"/>
        <v>-2</v>
      </c>
      <c r="D110" s="579">
        <f t="shared" si="46"/>
        <v>-4</v>
      </c>
      <c r="E110" s="576">
        <f>'RMCS.PA'!M109</f>
        <v>0</v>
      </c>
      <c r="F110" s="576">
        <f>'RMCV.PA'!N110*1.1/1.4</f>
        <v>0</v>
      </c>
      <c r="G110" s="100">
        <f>IF('CG. MPA'!D110="CONFINADO",0.71*4,0)</f>
        <v>2.84</v>
      </c>
      <c r="H110" s="576">
        <f>('RMCV.PA'!O110+(2*0.6*$H$18*G110))</f>
        <v>14313.599999999999</v>
      </c>
      <c r="I110" s="60">
        <f t="shared" si="47"/>
        <v>0.8</v>
      </c>
      <c r="J110" s="576">
        <f t="shared" si="48"/>
        <v>-38169.599999999999</v>
      </c>
      <c r="K110" s="918">
        <f>ABS('ELEM. MECA.'!Q237)</f>
        <v>0</v>
      </c>
      <c r="L110" s="936">
        <f t="shared" si="49"/>
        <v>-38169.599999999999</v>
      </c>
      <c r="M110" s="705" t="str">
        <f>IF('CG. MPA'!E110="CONCRETO","F/DISEÑO",IF(K110&gt;L110,"NO PASA","PASA"))</f>
        <v>NO PASA</v>
      </c>
      <c r="N110" s="44">
        <f>IF('RMCV.PA'!C110*6&gt;80,80,'RMCV.PA'!C110*6)</f>
        <v>0</v>
      </c>
      <c r="O110" s="44" t="e">
        <f t="shared" ref="O110:O127" si="50">ROUNDUP(IF((B110/N110)-1&gt;0,(B110/N110)-1,0),0)</f>
        <v>#DIV/0!</v>
      </c>
      <c r="P110" s="456" t="e">
        <f t="shared" ref="P110:P127" si="51">O110</f>
        <v>#DIV/0!</v>
      </c>
      <c r="Q110" s="351" t="e">
        <f>IF(P110=0,G110,$Q$25)/('RMCV.PA'!C110*(B110/(P110+1)))*4200/$Q$26</f>
        <v>#DIV/0!</v>
      </c>
      <c r="R110" s="425" t="e">
        <f t="shared" ref="R110:R127" si="52">IF($Q$26=4200,IF(Q110&gt;0.0007,"BIEN","MAL"),IF(Q110&gt;0.0007*4200/$Q$26,"BIEN","MAL"))</f>
        <v>#DIV/0!</v>
      </c>
      <c r="S110" s="44">
        <f t="shared" si="32"/>
        <v>40</v>
      </c>
      <c r="T110" s="44" t="e">
        <f>(4200/$T$26)*$T$25/('RMCV.PA'!C110*S110)</f>
        <v>#DIV/0!</v>
      </c>
      <c r="U110" s="425" t="e">
        <f t="shared" ref="U110:U127" si="53">IF($T$26=4200,IF(T110&gt;0.0007,"BIEN","MAL"),IF(T110&gt;0.0007*4200/$T$26,"BIEN","MAL"))</f>
        <v>#DIV/0!</v>
      </c>
      <c r="V110" s="425">
        <f t="shared" ref="V110:V127" si="54">ROUNDUP(IF(B110&gt;300,(B110/300)-1,0),0)</f>
        <v>0</v>
      </c>
      <c r="W110" s="44" t="e">
        <f t="shared" ref="W110:W127" si="55">G110*2+V110*$Q$25+P110*$Q$25</f>
        <v>#DIV/0!</v>
      </c>
      <c r="X110" s="44" t="e">
        <f>W110/'RMCV.PA'!C110*4200/FY+T110</f>
        <v>#DIV/0!</v>
      </c>
      <c r="Y110" s="425" t="e">
        <f>IF('CG. MPA'!E110="CONCRETO","F/DISEÑO",IF(FY=4200,IF(X110&gt;0.002,"BIEN","MAL"),(IF(X110&gt;4200*0.002/FY,"BIEN","MAL"))))</f>
        <v>#DIV/0!</v>
      </c>
    </row>
    <row r="111" spans="1:25">
      <c r="A111" s="684">
        <f>'CG. MPA'!A111</f>
        <v>32</v>
      </c>
      <c r="B111" s="579">
        <f>'RMCV.PA'!B111</f>
        <v>0</v>
      </c>
      <c r="C111" s="579">
        <f t="shared" si="45"/>
        <v>-2</v>
      </c>
      <c r="D111" s="579">
        <f t="shared" si="46"/>
        <v>-4</v>
      </c>
      <c r="E111" s="576">
        <f>'RMCS.PA'!M110</f>
        <v>0</v>
      </c>
      <c r="F111" s="576">
        <f>'RMCV.PA'!N111*1.1/1.4</f>
        <v>0</v>
      </c>
      <c r="G111" s="100">
        <f>IF('CG. MPA'!D111="CONFINADO",0.71*4,0)</f>
        <v>2.84</v>
      </c>
      <c r="H111" s="576">
        <f>('RMCV.PA'!O111+(2*0.6*$H$18*G111))</f>
        <v>14313.599999999999</v>
      </c>
      <c r="I111" s="60">
        <f t="shared" si="47"/>
        <v>0.8</v>
      </c>
      <c r="J111" s="576">
        <f t="shared" si="48"/>
        <v>-38169.599999999999</v>
      </c>
      <c r="K111" s="918">
        <f>ABS('ELEM. MECA.'!Q238)</f>
        <v>0</v>
      </c>
      <c r="L111" s="936">
        <f t="shared" si="49"/>
        <v>-38169.599999999999</v>
      </c>
      <c r="M111" s="705" t="str">
        <f>IF('CG. MPA'!E111="CONCRETO","F/DISEÑO",IF(K111&gt;L111,"NO PASA","PASA"))</f>
        <v>NO PASA</v>
      </c>
      <c r="N111" s="44">
        <f>IF('RMCV.PA'!C111*6&gt;80,80,'RMCV.PA'!C111*6)</f>
        <v>0</v>
      </c>
      <c r="O111" s="44" t="e">
        <f t="shared" si="50"/>
        <v>#DIV/0!</v>
      </c>
      <c r="P111" s="456" t="e">
        <f t="shared" si="51"/>
        <v>#DIV/0!</v>
      </c>
      <c r="Q111" s="351" t="e">
        <f>IF(P111=0,G111,$Q$25)/('RMCV.PA'!C111*(B111/(P111+1)))*4200/$Q$26</f>
        <v>#DIV/0!</v>
      </c>
      <c r="R111" s="425" t="e">
        <f t="shared" si="52"/>
        <v>#DIV/0!</v>
      </c>
      <c r="S111" s="44">
        <f t="shared" si="32"/>
        <v>40</v>
      </c>
      <c r="T111" s="44" t="e">
        <f>(4200/$T$26)*$T$25/('RMCV.PA'!C111*S111)</f>
        <v>#DIV/0!</v>
      </c>
      <c r="U111" s="425" t="e">
        <f t="shared" si="53"/>
        <v>#DIV/0!</v>
      </c>
      <c r="V111" s="425">
        <f t="shared" si="54"/>
        <v>0</v>
      </c>
      <c r="W111" s="44" t="e">
        <f t="shared" si="55"/>
        <v>#DIV/0!</v>
      </c>
      <c r="X111" s="44" t="e">
        <f>W111/'RMCV.PA'!C111*4200/FY+T111</f>
        <v>#DIV/0!</v>
      </c>
      <c r="Y111" s="425" t="e">
        <f>IF('CG. MPA'!E111="CONCRETO","F/DISEÑO",IF(FY=4200,IF(X111&gt;0.002,"BIEN","MAL"),(IF(X111&gt;4200*0.002/FY,"BIEN","MAL"))))</f>
        <v>#DIV/0!</v>
      </c>
    </row>
    <row r="112" spans="1:25">
      <c r="A112" s="684">
        <f>'CG. MPA'!A112</f>
        <v>33</v>
      </c>
      <c r="B112" s="579">
        <f>'RMCV.PA'!B112</f>
        <v>0</v>
      </c>
      <c r="C112" s="579">
        <f t="shared" si="45"/>
        <v>-2</v>
      </c>
      <c r="D112" s="579">
        <f t="shared" si="46"/>
        <v>-4</v>
      </c>
      <c r="E112" s="576">
        <f>'RMCS.PA'!M111</f>
        <v>0</v>
      </c>
      <c r="F112" s="576">
        <f>'RMCV.PA'!N112*1.1/1.4</f>
        <v>0</v>
      </c>
      <c r="G112" s="100">
        <f>IF('CG. MPA'!D112="CONFINADO",0.71*4,0)</f>
        <v>2.84</v>
      </c>
      <c r="H112" s="576">
        <f>('RMCV.PA'!O112+(2*0.6*$H$18*G112))</f>
        <v>14313.599999999999</v>
      </c>
      <c r="I112" s="60">
        <f t="shared" si="47"/>
        <v>0.8</v>
      </c>
      <c r="J112" s="576">
        <f t="shared" si="48"/>
        <v>-38169.599999999999</v>
      </c>
      <c r="K112" s="918">
        <f>ABS('ELEM. MECA.'!Q239)</f>
        <v>0</v>
      </c>
      <c r="L112" s="936">
        <f t="shared" si="49"/>
        <v>-38169.599999999999</v>
      </c>
      <c r="M112" s="705" t="str">
        <f>IF('CG. MPA'!E112="CONCRETO","F/DISEÑO",IF(K112&gt;L112,"NO PASA","PASA"))</f>
        <v>NO PASA</v>
      </c>
      <c r="N112" s="44">
        <f>IF('RMCV.PA'!C112*6&gt;80,80,'RMCV.PA'!C112*6)</f>
        <v>0</v>
      </c>
      <c r="O112" s="44" t="e">
        <f t="shared" si="50"/>
        <v>#DIV/0!</v>
      </c>
      <c r="P112" s="456" t="e">
        <f t="shared" si="51"/>
        <v>#DIV/0!</v>
      </c>
      <c r="Q112" s="351" t="e">
        <f>IF(P112=0,G112,$Q$25)/('RMCV.PA'!C112*(B112/(P112+1)))*4200/$Q$26</f>
        <v>#DIV/0!</v>
      </c>
      <c r="R112" s="425" t="e">
        <f t="shared" si="52"/>
        <v>#DIV/0!</v>
      </c>
      <c r="S112" s="44">
        <f t="shared" si="32"/>
        <v>40</v>
      </c>
      <c r="T112" s="44" t="e">
        <f>(4200/$T$26)*$T$25/('RMCV.PA'!C112*S112)</f>
        <v>#DIV/0!</v>
      </c>
      <c r="U112" s="425" t="e">
        <f t="shared" si="53"/>
        <v>#DIV/0!</v>
      </c>
      <c r="V112" s="425">
        <f t="shared" si="54"/>
        <v>0</v>
      </c>
      <c r="W112" s="44" t="e">
        <f t="shared" si="55"/>
        <v>#DIV/0!</v>
      </c>
      <c r="X112" s="44" t="e">
        <f>W112/'RMCV.PA'!C112*4200/FY+T112</f>
        <v>#DIV/0!</v>
      </c>
      <c r="Y112" s="425" t="e">
        <f>IF('CG. MPA'!E112="CONCRETO","F/DISEÑO",IF(FY=4200,IF(X112&gt;0.002,"BIEN","MAL"),(IF(X112&gt;4200*0.002/FY,"BIEN","MAL"))))</f>
        <v>#DIV/0!</v>
      </c>
    </row>
    <row r="113" spans="1:25">
      <c r="A113" s="684">
        <f>'CG. MPA'!A113</f>
        <v>34</v>
      </c>
      <c r="B113" s="579">
        <f>'RMCV.PA'!B113</f>
        <v>0</v>
      </c>
      <c r="C113" s="579">
        <f t="shared" si="45"/>
        <v>-2</v>
      </c>
      <c r="D113" s="579">
        <f t="shared" si="46"/>
        <v>-4</v>
      </c>
      <c r="E113" s="576">
        <f>'RMCS.PA'!M112</f>
        <v>0</v>
      </c>
      <c r="F113" s="576">
        <f>'RMCV.PA'!N113*1.1/1.4</f>
        <v>0</v>
      </c>
      <c r="G113" s="100">
        <f>IF('CG. MPA'!D113="CONFINADO",0.71*4,0)</f>
        <v>2.84</v>
      </c>
      <c r="H113" s="576">
        <f>('RMCV.PA'!O113+(2*0.6*$H$18*G113))</f>
        <v>14313.599999999999</v>
      </c>
      <c r="I113" s="60">
        <f t="shared" si="47"/>
        <v>0.8</v>
      </c>
      <c r="J113" s="576">
        <f t="shared" si="48"/>
        <v>-38169.599999999999</v>
      </c>
      <c r="K113" s="918">
        <f>ABS('ELEM. MECA.'!Q240)</f>
        <v>0</v>
      </c>
      <c r="L113" s="936">
        <f t="shared" si="49"/>
        <v>-38169.599999999999</v>
      </c>
      <c r="M113" s="705" t="str">
        <f>IF('CG. MPA'!E113="CONCRETO","F/DISEÑO",IF(K113&gt;L113,"NO PASA","PASA"))</f>
        <v>NO PASA</v>
      </c>
      <c r="N113" s="44">
        <f>IF('RMCV.PA'!C113*6&gt;80,80,'RMCV.PA'!C113*6)</f>
        <v>0</v>
      </c>
      <c r="O113" s="44" t="e">
        <f t="shared" si="50"/>
        <v>#DIV/0!</v>
      </c>
      <c r="P113" s="456" t="e">
        <f t="shared" si="51"/>
        <v>#DIV/0!</v>
      </c>
      <c r="Q113" s="351" t="e">
        <f>IF(P113=0,G113,$Q$25)/('RMCV.PA'!C113*(B113/(P113+1)))*4200/$Q$26</f>
        <v>#DIV/0!</v>
      </c>
      <c r="R113" s="425" t="e">
        <f t="shared" si="52"/>
        <v>#DIV/0!</v>
      </c>
      <c r="S113" s="44">
        <f t="shared" si="32"/>
        <v>40</v>
      </c>
      <c r="T113" s="44" t="e">
        <f>(4200/$T$26)*$T$25/('RMCV.PA'!C113*S113)</f>
        <v>#DIV/0!</v>
      </c>
      <c r="U113" s="425" t="e">
        <f t="shared" si="53"/>
        <v>#DIV/0!</v>
      </c>
      <c r="V113" s="425">
        <f t="shared" si="54"/>
        <v>0</v>
      </c>
      <c r="W113" s="44" t="e">
        <f t="shared" si="55"/>
        <v>#DIV/0!</v>
      </c>
      <c r="X113" s="44" t="e">
        <f>W113/'RMCV.PA'!C113*4200/FY+T113</f>
        <v>#DIV/0!</v>
      </c>
      <c r="Y113" s="425" t="e">
        <f>IF('CG. MPA'!E113="CONCRETO","F/DISEÑO",IF(FY=4200,IF(X113&gt;0.002,"BIEN","MAL"),(IF(X113&gt;4200*0.002/FY,"BIEN","MAL"))))</f>
        <v>#DIV/0!</v>
      </c>
    </row>
    <row r="114" spans="1:25">
      <c r="A114" s="684">
        <f>'CG. MPA'!A114</f>
        <v>35</v>
      </c>
      <c r="B114" s="579">
        <f>'RMCV.PA'!B114</f>
        <v>0</v>
      </c>
      <c r="C114" s="579">
        <f t="shared" si="45"/>
        <v>-2</v>
      </c>
      <c r="D114" s="579">
        <f t="shared" si="46"/>
        <v>-4</v>
      </c>
      <c r="E114" s="576">
        <f>'RMCS.PA'!M113</f>
        <v>0</v>
      </c>
      <c r="F114" s="576">
        <f>'RMCV.PA'!N114*1.1/1.4</f>
        <v>0</v>
      </c>
      <c r="G114" s="100">
        <f>IF('CG. MPA'!D114="CONFINADO",0.71*4,0)</f>
        <v>2.84</v>
      </c>
      <c r="H114" s="576">
        <f>('RMCV.PA'!O114+(2*0.6*$H$18*G114))</f>
        <v>14313.599999999999</v>
      </c>
      <c r="I114" s="60">
        <f t="shared" si="47"/>
        <v>0.8</v>
      </c>
      <c r="J114" s="576">
        <f t="shared" si="48"/>
        <v>-38169.599999999999</v>
      </c>
      <c r="K114" s="918">
        <f>ABS('ELEM. MECA.'!Q241)</f>
        <v>0</v>
      </c>
      <c r="L114" s="936">
        <f t="shared" si="49"/>
        <v>-38169.599999999999</v>
      </c>
      <c r="M114" s="705" t="str">
        <f>IF('CG. MPA'!E114="CONCRETO","F/DISEÑO",IF(K114&gt;L114,"NO PASA","PASA"))</f>
        <v>NO PASA</v>
      </c>
      <c r="N114" s="44">
        <f>IF('RMCV.PA'!C114*6&gt;80,80,'RMCV.PA'!C114*6)</f>
        <v>0</v>
      </c>
      <c r="O114" s="44" t="e">
        <f t="shared" si="50"/>
        <v>#DIV/0!</v>
      </c>
      <c r="P114" s="456" t="e">
        <f t="shared" si="51"/>
        <v>#DIV/0!</v>
      </c>
      <c r="Q114" s="351" t="e">
        <f>IF(P114=0,G114,$Q$25)/('RMCV.PA'!C114*(B114/(P114+1)))*4200/$Q$26</f>
        <v>#DIV/0!</v>
      </c>
      <c r="R114" s="425" t="e">
        <f t="shared" si="52"/>
        <v>#DIV/0!</v>
      </c>
      <c r="S114" s="44">
        <f t="shared" si="32"/>
        <v>40</v>
      </c>
      <c r="T114" s="44" t="e">
        <f>(4200/$T$26)*$T$25/('RMCV.PA'!C114*S114)</f>
        <v>#DIV/0!</v>
      </c>
      <c r="U114" s="425" t="e">
        <f t="shared" si="53"/>
        <v>#DIV/0!</v>
      </c>
      <c r="V114" s="425">
        <f t="shared" si="54"/>
        <v>0</v>
      </c>
      <c r="W114" s="44" t="e">
        <f t="shared" si="55"/>
        <v>#DIV/0!</v>
      </c>
      <c r="X114" s="44" t="e">
        <f>W114/'RMCV.PA'!C114*4200/FY+T114</f>
        <v>#DIV/0!</v>
      </c>
      <c r="Y114" s="425" t="e">
        <f>IF('CG. MPA'!E114="CONCRETO","F/DISEÑO",IF(FY=4200,IF(X114&gt;0.002,"BIEN","MAL"),(IF(X114&gt;4200*0.002/FY,"BIEN","MAL"))))</f>
        <v>#DIV/0!</v>
      </c>
    </row>
    <row r="115" spans="1:25">
      <c r="A115" s="684">
        <f>'CG. MPA'!A115</f>
        <v>36</v>
      </c>
      <c r="B115" s="579">
        <f>'RMCV.PA'!B115</f>
        <v>0</v>
      </c>
      <c r="C115" s="579">
        <f t="shared" si="45"/>
        <v>-2</v>
      </c>
      <c r="D115" s="579">
        <f t="shared" si="46"/>
        <v>-4</v>
      </c>
      <c r="E115" s="576">
        <f>'RMCS.PA'!M114</f>
        <v>0</v>
      </c>
      <c r="F115" s="576">
        <f>'RMCV.PA'!N115*1.1/1.4</f>
        <v>0</v>
      </c>
      <c r="G115" s="100">
        <f>IF('CG. MPA'!D115="CONFINADO",0.71*4,0)</f>
        <v>2.84</v>
      </c>
      <c r="H115" s="576">
        <f>('RMCV.PA'!O115+(2*0.6*$H$18*G115))</f>
        <v>14313.599999999999</v>
      </c>
      <c r="I115" s="60">
        <f t="shared" si="47"/>
        <v>0.8</v>
      </c>
      <c r="J115" s="576">
        <f t="shared" si="48"/>
        <v>-38169.599999999999</v>
      </c>
      <c r="K115" s="918">
        <f>ABS('ELEM. MECA.'!Q242)</f>
        <v>0</v>
      </c>
      <c r="L115" s="936">
        <f t="shared" si="49"/>
        <v>-38169.599999999999</v>
      </c>
      <c r="M115" s="705" t="str">
        <f>IF('CG. MPA'!E115="CONCRETO","F/DISEÑO",IF(K115&gt;L115,"NO PASA","PASA"))</f>
        <v>NO PASA</v>
      </c>
      <c r="N115" s="44">
        <f>IF('RMCV.PA'!C115*6&gt;80,80,'RMCV.PA'!C115*6)</f>
        <v>0</v>
      </c>
      <c r="O115" s="44" t="e">
        <f t="shared" si="50"/>
        <v>#DIV/0!</v>
      </c>
      <c r="P115" s="456" t="e">
        <f t="shared" si="51"/>
        <v>#DIV/0!</v>
      </c>
      <c r="Q115" s="351" t="e">
        <f>IF(P115=0,G115,$Q$25)/('RMCV.PA'!C115*(B115/(P115+1)))*4200/$Q$26</f>
        <v>#DIV/0!</v>
      </c>
      <c r="R115" s="425" t="e">
        <f t="shared" si="52"/>
        <v>#DIV/0!</v>
      </c>
      <c r="S115" s="44">
        <f t="shared" si="32"/>
        <v>40</v>
      </c>
      <c r="T115" s="44" t="e">
        <f>(4200/$T$26)*$T$25/('RMCV.PA'!C115*S115)</f>
        <v>#DIV/0!</v>
      </c>
      <c r="U115" s="425" t="e">
        <f t="shared" si="53"/>
        <v>#DIV/0!</v>
      </c>
      <c r="V115" s="425">
        <f t="shared" si="54"/>
        <v>0</v>
      </c>
      <c r="W115" s="44" t="e">
        <f t="shared" si="55"/>
        <v>#DIV/0!</v>
      </c>
      <c r="X115" s="44" t="e">
        <f>W115/'RMCV.PA'!C115*4200/FY+T115</f>
        <v>#DIV/0!</v>
      </c>
      <c r="Y115" s="425" t="e">
        <f>IF('CG. MPA'!E115="CONCRETO","F/DISEÑO",IF(FY=4200,IF(X115&gt;0.002,"BIEN","MAL"),(IF(X115&gt;4200*0.002/FY,"BIEN","MAL"))))</f>
        <v>#DIV/0!</v>
      </c>
    </row>
    <row r="116" spans="1:25">
      <c r="A116" s="684">
        <f>'CG. MPA'!A116</f>
        <v>37</v>
      </c>
      <c r="B116" s="579">
        <f>'RMCV.PA'!B116</f>
        <v>0</v>
      </c>
      <c r="C116" s="579">
        <f t="shared" si="45"/>
        <v>-2</v>
      </c>
      <c r="D116" s="579">
        <f t="shared" si="46"/>
        <v>-4</v>
      </c>
      <c r="E116" s="576">
        <f>'RMCS.PA'!M115</f>
        <v>0</v>
      </c>
      <c r="F116" s="576">
        <f>'RMCV.PA'!N116*1.1/1.4</f>
        <v>0</v>
      </c>
      <c r="G116" s="100">
        <f>IF('CG. MPA'!D116="CONFINADO",0.71*4,0)</f>
        <v>2.84</v>
      </c>
      <c r="H116" s="576">
        <f>('RMCV.PA'!O116+(2*0.6*$H$18*G116))</f>
        <v>14313.599999999999</v>
      </c>
      <c r="I116" s="60">
        <f t="shared" si="47"/>
        <v>0.8</v>
      </c>
      <c r="J116" s="576">
        <f t="shared" si="48"/>
        <v>-38169.599999999999</v>
      </c>
      <c r="K116" s="918">
        <f>ABS('ELEM. MECA.'!Q243)</f>
        <v>0</v>
      </c>
      <c r="L116" s="936">
        <f t="shared" si="49"/>
        <v>-38169.599999999999</v>
      </c>
      <c r="M116" s="705" t="str">
        <f>IF('CG. MPA'!E116="CONCRETO","F/DISEÑO",IF(K116&gt;L116,"NO PASA","PASA"))</f>
        <v>NO PASA</v>
      </c>
      <c r="N116" s="44">
        <f>IF('RMCV.PA'!C116*6&gt;80,80,'RMCV.PA'!C116*6)</f>
        <v>0</v>
      </c>
      <c r="O116" s="44" t="e">
        <f t="shared" si="50"/>
        <v>#DIV/0!</v>
      </c>
      <c r="P116" s="456" t="e">
        <f t="shared" si="51"/>
        <v>#DIV/0!</v>
      </c>
      <c r="Q116" s="351" t="e">
        <f>IF(P116=0,G116,$Q$25)/('RMCV.PA'!C116*(B116/(P116+1)))*4200/$Q$26</f>
        <v>#DIV/0!</v>
      </c>
      <c r="R116" s="425" t="e">
        <f t="shared" si="52"/>
        <v>#DIV/0!</v>
      </c>
      <c r="S116" s="44">
        <f t="shared" si="32"/>
        <v>40</v>
      </c>
      <c r="T116" s="44" t="e">
        <f>(4200/$T$26)*$T$25/('RMCV.PA'!C116*S116)</f>
        <v>#DIV/0!</v>
      </c>
      <c r="U116" s="425" t="e">
        <f t="shared" si="53"/>
        <v>#DIV/0!</v>
      </c>
      <c r="V116" s="425">
        <f t="shared" si="54"/>
        <v>0</v>
      </c>
      <c r="W116" s="44" t="e">
        <f t="shared" si="55"/>
        <v>#DIV/0!</v>
      </c>
      <c r="X116" s="44" t="e">
        <f>W116/'RMCV.PA'!C116*4200/FY+T116</f>
        <v>#DIV/0!</v>
      </c>
      <c r="Y116" s="425" t="e">
        <f>IF('CG. MPA'!E116="CONCRETO","F/DISEÑO",IF(FY=4200,IF(X116&gt;0.002,"BIEN","MAL"),(IF(X116&gt;4200*0.002/FY,"BIEN","MAL"))))</f>
        <v>#DIV/0!</v>
      </c>
    </row>
    <row r="117" spans="1:25">
      <c r="A117" s="684">
        <f>'CG. MPA'!A117</f>
        <v>38</v>
      </c>
      <c r="B117" s="579">
        <f>'RMCV.PA'!B117</f>
        <v>0</v>
      </c>
      <c r="C117" s="579">
        <f t="shared" si="45"/>
        <v>-2</v>
      </c>
      <c r="D117" s="579">
        <f t="shared" si="46"/>
        <v>-4</v>
      </c>
      <c r="E117" s="576">
        <f>'RMCS.PA'!M116</f>
        <v>0</v>
      </c>
      <c r="F117" s="576">
        <f>'RMCV.PA'!N117*1.1/1.4</f>
        <v>0</v>
      </c>
      <c r="G117" s="100">
        <f>IF('CG. MPA'!D117="CONFINADO",0.71*4,0)</f>
        <v>2.84</v>
      </c>
      <c r="H117" s="576">
        <f>('RMCV.PA'!O117+(2*0.6*$H$18*G117))</f>
        <v>14313.599999999999</v>
      </c>
      <c r="I117" s="60">
        <f t="shared" si="47"/>
        <v>0.8</v>
      </c>
      <c r="J117" s="576">
        <f t="shared" si="48"/>
        <v>-38169.599999999999</v>
      </c>
      <c r="K117" s="918">
        <f>ABS('ELEM. MECA.'!Q244)</f>
        <v>0</v>
      </c>
      <c r="L117" s="936">
        <f t="shared" si="49"/>
        <v>-38169.599999999999</v>
      </c>
      <c r="M117" s="705" t="str">
        <f>IF('CG. MPA'!E117="CONCRETO","F/DISEÑO",IF(K117&gt;L117,"NO PASA","PASA"))</f>
        <v>NO PASA</v>
      </c>
      <c r="N117" s="44">
        <f>IF('RMCV.PA'!C117*6&gt;80,80,'RMCV.PA'!C117*6)</f>
        <v>0</v>
      </c>
      <c r="O117" s="44" t="e">
        <f t="shared" si="50"/>
        <v>#DIV/0!</v>
      </c>
      <c r="P117" s="456" t="e">
        <f t="shared" si="51"/>
        <v>#DIV/0!</v>
      </c>
      <c r="Q117" s="351" t="e">
        <f>IF(P117=0,G117,$Q$25)/('RMCV.PA'!C117*(B117/(P117+1)))*4200/$Q$26</f>
        <v>#DIV/0!</v>
      </c>
      <c r="R117" s="425" t="e">
        <f t="shared" si="52"/>
        <v>#DIV/0!</v>
      </c>
      <c r="S117" s="44">
        <f t="shared" si="32"/>
        <v>40</v>
      </c>
      <c r="T117" s="44" t="e">
        <f>(4200/$T$26)*$T$25/('RMCV.PA'!C117*S117)</f>
        <v>#DIV/0!</v>
      </c>
      <c r="U117" s="425" t="e">
        <f t="shared" si="53"/>
        <v>#DIV/0!</v>
      </c>
      <c r="V117" s="425">
        <f t="shared" si="54"/>
        <v>0</v>
      </c>
      <c r="W117" s="44" t="e">
        <f t="shared" si="55"/>
        <v>#DIV/0!</v>
      </c>
      <c r="X117" s="44" t="e">
        <f>W117/'RMCV.PA'!C117*4200/FY+T117</f>
        <v>#DIV/0!</v>
      </c>
      <c r="Y117" s="425" t="e">
        <f>IF('CG. MPA'!E117="CONCRETO","F/DISEÑO",IF(FY=4200,IF(X117&gt;0.002,"BIEN","MAL"),(IF(X117&gt;4200*0.002/FY,"BIEN","MAL"))))</f>
        <v>#DIV/0!</v>
      </c>
    </row>
    <row r="118" spans="1:25">
      <c r="A118" s="684">
        <f>'CG. MPA'!A118</f>
        <v>39</v>
      </c>
      <c r="B118" s="579">
        <f>'RMCV.PA'!B118</f>
        <v>0</v>
      </c>
      <c r="C118" s="579">
        <f t="shared" si="45"/>
        <v>-2</v>
      </c>
      <c r="D118" s="579">
        <f t="shared" si="46"/>
        <v>-4</v>
      </c>
      <c r="E118" s="576">
        <f>'RMCS.PA'!M117</f>
        <v>0</v>
      </c>
      <c r="F118" s="576">
        <f>'RMCV.PA'!N118*1.1/1.4</f>
        <v>0</v>
      </c>
      <c r="G118" s="100">
        <f>IF('CG. MPA'!D118="CONFINADO",0.71*4,0)</f>
        <v>2.84</v>
      </c>
      <c r="H118" s="576">
        <f>('RMCV.PA'!O118+(2*0.6*$H$18*G118))</f>
        <v>14313.599999999999</v>
      </c>
      <c r="I118" s="60">
        <f t="shared" si="47"/>
        <v>0.8</v>
      </c>
      <c r="J118" s="576">
        <f t="shared" si="48"/>
        <v>-38169.599999999999</v>
      </c>
      <c r="K118" s="918">
        <f>ABS('ELEM. MECA.'!Q245)</f>
        <v>0</v>
      </c>
      <c r="L118" s="936">
        <f t="shared" si="49"/>
        <v>-38169.599999999999</v>
      </c>
      <c r="M118" s="705" t="str">
        <f>IF('CG. MPA'!E118="CONCRETO","F/DISEÑO",IF(K118&gt;L118,"NO PASA","PASA"))</f>
        <v>NO PASA</v>
      </c>
      <c r="N118" s="44">
        <f>IF('RMCV.PA'!C118*6&gt;80,80,'RMCV.PA'!C118*6)</f>
        <v>0</v>
      </c>
      <c r="O118" s="44" t="e">
        <f t="shared" si="50"/>
        <v>#DIV/0!</v>
      </c>
      <c r="P118" s="456" t="e">
        <f t="shared" si="51"/>
        <v>#DIV/0!</v>
      </c>
      <c r="Q118" s="351" t="e">
        <f>IF(P118=0,G118,$Q$25)/('RMCV.PA'!C118*(B118/(P118+1)))*4200/$Q$26</f>
        <v>#DIV/0!</v>
      </c>
      <c r="R118" s="425" t="e">
        <f t="shared" si="52"/>
        <v>#DIV/0!</v>
      </c>
      <c r="S118" s="44">
        <f t="shared" si="32"/>
        <v>40</v>
      </c>
      <c r="T118" s="44" t="e">
        <f>(4200/$T$26)*$T$25/('RMCV.PA'!C118*S118)</f>
        <v>#DIV/0!</v>
      </c>
      <c r="U118" s="425" t="e">
        <f t="shared" si="53"/>
        <v>#DIV/0!</v>
      </c>
      <c r="V118" s="425">
        <f t="shared" si="54"/>
        <v>0</v>
      </c>
      <c r="W118" s="44" t="e">
        <f t="shared" si="55"/>
        <v>#DIV/0!</v>
      </c>
      <c r="X118" s="44" t="e">
        <f>W118/'RMCV.PA'!C118*4200/FY+T118</f>
        <v>#DIV/0!</v>
      </c>
      <c r="Y118" s="425" t="e">
        <f>IF('CG. MPA'!E118="CONCRETO","F/DISEÑO",IF(FY=4200,IF(X118&gt;0.002,"BIEN","MAL"),(IF(X118&gt;4200*0.002/FY,"BIEN","MAL"))))</f>
        <v>#DIV/0!</v>
      </c>
    </row>
    <row r="119" spans="1:25">
      <c r="A119" s="684">
        <f>'CG. MPA'!A119</f>
        <v>40</v>
      </c>
      <c r="B119" s="579">
        <f>'RMCV.PA'!B119</f>
        <v>0</v>
      </c>
      <c r="C119" s="579">
        <f t="shared" si="45"/>
        <v>-2</v>
      </c>
      <c r="D119" s="579">
        <f t="shared" si="46"/>
        <v>-4</v>
      </c>
      <c r="E119" s="576">
        <f>'RMCS.PA'!M118</f>
        <v>0</v>
      </c>
      <c r="F119" s="576">
        <f>'RMCV.PA'!N119*1.1/1.4</f>
        <v>0</v>
      </c>
      <c r="G119" s="100">
        <f>IF('CG. MPA'!D119="CONFINADO",0.71*4,0)</f>
        <v>2.84</v>
      </c>
      <c r="H119" s="576">
        <f>('RMCV.PA'!O119+(2*0.6*$H$18*G119))</f>
        <v>14313.599999999999</v>
      </c>
      <c r="I119" s="60">
        <f t="shared" si="47"/>
        <v>0.8</v>
      </c>
      <c r="J119" s="576">
        <f t="shared" si="48"/>
        <v>-38169.599999999999</v>
      </c>
      <c r="K119" s="918">
        <f>ABS('ELEM. MECA.'!Q246)</f>
        <v>0</v>
      </c>
      <c r="L119" s="936">
        <f t="shared" si="49"/>
        <v>-38169.599999999999</v>
      </c>
      <c r="M119" s="705" t="str">
        <f>IF('CG. MPA'!E119="CONCRETO","F/DISEÑO",IF(K119&gt;L119,"NO PASA","PASA"))</f>
        <v>NO PASA</v>
      </c>
      <c r="N119" s="44">
        <f>IF('RMCV.PA'!C119*6&gt;80,80,'RMCV.PA'!C119*6)</f>
        <v>0</v>
      </c>
      <c r="O119" s="44" t="e">
        <f t="shared" si="50"/>
        <v>#DIV/0!</v>
      </c>
      <c r="P119" s="456" t="e">
        <f t="shared" si="51"/>
        <v>#DIV/0!</v>
      </c>
      <c r="Q119" s="351" t="e">
        <f>IF(P119=0,G119,$Q$25)/('RMCV.PA'!C119*(B119/(P119+1)))*4200/$Q$26</f>
        <v>#DIV/0!</v>
      </c>
      <c r="R119" s="425" t="e">
        <f t="shared" si="52"/>
        <v>#DIV/0!</v>
      </c>
      <c r="S119" s="44">
        <f t="shared" si="32"/>
        <v>40</v>
      </c>
      <c r="T119" s="44" t="e">
        <f>(4200/$T$26)*$T$25/('RMCV.PA'!C119*S119)</f>
        <v>#DIV/0!</v>
      </c>
      <c r="U119" s="425" t="e">
        <f t="shared" si="53"/>
        <v>#DIV/0!</v>
      </c>
      <c r="V119" s="425">
        <f t="shared" si="54"/>
        <v>0</v>
      </c>
      <c r="W119" s="44" t="e">
        <f t="shared" si="55"/>
        <v>#DIV/0!</v>
      </c>
      <c r="X119" s="44" t="e">
        <f>W119/'RMCV.PA'!C119*4200/FY+T119</f>
        <v>#DIV/0!</v>
      </c>
      <c r="Y119" s="425" t="e">
        <f>IF('CG. MPA'!E119="CONCRETO","F/DISEÑO",IF(FY=4200,IF(X119&gt;0.002,"BIEN","MAL"),(IF(X119&gt;4200*0.002/FY,"BIEN","MAL"))))</f>
        <v>#DIV/0!</v>
      </c>
    </row>
    <row r="120" spans="1:25">
      <c r="A120" s="684">
        <f>'CG. MPA'!A120</f>
        <v>41</v>
      </c>
      <c r="B120" s="579">
        <f>'RMCV.PA'!B120</f>
        <v>0</v>
      </c>
      <c r="C120" s="579">
        <f t="shared" si="45"/>
        <v>-2</v>
      </c>
      <c r="D120" s="579">
        <f t="shared" si="46"/>
        <v>-4</v>
      </c>
      <c r="E120" s="576">
        <f>'RMCS.PA'!M119</f>
        <v>0</v>
      </c>
      <c r="F120" s="576">
        <f>'RMCV.PA'!N120*1.1/1.4</f>
        <v>0</v>
      </c>
      <c r="G120" s="100">
        <f>IF('CG. MPA'!D120="CONFINADO",0.71*4,0)</f>
        <v>2.84</v>
      </c>
      <c r="H120" s="576">
        <f>('RMCV.PA'!O120+(2*0.6*$H$18*G120))</f>
        <v>14313.599999999999</v>
      </c>
      <c r="I120" s="60">
        <f t="shared" si="47"/>
        <v>0.8</v>
      </c>
      <c r="J120" s="576">
        <f t="shared" si="48"/>
        <v>-38169.599999999999</v>
      </c>
      <c r="K120" s="918">
        <f>ABS('ELEM. MECA.'!Q247)</f>
        <v>0</v>
      </c>
      <c r="L120" s="936">
        <f t="shared" si="49"/>
        <v>-38169.599999999999</v>
      </c>
      <c r="M120" s="705" t="str">
        <f>IF('CG. MPA'!E120="CONCRETO","F/DISEÑO",IF(K120&gt;L120,"NO PASA","PASA"))</f>
        <v>NO PASA</v>
      </c>
      <c r="N120" s="44">
        <f>IF('RMCV.PA'!C120*6&gt;80,80,'RMCV.PA'!C120*6)</f>
        <v>0</v>
      </c>
      <c r="O120" s="44" t="e">
        <f t="shared" si="50"/>
        <v>#DIV/0!</v>
      </c>
      <c r="P120" s="456" t="e">
        <f t="shared" si="51"/>
        <v>#DIV/0!</v>
      </c>
      <c r="Q120" s="351" t="e">
        <f>IF(P120=0,G120,$Q$25)/('RMCV.PA'!C120*(B120/(P120+1)))*4200/$Q$26</f>
        <v>#DIV/0!</v>
      </c>
      <c r="R120" s="425" t="e">
        <f t="shared" si="52"/>
        <v>#DIV/0!</v>
      </c>
      <c r="S120" s="44">
        <f t="shared" si="32"/>
        <v>40</v>
      </c>
      <c r="T120" s="44" t="e">
        <f>(4200/$T$26)*$T$25/('RMCV.PA'!C120*S120)</f>
        <v>#DIV/0!</v>
      </c>
      <c r="U120" s="425" t="e">
        <f t="shared" si="53"/>
        <v>#DIV/0!</v>
      </c>
      <c r="V120" s="425">
        <f t="shared" si="54"/>
        <v>0</v>
      </c>
      <c r="W120" s="44" t="e">
        <f t="shared" si="55"/>
        <v>#DIV/0!</v>
      </c>
      <c r="X120" s="44" t="e">
        <f>W120/'RMCV.PA'!C120*4200/FY+T120</f>
        <v>#DIV/0!</v>
      </c>
      <c r="Y120" s="425" t="e">
        <f>IF('CG. MPA'!E120="CONCRETO","F/DISEÑO",IF(FY=4200,IF(X120&gt;0.002,"BIEN","MAL"),(IF(X120&gt;4200*0.002/FY,"BIEN","MAL"))))</f>
        <v>#DIV/0!</v>
      </c>
    </row>
    <row r="121" spans="1:25">
      <c r="A121" s="684">
        <f>'CG. MPA'!A121</f>
        <v>42</v>
      </c>
      <c r="B121" s="579">
        <f>'RMCV.PA'!B121</f>
        <v>0</v>
      </c>
      <c r="C121" s="579">
        <f t="shared" si="45"/>
        <v>-2</v>
      </c>
      <c r="D121" s="579">
        <f t="shared" si="46"/>
        <v>-4</v>
      </c>
      <c r="E121" s="576">
        <f>'RMCS.PA'!M120</f>
        <v>0</v>
      </c>
      <c r="F121" s="576">
        <f>'RMCV.PA'!N121*1.1/1.4</f>
        <v>0</v>
      </c>
      <c r="G121" s="100">
        <f>IF('CG. MPA'!D121="CONFINADO",0.71*4,0)</f>
        <v>2.84</v>
      </c>
      <c r="H121" s="576">
        <f>('RMCV.PA'!O121+(2*0.6*$H$18*G121))</f>
        <v>14313.599999999999</v>
      </c>
      <c r="I121" s="60">
        <f t="shared" si="47"/>
        <v>0.8</v>
      </c>
      <c r="J121" s="576">
        <f t="shared" si="48"/>
        <v>-38169.599999999999</v>
      </c>
      <c r="K121" s="918">
        <f>ABS('ELEM. MECA.'!Q248)</f>
        <v>0</v>
      </c>
      <c r="L121" s="936">
        <f t="shared" si="49"/>
        <v>-38169.599999999999</v>
      </c>
      <c r="M121" s="705" t="str">
        <f>IF('CG. MPA'!E121="CONCRETO","F/DISEÑO",IF(K121&gt;L121,"NO PASA","PASA"))</f>
        <v>NO PASA</v>
      </c>
      <c r="N121" s="44">
        <f>IF('RMCV.PA'!C121*6&gt;80,80,'RMCV.PA'!C121*6)</f>
        <v>0</v>
      </c>
      <c r="O121" s="44" t="e">
        <f t="shared" si="50"/>
        <v>#DIV/0!</v>
      </c>
      <c r="P121" s="456" t="e">
        <f t="shared" si="51"/>
        <v>#DIV/0!</v>
      </c>
      <c r="Q121" s="351" t="e">
        <f>IF(P121=0,G121,$Q$25)/('RMCV.PA'!C121*(B121/(P121+1)))*4200/$Q$26</f>
        <v>#DIV/0!</v>
      </c>
      <c r="R121" s="425" t="e">
        <f t="shared" si="52"/>
        <v>#DIV/0!</v>
      </c>
      <c r="S121" s="44">
        <f t="shared" si="32"/>
        <v>40</v>
      </c>
      <c r="T121" s="44" t="e">
        <f>(4200/$T$26)*$T$25/('RMCV.PA'!C121*S121)</f>
        <v>#DIV/0!</v>
      </c>
      <c r="U121" s="425" t="e">
        <f t="shared" si="53"/>
        <v>#DIV/0!</v>
      </c>
      <c r="V121" s="425">
        <f t="shared" si="54"/>
        <v>0</v>
      </c>
      <c r="W121" s="44" t="e">
        <f t="shared" si="55"/>
        <v>#DIV/0!</v>
      </c>
      <c r="X121" s="44" t="e">
        <f>W121/'RMCV.PA'!C121*4200/FY+T121</f>
        <v>#DIV/0!</v>
      </c>
      <c r="Y121" s="425" t="e">
        <f>IF('CG. MPA'!E121="CONCRETO","F/DISEÑO",IF(FY=4200,IF(X121&gt;0.002,"BIEN","MAL"),(IF(X121&gt;4200*0.002/FY,"BIEN","MAL"))))</f>
        <v>#DIV/0!</v>
      </c>
    </row>
    <row r="122" spans="1:25">
      <c r="A122" s="684">
        <f>'CG. MPA'!A122</f>
        <v>43</v>
      </c>
      <c r="B122" s="579">
        <f>'RMCV.PA'!B122</f>
        <v>0</v>
      </c>
      <c r="C122" s="579">
        <f t="shared" si="45"/>
        <v>-2</v>
      </c>
      <c r="D122" s="579">
        <f t="shared" si="46"/>
        <v>-4</v>
      </c>
      <c r="E122" s="576">
        <f>'RMCS.PA'!M121</f>
        <v>0</v>
      </c>
      <c r="F122" s="576">
        <f>'RMCV.PA'!N122*1.1/1.4</f>
        <v>0</v>
      </c>
      <c r="G122" s="100">
        <f>IF('CG. MPA'!D122="CONFINADO",0.71*4,0)</f>
        <v>2.84</v>
      </c>
      <c r="H122" s="576">
        <f>('RMCV.PA'!O122+(2*0.6*$H$18*G122))</f>
        <v>14313.599999999999</v>
      </c>
      <c r="I122" s="60">
        <f t="shared" si="47"/>
        <v>0.8</v>
      </c>
      <c r="J122" s="576">
        <f t="shared" si="48"/>
        <v>-38169.599999999999</v>
      </c>
      <c r="K122" s="918">
        <f>ABS('ELEM. MECA.'!Q249)</f>
        <v>0</v>
      </c>
      <c r="L122" s="936">
        <f t="shared" si="49"/>
        <v>-38169.599999999999</v>
      </c>
      <c r="M122" s="705" t="str">
        <f>IF('CG. MPA'!E122="CONCRETO","F/DISEÑO",IF(K122&gt;L122,"NO PASA","PASA"))</f>
        <v>NO PASA</v>
      </c>
      <c r="N122" s="44">
        <f>IF('RMCV.PA'!C122*6&gt;80,80,'RMCV.PA'!C122*6)</f>
        <v>0</v>
      </c>
      <c r="O122" s="44" t="e">
        <f t="shared" si="50"/>
        <v>#DIV/0!</v>
      </c>
      <c r="P122" s="456" t="e">
        <f t="shared" si="51"/>
        <v>#DIV/0!</v>
      </c>
      <c r="Q122" s="351" t="e">
        <f>IF(P122=0,G122,$Q$25)/('RMCV.PA'!C122*(B122/(P122+1)))*4200/$Q$26</f>
        <v>#DIV/0!</v>
      </c>
      <c r="R122" s="425" t="e">
        <f t="shared" si="52"/>
        <v>#DIV/0!</v>
      </c>
      <c r="S122" s="44">
        <f t="shared" si="32"/>
        <v>40</v>
      </c>
      <c r="T122" s="44" t="e">
        <f>(4200/$T$26)*$T$25/('RMCV.PA'!C122*S122)</f>
        <v>#DIV/0!</v>
      </c>
      <c r="U122" s="425" t="e">
        <f t="shared" si="53"/>
        <v>#DIV/0!</v>
      </c>
      <c r="V122" s="425">
        <f t="shared" si="54"/>
        <v>0</v>
      </c>
      <c r="W122" s="44" t="e">
        <f t="shared" si="55"/>
        <v>#DIV/0!</v>
      </c>
      <c r="X122" s="44" t="e">
        <f>W122/'RMCV.PA'!C122*4200/FY+T122</f>
        <v>#DIV/0!</v>
      </c>
      <c r="Y122" s="425" t="e">
        <f>IF('CG. MPA'!E122="CONCRETO","F/DISEÑO",IF(FY=4200,IF(X122&gt;0.002,"BIEN","MAL"),(IF(X122&gt;4200*0.002/FY,"BIEN","MAL"))))</f>
        <v>#DIV/0!</v>
      </c>
    </row>
    <row r="123" spans="1:25">
      <c r="A123" s="684">
        <f>'CG. MPA'!A123</f>
        <v>44</v>
      </c>
      <c r="B123" s="579">
        <f>'RMCV.PA'!B123</f>
        <v>0</v>
      </c>
      <c r="C123" s="579">
        <f t="shared" si="45"/>
        <v>-2</v>
      </c>
      <c r="D123" s="579">
        <f t="shared" si="46"/>
        <v>-4</v>
      </c>
      <c r="E123" s="576">
        <f>'RMCS.PA'!M122</f>
        <v>0</v>
      </c>
      <c r="F123" s="576">
        <f>'RMCV.PA'!N123*1.1/1.4</f>
        <v>0</v>
      </c>
      <c r="G123" s="100">
        <f>IF('CG. MPA'!D123="CONFINADO",0.71*4,0)</f>
        <v>2.84</v>
      </c>
      <c r="H123" s="576">
        <f>('RMCV.PA'!O123+(2*0.6*$H$18*G123))</f>
        <v>14313.599999999999</v>
      </c>
      <c r="I123" s="60">
        <f t="shared" si="47"/>
        <v>0.8</v>
      </c>
      <c r="J123" s="576">
        <f t="shared" si="48"/>
        <v>-38169.599999999999</v>
      </c>
      <c r="K123" s="918">
        <f>ABS('ELEM. MECA.'!Q250)</f>
        <v>0</v>
      </c>
      <c r="L123" s="936">
        <f t="shared" si="49"/>
        <v>-38169.599999999999</v>
      </c>
      <c r="M123" s="705" t="str">
        <f>IF('CG. MPA'!E123="CONCRETO","F/DISEÑO",IF(K123&gt;L123,"NO PASA","PASA"))</f>
        <v>NO PASA</v>
      </c>
      <c r="N123" s="44">
        <f>IF('RMCV.PA'!C123*6&gt;80,80,'RMCV.PA'!C123*6)</f>
        <v>0</v>
      </c>
      <c r="O123" s="44" t="e">
        <f t="shared" si="50"/>
        <v>#DIV/0!</v>
      </c>
      <c r="P123" s="456" t="e">
        <f t="shared" si="51"/>
        <v>#DIV/0!</v>
      </c>
      <c r="Q123" s="351" t="e">
        <f>IF(P123=0,G123,$Q$25)/('RMCV.PA'!C123*(B123/(P123+1)))*4200/$Q$26</f>
        <v>#DIV/0!</v>
      </c>
      <c r="R123" s="425" t="e">
        <f t="shared" si="52"/>
        <v>#DIV/0!</v>
      </c>
      <c r="S123" s="44">
        <f t="shared" si="32"/>
        <v>40</v>
      </c>
      <c r="T123" s="44" t="e">
        <f>(4200/$T$26)*$T$25/('RMCV.PA'!C123*S123)</f>
        <v>#DIV/0!</v>
      </c>
      <c r="U123" s="425" t="e">
        <f t="shared" si="53"/>
        <v>#DIV/0!</v>
      </c>
      <c r="V123" s="425">
        <f t="shared" si="54"/>
        <v>0</v>
      </c>
      <c r="W123" s="44" t="e">
        <f t="shared" si="55"/>
        <v>#DIV/0!</v>
      </c>
      <c r="X123" s="44" t="e">
        <f>W123/'RMCV.PA'!C123*4200/FY+T123</f>
        <v>#DIV/0!</v>
      </c>
      <c r="Y123" s="425" t="e">
        <f>IF('CG. MPA'!E123="CONCRETO","F/DISEÑO",IF(FY=4200,IF(X123&gt;0.002,"BIEN","MAL"),(IF(X123&gt;4200*0.002/FY,"BIEN","MAL"))))</f>
        <v>#DIV/0!</v>
      </c>
    </row>
    <row r="124" spans="1:25">
      <c r="A124" s="684">
        <f>'CG. MPA'!A124</f>
        <v>45</v>
      </c>
      <c r="B124" s="579">
        <f>'RMCV.PA'!B124</f>
        <v>0</v>
      </c>
      <c r="C124" s="579">
        <f t="shared" si="45"/>
        <v>-2</v>
      </c>
      <c r="D124" s="579">
        <f t="shared" si="46"/>
        <v>-4</v>
      </c>
      <c r="E124" s="576">
        <f>'RMCS.PA'!M123</f>
        <v>0</v>
      </c>
      <c r="F124" s="576">
        <f>'RMCV.PA'!N124*1.1/1.4</f>
        <v>0</v>
      </c>
      <c r="G124" s="100">
        <f>IF('CG. MPA'!D124="CONFINADO",0.71*4,0)</f>
        <v>2.84</v>
      </c>
      <c r="H124" s="576">
        <f>('RMCV.PA'!O124+(2*0.6*$H$18*G124))</f>
        <v>14313.599999999999</v>
      </c>
      <c r="I124" s="60">
        <f t="shared" si="47"/>
        <v>0.8</v>
      </c>
      <c r="J124" s="576">
        <f t="shared" si="48"/>
        <v>-38169.599999999999</v>
      </c>
      <c r="K124" s="918">
        <f>ABS('ELEM. MECA.'!Q251)</f>
        <v>0</v>
      </c>
      <c r="L124" s="936">
        <f t="shared" si="49"/>
        <v>-38169.599999999999</v>
      </c>
      <c r="M124" s="705" t="str">
        <f>IF('CG. MPA'!E124="CONCRETO","F/DISEÑO",IF(K124&gt;L124,"NO PASA","PASA"))</f>
        <v>NO PASA</v>
      </c>
      <c r="N124" s="44">
        <f>IF('RMCV.PA'!C124*6&gt;80,80,'RMCV.PA'!C124*6)</f>
        <v>0</v>
      </c>
      <c r="O124" s="44" t="e">
        <f t="shared" si="50"/>
        <v>#DIV/0!</v>
      </c>
      <c r="P124" s="456" t="e">
        <f t="shared" si="51"/>
        <v>#DIV/0!</v>
      </c>
      <c r="Q124" s="351" t="e">
        <f>IF(P124=0,G124,$Q$25)/('RMCV.PA'!C124*(B124/(P124+1)))*4200/$Q$26</f>
        <v>#DIV/0!</v>
      </c>
      <c r="R124" s="425" t="e">
        <f t="shared" si="52"/>
        <v>#DIV/0!</v>
      </c>
      <c r="S124" s="44">
        <f t="shared" si="32"/>
        <v>40</v>
      </c>
      <c r="T124" s="44" t="e">
        <f>(4200/$T$26)*$T$25/('RMCV.PA'!C124*S124)</f>
        <v>#DIV/0!</v>
      </c>
      <c r="U124" s="425" t="e">
        <f t="shared" si="53"/>
        <v>#DIV/0!</v>
      </c>
      <c r="V124" s="425">
        <f t="shared" si="54"/>
        <v>0</v>
      </c>
      <c r="W124" s="44" t="e">
        <f t="shared" si="55"/>
        <v>#DIV/0!</v>
      </c>
      <c r="X124" s="44" t="e">
        <f>W124/'RMCV.PA'!C124*4200/FY+T124</f>
        <v>#DIV/0!</v>
      </c>
      <c r="Y124" s="425" t="e">
        <f>IF('CG. MPA'!E124="CONCRETO","F/DISEÑO",IF(FY=4200,IF(X124&gt;0.002,"BIEN","MAL"),(IF(X124&gt;4200*0.002/FY,"BIEN","MAL"))))</f>
        <v>#DIV/0!</v>
      </c>
    </row>
    <row r="125" spans="1:25">
      <c r="A125" s="684">
        <f>'CG. MPA'!A125</f>
        <v>46</v>
      </c>
      <c r="B125" s="579">
        <f>'RMCV.PA'!B125</f>
        <v>0</v>
      </c>
      <c r="C125" s="579">
        <f t="shared" si="45"/>
        <v>-2</v>
      </c>
      <c r="D125" s="579">
        <f t="shared" si="46"/>
        <v>-4</v>
      </c>
      <c r="E125" s="576">
        <f>'RMCS.PA'!M124</f>
        <v>0</v>
      </c>
      <c r="F125" s="576">
        <f>'RMCV.PA'!N125*1.1/1.4</f>
        <v>0</v>
      </c>
      <c r="G125" s="100">
        <f>IF('CG. MPA'!D125="CONFINADO",0.71*4,0)</f>
        <v>2.84</v>
      </c>
      <c r="H125" s="576">
        <f>('RMCV.PA'!O125+(2*0.6*$H$18*G125))</f>
        <v>14313.599999999999</v>
      </c>
      <c r="I125" s="60">
        <f t="shared" si="47"/>
        <v>0.8</v>
      </c>
      <c r="J125" s="576">
        <f t="shared" si="48"/>
        <v>-38169.599999999999</v>
      </c>
      <c r="K125" s="918">
        <f>ABS('ELEM. MECA.'!Q252)</f>
        <v>0</v>
      </c>
      <c r="L125" s="936">
        <f t="shared" si="49"/>
        <v>-38169.599999999999</v>
      </c>
      <c r="M125" s="705" t="str">
        <f>IF('CG. MPA'!E125="CONCRETO","F/DISEÑO",IF(K125&gt;L125,"NO PASA","PASA"))</f>
        <v>NO PASA</v>
      </c>
      <c r="N125" s="44">
        <f>IF('RMCV.PA'!C125*6&gt;80,80,'RMCV.PA'!C125*6)</f>
        <v>0</v>
      </c>
      <c r="O125" s="44" t="e">
        <f t="shared" si="50"/>
        <v>#DIV/0!</v>
      </c>
      <c r="P125" s="456" t="e">
        <f t="shared" si="51"/>
        <v>#DIV/0!</v>
      </c>
      <c r="Q125" s="351" t="e">
        <f>IF(P125=0,G125,$Q$25)/('RMCV.PA'!C125*(B125/(P125+1)))*4200/$Q$26</f>
        <v>#DIV/0!</v>
      </c>
      <c r="R125" s="425" t="e">
        <f t="shared" si="52"/>
        <v>#DIV/0!</v>
      </c>
      <c r="S125" s="44">
        <f t="shared" si="32"/>
        <v>40</v>
      </c>
      <c r="T125" s="44" t="e">
        <f>(4200/$T$26)*$T$25/('RMCV.PA'!C125*S125)</f>
        <v>#DIV/0!</v>
      </c>
      <c r="U125" s="425" t="e">
        <f t="shared" si="53"/>
        <v>#DIV/0!</v>
      </c>
      <c r="V125" s="425">
        <f t="shared" si="54"/>
        <v>0</v>
      </c>
      <c r="W125" s="44" t="e">
        <f t="shared" si="55"/>
        <v>#DIV/0!</v>
      </c>
      <c r="X125" s="44" t="e">
        <f>W125/'RMCV.PA'!C125*4200/FY+T125</f>
        <v>#DIV/0!</v>
      </c>
      <c r="Y125" s="425" t="e">
        <f>IF('CG. MPA'!E125="CONCRETO","F/DISEÑO",IF(FY=4200,IF(X125&gt;0.002,"BIEN","MAL"),(IF(X125&gt;4200*0.002/FY,"BIEN","MAL"))))</f>
        <v>#DIV/0!</v>
      </c>
    </row>
    <row r="126" spans="1:25">
      <c r="A126" s="684">
        <f>'CG. MPA'!A126</f>
        <v>47</v>
      </c>
      <c r="B126" s="579">
        <f>'RMCV.PA'!B126</f>
        <v>0</v>
      </c>
      <c r="C126" s="579">
        <f t="shared" si="45"/>
        <v>-2</v>
      </c>
      <c r="D126" s="579">
        <f t="shared" si="46"/>
        <v>-4</v>
      </c>
      <c r="E126" s="576">
        <f>'RMCS.PA'!M125</f>
        <v>0</v>
      </c>
      <c r="F126" s="576">
        <f>'RMCV.PA'!N126*1.1/1.4</f>
        <v>0</v>
      </c>
      <c r="G126" s="100">
        <f>IF('CG. MPA'!D126="CONFINADO",0.71*4,0)</f>
        <v>2.84</v>
      </c>
      <c r="H126" s="576">
        <f>('RMCV.PA'!O126+(2*0.6*$H$18*G126))</f>
        <v>14313.599999999999</v>
      </c>
      <c r="I126" s="60">
        <f t="shared" si="47"/>
        <v>0.8</v>
      </c>
      <c r="J126" s="576">
        <f t="shared" si="48"/>
        <v>-38169.599999999999</v>
      </c>
      <c r="K126" s="918">
        <f>ABS('ELEM. MECA.'!Q253)</f>
        <v>0</v>
      </c>
      <c r="L126" s="936">
        <f t="shared" si="49"/>
        <v>-38169.599999999999</v>
      </c>
      <c r="M126" s="705" t="str">
        <f>IF('CG. MPA'!E126="CONCRETO","F/DISEÑO",IF(K126&gt;L126,"NO PASA","PASA"))</f>
        <v>NO PASA</v>
      </c>
      <c r="N126" s="44">
        <f>IF('RMCV.PA'!C126*6&gt;80,80,'RMCV.PA'!C126*6)</f>
        <v>0</v>
      </c>
      <c r="O126" s="44" t="e">
        <f t="shared" si="50"/>
        <v>#DIV/0!</v>
      </c>
      <c r="P126" s="456" t="e">
        <f t="shared" si="51"/>
        <v>#DIV/0!</v>
      </c>
      <c r="Q126" s="351" t="e">
        <f>IF(P126=0,G126,$Q$25)/('RMCV.PA'!C126*(B126/(P126+1)))*4200/$Q$26</f>
        <v>#DIV/0!</v>
      </c>
      <c r="R126" s="425" t="e">
        <f t="shared" si="52"/>
        <v>#DIV/0!</v>
      </c>
      <c r="S126" s="44">
        <f t="shared" si="32"/>
        <v>40</v>
      </c>
      <c r="T126" s="44" t="e">
        <f>(4200/$T$26)*$T$25/('RMCV.PA'!C126*S126)</f>
        <v>#DIV/0!</v>
      </c>
      <c r="U126" s="425" t="e">
        <f t="shared" si="53"/>
        <v>#DIV/0!</v>
      </c>
      <c r="V126" s="425">
        <f t="shared" si="54"/>
        <v>0</v>
      </c>
      <c r="W126" s="44" t="e">
        <f t="shared" si="55"/>
        <v>#DIV/0!</v>
      </c>
      <c r="X126" s="44" t="e">
        <f>W126/'RMCV.PA'!C126*4200/FY+T126</f>
        <v>#DIV/0!</v>
      </c>
      <c r="Y126" s="425" t="e">
        <f>IF('CG. MPA'!E126="CONCRETO","F/DISEÑO",IF(FY=4200,IF(X126&gt;0.002,"BIEN","MAL"),(IF(X126&gt;4200*0.002/FY,"BIEN","MAL"))))</f>
        <v>#DIV/0!</v>
      </c>
    </row>
    <row r="127" spans="1:25">
      <c r="A127" s="684">
        <f>'CG. MPA'!A127</f>
        <v>48</v>
      </c>
      <c r="B127" s="579">
        <f>'RMCV.PA'!B127</f>
        <v>0</v>
      </c>
      <c r="C127" s="579">
        <f t="shared" si="45"/>
        <v>-2</v>
      </c>
      <c r="D127" s="579">
        <f t="shared" si="46"/>
        <v>-4</v>
      </c>
      <c r="E127" s="576">
        <f>'RMCS.PA'!M126</f>
        <v>0</v>
      </c>
      <c r="F127" s="576">
        <f>'RMCV.PA'!N127*1.1/1.4</f>
        <v>0</v>
      </c>
      <c r="G127" s="100">
        <f>IF('CG. MPA'!D127="CONFINADO",0.71*4,0)</f>
        <v>2.84</v>
      </c>
      <c r="H127" s="576">
        <f>('RMCV.PA'!O127+(2*0.6*$H$18*G127))</f>
        <v>14313.599999999999</v>
      </c>
      <c r="I127" s="60">
        <f t="shared" si="47"/>
        <v>0.8</v>
      </c>
      <c r="J127" s="576">
        <f t="shared" si="48"/>
        <v>-38169.599999999999</v>
      </c>
      <c r="K127" s="918">
        <f>ABS('ELEM. MECA.'!Q254)</f>
        <v>0</v>
      </c>
      <c r="L127" s="936">
        <f t="shared" si="49"/>
        <v>-38169.599999999999</v>
      </c>
      <c r="M127" s="705" t="str">
        <f>IF('CG. MPA'!E127="CONCRETO","F/DISEÑO",IF(K127&gt;L127,"NO PASA","PASA"))</f>
        <v>NO PASA</v>
      </c>
      <c r="N127" s="44">
        <f>IF('RMCV.PA'!C127*6&gt;80,80,'RMCV.PA'!C127*6)</f>
        <v>0</v>
      </c>
      <c r="O127" s="44" t="e">
        <f t="shared" si="50"/>
        <v>#DIV/0!</v>
      </c>
      <c r="P127" s="456" t="e">
        <f t="shared" si="51"/>
        <v>#DIV/0!</v>
      </c>
      <c r="Q127" s="351" t="e">
        <f>IF(P127=0,G127,$Q$25)/('RMCV.PA'!C127*(B127/(P127+1)))*4200/$Q$26</f>
        <v>#DIV/0!</v>
      </c>
      <c r="R127" s="425" t="e">
        <f t="shared" si="52"/>
        <v>#DIV/0!</v>
      </c>
      <c r="S127" s="44">
        <f t="shared" si="32"/>
        <v>40</v>
      </c>
      <c r="T127" s="44" t="e">
        <f>(4200/$T$26)*$T$25/('RMCV.PA'!C127*S127)</f>
        <v>#DIV/0!</v>
      </c>
      <c r="U127" s="425" t="e">
        <f t="shared" si="53"/>
        <v>#DIV/0!</v>
      </c>
      <c r="V127" s="425">
        <f t="shared" si="54"/>
        <v>0</v>
      </c>
      <c r="W127" s="44" t="e">
        <f t="shared" si="55"/>
        <v>#DIV/0!</v>
      </c>
      <c r="X127" s="44" t="e">
        <f>W127/'RMCV.PA'!C127*4200/FY+T127</f>
        <v>#DIV/0!</v>
      </c>
      <c r="Y127" s="425" t="e">
        <f>IF('CG. MPA'!E127="CONCRETO","F/DISEÑO",IF(FY=4200,IF(X127&gt;0.002,"BIEN","MAL"),(IF(X127&gt;4200*0.002/FY,"BIEN","MAL"))))</f>
        <v>#DIV/0!</v>
      </c>
    </row>
    <row r="128" spans="1:25">
      <c r="A128" s="684">
        <f>'CG. MPA'!A128</f>
        <v>49</v>
      </c>
      <c r="B128" s="579">
        <f>'RMCV.PA'!B128</f>
        <v>0</v>
      </c>
      <c r="C128" s="579">
        <f t="shared" si="45"/>
        <v>-2</v>
      </c>
      <c r="D128" s="579">
        <f t="shared" si="46"/>
        <v>-4</v>
      </c>
      <c r="E128" s="576">
        <f>'RMCS.PA'!M127</f>
        <v>0</v>
      </c>
      <c r="F128" s="576">
        <f>'RMCV.PA'!N128*1.1/1.4</f>
        <v>0</v>
      </c>
      <c r="G128" s="100">
        <f>IF('CG. MPA'!D128="CONFINADO",0.71*4,0)</f>
        <v>2.84</v>
      </c>
      <c r="H128" s="576">
        <f>('RMCV.PA'!O128+(2*0.6*$H$18*G128))</f>
        <v>14313.599999999999</v>
      </c>
      <c r="I128" s="60">
        <f t="shared" si="47"/>
        <v>0.8</v>
      </c>
      <c r="J128" s="576">
        <f t="shared" si="48"/>
        <v>-38169.599999999999</v>
      </c>
      <c r="K128" s="918">
        <f>ABS('ELEM. MECA.'!Q255)</f>
        <v>0</v>
      </c>
      <c r="L128" s="936">
        <f t="shared" si="49"/>
        <v>-38169.599999999999</v>
      </c>
      <c r="M128" s="705" t="str">
        <f>IF('CG. MPA'!E128="CONCRETO","F/DISEÑO",IF(K128&gt;L128,"NO PASA","PASA"))</f>
        <v>NO PASA</v>
      </c>
      <c r="N128" s="44"/>
      <c r="O128" s="44"/>
      <c r="P128" s="44"/>
      <c r="Q128" s="44"/>
      <c r="R128" s="44"/>
      <c r="S128" s="44"/>
      <c r="T128" s="44"/>
      <c r="U128" s="44"/>
      <c r="V128" s="44"/>
      <c r="W128" s="44"/>
      <c r="X128" s="44"/>
      <c r="Y128" s="44"/>
    </row>
    <row r="129" spans="1:25" ht="15.75" thickBot="1">
      <c r="A129" s="686">
        <f>'CG. MPA'!A129</f>
        <v>50</v>
      </c>
      <c r="B129" s="706">
        <f>'RMCV.PA'!B129</f>
        <v>0</v>
      </c>
      <c r="C129" s="706">
        <f t="shared" si="45"/>
        <v>-2</v>
      </c>
      <c r="D129" s="706">
        <f t="shared" si="46"/>
        <v>-4</v>
      </c>
      <c r="E129" s="687">
        <f>'RMCS.PA'!M128</f>
        <v>0</v>
      </c>
      <c r="F129" s="687">
        <f>'RMCV.PA'!N129*1.1/1.4</f>
        <v>0</v>
      </c>
      <c r="G129" s="707">
        <f>IF('CG. MPA'!D129="CONFINADO",0.71*4,0)</f>
        <v>2.84</v>
      </c>
      <c r="H129" s="687">
        <f>('RMCV.PA'!O129+(2*0.6*$H$18*G129))</f>
        <v>14313.599999999999</v>
      </c>
      <c r="I129" s="708">
        <f t="shared" si="47"/>
        <v>0.8</v>
      </c>
      <c r="J129" s="687">
        <f t="shared" si="48"/>
        <v>-38169.599999999999</v>
      </c>
      <c r="K129" s="948">
        <f>ABS('ELEM. MECA.'!Q256)</f>
        <v>0</v>
      </c>
      <c r="L129" s="945">
        <f t="shared" si="49"/>
        <v>-38169.599999999999</v>
      </c>
      <c r="M129" s="709" t="str">
        <f>IF('CG. MPA'!E129="CONCRETO","F/DISEÑO",IF(K129&gt;L129,"NO PASA","PASA"))</f>
        <v>NO PASA</v>
      </c>
      <c r="N129" s="44"/>
      <c r="O129" s="44"/>
      <c r="P129" s="44"/>
      <c r="Q129" s="44"/>
      <c r="R129" s="44"/>
      <c r="S129" s="44"/>
      <c r="T129" s="44"/>
      <c r="U129" s="44"/>
      <c r="V129" s="44"/>
      <c r="W129" s="44"/>
      <c r="X129" s="44"/>
      <c r="Y129" s="44"/>
    </row>
    <row r="130" spans="1:25">
      <c r="N130" s="44"/>
      <c r="O130" s="44"/>
      <c r="P130" s="44"/>
      <c r="Q130" s="44"/>
      <c r="R130" s="44"/>
      <c r="S130" s="44"/>
      <c r="T130" s="44"/>
      <c r="U130" s="44"/>
      <c r="V130" s="44"/>
      <c r="W130" s="44"/>
      <c r="X130" s="44"/>
      <c r="Y130" s="44"/>
    </row>
    <row r="131" spans="1:25">
      <c r="N131" s="44"/>
      <c r="O131" s="44"/>
      <c r="P131" s="44"/>
      <c r="Q131" s="44"/>
      <c r="R131" s="44"/>
      <c r="S131" s="44"/>
      <c r="T131" s="44"/>
      <c r="U131" s="44"/>
      <c r="V131" s="44"/>
      <c r="W131" s="44"/>
      <c r="X131" s="44"/>
      <c r="Y131" s="44"/>
    </row>
    <row r="132" spans="1:25">
      <c r="N132" s="44"/>
      <c r="O132" s="44"/>
      <c r="P132" s="44"/>
      <c r="Q132" s="44"/>
      <c r="R132" s="44"/>
      <c r="S132" s="44"/>
      <c r="T132" s="44"/>
      <c r="U132" s="44"/>
      <c r="V132" s="44"/>
      <c r="W132" s="44"/>
      <c r="X132" s="44"/>
      <c r="Y132" s="44"/>
    </row>
  </sheetData>
  <mergeCells count="12">
    <mergeCell ref="X25:Y25"/>
    <mergeCell ref="X26:Y26"/>
    <mergeCell ref="T24:U24"/>
    <mergeCell ref="S23:U23"/>
    <mergeCell ref="A21:M22"/>
    <mergeCell ref="N21:Y22"/>
    <mergeCell ref="X23:Y23"/>
    <mergeCell ref="X24:Y24"/>
    <mergeCell ref="K23:L23"/>
    <mergeCell ref="A23:B23"/>
    <mergeCell ref="N23:R23"/>
    <mergeCell ref="Q24:R24"/>
  </mergeCells>
  <phoneticPr fontId="0" type="noConversion"/>
  <conditionalFormatting sqref="M1:M1048576">
    <cfRule type="containsText" dxfId="7" priority="1" operator="containsText" text="NO PASA">
      <formula>NOT(ISERROR(SEARCH("NO PASA",M1)))</formula>
    </cfRule>
    <cfRule type="containsText" dxfId="6" priority="2" operator="containsText" text="PASA">
      <formula>NOT(ISERROR(SEARCH("PASA",M1)))</formula>
    </cfRule>
  </conditionalFormatting>
  <pageMargins left="0.59055118110236227" right="0.39370078740157483" top="0.39370078740157483" bottom="0.39370078740157483" header="0" footer="0"/>
  <pageSetup scale="64" orientation="portrait" horizontalDpi="300" verticalDpi="300" r:id="rId1"/>
  <headerFooter alignWithMargins="0">
    <oddFooter>&amp;L&amp;"Arial,Normal"TEL (FAX) 01 951 51 4 28 30&amp;C____________________________________________________________________________________________________________________________________________
.&amp;R&amp;"Arial,Normal"CED. PROF. 1718634</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CEF75-C21A-41ED-910E-E75632F0F34E}">
  <sheetPr codeName="Hoja5">
    <tabColor rgb="FF92D050"/>
  </sheetPr>
  <dimension ref="A1:AA129"/>
  <sheetViews>
    <sheetView showGridLines="0" topLeftCell="A4" zoomScale="85" zoomScaleNormal="85" workbookViewId="0">
      <selection activeCell="A13" sqref="A13:W85"/>
    </sheetView>
  </sheetViews>
  <sheetFormatPr baseColWidth="10" defaultColWidth="11" defaultRowHeight="15"/>
  <cols>
    <col min="1" max="1" width="7.75" style="135" customWidth="1"/>
    <col min="2" max="2" width="7.125" style="135" customWidth="1"/>
    <col min="3" max="3" width="8.875" style="135" customWidth="1"/>
    <col min="4" max="4" width="6.75" style="135" customWidth="1"/>
    <col min="5" max="5" width="5.25" style="135" customWidth="1"/>
    <col min="6" max="6" width="6.75" style="135" bestFit="1" customWidth="1"/>
    <col min="7" max="7" width="9.625" style="135" customWidth="1"/>
    <col min="8" max="8" width="14.5" style="135" customWidth="1"/>
    <col min="9" max="9" width="7" style="135" customWidth="1"/>
    <col min="10" max="10" width="8.75" style="144" customWidth="1"/>
    <col min="11" max="11" width="10.375" style="149" bestFit="1" customWidth="1"/>
    <col min="12" max="12" width="10.25" style="144" customWidth="1"/>
    <col min="13" max="13" width="9.125" style="147" customWidth="1"/>
    <col min="14" max="14" width="13.375" style="144" bestFit="1" customWidth="1"/>
    <col min="15" max="15" width="9.875" style="144" customWidth="1"/>
    <col min="16" max="16" width="9.625" style="144" hidden="1" customWidth="1"/>
    <col min="17" max="17" width="8.875" style="144" hidden="1" customWidth="1"/>
    <col min="18" max="18" width="8.375" style="144" hidden="1" customWidth="1"/>
    <col min="19" max="19" width="13.375" style="135" bestFit="1" customWidth="1"/>
    <col min="20" max="21" width="9.875" style="135" customWidth="1"/>
    <col min="22" max="22" width="8.375" style="135" customWidth="1"/>
    <col min="23" max="23" width="8.75" style="135" customWidth="1"/>
    <col min="24" max="24" width="11" style="135" hidden="1" customWidth="1"/>
    <col min="25" max="26" width="11" style="135"/>
    <col min="27" max="27" width="26.375" style="135" customWidth="1"/>
    <col min="28" max="16384" width="11" style="135"/>
  </cols>
  <sheetData>
    <row r="1" spans="1:26" customFormat="1" ht="12.75">
      <c r="A1" s="518"/>
      <c r="B1" s="518"/>
      <c r="C1" s="518"/>
      <c r="D1" s="518"/>
      <c r="E1" s="518"/>
      <c r="F1" s="518"/>
      <c r="G1" s="518"/>
      <c r="H1" s="518"/>
      <c r="I1" s="518"/>
      <c r="J1" s="518"/>
      <c r="K1" s="518"/>
    </row>
    <row r="2" spans="1:26" customFormat="1" ht="12.75">
      <c r="A2" s="518"/>
      <c r="B2" s="518"/>
      <c r="C2" s="518"/>
      <c r="D2" s="518"/>
      <c r="E2" s="518"/>
      <c r="F2" s="518"/>
      <c r="G2" s="518"/>
      <c r="H2" s="518"/>
      <c r="I2" s="518"/>
      <c r="J2" s="518"/>
      <c r="K2" s="518"/>
    </row>
    <row r="3" spans="1:26" customFormat="1" ht="12.75">
      <c r="A3" s="518"/>
      <c r="B3" s="518"/>
      <c r="C3" s="518"/>
      <c r="D3" s="518"/>
      <c r="E3" s="518"/>
      <c r="F3" s="518"/>
      <c r="G3" s="518"/>
      <c r="H3" s="518"/>
      <c r="I3" s="518"/>
      <c r="J3" s="518"/>
      <c r="K3" s="518"/>
    </row>
    <row r="4" spans="1:26" customFormat="1" ht="12.75">
      <c r="A4" s="518"/>
      <c r="B4" s="518"/>
      <c r="C4" s="518"/>
      <c r="D4" s="518"/>
      <c r="E4" s="518"/>
      <c r="F4" s="518"/>
      <c r="G4" s="518"/>
      <c r="H4" s="518"/>
      <c r="I4" s="518"/>
      <c r="J4" s="518"/>
      <c r="K4" s="518"/>
    </row>
    <row r="5" spans="1:26" customFormat="1" ht="12.75">
      <c r="A5" s="518"/>
      <c r="B5" s="518"/>
      <c r="C5" s="518"/>
      <c r="D5" s="518"/>
      <c r="E5" s="518"/>
      <c r="F5" s="518"/>
      <c r="G5" s="518"/>
      <c r="H5" s="518"/>
      <c r="I5" s="518"/>
      <c r="J5" s="518"/>
      <c r="K5" s="518"/>
    </row>
    <row r="6" spans="1:26" customFormat="1" ht="12.75">
      <c r="A6" s="518"/>
      <c r="B6" s="518"/>
      <c r="C6" s="518"/>
      <c r="D6" s="518"/>
      <c r="E6" s="518"/>
      <c r="F6" s="518"/>
      <c r="G6" s="518"/>
      <c r="H6" s="518"/>
      <c r="I6" s="518"/>
      <c r="J6" s="518"/>
      <c r="K6" s="518"/>
    </row>
    <row r="7" spans="1:26">
      <c r="A7" s="4" t="str">
        <f>'CG. MPB'!A7</f>
        <v>PROPIETARIO   : ING. ROLANDO ORTIZ RAMOS</v>
      </c>
    </row>
    <row r="8" spans="1:26">
      <c r="A8" s="4" t="str">
        <f>'CG. MPB'!A8</f>
        <v xml:space="preserve">OBRA                   : </v>
      </c>
    </row>
    <row r="9" spans="1:26" ht="15.75" thickBot="1">
      <c r="A9" s="4" t="str">
        <f>'CG. MPB'!A9</f>
        <v>LOCALIZACION : 1ª PRIVADA 13 DE SEPTIEMBRE, COL. VICENTE SUAREZ</v>
      </c>
    </row>
    <row r="10" spans="1:26" hidden="1">
      <c r="A10" s="4">
        <f>'CG. MPB'!A10</f>
        <v>0</v>
      </c>
    </row>
    <row r="11" spans="1:26" hidden="1">
      <c r="A11" s="4" t="str">
        <f>'CG. MPB'!A11</f>
        <v>TABLA No. 1</v>
      </c>
    </row>
    <row r="12" spans="1:26" ht="15.75" thickBot="1">
      <c r="A12" s="797"/>
      <c r="B12" s="789"/>
      <c r="C12" s="789"/>
      <c r="D12" s="789"/>
      <c r="E12" s="789"/>
      <c r="F12" s="789"/>
      <c r="G12" s="793"/>
      <c r="H12" s="793"/>
      <c r="I12" s="793"/>
      <c r="J12" s="791"/>
      <c r="K12" s="795"/>
      <c r="L12" s="791"/>
      <c r="M12" s="792"/>
      <c r="N12" s="791"/>
      <c r="O12" s="791"/>
      <c r="P12" s="791"/>
      <c r="Q12" s="791"/>
      <c r="R12" s="791"/>
      <c r="S12" s="793"/>
      <c r="T12" s="789"/>
      <c r="U12" s="789"/>
      <c r="V12" s="789"/>
      <c r="W12" s="794"/>
    </row>
    <row r="13" spans="1:26" ht="18.75">
      <c r="A13" s="1045"/>
      <c r="B13" s="1046"/>
      <c r="C13" s="1046"/>
      <c r="D13" s="1046"/>
      <c r="E13" s="1046"/>
      <c r="F13" s="1046"/>
      <c r="G13" s="1047"/>
      <c r="H13" s="789"/>
      <c r="I13" s="1047" t="s">
        <v>1</v>
      </c>
      <c r="J13" s="1048">
        <v>250</v>
      </c>
      <c r="K13" s="790" t="s">
        <v>194</v>
      </c>
      <c r="L13" s="791"/>
      <c r="M13" s="792"/>
      <c r="N13" s="791"/>
      <c r="O13" s="791"/>
      <c r="P13" s="791"/>
      <c r="Q13" s="791"/>
      <c r="R13" s="791"/>
      <c r="S13" s="793"/>
      <c r="T13" s="789"/>
      <c r="U13" s="789"/>
      <c r="V13" s="789"/>
      <c r="W13" s="794"/>
    </row>
    <row r="14" spans="1:26" ht="18.75">
      <c r="A14" s="1164" t="s">
        <v>224</v>
      </c>
      <c r="B14" s="1165"/>
      <c r="C14" s="1165"/>
      <c r="D14" s="1165"/>
      <c r="E14" s="1165"/>
      <c r="F14" s="1165"/>
      <c r="G14" s="1165"/>
      <c r="H14" s="1165"/>
      <c r="I14" s="1049" t="s">
        <v>216</v>
      </c>
      <c r="J14" s="802">
        <f>0.85*J13</f>
        <v>212.5</v>
      </c>
      <c r="K14" s="151" t="s">
        <v>194</v>
      </c>
      <c r="L14" s="248"/>
      <c r="S14" s="788"/>
      <c r="W14" s="778"/>
    </row>
    <row r="15" spans="1:26" ht="21" thickBot="1">
      <c r="A15" s="1050"/>
      <c r="B15" s="1051"/>
      <c r="C15" s="1051"/>
      <c r="D15" s="1051"/>
      <c r="E15" s="1052"/>
      <c r="F15" s="1051"/>
      <c r="G15" s="1049"/>
      <c r="I15" s="1049" t="s">
        <v>217</v>
      </c>
      <c r="J15" s="1053">
        <v>4200</v>
      </c>
      <c r="K15" s="150" t="s">
        <v>194</v>
      </c>
      <c r="L15" s="248"/>
      <c r="S15" s="788"/>
      <c r="W15" s="778"/>
    </row>
    <row r="16" spans="1:26" ht="16.5" hidden="1" customHeight="1" thickTop="1">
      <c r="A16" s="1054"/>
      <c r="B16" s="1055"/>
      <c r="C16" s="1055"/>
      <c r="D16" s="1055"/>
      <c r="E16" s="1051"/>
      <c r="F16" s="1055"/>
      <c r="G16" s="1056"/>
      <c r="H16" s="1056"/>
      <c r="I16" s="1056"/>
      <c r="J16" s="1057"/>
      <c r="K16" s="151"/>
      <c r="S16" s="788"/>
      <c r="W16" s="778"/>
      <c r="Z16" s="135">
        <f>1.6*F30*E30*$J$14^0.5</f>
        <v>92712.13551850582</v>
      </c>
    </row>
    <row r="17" spans="1:27" ht="15.75" hidden="1" customHeight="1">
      <c r="A17" s="1050"/>
      <c r="B17" s="1051"/>
      <c r="C17" s="1051"/>
      <c r="D17" s="1051"/>
      <c r="E17" s="1051"/>
      <c r="F17" s="1051"/>
      <c r="G17" s="1049"/>
      <c r="H17" s="1049"/>
      <c r="I17" s="1049"/>
      <c r="J17" s="1057"/>
      <c r="K17" s="151"/>
      <c r="S17" s="788"/>
      <c r="W17" s="778"/>
    </row>
    <row r="18" spans="1:27" ht="15.75" hidden="1" customHeight="1">
      <c r="A18" s="588" t="s">
        <v>91</v>
      </c>
      <c r="B18" s="26" t="s">
        <v>92</v>
      </c>
      <c r="C18" s="26" t="s">
        <v>93</v>
      </c>
      <c r="D18" s="26" t="s">
        <v>94</v>
      </c>
      <c r="E18" s="26" t="s">
        <v>95</v>
      </c>
      <c r="F18" s="26" t="s">
        <v>96</v>
      </c>
      <c r="G18" s="26" t="s">
        <v>97</v>
      </c>
      <c r="H18" s="26" t="s">
        <v>98</v>
      </c>
      <c r="I18" s="26" t="s">
        <v>99</v>
      </c>
      <c r="J18" s="26" t="s">
        <v>100</v>
      </c>
      <c r="K18" s="26" t="s">
        <v>101</v>
      </c>
      <c r="L18" s="26" t="s">
        <v>102</v>
      </c>
      <c r="M18" s="152" t="s">
        <v>103</v>
      </c>
      <c r="N18" s="152" t="s">
        <v>104</v>
      </c>
      <c r="O18" s="152" t="s">
        <v>105</v>
      </c>
      <c r="P18" s="152"/>
      <c r="Q18" s="152"/>
      <c r="R18" s="152"/>
      <c r="S18" s="26" t="s">
        <v>106</v>
      </c>
      <c r="T18" s="26" t="s">
        <v>107</v>
      </c>
      <c r="U18" s="26" t="s">
        <v>168</v>
      </c>
      <c r="V18" s="26" t="s">
        <v>169</v>
      </c>
      <c r="W18" s="589" t="s">
        <v>170</v>
      </c>
    </row>
    <row r="19" spans="1:27" ht="15.75" hidden="1" customHeight="1" thickBot="1">
      <c r="A19" s="777"/>
      <c r="G19" s="788"/>
      <c r="H19" s="788"/>
      <c r="I19" s="788"/>
      <c r="S19" s="788"/>
      <c r="W19" s="778"/>
    </row>
    <row r="20" spans="1:27" ht="15.75" thickTop="1">
      <c r="A20" s="797"/>
      <c r="B20" s="789" t="s">
        <v>258</v>
      </c>
      <c r="C20" s="789"/>
      <c r="D20" s="789"/>
      <c r="E20" s="789"/>
      <c r="F20" s="789" t="s">
        <v>226</v>
      </c>
      <c r="G20" s="793"/>
      <c r="H20" s="793"/>
      <c r="I20" s="793"/>
      <c r="J20" s="1163" t="s">
        <v>2</v>
      </c>
      <c r="K20" s="1163"/>
      <c r="L20" s="1163"/>
      <c r="M20" s="1163"/>
      <c r="N20" s="1044" t="s">
        <v>259</v>
      </c>
      <c r="O20" s="1044"/>
      <c r="P20" s="827" t="s">
        <v>3</v>
      </c>
      <c r="Q20" s="827"/>
      <c r="R20" s="828"/>
      <c r="S20" s="1058"/>
      <c r="T20" s="1161" t="s">
        <v>219</v>
      </c>
      <c r="U20" s="1161"/>
      <c r="V20" s="1161" t="s">
        <v>218</v>
      </c>
      <c r="W20" s="1162"/>
    </row>
    <row r="21" spans="1:27" ht="15" customHeight="1">
      <c r="A21" s="783" t="s">
        <v>4</v>
      </c>
      <c r="B21" s="139" t="s">
        <v>222</v>
      </c>
      <c r="C21" s="1166" t="s">
        <v>456</v>
      </c>
      <c r="D21" s="139" t="s">
        <v>46</v>
      </c>
      <c r="E21" s="139" t="s">
        <v>110</v>
      </c>
      <c r="F21" s="139" t="s">
        <v>225</v>
      </c>
      <c r="G21" s="145" t="s">
        <v>7</v>
      </c>
      <c r="H21" s="145" t="s">
        <v>8</v>
      </c>
      <c r="I21" s="145" t="s">
        <v>12</v>
      </c>
      <c r="J21" s="149" t="s">
        <v>9</v>
      </c>
      <c r="K21" s="149" t="s">
        <v>10</v>
      </c>
      <c r="L21" s="149" t="s">
        <v>220</v>
      </c>
      <c r="M21" s="442" t="s">
        <v>11</v>
      </c>
      <c r="N21" s="149" t="s">
        <v>228</v>
      </c>
      <c r="O21" s="149" t="s">
        <v>13</v>
      </c>
      <c r="P21" s="310" t="s">
        <v>14</v>
      </c>
      <c r="Q21" s="310" t="s">
        <v>15</v>
      </c>
      <c r="R21" s="310" t="s">
        <v>16</v>
      </c>
      <c r="S21" s="145" t="s">
        <v>121</v>
      </c>
      <c r="T21" s="139" t="s">
        <v>17</v>
      </c>
      <c r="U21" s="139" t="s">
        <v>18</v>
      </c>
      <c r="V21" s="139" t="s">
        <v>19</v>
      </c>
      <c r="W21" s="829" t="s">
        <v>18</v>
      </c>
      <c r="AA21" s="834"/>
    </row>
    <row r="22" spans="1:27" ht="15.75">
      <c r="A22" s="783"/>
      <c r="B22" s="139"/>
      <c r="C22" s="1166"/>
      <c r="D22" s="139"/>
      <c r="E22" s="139"/>
      <c r="F22" s="139"/>
      <c r="G22" s="145"/>
      <c r="H22" s="145"/>
      <c r="I22" s="145"/>
      <c r="J22" s="149"/>
      <c r="L22" s="1059">
        <v>1.27</v>
      </c>
      <c r="P22" s="310" t="s">
        <v>20</v>
      </c>
      <c r="Q22" s="310" t="s">
        <v>21</v>
      </c>
      <c r="R22" s="310" t="s">
        <v>22</v>
      </c>
      <c r="S22" s="145"/>
      <c r="U22" s="825">
        <v>0.71</v>
      </c>
      <c r="W22" s="830">
        <v>0.71</v>
      </c>
    </row>
    <row r="23" spans="1:27" ht="15.75" hidden="1" customHeight="1">
      <c r="A23" s="783"/>
      <c r="B23" s="139"/>
      <c r="C23" s="139"/>
      <c r="D23" s="139"/>
      <c r="E23" s="139"/>
      <c r="F23" s="139"/>
      <c r="G23" s="145"/>
      <c r="H23" s="145"/>
      <c r="I23" s="145"/>
      <c r="J23" s="149"/>
      <c r="L23" s="1059"/>
      <c r="P23" s="310"/>
      <c r="Q23" s="310"/>
      <c r="R23" s="310"/>
      <c r="S23" s="145"/>
      <c r="U23" s="825"/>
      <c r="W23" s="830"/>
    </row>
    <row r="24" spans="1:27" ht="15.75" hidden="1">
      <c r="A24" s="783"/>
      <c r="B24" s="140"/>
      <c r="C24" s="140"/>
      <c r="D24" s="140"/>
      <c r="E24" s="140"/>
      <c r="F24" s="140"/>
      <c r="G24" s="146"/>
      <c r="H24" s="146"/>
      <c r="I24" s="146"/>
      <c r="J24" s="148"/>
      <c r="L24" s="824"/>
      <c r="P24" s="310"/>
      <c r="Q24" s="310"/>
      <c r="R24" s="310"/>
      <c r="S24" s="145"/>
      <c r="U24" s="825"/>
      <c r="W24" s="830"/>
    </row>
    <row r="25" spans="1:27" ht="15.75" hidden="1">
      <c r="A25" s="783"/>
      <c r="B25" s="140"/>
      <c r="C25" s="140"/>
      <c r="D25" s="140"/>
      <c r="E25" s="140"/>
      <c r="F25" s="140"/>
      <c r="G25" s="146"/>
      <c r="H25" s="146"/>
      <c r="I25" s="146"/>
      <c r="J25" s="148"/>
      <c r="L25" s="824"/>
      <c r="P25" s="310"/>
      <c r="Q25" s="310"/>
      <c r="R25" s="310"/>
      <c r="S25" s="145"/>
      <c r="U25" s="825"/>
      <c r="W25" s="830"/>
    </row>
    <row r="26" spans="1:27" ht="15.75" hidden="1">
      <c r="A26" s="783"/>
      <c r="B26" s="140"/>
      <c r="C26" s="140"/>
      <c r="D26" s="140"/>
      <c r="E26" s="140"/>
      <c r="F26" s="140"/>
      <c r="G26" s="146"/>
      <c r="H26" s="146"/>
      <c r="I26" s="146"/>
      <c r="J26" s="148"/>
      <c r="L26" s="824"/>
      <c r="P26" s="310"/>
      <c r="Q26" s="310"/>
      <c r="R26" s="310"/>
      <c r="S26" s="145"/>
      <c r="U26" s="825"/>
      <c r="W26" s="830"/>
    </row>
    <row r="27" spans="1:27" ht="15.75" hidden="1">
      <c r="A27" s="783"/>
      <c r="B27" s="140"/>
      <c r="C27" s="140"/>
      <c r="D27" s="140"/>
      <c r="E27" s="140"/>
      <c r="F27" s="140"/>
      <c r="G27" s="146"/>
      <c r="H27" s="146"/>
      <c r="I27" s="146"/>
      <c r="J27" s="148"/>
      <c r="L27" s="824"/>
      <c r="P27" s="310"/>
      <c r="Q27" s="310"/>
      <c r="R27" s="310"/>
      <c r="S27" s="145"/>
      <c r="U27" s="825"/>
      <c r="W27" s="830"/>
    </row>
    <row r="28" spans="1:27" ht="15.75">
      <c r="A28" s="831" t="s">
        <v>87</v>
      </c>
      <c r="B28" s="140"/>
      <c r="C28" s="140"/>
      <c r="D28" s="140"/>
      <c r="E28" s="140"/>
      <c r="F28" s="140"/>
      <c r="G28" s="146"/>
      <c r="H28" s="146"/>
      <c r="I28" s="146"/>
      <c r="J28" s="148"/>
      <c r="L28" s="826"/>
      <c r="S28" s="145"/>
      <c r="U28" s="825"/>
      <c r="W28" s="830"/>
    </row>
    <row r="29" spans="1:27">
      <c r="A29" s="777">
        <f>'CG. MPB'!A30</f>
        <v>1</v>
      </c>
      <c r="B29" s="801">
        <v>30</v>
      </c>
      <c r="C29" s="246">
        <f>IF('CG. MPB'!E30="CONCRETO",'RMCV.PB'!B29,0)</f>
        <v>0</v>
      </c>
      <c r="D29" s="135">
        <f>IF(C29=0,0,'CG. MPB'!C30*100)</f>
        <v>0</v>
      </c>
      <c r="E29" s="135">
        <f>IF(C29=0,0,'RMCV.PB'!C29)</f>
        <v>0</v>
      </c>
      <c r="F29" s="135">
        <f>IF(C29=0,0,C29-B29)</f>
        <v>0</v>
      </c>
      <c r="G29" s="246">
        <f>IF(C29=0,0,'RMCS.PB'!L29)</f>
        <v>0</v>
      </c>
      <c r="H29" s="246">
        <f>IF(C29=0,0,'CASTILLOS-PB'!K29)</f>
        <v>0</v>
      </c>
      <c r="I29" s="144">
        <f>IF(C29=0,0,D29/C29)</f>
        <v>0</v>
      </c>
      <c r="J29" s="144">
        <f>IF(C29=0,0,IF(D29/C29&gt;=1,0.8*C29,IF(D29/C29&lt;=0.5,1.2*D29,0.4*(1+D29/C29)*C29)))</f>
        <v>0</v>
      </c>
      <c r="K29" s="149">
        <f>IF(C29=0,0,M29*E29*F29)</f>
        <v>0</v>
      </c>
      <c r="L29" s="144">
        <f t="shared" ref="L29" si="0">(K29/$L$22)</f>
        <v>0</v>
      </c>
      <c r="M29" s="147">
        <f>IF(C29=0,0,IF((H29/(0.85*$J$15*J29))/(F29*E29)&lt;0.015,IF(0.7*$J$13^0.5/$J$15&gt;(H29/(0.85*$J$15*J29))/(F29*E29),0.7*$J$13^0.5/$J$15,(H29/(0.85*$J$15*J29))/(F29*E29)),"MAL"))</f>
        <v>0</v>
      </c>
      <c r="N29" s="246">
        <f>IF(C29=0,0,IF(G29&lt;1.6*F29*E29*$J$14^0.5,1.6*F29*E29*$J$14^0.5,"MAL"))</f>
        <v>0</v>
      </c>
      <c r="O29" s="246">
        <f>IF(I29&lt;1.5,0.68*E29*F29*$J$14^0.5,IF(I29&gt;=2,IF(M29&lt;0.015,0.8*E29*F29*(0.2+20*M29)*$J$14^0.5,0.4*E29*F29*$J$14^0.5),R29))</f>
        <v>0</v>
      </c>
      <c r="P29" s="246">
        <f>IF(C29=0,0,IF(I29=0,0,0.68*E29*F29*($J$14)^0.5))</f>
        <v>0</v>
      </c>
      <c r="Q29" s="246">
        <f>IF(C29=0,0,IF(I29=0,0,0.8*F29*E29*(0.2+20*M29)*($J$14)^0.5))</f>
        <v>0</v>
      </c>
      <c r="R29" s="246">
        <f>IF(C29=0,0,IF(I29&lt;1.5,0,IF(I29&gt;2,0,Q29+(P29-Q29)*(2-I29)/0.5)))</f>
        <v>0</v>
      </c>
      <c r="S29" s="145">
        <f t="shared" ref="S29" si="1">IF(C29=0,0,IF(AND(N29&gt;G29,N29&gt;O29),"BIEN","MAL"))</f>
        <v>0</v>
      </c>
      <c r="T29" s="147">
        <f t="shared" ref="T29" si="2">IF(C29=0,0,IF(O29&gt;G29,0.0025,IF((G29-O29)/(0.8*$J$15*E29*F29)&gt;0.0025,(G29-O29)/(0.8*$J$15*E29*F29),0.0025)))</f>
        <v>0</v>
      </c>
      <c r="U29" s="802">
        <f>IF(C29=0,0,IF($U$22/(T29*E29)&gt;35,35,$U$22/(T29*E29)))</f>
        <v>0</v>
      </c>
      <c r="V29" s="147">
        <f>IF(C29=0,0,IF(D29/C29&lt;=2,T29,IF((0.0025+0.5*(2.5-D29/C29)*(T29-0.0025))&gt;0.0025,(0.0025+0.5*(2.5-D29/C29)*(T29-0.0025)),0.0025)))</f>
        <v>0</v>
      </c>
      <c r="W29" s="832">
        <f t="shared" ref="W29" si="3">IF(C29=0,0,IF($W$22/(V29*E29)&gt;35,35,$W$22/(V29*E29)))</f>
        <v>0</v>
      </c>
      <c r="X29" s="135">
        <f t="shared" ref="X29:X58" si="4">1.6*F29*E29*$J$14^0.5</f>
        <v>0</v>
      </c>
      <c r="Y29" s="135">
        <f>1.6*F30*E30*$J$14^0.5</f>
        <v>92712.13551850582</v>
      </c>
    </row>
    <row r="30" spans="1:27">
      <c r="A30" s="777">
        <f>'CG. MPB'!A31</f>
        <v>2</v>
      </c>
      <c r="B30" s="801">
        <v>15</v>
      </c>
      <c r="C30" s="246">
        <f>IF('CG. MPB'!E31="CONCRETO",'RMCV.PB'!B30,0)</f>
        <v>280.00000111607147</v>
      </c>
      <c r="D30" s="135">
        <f>IF(C30=0,0,'CG. MPB'!C31*100)</f>
        <v>280</v>
      </c>
      <c r="E30" s="135">
        <f>IF(C30=0,0,'RMCV.PB'!C30)</f>
        <v>15</v>
      </c>
      <c r="F30" s="135">
        <f t="shared" ref="F30:F78" si="5">IF(C30=0,0,C30-B30)</f>
        <v>265.00000111607147</v>
      </c>
      <c r="G30" s="246">
        <f>IF(C30=0,0,'RMCS.PB'!L30)</f>
        <v>9197.2868609491579</v>
      </c>
      <c r="H30" s="246">
        <f>IF(C30=0,0,'CASTILLOS-PB'!K30)</f>
        <v>1368151.0354278174</v>
      </c>
      <c r="I30" s="144">
        <f t="shared" ref="I30:I78" si="6">IF(C30=0,0,D30/C30)</f>
        <v>0.99999999601403045</v>
      </c>
      <c r="J30" s="144">
        <f t="shared" ref="J30:J78" si="7">IF(C30=0,0,IF(D30/C30&gt;=1,0.8*C30,IF(D30/C30&lt;=0.5,1.2*D30,0.4*(1+D30/C30)*C30)))</f>
        <v>224.0000004464286</v>
      </c>
      <c r="K30" s="149">
        <f t="shared" ref="K30:K78" si="8">IF(C30=0,0,M30*E30*F30)</f>
        <v>10.475044793424354</v>
      </c>
      <c r="L30" s="144">
        <f t="shared" ref="L30:L78" si="9">(K30/$L$22)</f>
        <v>8.2480667664758691</v>
      </c>
      <c r="M30" s="147">
        <f t="shared" ref="M30:M78" si="10">IF(C30=0,0,IF((H30/(0.85*$J$15*J30))/(F30*E30)&lt;0.015,IF(0.7*$J$13^0.5/$J$15&gt;(H30/(0.85*$J$15*J30))/(F30*E30),0.7*$J$13^0.5/$J$15,(H30/(0.85*$J$15*J30))/(F30*E30)),"MAL"))</f>
        <v>2.6352313834736491E-3</v>
      </c>
      <c r="N30" s="246">
        <f>IF(C30=0,0,IF(G30&lt;1.6*F30*E30*$J$14^0.5,1.6*F30*E30*$J$14^0.5,"MAL"))</f>
        <v>92712.13551850582</v>
      </c>
      <c r="O30" s="246">
        <f t="shared" ref="O30:O78" si="11">IF(I30&lt;1.5,0.68*E30*F30*$J$14^0.5,IF(I30&gt;=2,IF(M30&lt;0.015,0.8*E30*F30*(0.2+20*M30)*$J$14^0.5,0.4*E30*F30*$J$14^0.5),R30))</f>
        <v>39402.657595364974</v>
      </c>
      <c r="P30" s="246">
        <f t="shared" ref="P30:P78" si="12">IF(C30=0,0,IF(I30=0,0,0.68*E30*F30*($J$14)^0.5))</f>
        <v>39402.657595364974</v>
      </c>
      <c r="Q30" s="246">
        <f t="shared" ref="Q30:Q78" si="13">IF(C30=0,0,IF(I30=0,0,0.8*F30*E30*(0.2+20*M30)*($J$14)^0.5))</f>
        <v>11714.392843322868</v>
      </c>
      <c r="R30" s="246">
        <f t="shared" ref="R30:R78" si="14">IF(C30=0,0,IF(I30&lt;1.5,0,IF(I30&gt;2,0,Q30+(P30-Q30)*(2-I30)/0.5)))</f>
        <v>0</v>
      </c>
      <c r="S30" s="145" t="str">
        <f t="shared" ref="S30:S78" si="15">IF(C30=0,0,IF(AND(N30&gt;G30,N30&gt;O30),"BIEN","MAL"))</f>
        <v>BIEN</v>
      </c>
      <c r="T30" s="147">
        <f t="shared" ref="T30:T78" si="16">IF(C30=0,0,IF(O30&gt;G30,0.0025,IF((G30-O30)/(0.8*$J$15*E30*F30)&gt;0.0025,(G30-O30)/(0.8*$J$15*E30*F30),0.0025)))</f>
        <v>2.5000000000000001E-3</v>
      </c>
      <c r="U30" s="802">
        <f t="shared" ref="U30:U78" si="17">IF(C30=0,0,IF($U$22/(T30*E30)&gt;35,35,$U$22/(T30*E30)))</f>
        <v>18.933333333333334</v>
      </c>
      <c r="V30" s="147">
        <f t="shared" ref="V30:V78" si="18">IF(C30=0,0,IF(D30/C30&lt;=2,T30,IF((0.0025+0.5*(2.5-D30/C30)*(T30-0.0025))&gt;0.0025,(0.0025+0.5*(2.5-D30/C30)*(T30-0.0025)),0.0025)))</f>
        <v>2.5000000000000001E-3</v>
      </c>
      <c r="W30" s="832">
        <f t="shared" ref="W30:W78" si="19">IF(C30=0,0,IF($W$22/(V30*E30)&gt;35,35,$W$22/(V30*E30)))</f>
        <v>18.933333333333334</v>
      </c>
      <c r="X30" s="135">
        <f t="shared" si="4"/>
        <v>92712.13551850582</v>
      </c>
    </row>
    <row r="31" spans="1:27">
      <c r="A31" s="777">
        <f>'CG. MPB'!A32</f>
        <v>3</v>
      </c>
      <c r="B31" s="801">
        <v>15</v>
      </c>
      <c r="C31" s="246">
        <f>IF('CG. MPB'!E32="CONCRETO",'RMCV.PB'!B31,0)</f>
        <v>242.50000000000006</v>
      </c>
      <c r="D31" s="135">
        <f>IF(C31=0,0,'CG. MPB'!C32*100)</f>
        <v>280</v>
      </c>
      <c r="E31" s="135">
        <f>IF(C31=0,0,'RMCV.PB'!C31)</f>
        <v>15</v>
      </c>
      <c r="F31" s="135">
        <f t="shared" si="5"/>
        <v>227.50000000000006</v>
      </c>
      <c r="G31" s="246">
        <f>IF(C31=0,0,'RMCS.PB'!L31)</f>
        <v>17442.995828740626</v>
      </c>
      <c r="H31" s="246">
        <f>IF(C31=0,0,'CASTILLOS-PB'!K31)</f>
        <v>476555.29210110474</v>
      </c>
      <c r="I31" s="144">
        <f t="shared" si="6"/>
        <v>1.1546391752577316</v>
      </c>
      <c r="J31" s="144">
        <f t="shared" si="7"/>
        <v>194.00000000000006</v>
      </c>
      <c r="K31" s="149">
        <f t="shared" si="8"/>
        <v>8.9927270961038293</v>
      </c>
      <c r="L31" s="144">
        <f t="shared" si="9"/>
        <v>7.08088747724711</v>
      </c>
      <c r="M31" s="147">
        <f t="shared" si="10"/>
        <v>2.6352313834736491E-3</v>
      </c>
      <c r="N31" s="246">
        <f t="shared" ref="N31:N78" si="20">IF(C31=0,0,IF(G31&lt;1.6*F31*E31*$J$14^0.5,1.6*F31*E31*$J$14^0.5,"MAL"))</f>
        <v>79592.493364638372</v>
      </c>
      <c r="O31" s="246">
        <f t="shared" si="11"/>
        <v>33826.809679971309</v>
      </c>
      <c r="P31" s="246">
        <f t="shared" si="12"/>
        <v>33826.809679971309</v>
      </c>
      <c r="Q31" s="246">
        <f t="shared" si="13"/>
        <v>10056.69570049797</v>
      </c>
      <c r="R31" s="246">
        <f t="shared" si="14"/>
        <v>0</v>
      </c>
      <c r="S31" s="145" t="str">
        <f t="shared" si="15"/>
        <v>BIEN</v>
      </c>
      <c r="T31" s="147">
        <f t="shared" si="16"/>
        <v>2.5000000000000001E-3</v>
      </c>
      <c r="U31" s="802">
        <f t="shared" si="17"/>
        <v>18.933333333333334</v>
      </c>
      <c r="V31" s="147">
        <f t="shared" si="18"/>
        <v>2.5000000000000001E-3</v>
      </c>
      <c r="W31" s="832">
        <f t="shared" si="19"/>
        <v>18.933333333333334</v>
      </c>
      <c r="X31" s="135">
        <f t="shared" si="4"/>
        <v>79592.493364638372</v>
      </c>
    </row>
    <row r="32" spans="1:27">
      <c r="A32" s="777">
        <f>'CG. MPB'!A33</f>
        <v>4</v>
      </c>
      <c r="B32" s="801">
        <v>20</v>
      </c>
      <c r="C32" s="246">
        <f>IF('CG. MPB'!E33="CONCRETO",'RMCV.PB'!B32,0)</f>
        <v>275</v>
      </c>
      <c r="D32" s="135">
        <f>IF(C32=0,0,'CG. MPB'!C33*100)</f>
        <v>280</v>
      </c>
      <c r="E32" s="135">
        <f>IF(C32=0,0,'RMCV.PB'!C32)</f>
        <v>15</v>
      </c>
      <c r="F32" s="135">
        <f t="shared" si="5"/>
        <v>255</v>
      </c>
      <c r="G32" s="246">
        <f>IF(C32=0,0,'RMCS.PB'!L32)</f>
        <v>11690.300115692302</v>
      </c>
      <c r="H32" s="246">
        <f>IF(C32=0,0,'CASTILLOS-PB'!K32)</f>
        <v>1719681.5283634644</v>
      </c>
      <c r="I32" s="144">
        <f t="shared" si="6"/>
        <v>1.0181818181818181</v>
      </c>
      <c r="J32" s="144">
        <f t="shared" si="7"/>
        <v>220</v>
      </c>
      <c r="K32" s="149">
        <f t="shared" si="8"/>
        <v>10.079760041786708</v>
      </c>
      <c r="L32" s="144">
        <f t="shared" si="9"/>
        <v>7.9368189305407144</v>
      </c>
      <c r="M32" s="147">
        <f t="shared" si="10"/>
        <v>2.6352313834736491E-3</v>
      </c>
      <c r="N32" s="246">
        <f t="shared" si="20"/>
        <v>89213.563991133095</v>
      </c>
      <c r="O32" s="246">
        <f t="shared" si="11"/>
        <v>37915.76469623157</v>
      </c>
      <c r="P32" s="246">
        <f t="shared" si="12"/>
        <v>37915.76469623157</v>
      </c>
      <c r="Q32" s="246">
        <f t="shared" si="13"/>
        <v>11272.340235722997</v>
      </c>
      <c r="R32" s="246">
        <f t="shared" si="14"/>
        <v>0</v>
      </c>
      <c r="S32" s="145" t="str">
        <f t="shared" si="15"/>
        <v>BIEN</v>
      </c>
      <c r="T32" s="147">
        <f t="shared" si="16"/>
        <v>2.5000000000000001E-3</v>
      </c>
      <c r="U32" s="802">
        <f t="shared" si="17"/>
        <v>18.933333333333334</v>
      </c>
      <c r="V32" s="147">
        <f t="shared" si="18"/>
        <v>2.5000000000000001E-3</v>
      </c>
      <c r="W32" s="832">
        <f t="shared" si="19"/>
        <v>18.933333333333334</v>
      </c>
      <c r="X32" s="135">
        <f t="shared" si="4"/>
        <v>89213.563991133095</v>
      </c>
    </row>
    <row r="33" spans="1:24">
      <c r="A33" s="777">
        <f>'CG. MPB'!A34</f>
        <v>5</v>
      </c>
      <c r="B33" s="801">
        <v>20</v>
      </c>
      <c r="C33" s="246">
        <f>IF('CG. MPB'!E34="CONCRETO",'RMCV.PB'!B33,0)</f>
        <v>0</v>
      </c>
      <c r="D33" s="135">
        <f>IF(C33=0,0,'CG. MPB'!C34*100)</f>
        <v>0</v>
      </c>
      <c r="E33" s="135">
        <f>IF(C33=0,0,'RMCV.PB'!C33)</f>
        <v>0</v>
      </c>
      <c r="F33" s="135">
        <f t="shared" si="5"/>
        <v>0</v>
      </c>
      <c r="G33" s="246">
        <f>IF(C33=0,0,'RMCS.PB'!L33)</f>
        <v>0</v>
      </c>
      <c r="H33" s="246">
        <f>IF(C33=0,0,'CASTILLOS-PB'!K33)</f>
        <v>0</v>
      </c>
      <c r="I33" s="144">
        <f t="shared" si="6"/>
        <v>0</v>
      </c>
      <c r="J33" s="144">
        <f t="shared" si="7"/>
        <v>0</v>
      </c>
      <c r="K33" s="149">
        <f t="shared" si="8"/>
        <v>0</v>
      </c>
      <c r="L33" s="144">
        <f t="shared" si="9"/>
        <v>0</v>
      </c>
      <c r="M33" s="147">
        <f t="shared" si="10"/>
        <v>0</v>
      </c>
      <c r="N33" s="246">
        <f t="shared" si="20"/>
        <v>0</v>
      </c>
      <c r="O33" s="246">
        <f t="shared" si="11"/>
        <v>0</v>
      </c>
      <c r="P33" s="246">
        <f t="shared" si="12"/>
        <v>0</v>
      </c>
      <c r="Q33" s="246">
        <f t="shared" si="13"/>
        <v>0</v>
      </c>
      <c r="R33" s="246">
        <f t="shared" si="14"/>
        <v>0</v>
      </c>
      <c r="S33" s="145">
        <f t="shared" si="15"/>
        <v>0</v>
      </c>
      <c r="T33" s="147">
        <f t="shared" si="16"/>
        <v>0</v>
      </c>
      <c r="U33" s="802">
        <f t="shared" si="17"/>
        <v>0</v>
      </c>
      <c r="V33" s="147">
        <f t="shared" si="18"/>
        <v>0</v>
      </c>
      <c r="W33" s="832">
        <f t="shared" si="19"/>
        <v>0</v>
      </c>
      <c r="X33" s="135">
        <f t="shared" si="4"/>
        <v>0</v>
      </c>
    </row>
    <row r="34" spans="1:24">
      <c r="A34" s="777">
        <f>'CG. MPB'!A35</f>
        <v>6</v>
      </c>
      <c r="B34" s="801">
        <v>25</v>
      </c>
      <c r="C34" s="246">
        <f>IF('CG. MPB'!E35="CONCRETO",'RMCV.PB'!B34,0)</f>
        <v>257.50001941747496</v>
      </c>
      <c r="D34" s="135">
        <f>IF(C34=0,0,'CG. MPB'!C35*100)</f>
        <v>280</v>
      </c>
      <c r="E34" s="135">
        <f>IF(C34=0,0,'RMCV.PB'!C34)</f>
        <v>15</v>
      </c>
      <c r="F34" s="135">
        <f t="shared" si="5"/>
        <v>232.50001941747496</v>
      </c>
      <c r="G34" s="246">
        <f>IF(C34=0,0,'RMCS.PB'!L34)</f>
        <v>26475.338730142757</v>
      </c>
      <c r="H34" s="246">
        <f>IF(C34=0,0,'CASTILLOS-PB'!K34)</f>
        <v>2201850.6633330826</v>
      </c>
      <c r="I34" s="144">
        <f t="shared" si="6"/>
        <v>1.0873785587800158</v>
      </c>
      <c r="J34" s="144">
        <f t="shared" si="7"/>
        <v>206.00001553397999</v>
      </c>
      <c r="K34" s="149">
        <f t="shared" si="8"/>
        <v>9.1903702174074429</v>
      </c>
      <c r="L34" s="144">
        <f t="shared" si="9"/>
        <v>7.236511982210585</v>
      </c>
      <c r="M34" s="147">
        <f t="shared" si="10"/>
        <v>2.6352313834736491E-3</v>
      </c>
      <c r="N34" s="246">
        <f t="shared" si="20"/>
        <v>81341.785726433693</v>
      </c>
      <c r="O34" s="246">
        <f t="shared" si="11"/>
        <v>34570.258933734316</v>
      </c>
      <c r="P34" s="246">
        <f t="shared" si="12"/>
        <v>34570.258933734316</v>
      </c>
      <c r="Q34" s="246">
        <f t="shared" si="13"/>
        <v>10277.72283798424</v>
      </c>
      <c r="R34" s="246">
        <f t="shared" si="14"/>
        <v>0</v>
      </c>
      <c r="S34" s="145" t="str">
        <f t="shared" si="15"/>
        <v>BIEN</v>
      </c>
      <c r="T34" s="147">
        <f t="shared" si="16"/>
        <v>2.5000000000000001E-3</v>
      </c>
      <c r="U34" s="802">
        <f t="shared" si="17"/>
        <v>18.933333333333334</v>
      </c>
      <c r="V34" s="147">
        <f t="shared" si="18"/>
        <v>2.5000000000000001E-3</v>
      </c>
      <c r="W34" s="832">
        <f t="shared" si="19"/>
        <v>18.933333333333334</v>
      </c>
      <c r="X34" s="135">
        <f t="shared" si="4"/>
        <v>81341.785726433693</v>
      </c>
    </row>
    <row r="35" spans="1:24">
      <c r="A35" s="777">
        <f>'CG. MPB'!A36</f>
        <v>7</v>
      </c>
      <c r="B35" s="801">
        <v>15</v>
      </c>
      <c r="C35" s="246">
        <f>IF('CG. MPB'!E36="CONCRETO",'RMCV.PB'!B35,0)</f>
        <v>0</v>
      </c>
      <c r="D35" s="135">
        <f>IF(C35=0,0,'CG. MPB'!C36*100)</f>
        <v>0</v>
      </c>
      <c r="E35" s="135">
        <f>IF(C35=0,0,'RMCV.PB'!C35)</f>
        <v>0</v>
      </c>
      <c r="F35" s="135">
        <f t="shared" si="5"/>
        <v>0</v>
      </c>
      <c r="G35" s="246">
        <f>IF(C35=0,0,'RMCS.PB'!L35)</f>
        <v>0</v>
      </c>
      <c r="H35" s="246">
        <f>IF(C35=0,0,'CASTILLOS-PB'!K35)</f>
        <v>0</v>
      </c>
      <c r="I35" s="144">
        <f t="shared" si="6"/>
        <v>0</v>
      </c>
      <c r="J35" s="144">
        <f t="shared" si="7"/>
        <v>0</v>
      </c>
      <c r="K35" s="149">
        <f t="shared" si="8"/>
        <v>0</v>
      </c>
      <c r="L35" s="144">
        <f t="shared" si="9"/>
        <v>0</v>
      </c>
      <c r="M35" s="147">
        <f t="shared" si="10"/>
        <v>0</v>
      </c>
      <c r="N35" s="246">
        <f t="shared" si="20"/>
        <v>0</v>
      </c>
      <c r="O35" s="246">
        <f t="shared" si="11"/>
        <v>0</v>
      </c>
      <c r="P35" s="246">
        <f t="shared" si="12"/>
        <v>0</v>
      </c>
      <c r="Q35" s="246">
        <f t="shared" si="13"/>
        <v>0</v>
      </c>
      <c r="R35" s="246">
        <f t="shared" si="14"/>
        <v>0</v>
      </c>
      <c r="S35" s="145">
        <f t="shared" si="15"/>
        <v>0</v>
      </c>
      <c r="T35" s="147">
        <f t="shared" si="16"/>
        <v>0</v>
      </c>
      <c r="U35" s="802">
        <f t="shared" si="17"/>
        <v>0</v>
      </c>
      <c r="V35" s="147">
        <f t="shared" si="18"/>
        <v>0</v>
      </c>
      <c r="W35" s="832">
        <f t="shared" si="19"/>
        <v>0</v>
      </c>
      <c r="X35" s="135">
        <f t="shared" si="4"/>
        <v>0</v>
      </c>
    </row>
    <row r="36" spans="1:24">
      <c r="A36" s="777">
        <f>'CG. MPB'!A37</f>
        <v>8</v>
      </c>
      <c r="B36" s="801">
        <v>15</v>
      </c>
      <c r="C36" s="246">
        <f>IF('CG. MPB'!E37="CONCRETO",'RMCV.PB'!B36,0)</f>
        <v>0</v>
      </c>
      <c r="D36" s="135">
        <f>IF(C36=0,0,'CG. MPB'!C37*100)</f>
        <v>0</v>
      </c>
      <c r="E36" s="135">
        <f>IF(C36=0,0,'RMCV.PB'!C36)</f>
        <v>0</v>
      </c>
      <c r="F36" s="135">
        <f t="shared" si="5"/>
        <v>0</v>
      </c>
      <c r="G36" s="246">
        <f>IF(C36=0,0,'RMCS.PB'!L36)</f>
        <v>0</v>
      </c>
      <c r="H36" s="246">
        <f>IF(C36=0,0,'CASTILLOS-PB'!K36)</f>
        <v>0</v>
      </c>
      <c r="I36" s="144">
        <f t="shared" si="6"/>
        <v>0</v>
      </c>
      <c r="J36" s="144">
        <f t="shared" si="7"/>
        <v>0</v>
      </c>
      <c r="K36" s="149">
        <f t="shared" si="8"/>
        <v>0</v>
      </c>
      <c r="L36" s="144">
        <f t="shared" si="9"/>
        <v>0</v>
      </c>
      <c r="M36" s="147">
        <f t="shared" si="10"/>
        <v>0</v>
      </c>
      <c r="N36" s="246">
        <f t="shared" si="20"/>
        <v>0</v>
      </c>
      <c r="O36" s="246">
        <f t="shared" si="11"/>
        <v>0</v>
      </c>
      <c r="P36" s="246">
        <f t="shared" si="12"/>
        <v>0</v>
      </c>
      <c r="Q36" s="246">
        <f t="shared" si="13"/>
        <v>0</v>
      </c>
      <c r="R36" s="246">
        <f t="shared" si="14"/>
        <v>0</v>
      </c>
      <c r="S36" s="145">
        <f t="shared" si="15"/>
        <v>0</v>
      </c>
      <c r="T36" s="147">
        <f t="shared" si="16"/>
        <v>0</v>
      </c>
      <c r="U36" s="802">
        <f t="shared" si="17"/>
        <v>0</v>
      </c>
      <c r="V36" s="147">
        <f t="shared" si="18"/>
        <v>0</v>
      </c>
      <c r="W36" s="832">
        <f t="shared" si="19"/>
        <v>0</v>
      </c>
      <c r="X36" s="135">
        <f t="shared" si="4"/>
        <v>0</v>
      </c>
    </row>
    <row r="37" spans="1:24" ht="15.75" thickBot="1">
      <c r="A37" s="777">
        <f>'CG. MPB'!A38</f>
        <v>9</v>
      </c>
      <c r="B37" s="801">
        <v>15</v>
      </c>
      <c r="C37" s="246">
        <f>IF('CG. MPB'!E38="CONCRETO",'RMCV.PB'!B37,0)</f>
        <v>0</v>
      </c>
      <c r="D37" s="135">
        <f>IF(C37=0,0,'CG. MPB'!C38*100)</f>
        <v>0</v>
      </c>
      <c r="E37" s="135">
        <f>IF(C37=0,0,'RMCV.PB'!C37)</f>
        <v>0</v>
      </c>
      <c r="F37" s="135">
        <f t="shared" si="5"/>
        <v>0</v>
      </c>
      <c r="G37" s="246">
        <f>IF(C37=0,0,'RMCS.PB'!L37)</f>
        <v>0</v>
      </c>
      <c r="H37" s="246">
        <f>IF(C37=0,0,'CASTILLOS-PB'!K37)</f>
        <v>0</v>
      </c>
      <c r="I37" s="144">
        <f t="shared" si="6"/>
        <v>0</v>
      </c>
      <c r="J37" s="144">
        <f t="shared" si="7"/>
        <v>0</v>
      </c>
      <c r="K37" s="149">
        <f t="shared" si="8"/>
        <v>0</v>
      </c>
      <c r="L37" s="144">
        <f t="shared" si="9"/>
        <v>0</v>
      </c>
      <c r="M37" s="147">
        <f t="shared" si="10"/>
        <v>0</v>
      </c>
      <c r="N37" s="246">
        <f t="shared" si="20"/>
        <v>0</v>
      </c>
      <c r="O37" s="246">
        <f t="shared" si="11"/>
        <v>0</v>
      </c>
      <c r="P37" s="246">
        <f t="shared" si="12"/>
        <v>0</v>
      </c>
      <c r="Q37" s="246">
        <f t="shared" si="13"/>
        <v>0</v>
      </c>
      <c r="R37" s="246">
        <f t="shared" si="14"/>
        <v>0</v>
      </c>
      <c r="S37" s="145">
        <f t="shared" si="15"/>
        <v>0</v>
      </c>
      <c r="T37" s="147">
        <f t="shared" si="16"/>
        <v>0</v>
      </c>
      <c r="U37" s="802">
        <f t="shared" si="17"/>
        <v>0</v>
      </c>
      <c r="V37" s="147">
        <f t="shared" si="18"/>
        <v>0</v>
      </c>
      <c r="W37" s="832">
        <f t="shared" si="19"/>
        <v>0</v>
      </c>
      <c r="X37" s="135">
        <f t="shared" si="4"/>
        <v>0</v>
      </c>
    </row>
    <row r="38" spans="1:24" hidden="1">
      <c r="A38" s="777">
        <f>'CG. MPB'!A39</f>
        <v>10</v>
      </c>
      <c r="B38" s="801">
        <v>15</v>
      </c>
      <c r="C38" s="246">
        <f>IF('CG. MPB'!E39="CONCRETO",'RMCV.PB'!B38,0)</f>
        <v>0</v>
      </c>
      <c r="D38" s="135">
        <f>IF(C38=0,0,'CG. MPB'!C39*100)</f>
        <v>0</v>
      </c>
      <c r="E38" s="135">
        <f>IF(C38=0,0,'RMCV.PB'!C38)</f>
        <v>0</v>
      </c>
      <c r="F38" s="135">
        <f t="shared" si="5"/>
        <v>0</v>
      </c>
      <c r="G38" s="246">
        <f>IF(C38=0,0,'RMCS.PB'!L38)</f>
        <v>0</v>
      </c>
      <c r="H38" s="246">
        <f>IF(C38=0,0,'CASTILLOS-PB'!K38)</f>
        <v>0</v>
      </c>
      <c r="I38" s="144">
        <f t="shared" si="6"/>
        <v>0</v>
      </c>
      <c r="J38" s="144">
        <f t="shared" si="7"/>
        <v>0</v>
      </c>
      <c r="K38" s="149">
        <f t="shared" si="8"/>
        <v>0</v>
      </c>
      <c r="L38" s="144">
        <f t="shared" si="9"/>
        <v>0</v>
      </c>
      <c r="M38" s="147">
        <f t="shared" si="10"/>
        <v>0</v>
      </c>
      <c r="N38" s="246">
        <f t="shared" si="20"/>
        <v>0</v>
      </c>
      <c r="O38" s="246">
        <f t="shared" si="11"/>
        <v>0</v>
      </c>
      <c r="P38" s="246">
        <f t="shared" si="12"/>
        <v>0</v>
      </c>
      <c r="Q38" s="246">
        <f t="shared" si="13"/>
        <v>0</v>
      </c>
      <c r="R38" s="246">
        <f t="shared" si="14"/>
        <v>0</v>
      </c>
      <c r="S38" s="145">
        <f t="shared" si="15"/>
        <v>0</v>
      </c>
      <c r="T38" s="147">
        <f t="shared" si="16"/>
        <v>0</v>
      </c>
      <c r="U38" s="802">
        <f t="shared" si="17"/>
        <v>0</v>
      </c>
      <c r="V38" s="147">
        <f t="shared" si="18"/>
        <v>0</v>
      </c>
      <c r="W38" s="832">
        <f t="shared" si="19"/>
        <v>0</v>
      </c>
      <c r="X38" s="135">
        <f t="shared" si="4"/>
        <v>0</v>
      </c>
    </row>
    <row r="39" spans="1:24" hidden="1">
      <c r="A39" s="777">
        <f>'CG. MPB'!A40</f>
        <v>11</v>
      </c>
      <c r="B39" s="801">
        <v>20</v>
      </c>
      <c r="C39" s="246">
        <f>IF('CG. MPB'!E40="CONCRETO",'RMCV.PB'!B39,0)</f>
        <v>0</v>
      </c>
      <c r="D39" s="135">
        <f>IF(C39=0,0,'CG. MPB'!C40*100)</f>
        <v>0</v>
      </c>
      <c r="E39" s="135">
        <f>IF(C39=0,0,'RMCV.PB'!C39)</f>
        <v>0</v>
      </c>
      <c r="F39" s="135">
        <f t="shared" si="5"/>
        <v>0</v>
      </c>
      <c r="G39" s="246">
        <f>IF(C39=0,0,'RMCS.PB'!L39)</f>
        <v>0</v>
      </c>
      <c r="H39" s="246">
        <f>IF(C39=0,0,'CASTILLOS-PB'!K39)</f>
        <v>0</v>
      </c>
      <c r="I39" s="144">
        <f t="shared" si="6"/>
        <v>0</v>
      </c>
      <c r="J39" s="144">
        <f t="shared" si="7"/>
        <v>0</v>
      </c>
      <c r="K39" s="149">
        <f t="shared" si="8"/>
        <v>0</v>
      </c>
      <c r="L39" s="144">
        <f t="shared" si="9"/>
        <v>0</v>
      </c>
      <c r="M39" s="147">
        <f t="shared" si="10"/>
        <v>0</v>
      </c>
      <c r="N39" s="246">
        <f t="shared" si="20"/>
        <v>0</v>
      </c>
      <c r="O39" s="246">
        <f t="shared" si="11"/>
        <v>0</v>
      </c>
      <c r="P39" s="246">
        <f t="shared" si="12"/>
        <v>0</v>
      </c>
      <c r="Q39" s="246">
        <f t="shared" si="13"/>
        <v>0</v>
      </c>
      <c r="R39" s="246">
        <f t="shared" si="14"/>
        <v>0</v>
      </c>
      <c r="S39" s="145">
        <f t="shared" si="15"/>
        <v>0</v>
      </c>
      <c r="T39" s="147">
        <f t="shared" si="16"/>
        <v>0</v>
      </c>
      <c r="U39" s="802">
        <f t="shared" si="17"/>
        <v>0</v>
      </c>
      <c r="V39" s="147">
        <f t="shared" si="18"/>
        <v>0</v>
      </c>
      <c r="W39" s="832">
        <f t="shared" si="19"/>
        <v>0</v>
      </c>
      <c r="X39" s="135">
        <f t="shared" si="4"/>
        <v>0</v>
      </c>
    </row>
    <row r="40" spans="1:24" hidden="1">
      <c r="A40" s="777">
        <f>'CG. MPB'!A41</f>
        <v>12</v>
      </c>
      <c r="B40" s="801">
        <v>15</v>
      </c>
      <c r="C40" s="246">
        <f>IF('CG. MPB'!E41="CONCRETO",'RMCV.PB'!B40,0)</f>
        <v>0</v>
      </c>
      <c r="D40" s="135">
        <f>IF(C40=0,0,'CG. MPB'!C41*100)</f>
        <v>0</v>
      </c>
      <c r="E40" s="135">
        <f>IF(C40=0,0,'RMCV.PB'!C40)</f>
        <v>0</v>
      </c>
      <c r="F40" s="135">
        <f t="shared" si="5"/>
        <v>0</v>
      </c>
      <c r="G40" s="246">
        <f>IF(C40=0,0,'RMCS.PB'!L40)</f>
        <v>0</v>
      </c>
      <c r="H40" s="246">
        <f>IF(C40=0,0,'CASTILLOS-PB'!K40)</f>
        <v>0</v>
      </c>
      <c r="I40" s="144">
        <f t="shared" si="6"/>
        <v>0</v>
      </c>
      <c r="J40" s="144">
        <f t="shared" si="7"/>
        <v>0</v>
      </c>
      <c r="K40" s="149">
        <f t="shared" si="8"/>
        <v>0</v>
      </c>
      <c r="L40" s="144">
        <f t="shared" si="9"/>
        <v>0</v>
      </c>
      <c r="M40" s="147">
        <f t="shared" si="10"/>
        <v>0</v>
      </c>
      <c r="N40" s="246">
        <f t="shared" si="20"/>
        <v>0</v>
      </c>
      <c r="O40" s="246">
        <f t="shared" si="11"/>
        <v>0</v>
      </c>
      <c r="P40" s="246">
        <f t="shared" si="12"/>
        <v>0</v>
      </c>
      <c r="Q40" s="246">
        <f t="shared" si="13"/>
        <v>0</v>
      </c>
      <c r="R40" s="246">
        <f t="shared" si="14"/>
        <v>0</v>
      </c>
      <c r="S40" s="145">
        <f t="shared" si="15"/>
        <v>0</v>
      </c>
      <c r="T40" s="147">
        <f t="shared" si="16"/>
        <v>0</v>
      </c>
      <c r="U40" s="802">
        <f t="shared" si="17"/>
        <v>0</v>
      </c>
      <c r="V40" s="147">
        <f t="shared" si="18"/>
        <v>0</v>
      </c>
      <c r="W40" s="832">
        <f t="shared" si="19"/>
        <v>0</v>
      </c>
      <c r="X40" s="135">
        <f t="shared" si="4"/>
        <v>0</v>
      </c>
    </row>
    <row r="41" spans="1:24" hidden="1">
      <c r="A41" s="777">
        <f>'CG. MPB'!A42</f>
        <v>13</v>
      </c>
      <c r="B41" s="801">
        <v>15</v>
      </c>
      <c r="C41" s="246">
        <f>IF('CG. MPB'!E42="CONCRETO",'RMCV.PB'!B41,0)</f>
        <v>0</v>
      </c>
      <c r="D41" s="135">
        <f>IF(C41=0,0,'CG. MPB'!C42*100)</f>
        <v>0</v>
      </c>
      <c r="E41" s="135">
        <f>IF(C41=0,0,'RMCV.PB'!C41)</f>
        <v>0</v>
      </c>
      <c r="F41" s="135">
        <f t="shared" si="5"/>
        <v>0</v>
      </c>
      <c r="G41" s="246">
        <f>IF(C41=0,0,'RMCS.PB'!L41)</f>
        <v>0</v>
      </c>
      <c r="H41" s="246">
        <f>IF(C41=0,0,'CASTILLOS-PB'!K41)</f>
        <v>0</v>
      </c>
      <c r="I41" s="144">
        <f t="shared" si="6"/>
        <v>0</v>
      </c>
      <c r="J41" s="144">
        <f t="shared" si="7"/>
        <v>0</v>
      </c>
      <c r="K41" s="149">
        <f t="shared" si="8"/>
        <v>0</v>
      </c>
      <c r="L41" s="144">
        <f t="shared" si="9"/>
        <v>0</v>
      </c>
      <c r="M41" s="147">
        <f t="shared" si="10"/>
        <v>0</v>
      </c>
      <c r="N41" s="246">
        <f t="shared" si="20"/>
        <v>0</v>
      </c>
      <c r="O41" s="246">
        <f t="shared" si="11"/>
        <v>0</v>
      </c>
      <c r="P41" s="246">
        <f t="shared" si="12"/>
        <v>0</v>
      </c>
      <c r="Q41" s="246">
        <f t="shared" si="13"/>
        <v>0</v>
      </c>
      <c r="R41" s="246">
        <f t="shared" si="14"/>
        <v>0</v>
      </c>
      <c r="S41" s="145">
        <f t="shared" si="15"/>
        <v>0</v>
      </c>
      <c r="T41" s="147">
        <f t="shared" si="16"/>
        <v>0</v>
      </c>
      <c r="U41" s="802">
        <f t="shared" si="17"/>
        <v>0</v>
      </c>
      <c r="V41" s="147">
        <f t="shared" si="18"/>
        <v>0</v>
      </c>
      <c r="W41" s="832">
        <f t="shared" si="19"/>
        <v>0</v>
      </c>
      <c r="X41" s="135">
        <f t="shared" si="4"/>
        <v>0</v>
      </c>
    </row>
    <row r="42" spans="1:24" hidden="1">
      <c r="A42" s="777">
        <f>'CG. MPB'!A43</f>
        <v>14</v>
      </c>
      <c r="B42" s="801">
        <v>15</v>
      </c>
      <c r="C42" s="246">
        <f>IF('CG. MPB'!E43="CONCRETO",'RMCV.PB'!B42,0)</f>
        <v>0</v>
      </c>
      <c r="D42" s="135">
        <f>IF(C42=0,0,'CG. MPB'!C43*100)</f>
        <v>0</v>
      </c>
      <c r="E42" s="135">
        <f>IF(C42=0,0,'RMCV.PB'!C42)</f>
        <v>0</v>
      </c>
      <c r="F42" s="135">
        <f t="shared" si="5"/>
        <v>0</v>
      </c>
      <c r="G42" s="246">
        <f>IF(C42=0,0,'RMCS.PB'!L42)</f>
        <v>0</v>
      </c>
      <c r="H42" s="246">
        <f>IF(C42=0,0,'CASTILLOS-PB'!K42)</f>
        <v>0</v>
      </c>
      <c r="I42" s="144">
        <f t="shared" si="6"/>
        <v>0</v>
      </c>
      <c r="J42" s="144">
        <f t="shared" si="7"/>
        <v>0</v>
      </c>
      <c r="K42" s="149">
        <f t="shared" si="8"/>
        <v>0</v>
      </c>
      <c r="L42" s="144">
        <f t="shared" si="9"/>
        <v>0</v>
      </c>
      <c r="M42" s="147">
        <f t="shared" si="10"/>
        <v>0</v>
      </c>
      <c r="N42" s="246">
        <f t="shared" si="20"/>
        <v>0</v>
      </c>
      <c r="O42" s="246">
        <f t="shared" si="11"/>
        <v>0</v>
      </c>
      <c r="P42" s="246">
        <f t="shared" si="12"/>
        <v>0</v>
      </c>
      <c r="Q42" s="246">
        <f t="shared" si="13"/>
        <v>0</v>
      </c>
      <c r="R42" s="246">
        <f t="shared" si="14"/>
        <v>0</v>
      </c>
      <c r="S42" s="145">
        <f t="shared" si="15"/>
        <v>0</v>
      </c>
      <c r="T42" s="147">
        <f t="shared" si="16"/>
        <v>0</v>
      </c>
      <c r="U42" s="802">
        <f t="shared" si="17"/>
        <v>0</v>
      </c>
      <c r="V42" s="147">
        <f t="shared" si="18"/>
        <v>0</v>
      </c>
      <c r="W42" s="832">
        <f t="shared" si="19"/>
        <v>0</v>
      </c>
      <c r="X42" s="135">
        <f t="shared" si="4"/>
        <v>0</v>
      </c>
    </row>
    <row r="43" spans="1:24" hidden="1">
      <c r="A43" s="777">
        <f>'CG. MPB'!A44</f>
        <v>15</v>
      </c>
      <c r="B43" s="801">
        <v>45</v>
      </c>
      <c r="C43" s="246">
        <f>IF('CG. MPB'!E44="CONCRETO",'RMCV.PB'!B43,0)</f>
        <v>0</v>
      </c>
      <c r="D43" s="135">
        <f>IF(C43=0,0,'CG. MPB'!C44*100)</f>
        <v>0</v>
      </c>
      <c r="E43" s="135">
        <f>IF(C43=0,0,'RMCV.PB'!C43)</f>
        <v>0</v>
      </c>
      <c r="F43" s="135">
        <f t="shared" si="5"/>
        <v>0</v>
      </c>
      <c r="G43" s="246">
        <f>IF(C43=0,0,'RMCS.PB'!L43)</f>
        <v>0</v>
      </c>
      <c r="H43" s="246">
        <f>IF(C43=0,0,'CASTILLOS-PB'!K43)</f>
        <v>0</v>
      </c>
      <c r="I43" s="144">
        <f t="shared" si="6"/>
        <v>0</v>
      </c>
      <c r="J43" s="144">
        <f t="shared" si="7"/>
        <v>0</v>
      </c>
      <c r="K43" s="149">
        <f t="shared" si="8"/>
        <v>0</v>
      </c>
      <c r="L43" s="144">
        <f t="shared" si="9"/>
        <v>0</v>
      </c>
      <c r="M43" s="147">
        <f t="shared" si="10"/>
        <v>0</v>
      </c>
      <c r="N43" s="246">
        <f t="shared" si="20"/>
        <v>0</v>
      </c>
      <c r="O43" s="246">
        <f t="shared" si="11"/>
        <v>0</v>
      </c>
      <c r="P43" s="246">
        <f t="shared" si="12"/>
        <v>0</v>
      </c>
      <c r="Q43" s="246">
        <f t="shared" si="13"/>
        <v>0</v>
      </c>
      <c r="R43" s="246">
        <f t="shared" si="14"/>
        <v>0</v>
      </c>
      <c r="S43" s="145">
        <f t="shared" si="15"/>
        <v>0</v>
      </c>
      <c r="T43" s="147">
        <f t="shared" si="16"/>
        <v>0</v>
      </c>
      <c r="U43" s="802">
        <f t="shared" si="17"/>
        <v>0</v>
      </c>
      <c r="V43" s="147">
        <f t="shared" si="18"/>
        <v>0</v>
      </c>
      <c r="W43" s="832">
        <f t="shared" si="19"/>
        <v>0</v>
      </c>
      <c r="X43" s="135">
        <f t="shared" si="4"/>
        <v>0</v>
      </c>
    </row>
    <row r="44" spans="1:24" hidden="1">
      <c r="A44" s="777">
        <f>'CG. MPB'!A45</f>
        <v>16</v>
      </c>
      <c r="B44" s="801">
        <v>15</v>
      </c>
      <c r="C44" s="246">
        <f>IF('CG. MPB'!E45="CONCRETO",'RMCV.PB'!B44,0)</f>
        <v>0</v>
      </c>
      <c r="D44" s="135">
        <f>IF(C44=0,0,'CG. MPB'!C45*100)</f>
        <v>0</v>
      </c>
      <c r="E44" s="135">
        <f>IF(C44=0,0,'RMCV.PB'!C44)</f>
        <v>0</v>
      </c>
      <c r="F44" s="135">
        <f t="shared" si="5"/>
        <v>0</v>
      </c>
      <c r="G44" s="246">
        <f>IF(C44=0,0,'RMCS.PB'!L44)</f>
        <v>0</v>
      </c>
      <c r="H44" s="246">
        <f>IF(C44=0,0,'CASTILLOS-PB'!K44)</f>
        <v>0</v>
      </c>
      <c r="I44" s="144">
        <f t="shared" si="6"/>
        <v>0</v>
      </c>
      <c r="J44" s="144">
        <f t="shared" si="7"/>
        <v>0</v>
      </c>
      <c r="K44" s="149">
        <f t="shared" si="8"/>
        <v>0</v>
      </c>
      <c r="L44" s="144">
        <f t="shared" si="9"/>
        <v>0</v>
      </c>
      <c r="M44" s="147">
        <f t="shared" si="10"/>
        <v>0</v>
      </c>
      <c r="N44" s="246">
        <f t="shared" si="20"/>
        <v>0</v>
      </c>
      <c r="O44" s="246">
        <f t="shared" si="11"/>
        <v>0</v>
      </c>
      <c r="P44" s="246">
        <f t="shared" si="12"/>
        <v>0</v>
      </c>
      <c r="Q44" s="246">
        <f t="shared" si="13"/>
        <v>0</v>
      </c>
      <c r="R44" s="246">
        <f t="shared" si="14"/>
        <v>0</v>
      </c>
      <c r="S44" s="145">
        <f t="shared" si="15"/>
        <v>0</v>
      </c>
      <c r="T44" s="147">
        <f t="shared" si="16"/>
        <v>0</v>
      </c>
      <c r="U44" s="802">
        <f t="shared" si="17"/>
        <v>0</v>
      </c>
      <c r="V44" s="147">
        <f t="shared" si="18"/>
        <v>0</v>
      </c>
      <c r="W44" s="832">
        <f t="shared" si="19"/>
        <v>0</v>
      </c>
      <c r="X44" s="135">
        <f t="shared" si="4"/>
        <v>0</v>
      </c>
    </row>
    <row r="45" spans="1:24" hidden="1">
      <c r="A45" s="777">
        <f>'CG. MPB'!A46</f>
        <v>17</v>
      </c>
      <c r="B45" s="801">
        <v>15</v>
      </c>
      <c r="C45" s="246">
        <f>IF('CG. MPB'!E46="CONCRETO",'RMCV.PB'!B45,0)</f>
        <v>0</v>
      </c>
      <c r="D45" s="135">
        <f>IF(C45=0,0,'CG. MPB'!C46*100)</f>
        <v>0</v>
      </c>
      <c r="E45" s="135">
        <f>IF(C45=0,0,'RMCV.PB'!C45)</f>
        <v>0</v>
      </c>
      <c r="F45" s="135">
        <f t="shared" si="5"/>
        <v>0</v>
      </c>
      <c r="G45" s="246">
        <f>IF(C45=0,0,'RMCS.PB'!L45)</f>
        <v>0</v>
      </c>
      <c r="H45" s="246">
        <f>IF(C45=0,0,'CASTILLOS-PB'!K45)</f>
        <v>0</v>
      </c>
      <c r="I45" s="144">
        <f t="shared" si="6"/>
        <v>0</v>
      </c>
      <c r="J45" s="144">
        <f t="shared" si="7"/>
        <v>0</v>
      </c>
      <c r="K45" s="149">
        <f t="shared" si="8"/>
        <v>0</v>
      </c>
      <c r="L45" s="144">
        <f t="shared" si="9"/>
        <v>0</v>
      </c>
      <c r="M45" s="147">
        <f t="shared" si="10"/>
        <v>0</v>
      </c>
      <c r="N45" s="246">
        <f t="shared" si="20"/>
        <v>0</v>
      </c>
      <c r="O45" s="246">
        <f t="shared" si="11"/>
        <v>0</v>
      </c>
      <c r="P45" s="246">
        <f t="shared" si="12"/>
        <v>0</v>
      </c>
      <c r="Q45" s="246">
        <f t="shared" si="13"/>
        <v>0</v>
      </c>
      <c r="R45" s="246">
        <f t="shared" si="14"/>
        <v>0</v>
      </c>
      <c r="S45" s="145">
        <f t="shared" si="15"/>
        <v>0</v>
      </c>
      <c r="T45" s="147">
        <f t="shared" si="16"/>
        <v>0</v>
      </c>
      <c r="U45" s="802">
        <f t="shared" si="17"/>
        <v>0</v>
      </c>
      <c r="V45" s="147">
        <f t="shared" si="18"/>
        <v>0</v>
      </c>
      <c r="W45" s="832">
        <f t="shared" si="19"/>
        <v>0</v>
      </c>
      <c r="X45" s="135">
        <f t="shared" si="4"/>
        <v>0</v>
      </c>
    </row>
    <row r="46" spans="1:24" hidden="1">
      <c r="A46" s="777">
        <f>'CG. MPB'!A47</f>
        <v>18</v>
      </c>
      <c r="B46" s="801">
        <v>15</v>
      </c>
      <c r="C46" s="246">
        <f>IF('CG. MPB'!E47="CONCRETO",'RMCV.PB'!B46,0)</f>
        <v>0</v>
      </c>
      <c r="D46" s="135">
        <f>IF(C46=0,0,'CG. MPB'!C47*100)</f>
        <v>0</v>
      </c>
      <c r="E46" s="135">
        <f>IF(C46=0,0,'RMCV.PB'!C46)</f>
        <v>0</v>
      </c>
      <c r="F46" s="135">
        <f t="shared" si="5"/>
        <v>0</v>
      </c>
      <c r="G46" s="246">
        <f>IF(C46=0,0,'RMCS.PB'!L46)</f>
        <v>0</v>
      </c>
      <c r="H46" s="246">
        <f>IF(C46=0,0,'CASTILLOS-PB'!K46)</f>
        <v>0</v>
      </c>
      <c r="I46" s="144">
        <f t="shared" si="6"/>
        <v>0</v>
      </c>
      <c r="J46" s="144">
        <f t="shared" si="7"/>
        <v>0</v>
      </c>
      <c r="K46" s="149">
        <f t="shared" si="8"/>
        <v>0</v>
      </c>
      <c r="L46" s="144">
        <f t="shared" si="9"/>
        <v>0</v>
      </c>
      <c r="M46" s="147">
        <f t="shared" si="10"/>
        <v>0</v>
      </c>
      <c r="N46" s="246">
        <f t="shared" si="20"/>
        <v>0</v>
      </c>
      <c r="O46" s="246">
        <f t="shared" si="11"/>
        <v>0</v>
      </c>
      <c r="P46" s="246">
        <f t="shared" si="12"/>
        <v>0</v>
      </c>
      <c r="Q46" s="246">
        <f t="shared" si="13"/>
        <v>0</v>
      </c>
      <c r="R46" s="246">
        <f t="shared" si="14"/>
        <v>0</v>
      </c>
      <c r="S46" s="145">
        <f t="shared" si="15"/>
        <v>0</v>
      </c>
      <c r="T46" s="147">
        <f t="shared" si="16"/>
        <v>0</v>
      </c>
      <c r="U46" s="802">
        <f t="shared" si="17"/>
        <v>0</v>
      </c>
      <c r="V46" s="147">
        <f t="shared" si="18"/>
        <v>0</v>
      </c>
      <c r="W46" s="832">
        <f t="shared" si="19"/>
        <v>0</v>
      </c>
      <c r="X46" s="135">
        <f t="shared" si="4"/>
        <v>0</v>
      </c>
    </row>
    <row r="47" spans="1:24" hidden="1">
      <c r="A47" s="777">
        <f>'CG. MPB'!A48</f>
        <v>19</v>
      </c>
      <c r="B47" s="801">
        <v>30</v>
      </c>
      <c r="C47" s="246">
        <f>IF('CG. MPB'!E48="CONCRETO",'RMCV.PB'!B47,0)</f>
        <v>0</v>
      </c>
      <c r="D47" s="135">
        <f>IF(C47=0,0,'CG. MPB'!C48*100)</f>
        <v>0</v>
      </c>
      <c r="E47" s="135">
        <f>IF(C47=0,0,'RMCV.PB'!C47)</f>
        <v>0</v>
      </c>
      <c r="F47" s="135">
        <f t="shared" si="5"/>
        <v>0</v>
      </c>
      <c r="G47" s="246">
        <f>IF(C47=0,0,'RMCS.PB'!L47)</f>
        <v>0</v>
      </c>
      <c r="H47" s="246">
        <f>IF(C47=0,0,'CASTILLOS-PB'!K47)</f>
        <v>0</v>
      </c>
      <c r="I47" s="144">
        <f t="shared" si="6"/>
        <v>0</v>
      </c>
      <c r="J47" s="144">
        <f t="shared" si="7"/>
        <v>0</v>
      </c>
      <c r="K47" s="149">
        <f t="shared" si="8"/>
        <v>0</v>
      </c>
      <c r="L47" s="144">
        <f t="shared" si="9"/>
        <v>0</v>
      </c>
      <c r="M47" s="147">
        <f t="shared" si="10"/>
        <v>0</v>
      </c>
      <c r="N47" s="246">
        <f t="shared" si="20"/>
        <v>0</v>
      </c>
      <c r="O47" s="246">
        <f t="shared" si="11"/>
        <v>0</v>
      </c>
      <c r="P47" s="246">
        <f t="shared" si="12"/>
        <v>0</v>
      </c>
      <c r="Q47" s="246">
        <f t="shared" si="13"/>
        <v>0</v>
      </c>
      <c r="R47" s="246">
        <f t="shared" si="14"/>
        <v>0</v>
      </c>
      <c r="S47" s="145">
        <f t="shared" si="15"/>
        <v>0</v>
      </c>
      <c r="T47" s="147">
        <f t="shared" si="16"/>
        <v>0</v>
      </c>
      <c r="U47" s="802">
        <f t="shared" si="17"/>
        <v>0</v>
      </c>
      <c r="V47" s="147">
        <f t="shared" si="18"/>
        <v>0</v>
      </c>
      <c r="W47" s="832">
        <f t="shared" si="19"/>
        <v>0</v>
      </c>
      <c r="X47" s="135">
        <f t="shared" si="4"/>
        <v>0</v>
      </c>
    </row>
    <row r="48" spans="1:24" hidden="1">
      <c r="A48" s="777">
        <f>'CG. MPB'!A49</f>
        <v>20</v>
      </c>
      <c r="B48" s="801">
        <v>30</v>
      </c>
      <c r="C48" s="246">
        <f>IF('CG. MPB'!E49="CONCRETO",'RMCV.PB'!B48,0)</f>
        <v>0</v>
      </c>
      <c r="D48" s="135">
        <f>IF(C48=0,0,'CG. MPB'!C49*100)</f>
        <v>0</v>
      </c>
      <c r="E48" s="135">
        <f>IF(C48=0,0,'RMCV.PB'!C48)</f>
        <v>0</v>
      </c>
      <c r="F48" s="135">
        <f t="shared" si="5"/>
        <v>0</v>
      </c>
      <c r="G48" s="246">
        <f>IF(C48=0,0,'RMCS.PB'!L48)</f>
        <v>0</v>
      </c>
      <c r="H48" s="246">
        <f>IF(C48=0,0,'CASTILLOS-PB'!K48)</f>
        <v>0</v>
      </c>
      <c r="I48" s="144">
        <f t="shared" si="6"/>
        <v>0</v>
      </c>
      <c r="J48" s="144">
        <f t="shared" si="7"/>
        <v>0</v>
      </c>
      <c r="K48" s="149">
        <f t="shared" si="8"/>
        <v>0</v>
      </c>
      <c r="L48" s="144">
        <f t="shared" si="9"/>
        <v>0</v>
      </c>
      <c r="M48" s="147">
        <f t="shared" si="10"/>
        <v>0</v>
      </c>
      <c r="N48" s="246">
        <f t="shared" si="20"/>
        <v>0</v>
      </c>
      <c r="O48" s="246">
        <f t="shared" si="11"/>
        <v>0</v>
      </c>
      <c r="P48" s="246">
        <f t="shared" si="12"/>
        <v>0</v>
      </c>
      <c r="Q48" s="246">
        <f t="shared" si="13"/>
        <v>0</v>
      </c>
      <c r="R48" s="246">
        <f t="shared" si="14"/>
        <v>0</v>
      </c>
      <c r="S48" s="145">
        <f t="shared" si="15"/>
        <v>0</v>
      </c>
      <c r="T48" s="147">
        <f t="shared" si="16"/>
        <v>0</v>
      </c>
      <c r="U48" s="802">
        <f t="shared" si="17"/>
        <v>0</v>
      </c>
      <c r="V48" s="147">
        <f t="shared" si="18"/>
        <v>0</v>
      </c>
      <c r="W48" s="832">
        <f t="shared" si="19"/>
        <v>0</v>
      </c>
      <c r="X48" s="135">
        <f t="shared" si="4"/>
        <v>0</v>
      </c>
    </row>
    <row r="49" spans="1:24" hidden="1">
      <c r="A49" s="777">
        <f>'CG. MPB'!A50</f>
        <v>21</v>
      </c>
      <c r="B49" s="801">
        <v>15</v>
      </c>
      <c r="C49" s="246">
        <f>IF('CG. MPB'!E50="CONCRETO",'RMCV.PB'!B49,0)</f>
        <v>0</v>
      </c>
      <c r="D49" s="135">
        <f>IF(C49=0,0,'CG. MPB'!C50*100)</f>
        <v>0</v>
      </c>
      <c r="E49" s="135">
        <f>IF(C49=0,0,'RMCV.PB'!C49)</f>
        <v>0</v>
      </c>
      <c r="F49" s="135">
        <f t="shared" si="5"/>
        <v>0</v>
      </c>
      <c r="G49" s="246">
        <f>IF(C49=0,0,'RMCS.PB'!L49)</f>
        <v>0</v>
      </c>
      <c r="H49" s="246">
        <f>IF(C49=0,0,'CASTILLOS-PB'!K49)</f>
        <v>0</v>
      </c>
      <c r="I49" s="144">
        <f t="shared" si="6"/>
        <v>0</v>
      </c>
      <c r="J49" s="144">
        <f t="shared" si="7"/>
        <v>0</v>
      </c>
      <c r="K49" s="149">
        <f t="shared" si="8"/>
        <v>0</v>
      </c>
      <c r="L49" s="144">
        <f t="shared" si="9"/>
        <v>0</v>
      </c>
      <c r="M49" s="147">
        <f t="shared" si="10"/>
        <v>0</v>
      </c>
      <c r="N49" s="246">
        <f t="shared" si="20"/>
        <v>0</v>
      </c>
      <c r="O49" s="246">
        <f t="shared" si="11"/>
        <v>0</v>
      </c>
      <c r="P49" s="246">
        <f t="shared" si="12"/>
        <v>0</v>
      </c>
      <c r="Q49" s="246">
        <f t="shared" si="13"/>
        <v>0</v>
      </c>
      <c r="R49" s="246">
        <f t="shared" si="14"/>
        <v>0</v>
      </c>
      <c r="S49" s="145">
        <f t="shared" si="15"/>
        <v>0</v>
      </c>
      <c r="T49" s="147">
        <f t="shared" si="16"/>
        <v>0</v>
      </c>
      <c r="U49" s="802">
        <f t="shared" si="17"/>
        <v>0</v>
      </c>
      <c r="V49" s="147">
        <f t="shared" si="18"/>
        <v>0</v>
      </c>
      <c r="W49" s="832">
        <f t="shared" si="19"/>
        <v>0</v>
      </c>
      <c r="X49" s="135">
        <f t="shared" si="4"/>
        <v>0</v>
      </c>
    </row>
    <row r="50" spans="1:24" hidden="1">
      <c r="A50" s="777">
        <f>'CG. MPB'!A51</f>
        <v>22</v>
      </c>
      <c r="B50" s="801">
        <v>15</v>
      </c>
      <c r="C50" s="246">
        <f>IF('CG. MPB'!E51="CONCRETO",'RMCV.PB'!B50,0)</f>
        <v>0</v>
      </c>
      <c r="D50" s="135">
        <f>IF(C50=0,0,'CG. MPB'!C51*100)</f>
        <v>0</v>
      </c>
      <c r="E50" s="135">
        <f>IF(C50=0,0,'RMCV.PB'!C50)</f>
        <v>0</v>
      </c>
      <c r="F50" s="135">
        <f t="shared" si="5"/>
        <v>0</v>
      </c>
      <c r="G50" s="246">
        <f>IF(C50=0,0,'RMCS.PB'!L50)</f>
        <v>0</v>
      </c>
      <c r="H50" s="246">
        <f>IF(C50=0,0,'CASTILLOS-PB'!K50)</f>
        <v>0</v>
      </c>
      <c r="I50" s="144">
        <f t="shared" si="6"/>
        <v>0</v>
      </c>
      <c r="J50" s="144">
        <f t="shared" si="7"/>
        <v>0</v>
      </c>
      <c r="K50" s="149">
        <f t="shared" si="8"/>
        <v>0</v>
      </c>
      <c r="L50" s="144">
        <f t="shared" si="9"/>
        <v>0</v>
      </c>
      <c r="M50" s="147">
        <f t="shared" si="10"/>
        <v>0</v>
      </c>
      <c r="N50" s="246">
        <f t="shared" si="20"/>
        <v>0</v>
      </c>
      <c r="O50" s="246">
        <f t="shared" si="11"/>
        <v>0</v>
      </c>
      <c r="P50" s="246">
        <f t="shared" si="12"/>
        <v>0</v>
      </c>
      <c r="Q50" s="246">
        <f t="shared" si="13"/>
        <v>0</v>
      </c>
      <c r="R50" s="246">
        <f t="shared" si="14"/>
        <v>0</v>
      </c>
      <c r="S50" s="145">
        <f t="shared" si="15"/>
        <v>0</v>
      </c>
      <c r="T50" s="147">
        <f t="shared" si="16"/>
        <v>0</v>
      </c>
      <c r="U50" s="802">
        <f t="shared" si="17"/>
        <v>0</v>
      </c>
      <c r="V50" s="147">
        <f t="shared" si="18"/>
        <v>0</v>
      </c>
      <c r="W50" s="832">
        <f t="shared" si="19"/>
        <v>0</v>
      </c>
      <c r="X50" s="135">
        <f t="shared" si="4"/>
        <v>0</v>
      </c>
    </row>
    <row r="51" spans="1:24" hidden="1">
      <c r="A51" s="777">
        <f>'CG. MPB'!A52</f>
        <v>23</v>
      </c>
      <c r="B51" s="801">
        <v>15</v>
      </c>
      <c r="C51" s="246">
        <f>IF('CG. MPB'!E52="CONCRETO",'RMCV.PB'!B51,0)</f>
        <v>0</v>
      </c>
      <c r="D51" s="135">
        <f>IF(C51=0,0,'CG. MPB'!C52*100)</f>
        <v>0</v>
      </c>
      <c r="E51" s="135">
        <f>IF(C51=0,0,'RMCV.PB'!C51)</f>
        <v>0</v>
      </c>
      <c r="F51" s="135">
        <f t="shared" si="5"/>
        <v>0</v>
      </c>
      <c r="G51" s="246">
        <f>IF(C51=0,0,'RMCS.PB'!L51)</f>
        <v>0</v>
      </c>
      <c r="H51" s="246">
        <f>IF(C51=0,0,'CASTILLOS-PB'!K51)</f>
        <v>0</v>
      </c>
      <c r="I51" s="144">
        <f t="shared" si="6"/>
        <v>0</v>
      </c>
      <c r="J51" s="144">
        <f t="shared" si="7"/>
        <v>0</v>
      </c>
      <c r="K51" s="149">
        <f t="shared" si="8"/>
        <v>0</v>
      </c>
      <c r="L51" s="144">
        <f t="shared" si="9"/>
        <v>0</v>
      </c>
      <c r="M51" s="147">
        <f t="shared" si="10"/>
        <v>0</v>
      </c>
      <c r="N51" s="246">
        <f t="shared" si="20"/>
        <v>0</v>
      </c>
      <c r="O51" s="246">
        <f t="shared" si="11"/>
        <v>0</v>
      </c>
      <c r="P51" s="246">
        <f t="shared" si="12"/>
        <v>0</v>
      </c>
      <c r="Q51" s="246">
        <f t="shared" si="13"/>
        <v>0</v>
      </c>
      <c r="R51" s="246">
        <f t="shared" si="14"/>
        <v>0</v>
      </c>
      <c r="S51" s="145">
        <f t="shared" si="15"/>
        <v>0</v>
      </c>
      <c r="T51" s="147">
        <f t="shared" si="16"/>
        <v>0</v>
      </c>
      <c r="U51" s="802">
        <f t="shared" si="17"/>
        <v>0</v>
      </c>
      <c r="V51" s="147">
        <f t="shared" si="18"/>
        <v>0</v>
      </c>
      <c r="W51" s="832">
        <f t="shared" si="19"/>
        <v>0</v>
      </c>
      <c r="X51" s="135">
        <f t="shared" si="4"/>
        <v>0</v>
      </c>
    </row>
    <row r="52" spans="1:24" hidden="1">
      <c r="A52" s="777">
        <f>'CG. MPB'!A53</f>
        <v>24</v>
      </c>
      <c r="B52" s="801">
        <v>15</v>
      </c>
      <c r="C52" s="246">
        <f>IF('CG. MPB'!E53="CONCRETO",'RMCV.PB'!B52,0)</f>
        <v>0</v>
      </c>
      <c r="D52" s="135">
        <f>IF(C52=0,0,'CG. MPB'!C53*100)</f>
        <v>0</v>
      </c>
      <c r="E52" s="135">
        <f>IF(C52=0,0,'RMCV.PB'!C52)</f>
        <v>0</v>
      </c>
      <c r="F52" s="135">
        <f t="shared" si="5"/>
        <v>0</v>
      </c>
      <c r="G52" s="246">
        <f>IF(C52=0,0,'RMCS.PB'!L52)</f>
        <v>0</v>
      </c>
      <c r="H52" s="246">
        <f>IF(C52=0,0,'CASTILLOS-PB'!K52)</f>
        <v>0</v>
      </c>
      <c r="I52" s="144">
        <f t="shared" si="6"/>
        <v>0</v>
      </c>
      <c r="J52" s="144">
        <f t="shared" si="7"/>
        <v>0</v>
      </c>
      <c r="K52" s="149">
        <f t="shared" si="8"/>
        <v>0</v>
      </c>
      <c r="L52" s="144">
        <f t="shared" si="9"/>
        <v>0</v>
      </c>
      <c r="M52" s="147">
        <f t="shared" si="10"/>
        <v>0</v>
      </c>
      <c r="N52" s="246">
        <f t="shared" si="20"/>
        <v>0</v>
      </c>
      <c r="O52" s="246">
        <f t="shared" si="11"/>
        <v>0</v>
      </c>
      <c r="P52" s="246">
        <f t="shared" si="12"/>
        <v>0</v>
      </c>
      <c r="Q52" s="246">
        <f t="shared" si="13"/>
        <v>0</v>
      </c>
      <c r="R52" s="246">
        <f t="shared" si="14"/>
        <v>0</v>
      </c>
      <c r="S52" s="145">
        <f t="shared" si="15"/>
        <v>0</v>
      </c>
      <c r="T52" s="147">
        <f t="shared" si="16"/>
        <v>0</v>
      </c>
      <c r="U52" s="802">
        <f t="shared" si="17"/>
        <v>0</v>
      </c>
      <c r="V52" s="147">
        <f t="shared" si="18"/>
        <v>0</v>
      </c>
      <c r="W52" s="832">
        <f t="shared" si="19"/>
        <v>0</v>
      </c>
      <c r="X52" s="135">
        <f t="shared" si="4"/>
        <v>0</v>
      </c>
    </row>
    <row r="53" spans="1:24" hidden="1">
      <c r="A53" s="777">
        <f>'CG. MPB'!A54</f>
        <v>25</v>
      </c>
      <c r="B53" s="801">
        <v>15</v>
      </c>
      <c r="C53" s="246">
        <f>IF('CG. MPB'!E54="CONCRETO",'RMCV.PB'!B53,0)</f>
        <v>0</v>
      </c>
      <c r="D53" s="135">
        <f>IF(C53=0,0,'CG. MPB'!C54*100)</f>
        <v>0</v>
      </c>
      <c r="E53" s="135">
        <f>IF(C53=0,0,'RMCV.PB'!C53)</f>
        <v>0</v>
      </c>
      <c r="F53" s="135">
        <f t="shared" si="5"/>
        <v>0</v>
      </c>
      <c r="G53" s="246">
        <f>IF(C53=0,0,'RMCS.PB'!L53)</f>
        <v>0</v>
      </c>
      <c r="H53" s="246">
        <f>IF(C53=0,0,'CASTILLOS-PB'!K53)</f>
        <v>0</v>
      </c>
      <c r="I53" s="144">
        <f t="shared" si="6"/>
        <v>0</v>
      </c>
      <c r="J53" s="144">
        <f t="shared" si="7"/>
        <v>0</v>
      </c>
      <c r="K53" s="149">
        <f t="shared" si="8"/>
        <v>0</v>
      </c>
      <c r="L53" s="144">
        <f t="shared" si="9"/>
        <v>0</v>
      </c>
      <c r="M53" s="147">
        <f t="shared" si="10"/>
        <v>0</v>
      </c>
      <c r="N53" s="246">
        <f t="shared" si="20"/>
        <v>0</v>
      </c>
      <c r="O53" s="246">
        <f t="shared" si="11"/>
        <v>0</v>
      </c>
      <c r="P53" s="246">
        <f t="shared" si="12"/>
        <v>0</v>
      </c>
      <c r="Q53" s="246">
        <f t="shared" si="13"/>
        <v>0</v>
      </c>
      <c r="R53" s="246">
        <f t="shared" si="14"/>
        <v>0</v>
      </c>
      <c r="S53" s="145">
        <f t="shared" si="15"/>
        <v>0</v>
      </c>
      <c r="T53" s="147">
        <f t="shared" si="16"/>
        <v>0</v>
      </c>
      <c r="U53" s="802">
        <f t="shared" si="17"/>
        <v>0</v>
      </c>
      <c r="V53" s="147">
        <f t="shared" si="18"/>
        <v>0</v>
      </c>
      <c r="W53" s="832">
        <f t="shared" si="19"/>
        <v>0</v>
      </c>
      <c r="X53" s="135">
        <f t="shared" si="4"/>
        <v>0</v>
      </c>
    </row>
    <row r="54" spans="1:24" hidden="1">
      <c r="A54" s="777">
        <f>'CG. MPB'!A55</f>
        <v>26</v>
      </c>
      <c r="B54" s="801">
        <v>15</v>
      </c>
      <c r="C54" s="246">
        <f>IF('CG. MPB'!E55="CONCRETO",'RMCV.PB'!B54,0)</f>
        <v>0</v>
      </c>
      <c r="D54" s="135">
        <f>IF(C54=0,0,'CG. MPB'!C55*100)</f>
        <v>0</v>
      </c>
      <c r="E54" s="135">
        <f>IF(C54=0,0,'RMCV.PB'!C54)</f>
        <v>0</v>
      </c>
      <c r="F54" s="135">
        <f t="shared" si="5"/>
        <v>0</v>
      </c>
      <c r="G54" s="246">
        <f>IF(C54=0,0,'RMCS.PB'!L54)</f>
        <v>0</v>
      </c>
      <c r="H54" s="246">
        <f>IF(C54=0,0,'CASTILLOS-PB'!K54)</f>
        <v>0</v>
      </c>
      <c r="I54" s="144">
        <f t="shared" si="6"/>
        <v>0</v>
      </c>
      <c r="J54" s="144">
        <f t="shared" si="7"/>
        <v>0</v>
      </c>
      <c r="K54" s="149">
        <f t="shared" si="8"/>
        <v>0</v>
      </c>
      <c r="L54" s="144">
        <f t="shared" si="9"/>
        <v>0</v>
      </c>
      <c r="M54" s="147">
        <f t="shared" si="10"/>
        <v>0</v>
      </c>
      <c r="N54" s="246">
        <f t="shared" si="20"/>
        <v>0</v>
      </c>
      <c r="O54" s="246">
        <f t="shared" si="11"/>
        <v>0</v>
      </c>
      <c r="P54" s="246">
        <f t="shared" si="12"/>
        <v>0</v>
      </c>
      <c r="Q54" s="246">
        <f t="shared" si="13"/>
        <v>0</v>
      </c>
      <c r="R54" s="246">
        <f t="shared" si="14"/>
        <v>0</v>
      </c>
      <c r="S54" s="145">
        <f t="shared" si="15"/>
        <v>0</v>
      </c>
      <c r="T54" s="147">
        <f t="shared" si="16"/>
        <v>0</v>
      </c>
      <c r="U54" s="802">
        <f t="shared" si="17"/>
        <v>0</v>
      </c>
      <c r="V54" s="147">
        <f t="shared" si="18"/>
        <v>0</v>
      </c>
      <c r="W54" s="832">
        <f t="shared" si="19"/>
        <v>0</v>
      </c>
      <c r="X54" s="135">
        <f t="shared" si="4"/>
        <v>0</v>
      </c>
    </row>
    <row r="55" spans="1:24" hidden="1">
      <c r="A55" s="777">
        <f>'CG. MPB'!A56</f>
        <v>27</v>
      </c>
      <c r="B55" s="801">
        <v>15</v>
      </c>
      <c r="C55" s="246">
        <f>IF('CG. MPB'!E56="CONCRETO",'RMCV.PB'!B55,0)</f>
        <v>0</v>
      </c>
      <c r="D55" s="135">
        <f>IF(C55=0,0,'CG. MPB'!C56*100)</f>
        <v>0</v>
      </c>
      <c r="E55" s="135">
        <f>IF(C55=0,0,'RMCV.PB'!C55)</f>
        <v>0</v>
      </c>
      <c r="F55" s="135">
        <f t="shared" si="5"/>
        <v>0</v>
      </c>
      <c r="G55" s="246">
        <f>IF(C55=0,0,'RMCS.PB'!L55)</f>
        <v>0</v>
      </c>
      <c r="H55" s="246">
        <f>IF(C55=0,0,'CASTILLOS-PB'!K55)</f>
        <v>0</v>
      </c>
      <c r="I55" s="144">
        <f t="shared" si="6"/>
        <v>0</v>
      </c>
      <c r="J55" s="144">
        <f t="shared" si="7"/>
        <v>0</v>
      </c>
      <c r="K55" s="149">
        <f t="shared" si="8"/>
        <v>0</v>
      </c>
      <c r="L55" s="144">
        <f t="shared" si="9"/>
        <v>0</v>
      </c>
      <c r="M55" s="147">
        <f t="shared" si="10"/>
        <v>0</v>
      </c>
      <c r="N55" s="246">
        <f t="shared" si="20"/>
        <v>0</v>
      </c>
      <c r="O55" s="246">
        <f t="shared" si="11"/>
        <v>0</v>
      </c>
      <c r="P55" s="246">
        <f t="shared" si="12"/>
        <v>0</v>
      </c>
      <c r="Q55" s="246">
        <f t="shared" si="13"/>
        <v>0</v>
      </c>
      <c r="R55" s="246">
        <f t="shared" si="14"/>
        <v>0</v>
      </c>
      <c r="S55" s="145">
        <f t="shared" si="15"/>
        <v>0</v>
      </c>
      <c r="T55" s="147">
        <f t="shared" si="16"/>
        <v>0</v>
      </c>
      <c r="U55" s="802">
        <f t="shared" si="17"/>
        <v>0</v>
      </c>
      <c r="V55" s="147">
        <f t="shared" si="18"/>
        <v>0</v>
      </c>
      <c r="W55" s="832">
        <f t="shared" si="19"/>
        <v>0</v>
      </c>
      <c r="X55" s="135">
        <f t="shared" si="4"/>
        <v>0</v>
      </c>
    </row>
    <row r="56" spans="1:24" hidden="1">
      <c r="A56" s="777">
        <f>'CG. MPB'!A57</f>
        <v>28</v>
      </c>
      <c r="B56" s="801">
        <v>15</v>
      </c>
      <c r="C56" s="246">
        <f>IF('CG. MPB'!E57="CONCRETO",'RMCV.PB'!B56,0)</f>
        <v>0</v>
      </c>
      <c r="D56" s="135">
        <f>IF(C56=0,0,'CG. MPB'!C57*100)</f>
        <v>0</v>
      </c>
      <c r="E56" s="135">
        <f>IF(C56=0,0,'RMCV.PB'!C56)</f>
        <v>0</v>
      </c>
      <c r="F56" s="135">
        <f t="shared" si="5"/>
        <v>0</v>
      </c>
      <c r="G56" s="246">
        <f>IF(C56=0,0,'RMCS.PB'!L56)</f>
        <v>0</v>
      </c>
      <c r="H56" s="246">
        <f>IF(C56=0,0,'CASTILLOS-PB'!K56)</f>
        <v>0</v>
      </c>
      <c r="I56" s="144">
        <f t="shared" si="6"/>
        <v>0</v>
      </c>
      <c r="J56" s="144">
        <f t="shared" si="7"/>
        <v>0</v>
      </c>
      <c r="K56" s="149">
        <f t="shared" si="8"/>
        <v>0</v>
      </c>
      <c r="L56" s="144">
        <f t="shared" si="9"/>
        <v>0</v>
      </c>
      <c r="M56" s="147">
        <f t="shared" si="10"/>
        <v>0</v>
      </c>
      <c r="N56" s="246">
        <f t="shared" si="20"/>
        <v>0</v>
      </c>
      <c r="O56" s="246">
        <f t="shared" si="11"/>
        <v>0</v>
      </c>
      <c r="P56" s="246">
        <f t="shared" si="12"/>
        <v>0</v>
      </c>
      <c r="Q56" s="246">
        <f t="shared" si="13"/>
        <v>0</v>
      </c>
      <c r="R56" s="246">
        <f t="shared" si="14"/>
        <v>0</v>
      </c>
      <c r="S56" s="145">
        <f t="shared" si="15"/>
        <v>0</v>
      </c>
      <c r="T56" s="147">
        <f t="shared" si="16"/>
        <v>0</v>
      </c>
      <c r="U56" s="802">
        <f t="shared" si="17"/>
        <v>0</v>
      </c>
      <c r="V56" s="147">
        <f t="shared" si="18"/>
        <v>0</v>
      </c>
      <c r="W56" s="832">
        <f t="shared" si="19"/>
        <v>0</v>
      </c>
      <c r="X56" s="135">
        <f t="shared" si="4"/>
        <v>0</v>
      </c>
    </row>
    <row r="57" spans="1:24" hidden="1">
      <c r="A57" s="777">
        <f>'CG. MPB'!A58</f>
        <v>29</v>
      </c>
      <c r="B57" s="801">
        <v>15</v>
      </c>
      <c r="C57" s="246">
        <f>IF('CG. MPB'!E58="CONCRETO",'RMCV.PB'!B57,0)</f>
        <v>0</v>
      </c>
      <c r="D57" s="135">
        <f>IF(C57=0,0,'CG. MPB'!C58*100)</f>
        <v>0</v>
      </c>
      <c r="E57" s="135">
        <f>IF(C57=0,0,'RMCV.PB'!C57)</f>
        <v>0</v>
      </c>
      <c r="F57" s="135">
        <f t="shared" si="5"/>
        <v>0</v>
      </c>
      <c r="G57" s="246">
        <f>IF(C57=0,0,'RMCS.PB'!L57)</f>
        <v>0</v>
      </c>
      <c r="H57" s="246">
        <f>IF(C57=0,0,'CASTILLOS-PB'!K57)</f>
        <v>0</v>
      </c>
      <c r="I57" s="144">
        <f t="shared" si="6"/>
        <v>0</v>
      </c>
      <c r="J57" s="144">
        <f t="shared" si="7"/>
        <v>0</v>
      </c>
      <c r="K57" s="149">
        <f t="shared" si="8"/>
        <v>0</v>
      </c>
      <c r="L57" s="144">
        <f t="shared" si="9"/>
        <v>0</v>
      </c>
      <c r="M57" s="147">
        <f t="shared" si="10"/>
        <v>0</v>
      </c>
      <c r="N57" s="246">
        <f t="shared" si="20"/>
        <v>0</v>
      </c>
      <c r="O57" s="246">
        <f t="shared" si="11"/>
        <v>0</v>
      </c>
      <c r="P57" s="246">
        <f t="shared" si="12"/>
        <v>0</v>
      </c>
      <c r="Q57" s="246">
        <f t="shared" si="13"/>
        <v>0</v>
      </c>
      <c r="R57" s="246">
        <f t="shared" si="14"/>
        <v>0</v>
      </c>
      <c r="S57" s="145">
        <f t="shared" si="15"/>
        <v>0</v>
      </c>
      <c r="T57" s="147">
        <f t="shared" si="16"/>
        <v>0</v>
      </c>
      <c r="U57" s="802">
        <f t="shared" si="17"/>
        <v>0</v>
      </c>
      <c r="V57" s="147">
        <f t="shared" si="18"/>
        <v>0</v>
      </c>
      <c r="W57" s="832">
        <f t="shared" si="19"/>
        <v>0</v>
      </c>
      <c r="X57" s="135">
        <f t="shared" si="4"/>
        <v>0</v>
      </c>
    </row>
    <row r="58" spans="1:24" hidden="1">
      <c r="A58" s="777">
        <f>'CG. MPB'!A59</f>
        <v>30</v>
      </c>
      <c r="B58" s="801">
        <v>15</v>
      </c>
      <c r="C58" s="246">
        <f>IF('CG. MPB'!E59="CONCRETO",'RMCV.PB'!B58,0)</f>
        <v>0</v>
      </c>
      <c r="D58" s="135">
        <f>IF(C58=0,0,'CG. MPB'!C59*100)</f>
        <v>0</v>
      </c>
      <c r="E58" s="135">
        <f>IF(C58=0,0,'RMCV.PB'!C58)</f>
        <v>0</v>
      </c>
      <c r="F58" s="135">
        <f t="shared" si="5"/>
        <v>0</v>
      </c>
      <c r="G58" s="246">
        <f>IF(C58=0,0,'RMCS.PB'!L58)</f>
        <v>0</v>
      </c>
      <c r="H58" s="246">
        <f>IF(C58=0,0,'CASTILLOS-PB'!K58)</f>
        <v>0</v>
      </c>
      <c r="I58" s="144">
        <f t="shared" si="6"/>
        <v>0</v>
      </c>
      <c r="J58" s="144">
        <f t="shared" si="7"/>
        <v>0</v>
      </c>
      <c r="K58" s="149">
        <f t="shared" si="8"/>
        <v>0</v>
      </c>
      <c r="L58" s="144">
        <f t="shared" si="9"/>
        <v>0</v>
      </c>
      <c r="M58" s="147">
        <f t="shared" si="10"/>
        <v>0</v>
      </c>
      <c r="N58" s="246">
        <f t="shared" si="20"/>
        <v>0</v>
      </c>
      <c r="O58" s="246">
        <f t="shared" si="11"/>
        <v>0</v>
      </c>
      <c r="P58" s="246">
        <f t="shared" si="12"/>
        <v>0</v>
      </c>
      <c r="Q58" s="246">
        <f t="shared" si="13"/>
        <v>0</v>
      </c>
      <c r="R58" s="246">
        <f t="shared" si="14"/>
        <v>0</v>
      </c>
      <c r="S58" s="145">
        <f t="shared" si="15"/>
        <v>0</v>
      </c>
      <c r="T58" s="147">
        <f t="shared" si="16"/>
        <v>0</v>
      </c>
      <c r="U58" s="802">
        <f t="shared" si="17"/>
        <v>0</v>
      </c>
      <c r="V58" s="147">
        <f t="shared" si="18"/>
        <v>0</v>
      </c>
      <c r="W58" s="832">
        <f t="shared" si="19"/>
        <v>0</v>
      </c>
      <c r="X58" s="135">
        <f t="shared" si="4"/>
        <v>0</v>
      </c>
    </row>
    <row r="59" spans="1:24" hidden="1">
      <c r="A59" s="777">
        <f>'CG. MPB'!A60</f>
        <v>31</v>
      </c>
      <c r="B59" s="801">
        <v>15</v>
      </c>
      <c r="C59" s="246">
        <f>IF('CG. MPB'!E60="CONCRETO",'RMCV.PB'!B59,0)</f>
        <v>0</v>
      </c>
      <c r="D59" s="135">
        <f>IF(C59=0,0,'CG. MPB'!C60*100)</f>
        <v>0</v>
      </c>
      <c r="E59" s="135">
        <f>IF(C59=0,0,'RMCV.PB'!C59)</f>
        <v>0</v>
      </c>
      <c r="F59" s="135">
        <f t="shared" si="5"/>
        <v>0</v>
      </c>
      <c r="G59" s="246">
        <f>IF(C59=0,0,'RMCS.PB'!L59)</f>
        <v>0</v>
      </c>
      <c r="H59" s="246">
        <f>IF(C59=0,0,'CASTILLOS-PB'!K59)</f>
        <v>0</v>
      </c>
      <c r="I59" s="144">
        <f t="shared" si="6"/>
        <v>0</v>
      </c>
      <c r="J59" s="144">
        <f t="shared" si="7"/>
        <v>0</v>
      </c>
      <c r="K59" s="149">
        <f t="shared" si="8"/>
        <v>0</v>
      </c>
      <c r="L59" s="144">
        <f t="shared" si="9"/>
        <v>0</v>
      </c>
      <c r="M59" s="147">
        <f t="shared" si="10"/>
        <v>0</v>
      </c>
      <c r="N59" s="246">
        <f t="shared" si="20"/>
        <v>0</v>
      </c>
      <c r="O59" s="246">
        <f t="shared" si="11"/>
        <v>0</v>
      </c>
      <c r="P59" s="246">
        <f t="shared" si="12"/>
        <v>0</v>
      </c>
      <c r="Q59" s="246">
        <f t="shared" si="13"/>
        <v>0</v>
      </c>
      <c r="R59" s="246">
        <f t="shared" si="14"/>
        <v>0</v>
      </c>
      <c r="S59" s="145">
        <f t="shared" si="15"/>
        <v>0</v>
      </c>
      <c r="T59" s="147">
        <f t="shared" si="16"/>
        <v>0</v>
      </c>
      <c r="U59" s="802">
        <f t="shared" si="17"/>
        <v>0</v>
      </c>
      <c r="V59" s="147">
        <f t="shared" si="18"/>
        <v>0</v>
      </c>
      <c r="W59" s="832">
        <f t="shared" si="19"/>
        <v>0</v>
      </c>
    </row>
    <row r="60" spans="1:24" hidden="1">
      <c r="A60" s="777">
        <f>'CG. MPB'!A61</f>
        <v>32</v>
      </c>
      <c r="B60" s="801">
        <v>15</v>
      </c>
      <c r="C60" s="246">
        <f>IF('CG. MPB'!E61="CONCRETO",'RMCV.PB'!B60,0)</f>
        <v>0</v>
      </c>
      <c r="D60" s="135">
        <f>IF(C60=0,0,'CG. MPB'!C61*100)</f>
        <v>0</v>
      </c>
      <c r="E60" s="135">
        <f>IF(C60=0,0,'RMCV.PB'!C60)</f>
        <v>0</v>
      </c>
      <c r="F60" s="135">
        <f t="shared" si="5"/>
        <v>0</v>
      </c>
      <c r="G60" s="246">
        <f>IF(C60=0,0,'RMCS.PB'!L60)</f>
        <v>0</v>
      </c>
      <c r="H60" s="246">
        <f>IF(C60=0,0,'CASTILLOS-PB'!K60)</f>
        <v>0</v>
      </c>
      <c r="I60" s="144">
        <f t="shared" si="6"/>
        <v>0</v>
      </c>
      <c r="J60" s="144">
        <f t="shared" si="7"/>
        <v>0</v>
      </c>
      <c r="K60" s="149">
        <f t="shared" si="8"/>
        <v>0</v>
      </c>
      <c r="L60" s="144">
        <f t="shared" si="9"/>
        <v>0</v>
      </c>
      <c r="M60" s="147">
        <f t="shared" si="10"/>
        <v>0</v>
      </c>
      <c r="N60" s="246">
        <f t="shared" si="20"/>
        <v>0</v>
      </c>
      <c r="O60" s="246">
        <f t="shared" si="11"/>
        <v>0</v>
      </c>
      <c r="P60" s="246">
        <f t="shared" si="12"/>
        <v>0</v>
      </c>
      <c r="Q60" s="246">
        <f t="shared" si="13"/>
        <v>0</v>
      </c>
      <c r="R60" s="246">
        <f t="shared" si="14"/>
        <v>0</v>
      </c>
      <c r="S60" s="145">
        <f t="shared" si="15"/>
        <v>0</v>
      </c>
      <c r="T60" s="147">
        <f t="shared" si="16"/>
        <v>0</v>
      </c>
      <c r="U60" s="802">
        <f t="shared" si="17"/>
        <v>0</v>
      </c>
      <c r="V60" s="147">
        <f t="shared" si="18"/>
        <v>0</v>
      </c>
      <c r="W60" s="832">
        <f t="shared" si="19"/>
        <v>0</v>
      </c>
    </row>
    <row r="61" spans="1:24" hidden="1">
      <c r="A61" s="777">
        <f>'CG. MPB'!A62</f>
        <v>33</v>
      </c>
      <c r="B61" s="801">
        <v>15</v>
      </c>
      <c r="C61" s="246">
        <f>IF('CG. MPB'!E62="CONCRETO",'RMCV.PB'!B61,0)</f>
        <v>0</v>
      </c>
      <c r="D61" s="135">
        <f>IF(C61=0,0,'CG. MPB'!C62*100)</f>
        <v>0</v>
      </c>
      <c r="E61" s="135">
        <f>IF(C61=0,0,'RMCV.PB'!C61)</f>
        <v>0</v>
      </c>
      <c r="F61" s="135">
        <f t="shared" si="5"/>
        <v>0</v>
      </c>
      <c r="G61" s="246">
        <f>IF(C61=0,0,'RMCS.PB'!L61)</f>
        <v>0</v>
      </c>
      <c r="H61" s="246">
        <f>IF(C61=0,0,'CASTILLOS-PB'!K61)</f>
        <v>0</v>
      </c>
      <c r="I61" s="144">
        <f t="shared" si="6"/>
        <v>0</v>
      </c>
      <c r="J61" s="144">
        <f t="shared" si="7"/>
        <v>0</v>
      </c>
      <c r="K61" s="149">
        <f t="shared" si="8"/>
        <v>0</v>
      </c>
      <c r="L61" s="144">
        <f t="shared" si="9"/>
        <v>0</v>
      </c>
      <c r="M61" s="147">
        <f t="shared" si="10"/>
        <v>0</v>
      </c>
      <c r="N61" s="246">
        <f t="shared" si="20"/>
        <v>0</v>
      </c>
      <c r="O61" s="246">
        <f t="shared" si="11"/>
        <v>0</v>
      </c>
      <c r="P61" s="246">
        <f t="shared" si="12"/>
        <v>0</v>
      </c>
      <c r="Q61" s="246">
        <f t="shared" si="13"/>
        <v>0</v>
      </c>
      <c r="R61" s="246">
        <f t="shared" si="14"/>
        <v>0</v>
      </c>
      <c r="S61" s="145">
        <f t="shared" si="15"/>
        <v>0</v>
      </c>
      <c r="T61" s="147">
        <f t="shared" si="16"/>
        <v>0</v>
      </c>
      <c r="U61" s="802">
        <f t="shared" si="17"/>
        <v>0</v>
      </c>
      <c r="V61" s="147">
        <f t="shared" si="18"/>
        <v>0</v>
      </c>
      <c r="W61" s="832">
        <f t="shared" si="19"/>
        <v>0</v>
      </c>
    </row>
    <row r="62" spans="1:24" hidden="1">
      <c r="A62" s="777">
        <f>'CG. MPB'!A63</f>
        <v>34</v>
      </c>
      <c r="B62" s="801">
        <v>15</v>
      </c>
      <c r="C62" s="246">
        <f>IF('CG. MPB'!E63="CONCRETO",'RMCV.PB'!B62,0)</f>
        <v>0</v>
      </c>
      <c r="D62" s="135">
        <f>IF(C62=0,0,'CG. MPB'!C63*100)</f>
        <v>0</v>
      </c>
      <c r="E62" s="135">
        <f>IF(C62=0,0,'RMCV.PB'!C62)</f>
        <v>0</v>
      </c>
      <c r="F62" s="135">
        <f t="shared" si="5"/>
        <v>0</v>
      </c>
      <c r="G62" s="246">
        <f>IF(C62=0,0,'RMCS.PB'!L62)</f>
        <v>0</v>
      </c>
      <c r="H62" s="246">
        <f>IF(C62=0,0,'CASTILLOS-PB'!K62)</f>
        <v>0</v>
      </c>
      <c r="I62" s="144">
        <f t="shared" si="6"/>
        <v>0</v>
      </c>
      <c r="J62" s="144">
        <f t="shared" si="7"/>
        <v>0</v>
      </c>
      <c r="K62" s="149">
        <f t="shared" si="8"/>
        <v>0</v>
      </c>
      <c r="L62" s="144">
        <f t="shared" si="9"/>
        <v>0</v>
      </c>
      <c r="M62" s="147">
        <f t="shared" si="10"/>
        <v>0</v>
      </c>
      <c r="N62" s="246">
        <f t="shared" si="20"/>
        <v>0</v>
      </c>
      <c r="O62" s="246">
        <f t="shared" si="11"/>
        <v>0</v>
      </c>
      <c r="P62" s="246">
        <f t="shared" si="12"/>
        <v>0</v>
      </c>
      <c r="Q62" s="246">
        <f t="shared" si="13"/>
        <v>0</v>
      </c>
      <c r="R62" s="246">
        <f t="shared" si="14"/>
        <v>0</v>
      </c>
      <c r="S62" s="145">
        <f t="shared" si="15"/>
        <v>0</v>
      </c>
      <c r="T62" s="147">
        <f t="shared" si="16"/>
        <v>0</v>
      </c>
      <c r="U62" s="802">
        <f t="shared" si="17"/>
        <v>0</v>
      </c>
      <c r="V62" s="147">
        <f t="shared" si="18"/>
        <v>0</v>
      </c>
      <c r="W62" s="832">
        <f t="shared" si="19"/>
        <v>0</v>
      </c>
    </row>
    <row r="63" spans="1:24" hidden="1">
      <c r="A63" s="777">
        <f>'CG. MPB'!A64</f>
        <v>35</v>
      </c>
      <c r="B63" s="801">
        <v>15</v>
      </c>
      <c r="C63" s="246">
        <f>IF('CG. MPB'!E64="CONCRETO",'RMCV.PB'!B63,0)</f>
        <v>0</v>
      </c>
      <c r="D63" s="135">
        <f>IF(C63=0,0,'CG. MPB'!C64*100)</f>
        <v>0</v>
      </c>
      <c r="E63" s="135">
        <f>IF(C63=0,0,'RMCV.PB'!C63)</f>
        <v>0</v>
      </c>
      <c r="F63" s="135">
        <f t="shared" si="5"/>
        <v>0</v>
      </c>
      <c r="G63" s="246">
        <f>IF(C63=0,0,'RMCS.PB'!L63)</f>
        <v>0</v>
      </c>
      <c r="H63" s="246">
        <f>IF(C63=0,0,'CASTILLOS-PB'!K63)</f>
        <v>0</v>
      </c>
      <c r="I63" s="144">
        <f t="shared" si="6"/>
        <v>0</v>
      </c>
      <c r="J63" s="144">
        <f t="shared" si="7"/>
        <v>0</v>
      </c>
      <c r="K63" s="149">
        <f t="shared" si="8"/>
        <v>0</v>
      </c>
      <c r="L63" s="144">
        <f t="shared" si="9"/>
        <v>0</v>
      </c>
      <c r="M63" s="147">
        <f t="shared" si="10"/>
        <v>0</v>
      </c>
      <c r="N63" s="246">
        <f t="shared" si="20"/>
        <v>0</v>
      </c>
      <c r="O63" s="246">
        <f t="shared" si="11"/>
        <v>0</v>
      </c>
      <c r="P63" s="246">
        <f t="shared" si="12"/>
        <v>0</v>
      </c>
      <c r="Q63" s="246">
        <f t="shared" si="13"/>
        <v>0</v>
      </c>
      <c r="R63" s="246">
        <f t="shared" si="14"/>
        <v>0</v>
      </c>
      <c r="S63" s="145">
        <f t="shared" si="15"/>
        <v>0</v>
      </c>
      <c r="T63" s="147">
        <f t="shared" si="16"/>
        <v>0</v>
      </c>
      <c r="U63" s="802">
        <f t="shared" si="17"/>
        <v>0</v>
      </c>
      <c r="V63" s="147">
        <f t="shared" si="18"/>
        <v>0</v>
      </c>
      <c r="W63" s="832">
        <f t="shared" si="19"/>
        <v>0</v>
      </c>
    </row>
    <row r="64" spans="1:24" hidden="1">
      <c r="A64" s="777">
        <f>'CG. MPB'!A65</f>
        <v>36</v>
      </c>
      <c r="B64" s="801">
        <v>15</v>
      </c>
      <c r="C64" s="246">
        <f>IF('CG. MPB'!E65="CONCRETO",'RMCV.PB'!B64,0)</f>
        <v>0</v>
      </c>
      <c r="D64" s="135">
        <f>IF(C64=0,0,'CG. MPB'!C65*100)</f>
        <v>0</v>
      </c>
      <c r="E64" s="135">
        <f>IF(C64=0,0,'RMCV.PB'!C64)</f>
        <v>0</v>
      </c>
      <c r="F64" s="135">
        <f t="shared" si="5"/>
        <v>0</v>
      </c>
      <c r="G64" s="246">
        <f>IF(C64=0,0,'RMCS.PB'!L64)</f>
        <v>0</v>
      </c>
      <c r="H64" s="246">
        <f>IF(C64=0,0,'CASTILLOS-PB'!K64)</f>
        <v>0</v>
      </c>
      <c r="I64" s="144">
        <f t="shared" si="6"/>
        <v>0</v>
      </c>
      <c r="J64" s="144">
        <f t="shared" si="7"/>
        <v>0</v>
      </c>
      <c r="K64" s="149">
        <f t="shared" si="8"/>
        <v>0</v>
      </c>
      <c r="L64" s="144">
        <f t="shared" si="9"/>
        <v>0</v>
      </c>
      <c r="M64" s="147">
        <f t="shared" si="10"/>
        <v>0</v>
      </c>
      <c r="N64" s="246">
        <f t="shared" si="20"/>
        <v>0</v>
      </c>
      <c r="O64" s="246">
        <f t="shared" si="11"/>
        <v>0</v>
      </c>
      <c r="P64" s="246">
        <f t="shared" si="12"/>
        <v>0</v>
      </c>
      <c r="Q64" s="246">
        <f t="shared" si="13"/>
        <v>0</v>
      </c>
      <c r="R64" s="246">
        <f t="shared" si="14"/>
        <v>0</v>
      </c>
      <c r="S64" s="145">
        <f t="shared" si="15"/>
        <v>0</v>
      </c>
      <c r="T64" s="147">
        <f t="shared" si="16"/>
        <v>0</v>
      </c>
      <c r="U64" s="802">
        <f t="shared" si="17"/>
        <v>0</v>
      </c>
      <c r="V64" s="147">
        <f t="shared" si="18"/>
        <v>0</v>
      </c>
      <c r="W64" s="832">
        <f t="shared" si="19"/>
        <v>0</v>
      </c>
    </row>
    <row r="65" spans="1:26" hidden="1">
      <c r="A65" s="777">
        <f>'CG. MPB'!A66</f>
        <v>37</v>
      </c>
      <c r="B65" s="801">
        <v>15</v>
      </c>
      <c r="C65" s="246">
        <f>IF('CG. MPB'!E66="CONCRETO",'RMCV.PB'!B65,0)</f>
        <v>0</v>
      </c>
      <c r="D65" s="135">
        <f>IF(C65=0,0,'CG. MPB'!C66*100)</f>
        <v>0</v>
      </c>
      <c r="E65" s="135">
        <f>IF(C65=0,0,'RMCV.PB'!C65)</f>
        <v>0</v>
      </c>
      <c r="F65" s="135">
        <f t="shared" si="5"/>
        <v>0</v>
      </c>
      <c r="G65" s="246">
        <f>IF(C65=0,0,'RMCS.PB'!L65)</f>
        <v>0</v>
      </c>
      <c r="H65" s="246">
        <f>IF(C65=0,0,'CASTILLOS-PB'!K65)</f>
        <v>0</v>
      </c>
      <c r="I65" s="144">
        <f t="shared" si="6"/>
        <v>0</v>
      </c>
      <c r="J65" s="144">
        <f t="shared" si="7"/>
        <v>0</v>
      </c>
      <c r="K65" s="149">
        <f t="shared" si="8"/>
        <v>0</v>
      </c>
      <c r="L65" s="144">
        <f t="shared" si="9"/>
        <v>0</v>
      </c>
      <c r="M65" s="147">
        <f t="shared" si="10"/>
        <v>0</v>
      </c>
      <c r="N65" s="246">
        <f t="shared" si="20"/>
        <v>0</v>
      </c>
      <c r="O65" s="246">
        <f t="shared" si="11"/>
        <v>0</v>
      </c>
      <c r="P65" s="246">
        <f t="shared" si="12"/>
        <v>0</v>
      </c>
      <c r="Q65" s="246">
        <f t="shared" si="13"/>
        <v>0</v>
      </c>
      <c r="R65" s="246">
        <f t="shared" si="14"/>
        <v>0</v>
      </c>
      <c r="S65" s="145">
        <f t="shared" si="15"/>
        <v>0</v>
      </c>
      <c r="T65" s="147">
        <f t="shared" si="16"/>
        <v>0</v>
      </c>
      <c r="U65" s="802">
        <f t="shared" si="17"/>
        <v>0</v>
      </c>
      <c r="V65" s="147">
        <f t="shared" si="18"/>
        <v>0</v>
      </c>
      <c r="W65" s="832">
        <f t="shared" si="19"/>
        <v>0</v>
      </c>
    </row>
    <row r="66" spans="1:26" hidden="1">
      <c r="A66" s="777">
        <f>'CG. MPB'!A67</f>
        <v>38</v>
      </c>
      <c r="B66" s="801">
        <v>15</v>
      </c>
      <c r="C66" s="246">
        <f>IF('CG. MPB'!E67="CONCRETO",'RMCV.PB'!B66,0)</f>
        <v>0</v>
      </c>
      <c r="D66" s="135">
        <f>IF(C66=0,0,'CG. MPB'!C67*100)</f>
        <v>0</v>
      </c>
      <c r="E66" s="135">
        <f>IF(C66=0,0,'RMCV.PB'!C66)</f>
        <v>0</v>
      </c>
      <c r="F66" s="135">
        <f t="shared" si="5"/>
        <v>0</v>
      </c>
      <c r="G66" s="246">
        <f>IF(C66=0,0,'RMCS.PB'!L66)</f>
        <v>0</v>
      </c>
      <c r="H66" s="246">
        <f>IF(C66=0,0,'CASTILLOS-PB'!K66)</f>
        <v>0</v>
      </c>
      <c r="I66" s="144">
        <f t="shared" si="6"/>
        <v>0</v>
      </c>
      <c r="J66" s="144">
        <f t="shared" si="7"/>
        <v>0</v>
      </c>
      <c r="K66" s="149">
        <f t="shared" si="8"/>
        <v>0</v>
      </c>
      <c r="L66" s="144">
        <f t="shared" si="9"/>
        <v>0</v>
      </c>
      <c r="M66" s="147">
        <f t="shared" si="10"/>
        <v>0</v>
      </c>
      <c r="N66" s="246">
        <f t="shared" si="20"/>
        <v>0</v>
      </c>
      <c r="O66" s="246">
        <f t="shared" si="11"/>
        <v>0</v>
      </c>
      <c r="P66" s="246">
        <f t="shared" si="12"/>
        <v>0</v>
      </c>
      <c r="Q66" s="246">
        <f t="shared" si="13"/>
        <v>0</v>
      </c>
      <c r="R66" s="246">
        <f t="shared" si="14"/>
        <v>0</v>
      </c>
      <c r="S66" s="145">
        <f t="shared" si="15"/>
        <v>0</v>
      </c>
      <c r="T66" s="147">
        <f t="shared" si="16"/>
        <v>0</v>
      </c>
      <c r="U66" s="802">
        <f t="shared" si="17"/>
        <v>0</v>
      </c>
      <c r="V66" s="147">
        <f t="shared" si="18"/>
        <v>0</v>
      </c>
      <c r="W66" s="832">
        <f t="shared" si="19"/>
        <v>0</v>
      </c>
    </row>
    <row r="67" spans="1:26" hidden="1">
      <c r="A67" s="777">
        <f>'CG. MPB'!A68</f>
        <v>39</v>
      </c>
      <c r="B67" s="801">
        <v>15</v>
      </c>
      <c r="C67" s="246">
        <f>IF('CG. MPB'!E68="CONCRETO",'RMCV.PB'!B67,0)</f>
        <v>0</v>
      </c>
      <c r="D67" s="135">
        <f>IF(C67=0,0,'CG. MPB'!C68*100)</f>
        <v>0</v>
      </c>
      <c r="E67" s="135">
        <f>IF(C67=0,0,'RMCV.PB'!C67)</f>
        <v>0</v>
      </c>
      <c r="F67" s="135">
        <f t="shared" si="5"/>
        <v>0</v>
      </c>
      <c r="G67" s="246">
        <f>IF(C67=0,0,'RMCS.PB'!L67)</f>
        <v>0</v>
      </c>
      <c r="H67" s="246">
        <f>IF(C67=0,0,'CASTILLOS-PB'!K67)</f>
        <v>0</v>
      </c>
      <c r="I67" s="144">
        <f t="shared" si="6"/>
        <v>0</v>
      </c>
      <c r="J67" s="144">
        <f t="shared" si="7"/>
        <v>0</v>
      </c>
      <c r="K67" s="149">
        <f t="shared" si="8"/>
        <v>0</v>
      </c>
      <c r="L67" s="144">
        <f t="shared" si="9"/>
        <v>0</v>
      </c>
      <c r="M67" s="147">
        <f t="shared" si="10"/>
        <v>0</v>
      </c>
      <c r="N67" s="246">
        <f t="shared" si="20"/>
        <v>0</v>
      </c>
      <c r="O67" s="246">
        <f t="shared" si="11"/>
        <v>0</v>
      </c>
      <c r="P67" s="246">
        <f t="shared" si="12"/>
        <v>0</v>
      </c>
      <c r="Q67" s="246">
        <f t="shared" si="13"/>
        <v>0</v>
      </c>
      <c r="R67" s="246">
        <f t="shared" si="14"/>
        <v>0</v>
      </c>
      <c r="S67" s="145">
        <f t="shared" si="15"/>
        <v>0</v>
      </c>
      <c r="T67" s="147">
        <f t="shared" si="16"/>
        <v>0</v>
      </c>
      <c r="U67" s="802">
        <f t="shared" si="17"/>
        <v>0</v>
      </c>
      <c r="V67" s="147">
        <f t="shared" si="18"/>
        <v>0</v>
      </c>
      <c r="W67" s="832">
        <f t="shared" si="19"/>
        <v>0</v>
      </c>
    </row>
    <row r="68" spans="1:26" hidden="1">
      <c r="A68" s="777">
        <f>'CG. MPB'!A69</f>
        <v>40</v>
      </c>
      <c r="B68" s="801">
        <v>15</v>
      </c>
      <c r="C68" s="246">
        <f>IF('CG. MPB'!E69="CONCRETO",'RMCV.PB'!B68,0)</f>
        <v>0</v>
      </c>
      <c r="D68" s="135">
        <f>IF(C68=0,0,'CG. MPB'!C69*100)</f>
        <v>0</v>
      </c>
      <c r="E68" s="135">
        <f>IF(C68=0,0,'RMCV.PB'!C68)</f>
        <v>0</v>
      </c>
      <c r="F68" s="135">
        <f t="shared" si="5"/>
        <v>0</v>
      </c>
      <c r="G68" s="246">
        <f>IF(C68=0,0,'RMCS.PB'!L68)</f>
        <v>0</v>
      </c>
      <c r="H68" s="246">
        <f>IF(C68=0,0,'CASTILLOS-PB'!K68)</f>
        <v>0</v>
      </c>
      <c r="I68" s="144">
        <f t="shared" si="6"/>
        <v>0</v>
      </c>
      <c r="J68" s="144">
        <f t="shared" si="7"/>
        <v>0</v>
      </c>
      <c r="K68" s="149">
        <f t="shared" si="8"/>
        <v>0</v>
      </c>
      <c r="L68" s="144">
        <f t="shared" si="9"/>
        <v>0</v>
      </c>
      <c r="M68" s="147">
        <f t="shared" si="10"/>
        <v>0</v>
      </c>
      <c r="N68" s="246">
        <f t="shared" si="20"/>
        <v>0</v>
      </c>
      <c r="O68" s="246">
        <f t="shared" si="11"/>
        <v>0</v>
      </c>
      <c r="P68" s="246">
        <f t="shared" si="12"/>
        <v>0</v>
      </c>
      <c r="Q68" s="246">
        <f t="shared" si="13"/>
        <v>0</v>
      </c>
      <c r="R68" s="246">
        <f t="shared" si="14"/>
        <v>0</v>
      </c>
      <c r="S68" s="145">
        <f t="shared" si="15"/>
        <v>0</v>
      </c>
      <c r="T68" s="147">
        <f t="shared" si="16"/>
        <v>0</v>
      </c>
      <c r="U68" s="802">
        <f t="shared" si="17"/>
        <v>0</v>
      </c>
      <c r="V68" s="147">
        <f t="shared" si="18"/>
        <v>0</v>
      </c>
      <c r="W68" s="832">
        <f t="shared" si="19"/>
        <v>0</v>
      </c>
    </row>
    <row r="69" spans="1:26" hidden="1">
      <c r="A69" s="777">
        <f>'CG. MPB'!A70</f>
        <v>41</v>
      </c>
      <c r="B69" s="801">
        <v>15</v>
      </c>
      <c r="C69" s="246">
        <f>IF('CG. MPB'!E70="CONCRETO",'RMCV.PB'!B69,0)</f>
        <v>0</v>
      </c>
      <c r="D69" s="135">
        <f>IF(C69=0,0,'CG. MPB'!C70*100)</f>
        <v>0</v>
      </c>
      <c r="E69" s="135">
        <f>IF(C69=0,0,'RMCV.PB'!C69)</f>
        <v>0</v>
      </c>
      <c r="F69" s="135">
        <f t="shared" si="5"/>
        <v>0</v>
      </c>
      <c r="G69" s="246">
        <f>IF(C69=0,0,'RMCS.PB'!L69)</f>
        <v>0</v>
      </c>
      <c r="H69" s="246">
        <f>IF(C69=0,0,'CASTILLOS-PB'!K69)</f>
        <v>0</v>
      </c>
      <c r="I69" s="144">
        <f t="shared" si="6"/>
        <v>0</v>
      </c>
      <c r="J69" s="144">
        <f t="shared" si="7"/>
        <v>0</v>
      </c>
      <c r="K69" s="149">
        <f t="shared" si="8"/>
        <v>0</v>
      </c>
      <c r="L69" s="144">
        <f t="shared" si="9"/>
        <v>0</v>
      </c>
      <c r="M69" s="147">
        <f t="shared" si="10"/>
        <v>0</v>
      </c>
      <c r="N69" s="246">
        <f t="shared" si="20"/>
        <v>0</v>
      </c>
      <c r="O69" s="246">
        <f t="shared" si="11"/>
        <v>0</v>
      </c>
      <c r="P69" s="246">
        <f t="shared" si="12"/>
        <v>0</v>
      </c>
      <c r="Q69" s="246">
        <f t="shared" si="13"/>
        <v>0</v>
      </c>
      <c r="R69" s="246">
        <f t="shared" si="14"/>
        <v>0</v>
      </c>
      <c r="S69" s="145">
        <f t="shared" si="15"/>
        <v>0</v>
      </c>
      <c r="T69" s="147">
        <f t="shared" si="16"/>
        <v>0</v>
      </c>
      <c r="U69" s="802">
        <f t="shared" si="17"/>
        <v>0</v>
      </c>
      <c r="V69" s="147">
        <f t="shared" si="18"/>
        <v>0</v>
      </c>
      <c r="W69" s="832">
        <f t="shared" si="19"/>
        <v>0</v>
      </c>
    </row>
    <row r="70" spans="1:26" hidden="1">
      <c r="A70" s="777">
        <f>'CG. MPB'!A71</f>
        <v>42</v>
      </c>
      <c r="B70" s="801">
        <v>15</v>
      </c>
      <c r="C70" s="246">
        <f>IF('CG. MPB'!E71="CONCRETO",'RMCV.PB'!B70,0)</f>
        <v>0</v>
      </c>
      <c r="D70" s="135">
        <f>IF(C70=0,0,'CG. MPB'!C71*100)</f>
        <v>0</v>
      </c>
      <c r="E70" s="135">
        <f>IF(C70=0,0,'RMCV.PB'!C70)</f>
        <v>0</v>
      </c>
      <c r="F70" s="135">
        <f t="shared" si="5"/>
        <v>0</v>
      </c>
      <c r="G70" s="246">
        <f>IF(C70=0,0,'RMCS.PB'!L70)</f>
        <v>0</v>
      </c>
      <c r="H70" s="246">
        <f>IF(C70=0,0,'CASTILLOS-PB'!K70)</f>
        <v>0</v>
      </c>
      <c r="I70" s="144">
        <f t="shared" si="6"/>
        <v>0</v>
      </c>
      <c r="J70" s="144">
        <f t="shared" si="7"/>
        <v>0</v>
      </c>
      <c r="K70" s="149">
        <f t="shared" si="8"/>
        <v>0</v>
      </c>
      <c r="L70" s="144">
        <f t="shared" si="9"/>
        <v>0</v>
      </c>
      <c r="M70" s="147">
        <f t="shared" si="10"/>
        <v>0</v>
      </c>
      <c r="N70" s="246">
        <f t="shared" si="20"/>
        <v>0</v>
      </c>
      <c r="O70" s="246">
        <f t="shared" si="11"/>
        <v>0</v>
      </c>
      <c r="P70" s="246">
        <f t="shared" si="12"/>
        <v>0</v>
      </c>
      <c r="Q70" s="246">
        <f t="shared" si="13"/>
        <v>0</v>
      </c>
      <c r="R70" s="246">
        <f t="shared" si="14"/>
        <v>0</v>
      </c>
      <c r="S70" s="145">
        <f t="shared" si="15"/>
        <v>0</v>
      </c>
      <c r="T70" s="147">
        <f t="shared" si="16"/>
        <v>0</v>
      </c>
      <c r="U70" s="802">
        <f t="shared" si="17"/>
        <v>0</v>
      </c>
      <c r="V70" s="147">
        <f t="shared" si="18"/>
        <v>0</v>
      </c>
      <c r="W70" s="832">
        <f t="shared" si="19"/>
        <v>0</v>
      </c>
    </row>
    <row r="71" spans="1:26" hidden="1">
      <c r="A71" s="777">
        <f>'CG. MPB'!A72</f>
        <v>43</v>
      </c>
      <c r="B71" s="801">
        <v>15</v>
      </c>
      <c r="C71" s="246">
        <f>IF('CG. MPB'!E72="CONCRETO",'RMCV.PB'!B71,0)</f>
        <v>0</v>
      </c>
      <c r="D71" s="135">
        <f>IF(C71=0,0,'CG. MPB'!C72*100)</f>
        <v>0</v>
      </c>
      <c r="E71" s="135">
        <f>IF(C71=0,0,'RMCV.PB'!C71)</f>
        <v>0</v>
      </c>
      <c r="F71" s="135">
        <f t="shared" si="5"/>
        <v>0</v>
      </c>
      <c r="G71" s="246">
        <f>IF(C71=0,0,'RMCS.PB'!L71)</f>
        <v>0</v>
      </c>
      <c r="H71" s="246">
        <f>IF(C71=0,0,'CASTILLOS-PB'!K71)</f>
        <v>0</v>
      </c>
      <c r="I71" s="144">
        <f t="shared" si="6"/>
        <v>0</v>
      </c>
      <c r="J71" s="144">
        <f t="shared" si="7"/>
        <v>0</v>
      </c>
      <c r="K71" s="149">
        <f t="shared" si="8"/>
        <v>0</v>
      </c>
      <c r="L71" s="144">
        <f t="shared" si="9"/>
        <v>0</v>
      </c>
      <c r="M71" s="147">
        <f t="shared" si="10"/>
        <v>0</v>
      </c>
      <c r="N71" s="246">
        <f t="shared" si="20"/>
        <v>0</v>
      </c>
      <c r="O71" s="246">
        <f t="shared" si="11"/>
        <v>0</v>
      </c>
      <c r="P71" s="246">
        <f t="shared" si="12"/>
        <v>0</v>
      </c>
      <c r="Q71" s="246">
        <f t="shared" si="13"/>
        <v>0</v>
      </c>
      <c r="R71" s="246">
        <f t="shared" si="14"/>
        <v>0</v>
      </c>
      <c r="S71" s="145">
        <f t="shared" si="15"/>
        <v>0</v>
      </c>
      <c r="T71" s="147">
        <f t="shared" si="16"/>
        <v>0</v>
      </c>
      <c r="U71" s="802">
        <f t="shared" si="17"/>
        <v>0</v>
      </c>
      <c r="V71" s="147">
        <f t="shared" si="18"/>
        <v>0</v>
      </c>
      <c r="W71" s="832">
        <f t="shared" si="19"/>
        <v>0</v>
      </c>
    </row>
    <row r="72" spans="1:26" hidden="1">
      <c r="A72" s="777">
        <f>'CG. MPB'!A73</f>
        <v>44</v>
      </c>
      <c r="B72" s="801">
        <v>15</v>
      </c>
      <c r="C72" s="246">
        <f>IF('CG. MPB'!E73="CONCRETO",'RMCV.PB'!B72,0)</f>
        <v>0</v>
      </c>
      <c r="D72" s="135">
        <f>IF(C72=0,0,'CG. MPB'!C73*100)</f>
        <v>0</v>
      </c>
      <c r="E72" s="135">
        <f>IF(C72=0,0,'RMCV.PB'!C72)</f>
        <v>0</v>
      </c>
      <c r="F72" s="135">
        <f t="shared" si="5"/>
        <v>0</v>
      </c>
      <c r="G72" s="246">
        <f>IF(C72=0,0,'RMCS.PB'!L72)</f>
        <v>0</v>
      </c>
      <c r="H72" s="246">
        <f>IF(C72=0,0,'CASTILLOS-PB'!K72)</f>
        <v>0</v>
      </c>
      <c r="I72" s="144">
        <f t="shared" si="6"/>
        <v>0</v>
      </c>
      <c r="J72" s="144">
        <f t="shared" si="7"/>
        <v>0</v>
      </c>
      <c r="K72" s="149">
        <f t="shared" si="8"/>
        <v>0</v>
      </c>
      <c r="L72" s="144">
        <f t="shared" si="9"/>
        <v>0</v>
      </c>
      <c r="M72" s="147">
        <f t="shared" si="10"/>
        <v>0</v>
      </c>
      <c r="N72" s="246">
        <f t="shared" si="20"/>
        <v>0</v>
      </c>
      <c r="O72" s="246">
        <f t="shared" si="11"/>
        <v>0</v>
      </c>
      <c r="P72" s="246">
        <f t="shared" si="12"/>
        <v>0</v>
      </c>
      <c r="Q72" s="246">
        <f t="shared" si="13"/>
        <v>0</v>
      </c>
      <c r="R72" s="246">
        <f t="shared" si="14"/>
        <v>0</v>
      </c>
      <c r="S72" s="145">
        <f t="shared" si="15"/>
        <v>0</v>
      </c>
      <c r="T72" s="147">
        <f t="shared" si="16"/>
        <v>0</v>
      </c>
      <c r="U72" s="802">
        <f t="shared" si="17"/>
        <v>0</v>
      </c>
      <c r="V72" s="147">
        <f t="shared" si="18"/>
        <v>0</v>
      </c>
      <c r="W72" s="832">
        <f t="shared" si="19"/>
        <v>0</v>
      </c>
    </row>
    <row r="73" spans="1:26" hidden="1">
      <c r="A73" s="777">
        <f>'CG. MPB'!A74</f>
        <v>45</v>
      </c>
      <c r="B73" s="801">
        <v>15</v>
      </c>
      <c r="C73" s="246">
        <f>IF('CG. MPB'!E74="CONCRETO",'RMCV.PB'!B73,0)</f>
        <v>0</v>
      </c>
      <c r="D73" s="135">
        <f>IF(C73=0,0,'CG. MPB'!C74*100)</f>
        <v>0</v>
      </c>
      <c r="E73" s="135">
        <f>IF(C73=0,0,'RMCV.PB'!C73)</f>
        <v>0</v>
      </c>
      <c r="F73" s="135">
        <f t="shared" si="5"/>
        <v>0</v>
      </c>
      <c r="G73" s="246">
        <f>IF(C73=0,0,'RMCS.PB'!L73)</f>
        <v>0</v>
      </c>
      <c r="H73" s="246">
        <f>IF(C73=0,0,'CASTILLOS-PB'!K73)</f>
        <v>0</v>
      </c>
      <c r="I73" s="144">
        <f t="shared" si="6"/>
        <v>0</v>
      </c>
      <c r="J73" s="144">
        <f t="shared" si="7"/>
        <v>0</v>
      </c>
      <c r="K73" s="149">
        <f t="shared" si="8"/>
        <v>0</v>
      </c>
      <c r="L73" s="144">
        <f t="shared" si="9"/>
        <v>0</v>
      </c>
      <c r="M73" s="147">
        <f t="shared" si="10"/>
        <v>0</v>
      </c>
      <c r="N73" s="246">
        <f t="shared" si="20"/>
        <v>0</v>
      </c>
      <c r="O73" s="246">
        <f t="shared" si="11"/>
        <v>0</v>
      </c>
      <c r="P73" s="246">
        <f t="shared" si="12"/>
        <v>0</v>
      </c>
      <c r="Q73" s="246">
        <f t="shared" si="13"/>
        <v>0</v>
      </c>
      <c r="R73" s="246">
        <f t="shared" si="14"/>
        <v>0</v>
      </c>
      <c r="S73" s="145">
        <f t="shared" si="15"/>
        <v>0</v>
      </c>
      <c r="T73" s="147">
        <f t="shared" si="16"/>
        <v>0</v>
      </c>
      <c r="U73" s="802">
        <f t="shared" si="17"/>
        <v>0</v>
      </c>
      <c r="V73" s="147">
        <f t="shared" si="18"/>
        <v>0</v>
      </c>
      <c r="W73" s="832">
        <f t="shared" si="19"/>
        <v>0</v>
      </c>
    </row>
    <row r="74" spans="1:26" hidden="1">
      <c r="A74" s="777">
        <f>'CG. MPB'!A75</f>
        <v>46</v>
      </c>
      <c r="B74" s="801">
        <v>15</v>
      </c>
      <c r="C74" s="246">
        <f>IF('CG. MPB'!E75="CONCRETO",'RMCV.PB'!B74,0)</f>
        <v>0</v>
      </c>
      <c r="D74" s="135">
        <f>IF(C74=0,0,'CG. MPB'!C75*100)</f>
        <v>0</v>
      </c>
      <c r="E74" s="135">
        <f>IF(C74=0,0,'RMCV.PB'!C74)</f>
        <v>0</v>
      </c>
      <c r="F74" s="135">
        <f t="shared" si="5"/>
        <v>0</v>
      </c>
      <c r="G74" s="246">
        <f>IF(C74=0,0,'RMCS.PB'!L74)</f>
        <v>0</v>
      </c>
      <c r="H74" s="246">
        <f>IF(C74=0,0,'CASTILLOS-PB'!K74)</f>
        <v>0</v>
      </c>
      <c r="I74" s="144">
        <f t="shared" si="6"/>
        <v>0</v>
      </c>
      <c r="J74" s="144">
        <f t="shared" si="7"/>
        <v>0</v>
      </c>
      <c r="K74" s="149">
        <f t="shared" si="8"/>
        <v>0</v>
      </c>
      <c r="L74" s="144">
        <f t="shared" si="9"/>
        <v>0</v>
      </c>
      <c r="M74" s="147">
        <f t="shared" si="10"/>
        <v>0</v>
      </c>
      <c r="N74" s="246">
        <f t="shared" si="20"/>
        <v>0</v>
      </c>
      <c r="O74" s="246">
        <f t="shared" si="11"/>
        <v>0</v>
      </c>
      <c r="P74" s="246">
        <f t="shared" si="12"/>
        <v>0</v>
      </c>
      <c r="Q74" s="246">
        <f t="shared" si="13"/>
        <v>0</v>
      </c>
      <c r="R74" s="246">
        <f t="shared" si="14"/>
        <v>0</v>
      </c>
      <c r="S74" s="145">
        <f t="shared" si="15"/>
        <v>0</v>
      </c>
      <c r="T74" s="147">
        <f t="shared" si="16"/>
        <v>0</v>
      </c>
      <c r="U74" s="802">
        <f t="shared" si="17"/>
        <v>0</v>
      </c>
      <c r="V74" s="147">
        <f t="shared" si="18"/>
        <v>0</v>
      </c>
      <c r="W74" s="832">
        <f t="shared" si="19"/>
        <v>0</v>
      </c>
    </row>
    <row r="75" spans="1:26" hidden="1">
      <c r="A75" s="777">
        <f>'CG. MPB'!A76</f>
        <v>47</v>
      </c>
      <c r="B75" s="801">
        <v>15</v>
      </c>
      <c r="C75" s="246">
        <f>IF('CG. MPB'!E76="CONCRETO",'RMCV.PB'!B75,0)</f>
        <v>0</v>
      </c>
      <c r="D75" s="135">
        <f>IF(C75=0,0,'CG. MPB'!C76*100)</f>
        <v>0</v>
      </c>
      <c r="E75" s="135">
        <f>IF(C75=0,0,'RMCV.PB'!C75)</f>
        <v>0</v>
      </c>
      <c r="F75" s="135">
        <f t="shared" si="5"/>
        <v>0</v>
      </c>
      <c r="G75" s="246">
        <f>IF(C75=0,0,'RMCS.PB'!L75)</f>
        <v>0</v>
      </c>
      <c r="H75" s="246">
        <f>IF(C75=0,0,'CASTILLOS-PB'!K75)</f>
        <v>0</v>
      </c>
      <c r="I75" s="144">
        <f t="shared" si="6"/>
        <v>0</v>
      </c>
      <c r="J75" s="144">
        <f t="shared" si="7"/>
        <v>0</v>
      </c>
      <c r="K75" s="149">
        <f t="shared" si="8"/>
        <v>0</v>
      </c>
      <c r="L75" s="144">
        <f t="shared" si="9"/>
        <v>0</v>
      </c>
      <c r="M75" s="147">
        <f t="shared" si="10"/>
        <v>0</v>
      </c>
      <c r="N75" s="246">
        <f t="shared" si="20"/>
        <v>0</v>
      </c>
      <c r="O75" s="246">
        <f t="shared" si="11"/>
        <v>0</v>
      </c>
      <c r="P75" s="246">
        <f t="shared" si="12"/>
        <v>0</v>
      </c>
      <c r="Q75" s="246">
        <f t="shared" si="13"/>
        <v>0</v>
      </c>
      <c r="R75" s="246">
        <f t="shared" si="14"/>
        <v>0</v>
      </c>
      <c r="S75" s="145">
        <f t="shared" si="15"/>
        <v>0</v>
      </c>
      <c r="T75" s="147">
        <f t="shared" si="16"/>
        <v>0</v>
      </c>
      <c r="U75" s="802">
        <f t="shared" si="17"/>
        <v>0</v>
      </c>
      <c r="V75" s="147">
        <f t="shared" si="18"/>
        <v>0</v>
      </c>
      <c r="W75" s="832">
        <f t="shared" si="19"/>
        <v>0</v>
      </c>
    </row>
    <row r="76" spans="1:26" hidden="1">
      <c r="A76" s="777">
        <f>'CG. MPB'!A77</f>
        <v>48</v>
      </c>
      <c r="B76" s="801">
        <v>15</v>
      </c>
      <c r="C76" s="246">
        <f>IF('CG. MPB'!E77="CONCRETO",'RMCV.PB'!B76,0)</f>
        <v>0</v>
      </c>
      <c r="D76" s="135">
        <f>IF(C76=0,0,'CG. MPB'!C77*100)</f>
        <v>0</v>
      </c>
      <c r="E76" s="135">
        <f>IF(C76=0,0,'RMCV.PB'!C76)</f>
        <v>0</v>
      </c>
      <c r="F76" s="135">
        <f t="shared" si="5"/>
        <v>0</v>
      </c>
      <c r="G76" s="246">
        <f>IF(C76=0,0,'RMCS.PB'!L76)</f>
        <v>0</v>
      </c>
      <c r="H76" s="246">
        <f>IF(C76=0,0,'CASTILLOS-PB'!K76)</f>
        <v>0</v>
      </c>
      <c r="I76" s="144">
        <f t="shared" si="6"/>
        <v>0</v>
      </c>
      <c r="J76" s="144">
        <f t="shared" si="7"/>
        <v>0</v>
      </c>
      <c r="K76" s="149">
        <f t="shared" si="8"/>
        <v>0</v>
      </c>
      <c r="L76" s="144">
        <f t="shared" si="9"/>
        <v>0</v>
      </c>
      <c r="M76" s="147">
        <f t="shared" si="10"/>
        <v>0</v>
      </c>
      <c r="N76" s="246">
        <f t="shared" si="20"/>
        <v>0</v>
      </c>
      <c r="O76" s="246">
        <f t="shared" si="11"/>
        <v>0</v>
      </c>
      <c r="P76" s="246">
        <f t="shared" si="12"/>
        <v>0</v>
      </c>
      <c r="Q76" s="246">
        <f t="shared" si="13"/>
        <v>0</v>
      </c>
      <c r="R76" s="246">
        <f t="shared" si="14"/>
        <v>0</v>
      </c>
      <c r="S76" s="145">
        <f t="shared" si="15"/>
        <v>0</v>
      </c>
      <c r="T76" s="147">
        <f t="shared" si="16"/>
        <v>0</v>
      </c>
      <c r="U76" s="802">
        <f t="shared" si="17"/>
        <v>0</v>
      </c>
      <c r="V76" s="147">
        <f t="shared" si="18"/>
        <v>0</v>
      </c>
      <c r="W76" s="832">
        <f t="shared" si="19"/>
        <v>0</v>
      </c>
    </row>
    <row r="77" spans="1:26" hidden="1">
      <c r="A77" s="777">
        <f>'CG. MPB'!A78</f>
        <v>49</v>
      </c>
      <c r="B77" s="801">
        <v>15</v>
      </c>
      <c r="C77" s="246">
        <f>IF('CG. MPB'!E78="CONCRETO",'RMCV.PB'!B77,0)</f>
        <v>0</v>
      </c>
      <c r="D77" s="135">
        <f>IF(C77=0,0,'CG. MPB'!C78*100)</f>
        <v>0</v>
      </c>
      <c r="E77" s="135">
        <f>IF(C77=0,0,'RMCV.PB'!C77)</f>
        <v>0</v>
      </c>
      <c r="F77" s="135">
        <f t="shared" si="5"/>
        <v>0</v>
      </c>
      <c r="G77" s="246">
        <f>IF(C77=0,0,'RMCS.PB'!L77)</f>
        <v>0</v>
      </c>
      <c r="H77" s="246">
        <f>IF(C77=0,0,'CASTILLOS-PB'!K77)</f>
        <v>0</v>
      </c>
      <c r="I77" s="144">
        <f t="shared" si="6"/>
        <v>0</v>
      </c>
      <c r="J77" s="144">
        <f t="shared" si="7"/>
        <v>0</v>
      </c>
      <c r="K77" s="149">
        <f t="shared" si="8"/>
        <v>0</v>
      </c>
      <c r="L77" s="144">
        <f t="shared" si="9"/>
        <v>0</v>
      </c>
      <c r="M77" s="147">
        <f t="shared" si="10"/>
        <v>0</v>
      </c>
      <c r="N77" s="246">
        <f t="shared" si="20"/>
        <v>0</v>
      </c>
      <c r="O77" s="246">
        <f t="shared" si="11"/>
        <v>0</v>
      </c>
      <c r="P77" s="246">
        <f t="shared" si="12"/>
        <v>0</v>
      </c>
      <c r="Q77" s="246">
        <f t="shared" si="13"/>
        <v>0</v>
      </c>
      <c r="R77" s="246">
        <f t="shared" si="14"/>
        <v>0</v>
      </c>
      <c r="S77" s="145">
        <f t="shared" si="15"/>
        <v>0</v>
      </c>
      <c r="T77" s="147">
        <f t="shared" si="16"/>
        <v>0</v>
      </c>
      <c r="U77" s="802">
        <f t="shared" si="17"/>
        <v>0</v>
      </c>
      <c r="V77" s="147">
        <f t="shared" si="18"/>
        <v>0</v>
      </c>
      <c r="W77" s="832">
        <f t="shared" si="19"/>
        <v>0</v>
      </c>
    </row>
    <row r="78" spans="1:26" ht="15.75" hidden="1" thickBot="1">
      <c r="A78" s="777">
        <f>'CG. MPB'!A79</f>
        <v>50</v>
      </c>
      <c r="B78" s="801">
        <v>15</v>
      </c>
      <c r="C78" s="246">
        <f>IF('CG. MPB'!E79="CONCRETO",'RMCV.PB'!B78,0)</f>
        <v>0</v>
      </c>
      <c r="D78" s="135">
        <f>IF(C78=0,0,'CG. MPB'!C79*100)</f>
        <v>0</v>
      </c>
      <c r="E78" s="135">
        <f>IF(C78=0,0,'RMCV.PB'!C78)</f>
        <v>0</v>
      </c>
      <c r="F78" s="135">
        <f t="shared" si="5"/>
        <v>0</v>
      </c>
      <c r="G78" s="246">
        <f>IF(C78=0,0,'RMCS.PB'!L78)</f>
        <v>0</v>
      </c>
      <c r="H78" s="246">
        <f>IF(C78=0,0,'CASTILLOS-PB'!K78)</f>
        <v>0</v>
      </c>
      <c r="I78" s="144">
        <f t="shared" si="6"/>
        <v>0</v>
      </c>
      <c r="J78" s="144">
        <f t="shared" si="7"/>
        <v>0</v>
      </c>
      <c r="K78" s="149">
        <f t="shared" si="8"/>
        <v>0</v>
      </c>
      <c r="L78" s="144">
        <f t="shared" si="9"/>
        <v>0</v>
      </c>
      <c r="M78" s="147">
        <f t="shared" si="10"/>
        <v>0</v>
      </c>
      <c r="N78" s="246">
        <f t="shared" si="20"/>
        <v>0</v>
      </c>
      <c r="O78" s="246">
        <f t="shared" si="11"/>
        <v>0</v>
      </c>
      <c r="P78" s="246">
        <f t="shared" si="12"/>
        <v>0</v>
      </c>
      <c r="Q78" s="246">
        <f t="shared" si="13"/>
        <v>0</v>
      </c>
      <c r="R78" s="246">
        <f t="shared" si="14"/>
        <v>0</v>
      </c>
      <c r="S78" s="145">
        <f t="shared" si="15"/>
        <v>0</v>
      </c>
      <c r="T78" s="147">
        <f t="shared" si="16"/>
        <v>0</v>
      </c>
      <c r="U78" s="802">
        <f t="shared" si="17"/>
        <v>0</v>
      </c>
      <c r="V78" s="147">
        <f t="shared" si="18"/>
        <v>0</v>
      </c>
      <c r="W78" s="832">
        <f t="shared" si="19"/>
        <v>0</v>
      </c>
    </row>
    <row r="79" spans="1:26" ht="15.75">
      <c r="A79" s="844" t="s">
        <v>88</v>
      </c>
      <c r="B79" s="789"/>
      <c r="C79" s="845"/>
      <c r="D79" s="789"/>
      <c r="E79" s="789"/>
      <c r="F79" s="789"/>
      <c r="G79" s="845"/>
      <c r="H79" s="845"/>
      <c r="I79" s="845"/>
      <c r="J79" s="791"/>
      <c r="K79" s="795"/>
      <c r="L79" s="791"/>
      <c r="M79" s="792"/>
      <c r="N79" s="845"/>
      <c r="O79" s="845"/>
      <c r="P79" s="845"/>
      <c r="Q79" s="845"/>
      <c r="R79" s="845"/>
      <c r="S79" s="793"/>
      <c r="T79" s="789"/>
      <c r="U79" s="789"/>
      <c r="V79" s="792"/>
      <c r="W79" s="794"/>
      <c r="X79" s="794"/>
    </row>
    <row r="80" spans="1:26">
      <c r="A80" s="777">
        <f>'CG. MPB'!A81</f>
        <v>1</v>
      </c>
      <c r="B80" s="801">
        <v>40</v>
      </c>
      <c r="C80" s="246">
        <f>IF('CG. MPB'!E81="CONCRETO",'RMCV.PB'!B80,0)</f>
        <v>0</v>
      </c>
      <c r="D80" s="135">
        <f>IF(C80=0,0,'CG. MPB'!C81*100)</f>
        <v>0</v>
      </c>
      <c r="E80" s="135">
        <f>IF(C80=0,0,'RMCV.PB'!C80)</f>
        <v>0</v>
      </c>
      <c r="F80" s="135">
        <f t="shared" ref="F80" si="21">IF(C80=0,0,C80-B80)</f>
        <v>0</v>
      </c>
      <c r="G80" s="246">
        <f>IF(C80=0,0,'RMCS.PB'!L80)</f>
        <v>0</v>
      </c>
      <c r="H80" s="246">
        <f>IF(C80=0,0,'CASTILLOS-PB'!K80)</f>
        <v>0</v>
      </c>
      <c r="I80" s="144">
        <f t="shared" ref="I80" si="22">IF(C80=0,0,D80/C80)</f>
        <v>0</v>
      </c>
      <c r="J80" s="144">
        <f t="shared" ref="J80" si="23">IF(C80=0,0,IF(D80/C80&gt;=1,0.8*C80,IF(D80/C80&lt;=0.5,1.2*D80,0.4*(1+D80/C80)*C80)))</f>
        <v>0</v>
      </c>
      <c r="K80" s="149">
        <f t="shared" ref="K80" si="24">IF(C80=0,0,M80*E80*F80)</f>
        <v>0</v>
      </c>
      <c r="L80" s="144">
        <f t="shared" ref="L80:L129" si="25">(K80/$L$22)</f>
        <v>0</v>
      </c>
      <c r="M80" s="147">
        <f t="shared" ref="M80" si="26">IF(C80=0,0,IF((H80/(0.85*$J$15*J80))/(F80*E80)&lt;0.015,IF(0.7*$J$13^0.5/$J$15&gt;(H80/(0.85*$J$15*J80))/(F80*E80),0.7*$J$13^0.5/$J$15,(H80/(0.85*$J$15*J80))/(F80*E80)),"MAL"))</f>
        <v>0</v>
      </c>
      <c r="N80" s="246">
        <f t="shared" ref="N80" si="27">IF(C80=0,0,IF(G80&lt;1.6*F80*E80*$J$14^0.5,1.6*F80*E80*$J$14^0.5,"MAL"))</f>
        <v>0</v>
      </c>
      <c r="O80" s="246">
        <f t="shared" ref="O80" si="28">IF(I80&lt;1.5,0.68*E80*F80*$J$14^0.5,IF(I80&gt;=2,IF(M80&lt;0.015,0.8*E80*F80*(0.2+20*M80)*$J$14^0.5,0.4*E80*F80*$J$14^0.5),R80))</f>
        <v>0</v>
      </c>
      <c r="P80" s="246">
        <f t="shared" ref="P80" si="29">IF(C80=0,0,IF(I80=0,0,0.68*E80*F80*($J$14)^0.5))</f>
        <v>0</v>
      </c>
      <c r="Q80" s="246">
        <f t="shared" ref="Q80" si="30">IF(C80=0,0,IF(I80=0,0,0.8*F80*E80*(0.2+20*M80)*($J$14)^0.5))</f>
        <v>0</v>
      </c>
      <c r="R80" s="246">
        <f t="shared" ref="R80" si="31">IF(C80=0,0,IF(I80&lt;1.5,0,IF(I80&gt;2,0,Q80+(P80-Q80)*(2-I80)/0.5)))</f>
        <v>0</v>
      </c>
      <c r="S80" s="145">
        <f t="shared" ref="S80" si="32">IF(C80=0,0,IF(AND(N80&gt;G80,N80&gt;O80),"BIEN","MAL"))</f>
        <v>0</v>
      </c>
      <c r="T80" s="147">
        <f t="shared" ref="T80" si="33">IF(C80=0,0,IF(O80&gt;G80,0.0025,IF((G80-O80)/(0.8*$J$15*E80*F80)&gt;0.0025,(G80-O80)/(0.8*$J$15*E80*F80),0.0025)))</f>
        <v>0</v>
      </c>
      <c r="U80" s="802">
        <f>IF(C80=0,0,IF($U$22/(M80*E80)&gt;35,35,$U$22/(M80*E80)))</f>
        <v>0</v>
      </c>
      <c r="V80" s="147">
        <f t="shared" ref="V80" si="34">IF(C80=0,0,IF(D80/C80&lt;=2,T80,IF((0.0025+0.5*(2.5-D80/C80)*(T80-0.0025))&gt;0.0025,(0.0025+0.5*(2.5-D80/C80)*(T80-0.0025)),0.0025)))</f>
        <v>0</v>
      </c>
      <c r="W80" s="832">
        <f t="shared" ref="W80" si="35">IF(C80=0,0,IF($W$22/(V80*E80)&gt;35,35,$W$22/(V80*E80)))</f>
        <v>0</v>
      </c>
      <c r="X80" s="246">
        <f>IF('CG. MPB'!Z81="CONCRETO",'RMCV.PB'!W80,0)</f>
        <v>0</v>
      </c>
      <c r="Z80" s="135">
        <v>1.98</v>
      </c>
    </row>
    <row r="81" spans="1:24">
      <c r="A81" s="777">
        <f>'CG. MPB'!A82</f>
        <v>2</v>
      </c>
      <c r="B81" s="801">
        <v>30</v>
      </c>
      <c r="C81" s="246">
        <f>IF('CG. MPB'!E82="CONCRETO",'RMCV.PB'!B81,0)</f>
        <v>0</v>
      </c>
      <c r="D81" s="135">
        <f>IF(C81=0,0,'CG. MPB'!C82*100)</f>
        <v>0</v>
      </c>
      <c r="E81" s="135">
        <f>IF(C81=0,0,'RMCV.PB'!C81)</f>
        <v>0</v>
      </c>
      <c r="F81" s="135">
        <f t="shared" ref="F81:F129" si="36">IF(C81=0,0,C81-B81)</f>
        <v>0</v>
      </c>
      <c r="G81" s="246">
        <f>IF(C81=0,0,'RMCS.PB'!L81)</f>
        <v>0</v>
      </c>
      <c r="H81" s="246">
        <f>IF(C81=0,0,'CASTILLOS-PB'!K81)</f>
        <v>0</v>
      </c>
      <c r="I81" s="144">
        <f t="shared" ref="I81:I129" si="37">IF(C81=0,0,D81/C81)</f>
        <v>0</v>
      </c>
      <c r="J81" s="144">
        <f t="shared" ref="J81:J129" si="38">IF(C81=0,0,IF(D81/C81&gt;=1,0.8*C81,IF(D81/C81&lt;=0.5,1.2*D81,0.4*(1+D81/C81)*C81)))</f>
        <v>0</v>
      </c>
      <c r="K81" s="149">
        <f t="shared" ref="K81:K129" si="39">IF(C81=0,0,M81*E81*F81)</f>
        <v>0</v>
      </c>
      <c r="L81" s="144">
        <f t="shared" si="25"/>
        <v>0</v>
      </c>
      <c r="M81" s="147">
        <f t="shared" ref="M81:M129" si="40">IF(C81=0,0,IF((H81/(0.85*$J$15*J81))/(F81*E81)&lt;0.015,IF(0.7*$J$13^0.5/$J$15&gt;(H81/(0.85*$J$15*J81))/(F81*E81),0.7*$J$13^0.5/$J$15,(H81/(0.85*$J$15*J81))/(F81*E81)),"MAL"))</f>
        <v>0</v>
      </c>
      <c r="N81" s="246">
        <f t="shared" ref="N81:N129" si="41">IF(C81=0,0,IF(G81&lt;1.6*F81*E81*$J$14^0.5,1.6*F81*E81*$J$14^0.5,"MAL"))</f>
        <v>0</v>
      </c>
      <c r="O81" s="246">
        <f t="shared" ref="O81:O129" si="42">IF(I81&lt;1.5,0.68*E81*F81*$J$14^0.5,IF(I81&gt;=2,IF(M81&lt;0.015,0.8*E81*F81*(0.2+20*M81)*$J$14^0.5,0.4*E81*F81*$J$14^0.5),R81))</f>
        <v>0</v>
      </c>
      <c r="P81" s="246">
        <f t="shared" ref="P81:P129" si="43">IF(C81=0,0,IF(I81=0,0,0.68*E81*F81*($J$14)^0.5))</f>
        <v>0</v>
      </c>
      <c r="Q81" s="246">
        <f t="shared" ref="Q81:Q129" si="44">IF(C81=0,0,IF(I81=0,0,0.8*F81*E81*(0.2+20*M81)*($J$14)^0.5))</f>
        <v>0</v>
      </c>
      <c r="R81" s="246">
        <f t="shared" ref="R81:R129" si="45">IF(C81=0,0,IF(I81&lt;1.5,0,IF(I81&gt;2,0,Q81+(P81-Q81)*(2-I81)/0.5)))</f>
        <v>0</v>
      </c>
      <c r="S81" s="145">
        <f t="shared" ref="S81:S129" si="46">IF(C81=0,0,IF(AND(N81&gt;G81,N81&gt;O81),"BIEN","MAL"))</f>
        <v>0</v>
      </c>
      <c r="T81" s="147">
        <f t="shared" ref="T81:T129" si="47">IF(C81=0,0,IF(O81&gt;G81,0.0025,IF((G81-O81)/(0.8*$J$15*E81*F81)&gt;0.0025,(G81-O81)/(0.8*$J$15*E81*F81),0.0025)))</f>
        <v>0</v>
      </c>
      <c r="U81" s="802">
        <f t="shared" ref="U81:U129" si="48">IF(C81=0,0,IF($U$22/(M81*E81)&gt;35,35,$U$22/(M81*E81)))</f>
        <v>0</v>
      </c>
      <c r="V81" s="147">
        <f t="shared" ref="V81:V129" si="49">IF(C81=0,0,IF(D81/C81&lt;=2,T81,IF((0.0025+0.5*(2.5-D81/C81)*(T81-0.0025))&gt;0.0025,(0.0025+0.5*(2.5-D81/C81)*(T81-0.0025)),0.0025)))</f>
        <v>0</v>
      </c>
      <c r="W81" s="832">
        <f t="shared" ref="W81:W129" si="50">IF(C81=0,0,IF($W$22/(V81*E81)&gt;35,35,$W$22/(V81*E81)))</f>
        <v>0</v>
      </c>
      <c r="X81" s="135">
        <f t="shared" ref="X81:X109" si="51">1.6*F81*E81*$J$14^0.5</f>
        <v>0</v>
      </c>
    </row>
    <row r="82" spans="1:24">
      <c r="A82" s="777">
        <f>'CG. MPB'!A83</f>
        <v>3</v>
      </c>
      <c r="B82" s="801">
        <v>25</v>
      </c>
      <c r="C82" s="246">
        <f>IF('CG. MPB'!E83="CONCRETO",'RMCV.PB'!B82,0)</f>
        <v>253.79999999999993</v>
      </c>
      <c r="D82" s="135">
        <f>IF(C82=0,0,'CG. MPB'!C83*100)</f>
        <v>280</v>
      </c>
      <c r="E82" s="135">
        <f>IF(C82=0,0,'RMCV.PB'!C82)</f>
        <v>15</v>
      </c>
      <c r="F82" s="135">
        <f t="shared" si="36"/>
        <v>228.79999999999993</v>
      </c>
      <c r="G82" s="246">
        <f>IF(C82=0,0,'RMCS.PB'!L82)</f>
        <v>9791.1401026295916</v>
      </c>
      <c r="H82" s="246">
        <f>IF(C82=0,0,'CASTILLOS-PB'!K82)</f>
        <v>372724.22057227622</v>
      </c>
      <c r="I82" s="144">
        <f t="shared" si="37"/>
        <v>1.1032308904649333</v>
      </c>
      <c r="J82" s="144">
        <f t="shared" si="38"/>
        <v>203.03999999999996</v>
      </c>
      <c r="K82" s="149">
        <f t="shared" si="39"/>
        <v>9.0441141080815601</v>
      </c>
      <c r="L82" s="144">
        <f t="shared" si="25"/>
        <v>7.1213496914028029</v>
      </c>
      <c r="M82" s="147">
        <f t="shared" si="40"/>
        <v>2.6352313834736491E-3</v>
      </c>
      <c r="N82" s="246">
        <f t="shared" si="41"/>
        <v>80047.307612436271</v>
      </c>
      <c r="O82" s="246">
        <f t="shared" si="42"/>
        <v>34020.105735285411</v>
      </c>
      <c r="P82" s="246">
        <f t="shared" si="43"/>
        <v>34020.105735285411</v>
      </c>
      <c r="Q82" s="246">
        <f t="shared" si="44"/>
        <v>10114.16253307224</v>
      </c>
      <c r="R82" s="246">
        <f t="shared" si="45"/>
        <v>0</v>
      </c>
      <c r="S82" s="145" t="str">
        <f t="shared" si="46"/>
        <v>BIEN</v>
      </c>
      <c r="T82" s="147">
        <f t="shared" si="47"/>
        <v>2.5000000000000001E-3</v>
      </c>
      <c r="U82" s="802">
        <f t="shared" si="48"/>
        <v>17.961737109756395</v>
      </c>
      <c r="V82" s="147">
        <f t="shared" si="49"/>
        <v>2.5000000000000001E-3</v>
      </c>
      <c r="W82" s="832">
        <f t="shared" si="50"/>
        <v>18.933333333333334</v>
      </c>
      <c r="X82" s="778">
        <f t="shared" si="51"/>
        <v>80047.307612436271</v>
      </c>
    </row>
    <row r="83" spans="1:24">
      <c r="A83" s="777">
        <f>'CG. MPB'!A84</f>
        <v>4</v>
      </c>
      <c r="B83" s="801">
        <v>25</v>
      </c>
      <c r="C83" s="246">
        <f>IF('CG. MPB'!E84="CONCRETO",'RMCV.PB'!B83,0)</f>
        <v>253.8</v>
      </c>
      <c r="D83" s="135">
        <f>IF(C83=0,0,'CG. MPB'!C84*100)</f>
        <v>280</v>
      </c>
      <c r="E83" s="135">
        <f>IF(C83=0,0,'RMCV.PB'!C83)</f>
        <v>15</v>
      </c>
      <c r="F83" s="135">
        <f t="shared" si="36"/>
        <v>228.8</v>
      </c>
      <c r="G83" s="246">
        <f>IF(C83=0,0,'RMCS.PB'!L83)</f>
        <v>30693.575095628617</v>
      </c>
      <c r="H83" s="246">
        <f>IF(C83=0,0,'CASTILLOS-PB'!K83)</f>
        <v>2666422.0956299123</v>
      </c>
      <c r="I83" s="144">
        <f t="shared" si="37"/>
        <v>1.1032308904649331</v>
      </c>
      <c r="J83" s="144">
        <f t="shared" si="38"/>
        <v>203.04000000000002</v>
      </c>
      <c r="K83" s="149">
        <f t="shared" si="39"/>
        <v>9.0441141080815637</v>
      </c>
      <c r="L83" s="144">
        <f t="shared" si="25"/>
        <v>7.1213496914028056</v>
      </c>
      <c r="M83" s="147">
        <f t="shared" si="40"/>
        <v>2.6352313834736491E-3</v>
      </c>
      <c r="N83" s="246">
        <f t="shared" si="41"/>
        <v>80047.3076124363</v>
      </c>
      <c r="O83" s="246">
        <f t="shared" si="42"/>
        <v>34020.105735285426</v>
      </c>
      <c r="P83" s="246">
        <f t="shared" si="43"/>
        <v>34020.105735285426</v>
      </c>
      <c r="Q83" s="246">
        <f t="shared" si="44"/>
        <v>10114.162533072244</v>
      </c>
      <c r="R83" s="246">
        <f t="shared" si="45"/>
        <v>0</v>
      </c>
      <c r="S83" s="145" t="str">
        <f t="shared" si="46"/>
        <v>BIEN</v>
      </c>
      <c r="T83" s="147">
        <f t="shared" si="47"/>
        <v>2.5000000000000001E-3</v>
      </c>
      <c r="U83" s="802">
        <f t="shared" si="48"/>
        <v>17.961737109756395</v>
      </c>
      <c r="V83" s="147">
        <f t="shared" si="49"/>
        <v>2.5000000000000001E-3</v>
      </c>
      <c r="W83" s="832">
        <f t="shared" si="50"/>
        <v>18.933333333333334</v>
      </c>
      <c r="X83" s="778">
        <f t="shared" si="51"/>
        <v>80047.3076124363</v>
      </c>
    </row>
    <row r="84" spans="1:24">
      <c r="A84" s="777">
        <f>'CG. MPB'!A85</f>
        <v>5</v>
      </c>
      <c r="B84" s="801">
        <v>25</v>
      </c>
      <c r="C84" s="246">
        <f>IF('CG. MPB'!E85="CONCRETO",'RMCV.PB'!B84,0)</f>
        <v>385.05</v>
      </c>
      <c r="D84" s="135">
        <f>IF(C84=0,0,'CG. MPB'!C85*100)</f>
        <v>280</v>
      </c>
      <c r="E84" s="135">
        <f>IF(C84=0,0,'RMCV.PB'!C84)</f>
        <v>15</v>
      </c>
      <c r="F84" s="135">
        <f t="shared" si="36"/>
        <v>360.05</v>
      </c>
      <c r="G84" s="246">
        <f>IF(C84=0,0,'RMCS.PB'!L84)</f>
        <v>17909.410118637625</v>
      </c>
      <c r="H84" s="246">
        <f>IF(C84=0,0,'CASTILLOS-PB'!K84)</f>
        <v>10831051.695282407</v>
      </c>
      <c r="I84" s="144">
        <f t="shared" si="37"/>
        <v>0.72717828853395661</v>
      </c>
      <c r="J84" s="144">
        <f t="shared" si="38"/>
        <v>266.02000000000004</v>
      </c>
      <c r="K84" s="149">
        <f t="shared" si="39"/>
        <v>14.232225894295311</v>
      </c>
      <c r="L84" s="144">
        <f t="shared" si="25"/>
        <v>11.206477082122293</v>
      </c>
      <c r="M84" s="147">
        <f t="shared" si="40"/>
        <v>2.6352313834736491E-3</v>
      </c>
      <c r="N84" s="246">
        <f t="shared" si="41"/>
        <v>125966.05378434304</v>
      </c>
      <c r="O84" s="246">
        <f t="shared" si="42"/>
        <v>53535.572858345797</v>
      </c>
      <c r="P84" s="246">
        <f t="shared" si="43"/>
        <v>53535.572858345797</v>
      </c>
      <c r="Q84" s="246">
        <f t="shared" si="44"/>
        <v>15916.102360282608</v>
      </c>
      <c r="R84" s="246">
        <f t="shared" si="45"/>
        <v>0</v>
      </c>
      <c r="S84" s="145" t="str">
        <f t="shared" si="46"/>
        <v>BIEN</v>
      </c>
      <c r="T84" s="147">
        <f t="shared" si="47"/>
        <v>2.5000000000000001E-3</v>
      </c>
      <c r="U84" s="802">
        <f t="shared" si="48"/>
        <v>17.961737109756395</v>
      </c>
      <c r="V84" s="147">
        <f t="shared" si="49"/>
        <v>2.5000000000000001E-3</v>
      </c>
      <c r="W84" s="832">
        <f t="shared" si="50"/>
        <v>18.933333333333334</v>
      </c>
      <c r="X84" s="778">
        <f t="shared" si="51"/>
        <v>125966.05378434304</v>
      </c>
    </row>
    <row r="85" spans="1:24">
      <c r="A85" s="777">
        <f>'CG. MPB'!A86</f>
        <v>6</v>
      </c>
      <c r="B85" s="801">
        <v>15</v>
      </c>
      <c r="C85" s="246">
        <f>IF('CG. MPB'!E86="CONCRETO",'RMCV.PB'!B85,0)</f>
        <v>0</v>
      </c>
      <c r="D85" s="135">
        <f>IF(C85=0,0,'CG. MPB'!C86*100)</f>
        <v>0</v>
      </c>
      <c r="E85" s="135">
        <f>IF(C85=0,0,'RMCV.PB'!C85)</f>
        <v>0</v>
      </c>
      <c r="F85" s="135">
        <f t="shared" si="36"/>
        <v>0</v>
      </c>
      <c r="G85" s="246">
        <f>IF(C85=0,0,'RMCS.PB'!L85)</f>
        <v>0</v>
      </c>
      <c r="H85" s="246">
        <f>IF(C85=0,0,'CASTILLOS-PB'!K85)</f>
        <v>0</v>
      </c>
      <c r="I85" s="144">
        <f t="shared" si="37"/>
        <v>0</v>
      </c>
      <c r="J85" s="144">
        <f t="shared" si="38"/>
        <v>0</v>
      </c>
      <c r="K85" s="149">
        <f t="shared" si="39"/>
        <v>0</v>
      </c>
      <c r="L85" s="144">
        <f t="shared" si="25"/>
        <v>0</v>
      </c>
      <c r="M85" s="147">
        <f t="shared" si="40"/>
        <v>0</v>
      </c>
      <c r="N85" s="246">
        <f t="shared" si="41"/>
        <v>0</v>
      </c>
      <c r="O85" s="246">
        <f t="shared" si="42"/>
        <v>0</v>
      </c>
      <c r="P85" s="246">
        <f t="shared" si="43"/>
        <v>0</v>
      </c>
      <c r="Q85" s="246">
        <f t="shared" si="44"/>
        <v>0</v>
      </c>
      <c r="R85" s="246">
        <f t="shared" si="45"/>
        <v>0</v>
      </c>
      <c r="S85" s="145">
        <f t="shared" si="46"/>
        <v>0</v>
      </c>
      <c r="T85" s="147">
        <f t="shared" si="47"/>
        <v>0</v>
      </c>
      <c r="U85" s="802">
        <f t="shared" si="48"/>
        <v>0</v>
      </c>
      <c r="V85" s="147">
        <f t="shared" si="49"/>
        <v>0</v>
      </c>
      <c r="W85" s="832">
        <f t="shared" si="50"/>
        <v>0</v>
      </c>
      <c r="X85" s="778">
        <f t="shared" si="51"/>
        <v>0</v>
      </c>
    </row>
    <row r="86" spans="1:24">
      <c r="A86" s="777">
        <f>'CG. MPB'!A87</f>
        <v>7</v>
      </c>
      <c r="B86" s="801">
        <v>15</v>
      </c>
      <c r="C86" s="246">
        <f>IF('CG. MPB'!E87="CONCRETO",'RMCV.PB'!B86,0)</f>
        <v>0</v>
      </c>
      <c r="D86" s="135">
        <f>IF(C86=0,0,'CG. MPB'!C87*100)</f>
        <v>0</v>
      </c>
      <c r="E86" s="135">
        <f>IF(C86=0,0,'RMCV.PB'!C86)</f>
        <v>0</v>
      </c>
      <c r="F86" s="135">
        <f t="shared" si="36"/>
        <v>0</v>
      </c>
      <c r="G86" s="246">
        <f>IF(C86=0,0,'RMCS.PB'!L86)</f>
        <v>0</v>
      </c>
      <c r="H86" s="246">
        <f>IF(C86=0,0,'CASTILLOS-PB'!K86)</f>
        <v>0</v>
      </c>
      <c r="I86" s="144">
        <f t="shared" si="37"/>
        <v>0</v>
      </c>
      <c r="J86" s="144">
        <f t="shared" si="38"/>
        <v>0</v>
      </c>
      <c r="K86" s="149">
        <f t="shared" si="39"/>
        <v>0</v>
      </c>
      <c r="L86" s="144">
        <f t="shared" si="25"/>
        <v>0</v>
      </c>
      <c r="M86" s="147">
        <f t="shared" si="40"/>
        <v>0</v>
      </c>
      <c r="N86" s="246">
        <f t="shared" si="41"/>
        <v>0</v>
      </c>
      <c r="O86" s="246">
        <f t="shared" si="42"/>
        <v>0</v>
      </c>
      <c r="P86" s="246">
        <f t="shared" si="43"/>
        <v>0</v>
      </c>
      <c r="Q86" s="246">
        <f t="shared" si="44"/>
        <v>0</v>
      </c>
      <c r="R86" s="246">
        <f t="shared" si="45"/>
        <v>0</v>
      </c>
      <c r="S86" s="145">
        <f t="shared" si="46"/>
        <v>0</v>
      </c>
      <c r="T86" s="147">
        <f t="shared" si="47"/>
        <v>0</v>
      </c>
      <c r="U86" s="802">
        <f t="shared" si="48"/>
        <v>0</v>
      </c>
      <c r="V86" s="147">
        <f t="shared" si="49"/>
        <v>0</v>
      </c>
      <c r="W86" s="832">
        <f t="shared" si="50"/>
        <v>0</v>
      </c>
      <c r="X86" s="778">
        <f t="shared" si="51"/>
        <v>0</v>
      </c>
    </row>
    <row r="87" spans="1:24">
      <c r="A87" s="777">
        <f>'CG. MPB'!A88</f>
        <v>8</v>
      </c>
      <c r="B87" s="801">
        <v>40</v>
      </c>
      <c r="C87" s="246">
        <f>IF('CG. MPB'!E88="CONCRETO",'RMCV.PB'!B87,0)</f>
        <v>0</v>
      </c>
      <c r="D87" s="135">
        <f>IF(C87=0,0,'CG. MPB'!C88*100)</f>
        <v>0</v>
      </c>
      <c r="E87" s="135">
        <f>IF(C87=0,0,'RMCV.PB'!C87)</f>
        <v>0</v>
      </c>
      <c r="F87" s="135">
        <f t="shared" si="36"/>
        <v>0</v>
      </c>
      <c r="G87" s="246">
        <f>IF(C87=0,0,'RMCS.PB'!L87)</f>
        <v>0</v>
      </c>
      <c r="H87" s="246">
        <f>IF(C87=0,0,'CASTILLOS-PB'!K87)</f>
        <v>0</v>
      </c>
      <c r="I87" s="144">
        <f t="shared" si="37"/>
        <v>0</v>
      </c>
      <c r="J87" s="144">
        <f t="shared" si="38"/>
        <v>0</v>
      </c>
      <c r="K87" s="149">
        <f t="shared" si="39"/>
        <v>0</v>
      </c>
      <c r="L87" s="144">
        <f t="shared" si="25"/>
        <v>0</v>
      </c>
      <c r="M87" s="147">
        <f t="shared" si="40"/>
        <v>0</v>
      </c>
      <c r="N87" s="246">
        <f t="shared" si="41"/>
        <v>0</v>
      </c>
      <c r="O87" s="246">
        <f t="shared" si="42"/>
        <v>0</v>
      </c>
      <c r="P87" s="246">
        <f t="shared" si="43"/>
        <v>0</v>
      </c>
      <c r="Q87" s="246">
        <f t="shared" si="44"/>
        <v>0</v>
      </c>
      <c r="R87" s="246">
        <f t="shared" si="45"/>
        <v>0</v>
      </c>
      <c r="S87" s="145">
        <f t="shared" si="46"/>
        <v>0</v>
      </c>
      <c r="T87" s="147">
        <f t="shared" si="47"/>
        <v>0</v>
      </c>
      <c r="U87" s="802">
        <f t="shared" si="48"/>
        <v>0</v>
      </c>
      <c r="V87" s="147">
        <f t="shared" si="49"/>
        <v>0</v>
      </c>
      <c r="W87" s="832">
        <f t="shared" si="50"/>
        <v>0</v>
      </c>
      <c r="X87" s="778">
        <f t="shared" si="51"/>
        <v>0</v>
      </c>
    </row>
    <row r="88" spans="1:24">
      <c r="A88" s="777">
        <f>'CG. MPB'!A89</f>
        <v>9</v>
      </c>
      <c r="B88" s="801">
        <v>15</v>
      </c>
      <c r="C88" s="246">
        <f>IF('CG. MPB'!E89="CONCRETO",'RMCV.PB'!B88,0)</f>
        <v>0</v>
      </c>
      <c r="D88" s="135">
        <f>IF(C88=0,0,'CG. MPB'!C89*100)</f>
        <v>0</v>
      </c>
      <c r="E88" s="135">
        <f>IF(C88=0,0,'RMCV.PB'!C88)</f>
        <v>0</v>
      </c>
      <c r="F88" s="135">
        <f t="shared" si="36"/>
        <v>0</v>
      </c>
      <c r="G88" s="246">
        <f>IF(C88=0,0,'RMCS.PB'!L88)</f>
        <v>0</v>
      </c>
      <c r="H88" s="246">
        <f>IF(C88=0,0,'CASTILLOS-PB'!K88)</f>
        <v>0</v>
      </c>
      <c r="I88" s="144">
        <f t="shared" si="37"/>
        <v>0</v>
      </c>
      <c r="J88" s="144">
        <f t="shared" si="38"/>
        <v>0</v>
      </c>
      <c r="K88" s="149">
        <f t="shared" si="39"/>
        <v>0</v>
      </c>
      <c r="L88" s="144">
        <f t="shared" si="25"/>
        <v>0</v>
      </c>
      <c r="M88" s="147">
        <f t="shared" si="40"/>
        <v>0</v>
      </c>
      <c r="N88" s="246">
        <f t="shared" si="41"/>
        <v>0</v>
      </c>
      <c r="O88" s="246">
        <f t="shared" si="42"/>
        <v>0</v>
      </c>
      <c r="P88" s="246">
        <f t="shared" si="43"/>
        <v>0</v>
      </c>
      <c r="Q88" s="246">
        <f t="shared" si="44"/>
        <v>0</v>
      </c>
      <c r="R88" s="246">
        <f t="shared" si="45"/>
        <v>0</v>
      </c>
      <c r="S88" s="145">
        <f t="shared" si="46"/>
        <v>0</v>
      </c>
      <c r="T88" s="147">
        <f t="shared" si="47"/>
        <v>0</v>
      </c>
      <c r="U88" s="802">
        <f t="shared" si="48"/>
        <v>0</v>
      </c>
      <c r="V88" s="147">
        <f t="shared" si="49"/>
        <v>0</v>
      </c>
      <c r="W88" s="832">
        <f t="shared" si="50"/>
        <v>0</v>
      </c>
      <c r="X88" s="778">
        <f t="shared" si="51"/>
        <v>0</v>
      </c>
    </row>
    <row r="89" spans="1:24">
      <c r="A89" s="777">
        <f>'CG. MPB'!A90</f>
        <v>10</v>
      </c>
      <c r="B89" s="801">
        <v>15</v>
      </c>
      <c r="C89" s="246">
        <f>IF('CG. MPB'!E90="CONCRETO",'RMCV.PB'!B89,0)</f>
        <v>0</v>
      </c>
      <c r="D89" s="135">
        <f>IF(C89=0,0,'CG. MPB'!C90*100)</f>
        <v>0</v>
      </c>
      <c r="E89" s="135">
        <f>IF(C89=0,0,'RMCV.PB'!C89)</f>
        <v>0</v>
      </c>
      <c r="F89" s="135">
        <f t="shared" si="36"/>
        <v>0</v>
      </c>
      <c r="G89" s="246">
        <f>IF(C89=0,0,'RMCS.PB'!L89)</f>
        <v>0</v>
      </c>
      <c r="H89" s="246">
        <f>IF(C89=0,0,'CASTILLOS-PB'!K89)</f>
        <v>0</v>
      </c>
      <c r="I89" s="144">
        <f t="shared" si="37"/>
        <v>0</v>
      </c>
      <c r="J89" s="144">
        <f t="shared" si="38"/>
        <v>0</v>
      </c>
      <c r="K89" s="149">
        <f t="shared" si="39"/>
        <v>0</v>
      </c>
      <c r="L89" s="144">
        <f t="shared" si="25"/>
        <v>0</v>
      </c>
      <c r="M89" s="147">
        <f t="shared" si="40"/>
        <v>0</v>
      </c>
      <c r="N89" s="246">
        <f t="shared" si="41"/>
        <v>0</v>
      </c>
      <c r="O89" s="246">
        <f t="shared" si="42"/>
        <v>0</v>
      </c>
      <c r="P89" s="246">
        <f t="shared" si="43"/>
        <v>0</v>
      </c>
      <c r="Q89" s="246">
        <f t="shared" si="44"/>
        <v>0</v>
      </c>
      <c r="R89" s="246">
        <f t="shared" si="45"/>
        <v>0</v>
      </c>
      <c r="S89" s="145">
        <f t="shared" si="46"/>
        <v>0</v>
      </c>
      <c r="T89" s="147">
        <f t="shared" si="47"/>
        <v>0</v>
      </c>
      <c r="U89" s="802">
        <f t="shared" si="48"/>
        <v>0</v>
      </c>
      <c r="V89" s="147">
        <f t="shared" si="49"/>
        <v>0</v>
      </c>
      <c r="W89" s="832">
        <f t="shared" si="50"/>
        <v>0</v>
      </c>
      <c r="X89" s="778">
        <f t="shared" si="51"/>
        <v>0</v>
      </c>
    </row>
    <row r="90" spans="1:24">
      <c r="A90" s="777">
        <f>'CG. MPB'!A91</f>
        <v>11</v>
      </c>
      <c r="B90" s="801">
        <v>15</v>
      </c>
      <c r="C90" s="246">
        <f>IF('CG. MPB'!E91="CONCRETO",'RMCV.PB'!B90,0)</f>
        <v>0</v>
      </c>
      <c r="D90" s="135">
        <f>IF(C90=0,0,'CG. MPB'!C91*100)</f>
        <v>0</v>
      </c>
      <c r="E90" s="135">
        <f>IF(C90=0,0,'RMCV.PB'!C90)</f>
        <v>0</v>
      </c>
      <c r="F90" s="135">
        <f t="shared" si="36"/>
        <v>0</v>
      </c>
      <c r="G90" s="246">
        <f>IF(C90=0,0,'RMCS.PB'!L90)</f>
        <v>0</v>
      </c>
      <c r="H90" s="246">
        <f>IF(C90=0,0,'CASTILLOS-PB'!K90)</f>
        <v>0</v>
      </c>
      <c r="I90" s="144">
        <f t="shared" si="37"/>
        <v>0</v>
      </c>
      <c r="J90" s="144">
        <f t="shared" si="38"/>
        <v>0</v>
      </c>
      <c r="K90" s="149">
        <f t="shared" si="39"/>
        <v>0</v>
      </c>
      <c r="L90" s="144">
        <f t="shared" si="25"/>
        <v>0</v>
      </c>
      <c r="M90" s="147">
        <f t="shared" si="40"/>
        <v>0</v>
      </c>
      <c r="N90" s="246">
        <f t="shared" si="41"/>
        <v>0</v>
      </c>
      <c r="O90" s="246">
        <f t="shared" si="42"/>
        <v>0</v>
      </c>
      <c r="P90" s="246">
        <f t="shared" si="43"/>
        <v>0</v>
      </c>
      <c r="Q90" s="246">
        <f t="shared" si="44"/>
        <v>0</v>
      </c>
      <c r="R90" s="246">
        <f t="shared" si="45"/>
        <v>0</v>
      </c>
      <c r="S90" s="145">
        <f t="shared" si="46"/>
        <v>0</v>
      </c>
      <c r="T90" s="147">
        <f t="shared" si="47"/>
        <v>0</v>
      </c>
      <c r="U90" s="802">
        <f t="shared" si="48"/>
        <v>0</v>
      </c>
      <c r="V90" s="147">
        <f t="shared" si="49"/>
        <v>0</v>
      </c>
      <c r="W90" s="832">
        <f t="shared" si="50"/>
        <v>0</v>
      </c>
      <c r="X90" s="778">
        <f t="shared" si="51"/>
        <v>0</v>
      </c>
    </row>
    <row r="91" spans="1:24">
      <c r="A91" s="777">
        <f>'CG. MPB'!A92</f>
        <v>12</v>
      </c>
      <c r="B91" s="801">
        <v>15</v>
      </c>
      <c r="C91" s="246">
        <f>IF('CG. MPB'!E92="CONCRETO",'RMCV.PB'!B91,0)</f>
        <v>0</v>
      </c>
      <c r="D91" s="135">
        <f>IF(C91=0,0,'CG. MPB'!C92*100)</f>
        <v>0</v>
      </c>
      <c r="E91" s="135">
        <f>IF(C91=0,0,'RMCV.PB'!C91)</f>
        <v>0</v>
      </c>
      <c r="F91" s="135">
        <f t="shared" si="36"/>
        <v>0</v>
      </c>
      <c r="G91" s="246">
        <f>IF(C91=0,0,'RMCS.PB'!L91)</f>
        <v>0</v>
      </c>
      <c r="H91" s="246">
        <f>IF(C91=0,0,'CASTILLOS-PB'!K91)</f>
        <v>0</v>
      </c>
      <c r="I91" s="144">
        <f t="shared" si="37"/>
        <v>0</v>
      </c>
      <c r="J91" s="144">
        <f t="shared" si="38"/>
        <v>0</v>
      </c>
      <c r="K91" s="149">
        <f t="shared" si="39"/>
        <v>0</v>
      </c>
      <c r="L91" s="144">
        <f t="shared" si="25"/>
        <v>0</v>
      </c>
      <c r="M91" s="147">
        <f t="shared" si="40"/>
        <v>0</v>
      </c>
      <c r="N91" s="246">
        <f t="shared" si="41"/>
        <v>0</v>
      </c>
      <c r="O91" s="246">
        <f t="shared" si="42"/>
        <v>0</v>
      </c>
      <c r="P91" s="246">
        <f t="shared" si="43"/>
        <v>0</v>
      </c>
      <c r="Q91" s="246">
        <f t="shared" si="44"/>
        <v>0</v>
      </c>
      <c r="R91" s="246">
        <f t="shared" si="45"/>
        <v>0</v>
      </c>
      <c r="S91" s="145">
        <f t="shared" si="46"/>
        <v>0</v>
      </c>
      <c r="T91" s="147">
        <f t="shared" si="47"/>
        <v>0</v>
      </c>
      <c r="U91" s="802">
        <f t="shared" si="48"/>
        <v>0</v>
      </c>
      <c r="V91" s="147">
        <f t="shared" si="49"/>
        <v>0</v>
      </c>
      <c r="W91" s="832">
        <f t="shared" si="50"/>
        <v>0</v>
      </c>
      <c r="X91" s="778">
        <f t="shared" si="51"/>
        <v>0</v>
      </c>
    </row>
    <row r="92" spans="1:24">
      <c r="A92" s="777">
        <f>'CG. MPB'!A93</f>
        <v>13</v>
      </c>
      <c r="B92" s="801">
        <v>15</v>
      </c>
      <c r="C92" s="246">
        <f>IF('CG. MPB'!E93="CONCRETO",'RMCV.PB'!B92,0)</f>
        <v>0</v>
      </c>
      <c r="D92" s="135">
        <f>IF(C92=0,0,'CG. MPB'!C93*100)</f>
        <v>0</v>
      </c>
      <c r="E92" s="135">
        <f>IF(C92=0,0,'RMCV.PB'!C92)</f>
        <v>0</v>
      </c>
      <c r="F92" s="135">
        <f t="shared" si="36"/>
        <v>0</v>
      </c>
      <c r="G92" s="246">
        <f>IF(C92=0,0,'RMCS.PB'!L92)</f>
        <v>0</v>
      </c>
      <c r="H92" s="246">
        <f>IF(C92=0,0,'CASTILLOS-PB'!K92)</f>
        <v>0</v>
      </c>
      <c r="I92" s="144">
        <f t="shared" si="37"/>
        <v>0</v>
      </c>
      <c r="J92" s="144">
        <f t="shared" si="38"/>
        <v>0</v>
      </c>
      <c r="K92" s="149">
        <f t="shared" si="39"/>
        <v>0</v>
      </c>
      <c r="L92" s="144">
        <f t="shared" si="25"/>
        <v>0</v>
      </c>
      <c r="M92" s="147">
        <f t="shared" si="40"/>
        <v>0</v>
      </c>
      <c r="N92" s="246">
        <f t="shared" si="41"/>
        <v>0</v>
      </c>
      <c r="O92" s="246">
        <f t="shared" si="42"/>
        <v>0</v>
      </c>
      <c r="P92" s="246">
        <f t="shared" si="43"/>
        <v>0</v>
      </c>
      <c r="Q92" s="246">
        <f t="shared" si="44"/>
        <v>0</v>
      </c>
      <c r="R92" s="246">
        <f t="shared" si="45"/>
        <v>0</v>
      </c>
      <c r="S92" s="145">
        <f t="shared" si="46"/>
        <v>0</v>
      </c>
      <c r="T92" s="147">
        <f t="shared" si="47"/>
        <v>0</v>
      </c>
      <c r="U92" s="802">
        <f t="shared" si="48"/>
        <v>0</v>
      </c>
      <c r="V92" s="147">
        <f t="shared" si="49"/>
        <v>0</v>
      </c>
      <c r="W92" s="832">
        <f t="shared" si="50"/>
        <v>0</v>
      </c>
      <c r="X92" s="778">
        <f t="shared" si="51"/>
        <v>0</v>
      </c>
    </row>
    <row r="93" spans="1:24">
      <c r="A93" s="777">
        <f>'CG. MPB'!A94</f>
        <v>14</v>
      </c>
      <c r="B93" s="801">
        <v>15</v>
      </c>
      <c r="C93" s="246">
        <f>IF('CG. MPB'!E94="CONCRETO",'RMCV.PB'!B93,0)</f>
        <v>0</v>
      </c>
      <c r="D93" s="135">
        <f>IF(C93=0,0,'CG. MPB'!C94*100)</f>
        <v>0</v>
      </c>
      <c r="E93" s="135">
        <f>IF(C93=0,0,'RMCV.PB'!C93)</f>
        <v>0</v>
      </c>
      <c r="F93" s="135">
        <f t="shared" si="36"/>
        <v>0</v>
      </c>
      <c r="G93" s="246">
        <f>IF(C93=0,0,'RMCS.PB'!L93)</f>
        <v>0</v>
      </c>
      <c r="H93" s="246">
        <f>IF(C93=0,0,'CASTILLOS-PB'!K93)</f>
        <v>0</v>
      </c>
      <c r="I93" s="144">
        <f t="shared" si="37"/>
        <v>0</v>
      </c>
      <c r="J93" s="144">
        <f t="shared" si="38"/>
        <v>0</v>
      </c>
      <c r="K93" s="149">
        <f t="shared" si="39"/>
        <v>0</v>
      </c>
      <c r="L93" s="144">
        <f t="shared" si="25"/>
        <v>0</v>
      </c>
      <c r="M93" s="147">
        <f t="shared" si="40"/>
        <v>0</v>
      </c>
      <c r="N93" s="246">
        <f t="shared" si="41"/>
        <v>0</v>
      </c>
      <c r="O93" s="246">
        <f t="shared" si="42"/>
        <v>0</v>
      </c>
      <c r="P93" s="246">
        <f t="shared" si="43"/>
        <v>0</v>
      </c>
      <c r="Q93" s="246">
        <f t="shared" si="44"/>
        <v>0</v>
      </c>
      <c r="R93" s="246">
        <f t="shared" si="45"/>
        <v>0</v>
      </c>
      <c r="S93" s="145">
        <f t="shared" si="46"/>
        <v>0</v>
      </c>
      <c r="T93" s="147">
        <f t="shared" si="47"/>
        <v>0</v>
      </c>
      <c r="U93" s="802">
        <f t="shared" si="48"/>
        <v>0</v>
      </c>
      <c r="V93" s="147">
        <f t="shared" si="49"/>
        <v>0</v>
      </c>
      <c r="W93" s="832">
        <f t="shared" si="50"/>
        <v>0</v>
      </c>
      <c r="X93" s="778">
        <f t="shared" si="51"/>
        <v>0</v>
      </c>
    </row>
    <row r="94" spans="1:24">
      <c r="A94" s="777">
        <f>'CG. MPB'!A95</f>
        <v>15</v>
      </c>
      <c r="B94" s="801">
        <v>30</v>
      </c>
      <c r="C94" s="246">
        <f>IF('CG. MPB'!E95="CONCRETO",'RMCV.PB'!B94,0)</f>
        <v>0</v>
      </c>
      <c r="D94" s="135">
        <f>IF(C94=0,0,'CG. MPB'!C95*100)</f>
        <v>0</v>
      </c>
      <c r="E94" s="135">
        <f>IF(C94=0,0,'RMCV.PB'!C94)</f>
        <v>0</v>
      </c>
      <c r="F94" s="135">
        <f t="shared" si="36"/>
        <v>0</v>
      </c>
      <c r="G94" s="246">
        <f>IF(C94=0,0,'RMCS.PB'!L94)</f>
        <v>0</v>
      </c>
      <c r="H94" s="246">
        <f>IF(C94=0,0,'CASTILLOS-PB'!K94)</f>
        <v>0</v>
      </c>
      <c r="I94" s="144">
        <f t="shared" si="37"/>
        <v>0</v>
      </c>
      <c r="J94" s="144">
        <f t="shared" si="38"/>
        <v>0</v>
      </c>
      <c r="K94" s="149">
        <f t="shared" si="39"/>
        <v>0</v>
      </c>
      <c r="L94" s="144">
        <f t="shared" si="25"/>
        <v>0</v>
      </c>
      <c r="M94" s="147">
        <f t="shared" si="40"/>
        <v>0</v>
      </c>
      <c r="N94" s="246">
        <f t="shared" si="41"/>
        <v>0</v>
      </c>
      <c r="O94" s="246">
        <f t="shared" si="42"/>
        <v>0</v>
      </c>
      <c r="P94" s="246">
        <f t="shared" si="43"/>
        <v>0</v>
      </c>
      <c r="Q94" s="246">
        <f t="shared" si="44"/>
        <v>0</v>
      </c>
      <c r="R94" s="246">
        <f t="shared" si="45"/>
        <v>0</v>
      </c>
      <c r="S94" s="145">
        <f t="shared" si="46"/>
        <v>0</v>
      </c>
      <c r="T94" s="147">
        <f t="shared" si="47"/>
        <v>0</v>
      </c>
      <c r="U94" s="802">
        <f t="shared" si="48"/>
        <v>0</v>
      </c>
      <c r="V94" s="147">
        <f t="shared" si="49"/>
        <v>0</v>
      </c>
      <c r="W94" s="832">
        <f t="shared" si="50"/>
        <v>0</v>
      </c>
      <c r="X94" s="778">
        <f t="shared" si="51"/>
        <v>0</v>
      </c>
    </row>
    <row r="95" spans="1:24">
      <c r="A95" s="777">
        <f>'CG. MPB'!A96</f>
        <v>16</v>
      </c>
      <c r="B95" s="801">
        <v>15</v>
      </c>
      <c r="C95" s="246">
        <f>IF('CG. MPB'!E96="CONCRETO",'RMCV.PB'!B95,0)</f>
        <v>0</v>
      </c>
      <c r="D95" s="135">
        <f>IF(C95=0,0,'CG. MPB'!C96*100)</f>
        <v>0</v>
      </c>
      <c r="E95" s="135">
        <f>IF(C95=0,0,'RMCV.PB'!C95)</f>
        <v>0</v>
      </c>
      <c r="F95" s="135">
        <f t="shared" si="36"/>
        <v>0</v>
      </c>
      <c r="G95" s="246">
        <f>IF(C95=0,0,'RMCS.PB'!L95)</f>
        <v>0</v>
      </c>
      <c r="H95" s="246">
        <f>IF(C95=0,0,'CASTILLOS-PB'!K95)</f>
        <v>0</v>
      </c>
      <c r="I95" s="144">
        <f t="shared" si="37"/>
        <v>0</v>
      </c>
      <c r="J95" s="144">
        <f t="shared" si="38"/>
        <v>0</v>
      </c>
      <c r="K95" s="149">
        <f t="shared" si="39"/>
        <v>0</v>
      </c>
      <c r="L95" s="144">
        <f t="shared" si="25"/>
        <v>0</v>
      </c>
      <c r="M95" s="147">
        <f t="shared" si="40"/>
        <v>0</v>
      </c>
      <c r="N95" s="246">
        <f t="shared" si="41"/>
        <v>0</v>
      </c>
      <c r="O95" s="246">
        <f t="shared" si="42"/>
        <v>0</v>
      </c>
      <c r="P95" s="246">
        <f t="shared" si="43"/>
        <v>0</v>
      </c>
      <c r="Q95" s="246">
        <f t="shared" si="44"/>
        <v>0</v>
      </c>
      <c r="R95" s="246">
        <f t="shared" si="45"/>
        <v>0</v>
      </c>
      <c r="S95" s="145">
        <f t="shared" si="46"/>
        <v>0</v>
      </c>
      <c r="T95" s="147">
        <f t="shared" si="47"/>
        <v>0</v>
      </c>
      <c r="U95" s="802">
        <f t="shared" si="48"/>
        <v>0</v>
      </c>
      <c r="V95" s="147">
        <f t="shared" si="49"/>
        <v>0</v>
      </c>
      <c r="W95" s="832">
        <f t="shared" si="50"/>
        <v>0</v>
      </c>
      <c r="X95" s="778">
        <f t="shared" si="51"/>
        <v>0</v>
      </c>
    </row>
    <row r="96" spans="1:24">
      <c r="A96" s="777">
        <f>'CG. MPB'!A97</f>
        <v>17</v>
      </c>
      <c r="B96" s="801">
        <v>15</v>
      </c>
      <c r="C96" s="246">
        <f>IF('CG. MPB'!E97="CONCRETO",'RMCV.PB'!B96,0)</f>
        <v>0</v>
      </c>
      <c r="D96" s="135">
        <f>IF(C96=0,0,'CG. MPB'!C97*100)</f>
        <v>0</v>
      </c>
      <c r="E96" s="135">
        <f>IF(C96=0,0,'RMCV.PB'!C96)</f>
        <v>0</v>
      </c>
      <c r="F96" s="135">
        <f t="shared" si="36"/>
        <v>0</v>
      </c>
      <c r="G96" s="246">
        <f>IF(C96=0,0,'RMCS.PB'!L96)</f>
        <v>0</v>
      </c>
      <c r="H96" s="246">
        <f>IF(C96=0,0,'CASTILLOS-PB'!K96)</f>
        <v>0</v>
      </c>
      <c r="I96" s="144">
        <f t="shared" si="37"/>
        <v>0</v>
      </c>
      <c r="J96" s="144">
        <f t="shared" si="38"/>
        <v>0</v>
      </c>
      <c r="K96" s="149">
        <f t="shared" si="39"/>
        <v>0</v>
      </c>
      <c r="L96" s="144">
        <f t="shared" si="25"/>
        <v>0</v>
      </c>
      <c r="M96" s="147">
        <f t="shared" si="40"/>
        <v>0</v>
      </c>
      <c r="N96" s="246">
        <f t="shared" si="41"/>
        <v>0</v>
      </c>
      <c r="O96" s="246">
        <f t="shared" si="42"/>
        <v>0</v>
      </c>
      <c r="P96" s="246">
        <f t="shared" si="43"/>
        <v>0</v>
      </c>
      <c r="Q96" s="246">
        <f t="shared" si="44"/>
        <v>0</v>
      </c>
      <c r="R96" s="246">
        <f t="shared" si="45"/>
        <v>0</v>
      </c>
      <c r="S96" s="145">
        <f t="shared" si="46"/>
        <v>0</v>
      </c>
      <c r="T96" s="147">
        <f t="shared" si="47"/>
        <v>0</v>
      </c>
      <c r="U96" s="802">
        <f t="shared" si="48"/>
        <v>0</v>
      </c>
      <c r="V96" s="147">
        <f t="shared" si="49"/>
        <v>0</v>
      </c>
      <c r="W96" s="832">
        <f t="shared" si="50"/>
        <v>0</v>
      </c>
      <c r="X96" s="778">
        <f t="shared" si="51"/>
        <v>0</v>
      </c>
    </row>
    <row r="97" spans="1:24">
      <c r="A97" s="777">
        <f>'CG. MPB'!A98</f>
        <v>18</v>
      </c>
      <c r="B97" s="801">
        <v>15</v>
      </c>
      <c r="C97" s="246">
        <f>IF('CG. MPB'!E98="CONCRETO",'RMCV.PB'!B97,0)</f>
        <v>0</v>
      </c>
      <c r="D97" s="135">
        <f>IF(C97=0,0,'CG. MPB'!C98*100)</f>
        <v>0</v>
      </c>
      <c r="E97" s="135">
        <f>IF(C97=0,0,'RMCV.PB'!C97)</f>
        <v>0</v>
      </c>
      <c r="F97" s="135">
        <f t="shared" si="36"/>
        <v>0</v>
      </c>
      <c r="G97" s="246">
        <f>IF(C97=0,0,'RMCS.PB'!L97)</f>
        <v>0</v>
      </c>
      <c r="H97" s="246">
        <f>IF(C97=0,0,'CASTILLOS-PB'!K97)</f>
        <v>0</v>
      </c>
      <c r="I97" s="144">
        <f t="shared" si="37"/>
        <v>0</v>
      </c>
      <c r="J97" s="144">
        <f t="shared" si="38"/>
        <v>0</v>
      </c>
      <c r="K97" s="149">
        <f t="shared" si="39"/>
        <v>0</v>
      </c>
      <c r="L97" s="144">
        <f t="shared" si="25"/>
        <v>0</v>
      </c>
      <c r="M97" s="147">
        <f t="shared" si="40"/>
        <v>0</v>
      </c>
      <c r="N97" s="246">
        <f t="shared" si="41"/>
        <v>0</v>
      </c>
      <c r="O97" s="246">
        <f t="shared" si="42"/>
        <v>0</v>
      </c>
      <c r="P97" s="246">
        <f t="shared" si="43"/>
        <v>0</v>
      </c>
      <c r="Q97" s="246">
        <f t="shared" si="44"/>
        <v>0</v>
      </c>
      <c r="R97" s="246">
        <f t="shared" si="45"/>
        <v>0</v>
      </c>
      <c r="S97" s="145">
        <f t="shared" si="46"/>
        <v>0</v>
      </c>
      <c r="T97" s="147">
        <f t="shared" si="47"/>
        <v>0</v>
      </c>
      <c r="U97" s="802">
        <f t="shared" si="48"/>
        <v>0</v>
      </c>
      <c r="V97" s="147">
        <f t="shared" si="49"/>
        <v>0</v>
      </c>
      <c r="W97" s="832">
        <f t="shared" si="50"/>
        <v>0</v>
      </c>
      <c r="X97" s="778">
        <f t="shared" si="51"/>
        <v>0</v>
      </c>
    </row>
    <row r="98" spans="1:24">
      <c r="A98" s="777">
        <f>'CG. MPB'!A99</f>
        <v>19</v>
      </c>
      <c r="B98" s="801">
        <v>15</v>
      </c>
      <c r="C98" s="246">
        <f>IF('CG. MPB'!E99="CONCRETO",'RMCV.PB'!B98,0)</f>
        <v>0</v>
      </c>
      <c r="D98" s="135">
        <f>IF(C98=0,0,'CG. MPB'!C99*100)</f>
        <v>0</v>
      </c>
      <c r="E98" s="135">
        <f>IF(C98=0,0,'RMCV.PB'!C98)</f>
        <v>0</v>
      </c>
      <c r="F98" s="135">
        <f t="shared" si="36"/>
        <v>0</v>
      </c>
      <c r="G98" s="246">
        <f>IF(C98=0,0,'RMCS.PB'!L98)</f>
        <v>0</v>
      </c>
      <c r="H98" s="246">
        <f>IF(C98=0,0,'CASTILLOS-PB'!K98)</f>
        <v>0</v>
      </c>
      <c r="I98" s="144">
        <f t="shared" si="37"/>
        <v>0</v>
      </c>
      <c r="J98" s="144">
        <f t="shared" si="38"/>
        <v>0</v>
      </c>
      <c r="K98" s="149">
        <f t="shared" si="39"/>
        <v>0</v>
      </c>
      <c r="L98" s="144">
        <f t="shared" si="25"/>
        <v>0</v>
      </c>
      <c r="M98" s="147">
        <f t="shared" si="40"/>
        <v>0</v>
      </c>
      <c r="N98" s="246">
        <f t="shared" si="41"/>
        <v>0</v>
      </c>
      <c r="O98" s="246">
        <f t="shared" si="42"/>
        <v>0</v>
      </c>
      <c r="P98" s="246">
        <f t="shared" si="43"/>
        <v>0</v>
      </c>
      <c r="Q98" s="246">
        <f t="shared" si="44"/>
        <v>0</v>
      </c>
      <c r="R98" s="246">
        <f t="shared" si="45"/>
        <v>0</v>
      </c>
      <c r="S98" s="145">
        <f t="shared" si="46"/>
        <v>0</v>
      </c>
      <c r="T98" s="147">
        <f t="shared" si="47"/>
        <v>0</v>
      </c>
      <c r="U98" s="802">
        <f t="shared" si="48"/>
        <v>0</v>
      </c>
      <c r="V98" s="147">
        <f t="shared" si="49"/>
        <v>0</v>
      </c>
      <c r="W98" s="832">
        <f t="shared" si="50"/>
        <v>0</v>
      </c>
      <c r="X98" s="778">
        <f t="shared" si="51"/>
        <v>0</v>
      </c>
    </row>
    <row r="99" spans="1:24" ht="15.75" thickBot="1">
      <c r="A99" s="777">
        <f>'CG. MPB'!A100</f>
        <v>20</v>
      </c>
      <c r="B99" s="801">
        <v>15</v>
      </c>
      <c r="C99" s="246">
        <f>IF('CG. MPB'!E100="CONCRETO",'RMCV.PB'!B99,0)</f>
        <v>0</v>
      </c>
      <c r="D99" s="135">
        <f>IF(C99=0,0,'CG. MPB'!C100*100)</f>
        <v>0</v>
      </c>
      <c r="E99" s="135">
        <f>IF(C99=0,0,'RMCV.PB'!C99)</f>
        <v>0</v>
      </c>
      <c r="F99" s="135">
        <f t="shared" si="36"/>
        <v>0</v>
      </c>
      <c r="G99" s="246">
        <f>IF(C99=0,0,'RMCS.PB'!L99)</f>
        <v>0</v>
      </c>
      <c r="H99" s="246">
        <f>IF(C99=0,0,'CASTILLOS-PB'!K99)</f>
        <v>0</v>
      </c>
      <c r="I99" s="144">
        <f t="shared" si="37"/>
        <v>0</v>
      </c>
      <c r="J99" s="144">
        <f t="shared" si="38"/>
        <v>0</v>
      </c>
      <c r="K99" s="149">
        <f t="shared" si="39"/>
        <v>0</v>
      </c>
      <c r="L99" s="144">
        <f t="shared" si="25"/>
        <v>0</v>
      </c>
      <c r="M99" s="147">
        <f t="shared" si="40"/>
        <v>0</v>
      </c>
      <c r="N99" s="246">
        <f t="shared" si="41"/>
        <v>0</v>
      </c>
      <c r="O99" s="246">
        <f t="shared" si="42"/>
        <v>0</v>
      </c>
      <c r="P99" s="246">
        <f t="shared" si="43"/>
        <v>0</v>
      </c>
      <c r="Q99" s="246">
        <f t="shared" si="44"/>
        <v>0</v>
      </c>
      <c r="R99" s="246">
        <f t="shared" si="45"/>
        <v>0</v>
      </c>
      <c r="S99" s="145">
        <f t="shared" si="46"/>
        <v>0</v>
      </c>
      <c r="T99" s="147">
        <f t="shared" si="47"/>
        <v>0</v>
      </c>
      <c r="U99" s="802">
        <f t="shared" si="48"/>
        <v>0</v>
      </c>
      <c r="V99" s="147">
        <f t="shared" si="49"/>
        <v>0</v>
      </c>
      <c r="W99" s="832">
        <f t="shared" si="50"/>
        <v>0</v>
      </c>
      <c r="X99" s="787">
        <f t="shared" si="51"/>
        <v>0</v>
      </c>
    </row>
    <row r="100" spans="1:24">
      <c r="A100" s="777">
        <f>'CG. MPB'!A101</f>
        <v>21</v>
      </c>
      <c r="B100" s="801">
        <v>15</v>
      </c>
      <c r="C100" s="246">
        <f>IF('CG. MPB'!E101="CONCRETO",'RMCV.PB'!B100,0)</f>
        <v>0</v>
      </c>
      <c r="D100" s="135">
        <f>IF(C100=0,0,'CG. MPB'!C101*100)</f>
        <v>0</v>
      </c>
      <c r="E100" s="135">
        <f>IF(C100=0,0,'RMCV.PB'!C100)</f>
        <v>0</v>
      </c>
      <c r="F100" s="135">
        <f t="shared" si="36"/>
        <v>0</v>
      </c>
      <c r="G100" s="246">
        <f>IF(C100=0,0,'RMCS.PB'!L100)</f>
        <v>0</v>
      </c>
      <c r="H100" s="246">
        <f>IF(C100=0,0,'CASTILLOS-PB'!K100)</f>
        <v>0</v>
      </c>
      <c r="I100" s="144">
        <f t="shared" si="37"/>
        <v>0</v>
      </c>
      <c r="J100" s="144">
        <f t="shared" si="38"/>
        <v>0</v>
      </c>
      <c r="K100" s="149">
        <f t="shared" si="39"/>
        <v>0</v>
      </c>
      <c r="L100" s="144">
        <f t="shared" si="25"/>
        <v>0</v>
      </c>
      <c r="M100" s="147">
        <f t="shared" si="40"/>
        <v>0</v>
      </c>
      <c r="N100" s="246">
        <f t="shared" si="41"/>
        <v>0</v>
      </c>
      <c r="O100" s="246">
        <f t="shared" si="42"/>
        <v>0</v>
      </c>
      <c r="P100" s="246">
        <f t="shared" si="43"/>
        <v>0</v>
      </c>
      <c r="Q100" s="246">
        <f t="shared" si="44"/>
        <v>0</v>
      </c>
      <c r="R100" s="246">
        <f t="shared" si="45"/>
        <v>0</v>
      </c>
      <c r="S100" s="145">
        <f t="shared" si="46"/>
        <v>0</v>
      </c>
      <c r="T100" s="147">
        <f t="shared" si="47"/>
        <v>0</v>
      </c>
      <c r="U100" s="802">
        <f t="shared" si="48"/>
        <v>0</v>
      </c>
      <c r="V100" s="147">
        <f t="shared" si="49"/>
        <v>0</v>
      </c>
      <c r="W100" s="832">
        <f t="shared" si="50"/>
        <v>0</v>
      </c>
      <c r="X100" s="135">
        <f t="shared" si="51"/>
        <v>0</v>
      </c>
    </row>
    <row r="101" spans="1:24">
      <c r="A101" s="777">
        <f>'CG. MPB'!A102</f>
        <v>22</v>
      </c>
      <c r="B101" s="801">
        <v>15</v>
      </c>
      <c r="C101" s="246">
        <f>IF('CG. MPB'!E102="CONCRETO",'RMCV.PB'!B101,0)</f>
        <v>0</v>
      </c>
      <c r="D101" s="135">
        <f>IF(C101=0,0,'CG. MPB'!C102*100)</f>
        <v>0</v>
      </c>
      <c r="E101" s="135">
        <f>IF(C101=0,0,'RMCV.PB'!C101)</f>
        <v>0</v>
      </c>
      <c r="F101" s="135">
        <f t="shared" si="36"/>
        <v>0</v>
      </c>
      <c r="G101" s="246">
        <f>IF(C101=0,0,'RMCS.PB'!L101)</f>
        <v>0</v>
      </c>
      <c r="H101" s="246">
        <f>IF(C101=0,0,'CASTILLOS-PB'!K101)</f>
        <v>0</v>
      </c>
      <c r="I101" s="144">
        <f t="shared" si="37"/>
        <v>0</v>
      </c>
      <c r="J101" s="144">
        <f t="shared" si="38"/>
        <v>0</v>
      </c>
      <c r="K101" s="149">
        <f t="shared" si="39"/>
        <v>0</v>
      </c>
      <c r="L101" s="144">
        <f t="shared" si="25"/>
        <v>0</v>
      </c>
      <c r="M101" s="147">
        <f t="shared" si="40"/>
        <v>0</v>
      </c>
      <c r="N101" s="246">
        <f t="shared" si="41"/>
        <v>0</v>
      </c>
      <c r="O101" s="246">
        <f t="shared" si="42"/>
        <v>0</v>
      </c>
      <c r="P101" s="246">
        <f t="shared" si="43"/>
        <v>0</v>
      </c>
      <c r="Q101" s="246">
        <f t="shared" si="44"/>
        <v>0</v>
      </c>
      <c r="R101" s="246">
        <f t="shared" si="45"/>
        <v>0</v>
      </c>
      <c r="S101" s="145">
        <f t="shared" si="46"/>
        <v>0</v>
      </c>
      <c r="T101" s="147">
        <f t="shared" si="47"/>
        <v>0</v>
      </c>
      <c r="U101" s="802">
        <f t="shared" si="48"/>
        <v>0</v>
      </c>
      <c r="V101" s="147">
        <f t="shared" si="49"/>
        <v>0</v>
      </c>
      <c r="W101" s="832">
        <f t="shared" si="50"/>
        <v>0</v>
      </c>
      <c r="X101" s="135">
        <f t="shared" si="51"/>
        <v>0</v>
      </c>
    </row>
    <row r="102" spans="1:24">
      <c r="A102" s="777">
        <f>'CG. MPB'!A103</f>
        <v>23</v>
      </c>
      <c r="B102" s="801">
        <v>15</v>
      </c>
      <c r="C102" s="246">
        <f>IF('CG. MPB'!E103="CONCRETO",'RMCV.PB'!B102,0)</f>
        <v>0</v>
      </c>
      <c r="D102" s="135">
        <f>IF(C102=0,0,'CG. MPB'!C103*100)</f>
        <v>0</v>
      </c>
      <c r="E102" s="135">
        <f>IF(C102=0,0,'RMCV.PB'!C102)</f>
        <v>0</v>
      </c>
      <c r="F102" s="135">
        <f t="shared" si="36"/>
        <v>0</v>
      </c>
      <c r="G102" s="246">
        <f>IF(C102=0,0,'RMCS.PB'!L102)</f>
        <v>0</v>
      </c>
      <c r="H102" s="246">
        <f>IF(C102=0,0,'CASTILLOS-PB'!K102)</f>
        <v>0</v>
      </c>
      <c r="I102" s="144">
        <f t="shared" si="37"/>
        <v>0</v>
      </c>
      <c r="J102" s="144">
        <f t="shared" si="38"/>
        <v>0</v>
      </c>
      <c r="K102" s="149">
        <f t="shared" si="39"/>
        <v>0</v>
      </c>
      <c r="L102" s="144">
        <f t="shared" si="25"/>
        <v>0</v>
      </c>
      <c r="M102" s="147">
        <f t="shared" si="40"/>
        <v>0</v>
      </c>
      <c r="N102" s="246">
        <f t="shared" si="41"/>
        <v>0</v>
      </c>
      <c r="O102" s="246">
        <f t="shared" si="42"/>
        <v>0</v>
      </c>
      <c r="P102" s="246">
        <f t="shared" si="43"/>
        <v>0</v>
      </c>
      <c r="Q102" s="246">
        <f t="shared" si="44"/>
        <v>0</v>
      </c>
      <c r="R102" s="246">
        <f t="shared" si="45"/>
        <v>0</v>
      </c>
      <c r="S102" s="145">
        <f t="shared" si="46"/>
        <v>0</v>
      </c>
      <c r="T102" s="147">
        <f t="shared" si="47"/>
        <v>0</v>
      </c>
      <c r="U102" s="802">
        <f t="shared" si="48"/>
        <v>0</v>
      </c>
      <c r="V102" s="147">
        <f t="shared" si="49"/>
        <v>0</v>
      </c>
      <c r="W102" s="832">
        <f t="shared" si="50"/>
        <v>0</v>
      </c>
      <c r="X102" s="135">
        <f t="shared" si="51"/>
        <v>0</v>
      </c>
    </row>
    <row r="103" spans="1:24">
      <c r="A103" s="777">
        <f>'CG. MPB'!A104</f>
        <v>24</v>
      </c>
      <c r="B103" s="801">
        <v>30</v>
      </c>
      <c r="C103" s="246">
        <f>IF('CG. MPB'!E104="CONCRETO",'RMCV.PB'!B103,0)</f>
        <v>0</v>
      </c>
      <c r="D103" s="135">
        <f>IF(C103=0,0,'CG. MPB'!C104*100)</f>
        <v>0</v>
      </c>
      <c r="E103" s="135">
        <f>IF(C103=0,0,'RMCV.PB'!C103)</f>
        <v>0</v>
      </c>
      <c r="F103" s="135">
        <f t="shared" si="36"/>
        <v>0</v>
      </c>
      <c r="G103" s="246">
        <f>IF(C103=0,0,'RMCS.PB'!L103)</f>
        <v>0</v>
      </c>
      <c r="H103" s="246">
        <f>IF(C103=0,0,'CASTILLOS-PB'!K103)</f>
        <v>0</v>
      </c>
      <c r="I103" s="144">
        <f t="shared" si="37"/>
        <v>0</v>
      </c>
      <c r="J103" s="144">
        <f t="shared" si="38"/>
        <v>0</v>
      </c>
      <c r="K103" s="149">
        <f t="shared" si="39"/>
        <v>0</v>
      </c>
      <c r="L103" s="144">
        <f t="shared" si="25"/>
        <v>0</v>
      </c>
      <c r="M103" s="147">
        <f t="shared" si="40"/>
        <v>0</v>
      </c>
      <c r="N103" s="246">
        <f t="shared" si="41"/>
        <v>0</v>
      </c>
      <c r="O103" s="246">
        <f t="shared" si="42"/>
        <v>0</v>
      </c>
      <c r="P103" s="246">
        <f t="shared" si="43"/>
        <v>0</v>
      </c>
      <c r="Q103" s="246">
        <f t="shared" si="44"/>
        <v>0</v>
      </c>
      <c r="R103" s="246">
        <f t="shared" si="45"/>
        <v>0</v>
      </c>
      <c r="S103" s="145">
        <f t="shared" si="46"/>
        <v>0</v>
      </c>
      <c r="T103" s="147">
        <f t="shared" si="47"/>
        <v>0</v>
      </c>
      <c r="U103" s="802">
        <f t="shared" si="48"/>
        <v>0</v>
      </c>
      <c r="V103" s="147">
        <f t="shared" si="49"/>
        <v>0</v>
      </c>
      <c r="W103" s="832">
        <f t="shared" si="50"/>
        <v>0</v>
      </c>
      <c r="X103" s="135">
        <f t="shared" si="51"/>
        <v>0</v>
      </c>
    </row>
    <row r="104" spans="1:24">
      <c r="A104" s="777">
        <f>'CG. MPB'!A105</f>
        <v>25</v>
      </c>
      <c r="B104" s="801">
        <v>30</v>
      </c>
      <c r="C104" s="246">
        <f>IF('CG. MPB'!E105="CONCRETO",'RMCV.PB'!B104,0)</f>
        <v>0</v>
      </c>
      <c r="D104" s="135">
        <f>IF(C104=0,0,'CG. MPB'!C105*100)</f>
        <v>0</v>
      </c>
      <c r="E104" s="135">
        <f>IF(C104=0,0,'RMCV.PB'!C104)</f>
        <v>0</v>
      </c>
      <c r="F104" s="135">
        <f t="shared" si="36"/>
        <v>0</v>
      </c>
      <c r="G104" s="246">
        <f>IF(C104=0,0,'RMCS.PB'!L104)</f>
        <v>0</v>
      </c>
      <c r="H104" s="246">
        <f>IF(C104=0,0,'CASTILLOS-PB'!K104)</f>
        <v>0</v>
      </c>
      <c r="I104" s="144">
        <f t="shared" si="37"/>
        <v>0</v>
      </c>
      <c r="J104" s="144">
        <f t="shared" si="38"/>
        <v>0</v>
      </c>
      <c r="K104" s="149">
        <f t="shared" si="39"/>
        <v>0</v>
      </c>
      <c r="L104" s="144">
        <f t="shared" si="25"/>
        <v>0</v>
      </c>
      <c r="M104" s="147">
        <f t="shared" si="40"/>
        <v>0</v>
      </c>
      <c r="N104" s="246">
        <f t="shared" si="41"/>
        <v>0</v>
      </c>
      <c r="O104" s="246">
        <f t="shared" si="42"/>
        <v>0</v>
      </c>
      <c r="P104" s="246">
        <f t="shared" si="43"/>
        <v>0</v>
      </c>
      <c r="Q104" s="246">
        <f t="shared" si="44"/>
        <v>0</v>
      </c>
      <c r="R104" s="246">
        <f t="shared" si="45"/>
        <v>0</v>
      </c>
      <c r="S104" s="145">
        <f t="shared" si="46"/>
        <v>0</v>
      </c>
      <c r="T104" s="147">
        <f t="shared" si="47"/>
        <v>0</v>
      </c>
      <c r="U104" s="802">
        <f t="shared" si="48"/>
        <v>0</v>
      </c>
      <c r="V104" s="147">
        <f t="shared" si="49"/>
        <v>0</v>
      </c>
      <c r="W104" s="832">
        <f t="shared" si="50"/>
        <v>0</v>
      </c>
      <c r="X104" s="135">
        <f t="shared" si="51"/>
        <v>0</v>
      </c>
    </row>
    <row r="105" spans="1:24">
      <c r="A105" s="777">
        <f>'CG. MPB'!A106</f>
        <v>26</v>
      </c>
      <c r="B105" s="801">
        <v>15</v>
      </c>
      <c r="C105" s="246">
        <f>IF('CG. MPB'!E106="CONCRETO",'RMCV.PB'!B105,0)</f>
        <v>0</v>
      </c>
      <c r="D105" s="135">
        <f>IF(C105=0,0,'CG. MPB'!C106*100)</f>
        <v>0</v>
      </c>
      <c r="E105" s="135">
        <f>IF(C105=0,0,'RMCV.PB'!C105)</f>
        <v>0</v>
      </c>
      <c r="F105" s="135">
        <f t="shared" si="36"/>
        <v>0</v>
      </c>
      <c r="G105" s="246">
        <f>IF(C105=0,0,'RMCS.PB'!L105)</f>
        <v>0</v>
      </c>
      <c r="H105" s="246">
        <f>IF(C105=0,0,'CASTILLOS-PB'!K105)</f>
        <v>0</v>
      </c>
      <c r="I105" s="144">
        <f t="shared" si="37"/>
        <v>0</v>
      </c>
      <c r="J105" s="144">
        <f t="shared" si="38"/>
        <v>0</v>
      </c>
      <c r="K105" s="149">
        <f t="shared" si="39"/>
        <v>0</v>
      </c>
      <c r="L105" s="144">
        <f t="shared" si="25"/>
        <v>0</v>
      </c>
      <c r="M105" s="147">
        <f t="shared" si="40"/>
        <v>0</v>
      </c>
      <c r="N105" s="246">
        <f t="shared" si="41"/>
        <v>0</v>
      </c>
      <c r="O105" s="246">
        <f t="shared" si="42"/>
        <v>0</v>
      </c>
      <c r="P105" s="246">
        <f t="shared" si="43"/>
        <v>0</v>
      </c>
      <c r="Q105" s="246">
        <f t="shared" si="44"/>
        <v>0</v>
      </c>
      <c r="R105" s="246">
        <f t="shared" si="45"/>
        <v>0</v>
      </c>
      <c r="S105" s="145">
        <f t="shared" si="46"/>
        <v>0</v>
      </c>
      <c r="T105" s="147">
        <f t="shared" si="47"/>
        <v>0</v>
      </c>
      <c r="U105" s="802">
        <f t="shared" si="48"/>
        <v>0</v>
      </c>
      <c r="V105" s="147">
        <f t="shared" si="49"/>
        <v>0</v>
      </c>
      <c r="W105" s="832">
        <f t="shared" si="50"/>
        <v>0</v>
      </c>
      <c r="X105" s="135">
        <f t="shared" si="51"/>
        <v>0</v>
      </c>
    </row>
    <row r="106" spans="1:24">
      <c r="A106" s="777">
        <f>'CG. MPB'!A107</f>
        <v>27</v>
      </c>
      <c r="B106" s="801">
        <v>15</v>
      </c>
      <c r="C106" s="246">
        <f>IF('CG. MPB'!E107="CONCRETO",'RMCV.PB'!B106,0)</f>
        <v>0</v>
      </c>
      <c r="D106" s="135">
        <f>IF(C106=0,0,'CG. MPB'!C107*100)</f>
        <v>0</v>
      </c>
      <c r="E106" s="135">
        <f>IF(C106=0,0,'RMCV.PB'!C106)</f>
        <v>0</v>
      </c>
      <c r="F106" s="135">
        <f t="shared" si="36"/>
        <v>0</v>
      </c>
      <c r="G106" s="246">
        <f>IF(C106=0,0,'RMCS.PB'!L106)</f>
        <v>0</v>
      </c>
      <c r="H106" s="246">
        <f>IF(C106=0,0,'CASTILLOS-PB'!K106)</f>
        <v>0</v>
      </c>
      <c r="I106" s="144">
        <f t="shared" si="37"/>
        <v>0</v>
      </c>
      <c r="J106" s="144">
        <f t="shared" si="38"/>
        <v>0</v>
      </c>
      <c r="K106" s="149">
        <f t="shared" si="39"/>
        <v>0</v>
      </c>
      <c r="L106" s="144">
        <f t="shared" si="25"/>
        <v>0</v>
      </c>
      <c r="M106" s="147">
        <f t="shared" si="40"/>
        <v>0</v>
      </c>
      <c r="N106" s="246">
        <f t="shared" si="41"/>
        <v>0</v>
      </c>
      <c r="O106" s="246">
        <f t="shared" si="42"/>
        <v>0</v>
      </c>
      <c r="P106" s="246">
        <f t="shared" si="43"/>
        <v>0</v>
      </c>
      <c r="Q106" s="246">
        <f t="shared" si="44"/>
        <v>0</v>
      </c>
      <c r="R106" s="246">
        <f t="shared" si="45"/>
        <v>0</v>
      </c>
      <c r="S106" s="145">
        <f t="shared" si="46"/>
        <v>0</v>
      </c>
      <c r="T106" s="147">
        <f t="shared" si="47"/>
        <v>0</v>
      </c>
      <c r="U106" s="802">
        <f t="shared" si="48"/>
        <v>0</v>
      </c>
      <c r="V106" s="147">
        <f t="shared" si="49"/>
        <v>0</v>
      </c>
      <c r="W106" s="832">
        <f t="shared" si="50"/>
        <v>0</v>
      </c>
      <c r="X106" s="135">
        <f t="shared" si="51"/>
        <v>0</v>
      </c>
    </row>
    <row r="107" spans="1:24">
      <c r="A107" s="777">
        <f>'CG. MPB'!A108</f>
        <v>28</v>
      </c>
      <c r="B107" s="801">
        <v>15</v>
      </c>
      <c r="C107" s="246">
        <f>IF('CG. MPB'!E108="CONCRETO",'RMCV.PB'!B107,0)</f>
        <v>0</v>
      </c>
      <c r="D107" s="135">
        <f>IF(C107=0,0,'CG. MPB'!C108*100)</f>
        <v>0</v>
      </c>
      <c r="E107" s="135">
        <f>IF(C107=0,0,'RMCV.PB'!C107)</f>
        <v>0</v>
      </c>
      <c r="F107" s="135">
        <f t="shared" si="36"/>
        <v>0</v>
      </c>
      <c r="G107" s="246">
        <f>IF(C107=0,0,'RMCS.PB'!L107)</f>
        <v>0</v>
      </c>
      <c r="H107" s="246">
        <f>IF(C107=0,0,'CASTILLOS-PB'!K107)</f>
        <v>0</v>
      </c>
      <c r="I107" s="144">
        <f t="shared" si="37"/>
        <v>0</v>
      </c>
      <c r="J107" s="144">
        <f t="shared" si="38"/>
        <v>0</v>
      </c>
      <c r="K107" s="149">
        <f t="shared" si="39"/>
        <v>0</v>
      </c>
      <c r="L107" s="144">
        <f t="shared" si="25"/>
        <v>0</v>
      </c>
      <c r="M107" s="147">
        <f t="shared" si="40"/>
        <v>0</v>
      </c>
      <c r="N107" s="246">
        <f t="shared" si="41"/>
        <v>0</v>
      </c>
      <c r="O107" s="246">
        <f t="shared" si="42"/>
        <v>0</v>
      </c>
      <c r="P107" s="246">
        <f t="shared" si="43"/>
        <v>0</v>
      </c>
      <c r="Q107" s="246">
        <f t="shared" si="44"/>
        <v>0</v>
      </c>
      <c r="R107" s="246">
        <f t="shared" si="45"/>
        <v>0</v>
      </c>
      <c r="S107" s="145">
        <f t="shared" si="46"/>
        <v>0</v>
      </c>
      <c r="T107" s="147">
        <f t="shared" si="47"/>
        <v>0</v>
      </c>
      <c r="U107" s="802">
        <f t="shared" si="48"/>
        <v>0</v>
      </c>
      <c r="V107" s="147">
        <f t="shared" si="49"/>
        <v>0</v>
      </c>
      <c r="W107" s="832">
        <f t="shared" si="50"/>
        <v>0</v>
      </c>
      <c r="X107" s="135">
        <f t="shared" si="51"/>
        <v>0</v>
      </c>
    </row>
    <row r="108" spans="1:24">
      <c r="A108" s="777">
        <f>'CG. MPB'!A109</f>
        <v>29</v>
      </c>
      <c r="B108" s="801">
        <v>15</v>
      </c>
      <c r="C108" s="246">
        <f>IF('CG. MPB'!E109="CONCRETO",'RMCV.PB'!B108,0)</f>
        <v>0</v>
      </c>
      <c r="D108" s="135">
        <f>IF(C108=0,0,'CG. MPB'!C109*100)</f>
        <v>0</v>
      </c>
      <c r="E108" s="135">
        <f>IF(C108=0,0,'RMCV.PB'!C108)</f>
        <v>0</v>
      </c>
      <c r="F108" s="135">
        <f t="shared" si="36"/>
        <v>0</v>
      </c>
      <c r="G108" s="246">
        <f>IF(C108=0,0,'RMCS.PB'!L108)</f>
        <v>0</v>
      </c>
      <c r="H108" s="246">
        <f>IF(C108=0,0,'CASTILLOS-PB'!K108)</f>
        <v>0</v>
      </c>
      <c r="I108" s="144">
        <f t="shared" si="37"/>
        <v>0</v>
      </c>
      <c r="J108" s="144">
        <f t="shared" si="38"/>
        <v>0</v>
      </c>
      <c r="K108" s="149">
        <f t="shared" si="39"/>
        <v>0</v>
      </c>
      <c r="L108" s="144">
        <f t="shared" si="25"/>
        <v>0</v>
      </c>
      <c r="M108" s="147">
        <f t="shared" si="40"/>
        <v>0</v>
      </c>
      <c r="N108" s="246">
        <f t="shared" si="41"/>
        <v>0</v>
      </c>
      <c r="O108" s="246">
        <f t="shared" si="42"/>
        <v>0</v>
      </c>
      <c r="P108" s="246">
        <f t="shared" si="43"/>
        <v>0</v>
      </c>
      <c r="Q108" s="246">
        <f t="shared" si="44"/>
        <v>0</v>
      </c>
      <c r="R108" s="246">
        <f t="shared" si="45"/>
        <v>0</v>
      </c>
      <c r="S108" s="145">
        <f t="shared" si="46"/>
        <v>0</v>
      </c>
      <c r="T108" s="147">
        <f t="shared" si="47"/>
        <v>0</v>
      </c>
      <c r="U108" s="802">
        <f t="shared" si="48"/>
        <v>0</v>
      </c>
      <c r="V108" s="147">
        <f t="shared" si="49"/>
        <v>0</v>
      </c>
      <c r="W108" s="832">
        <f t="shared" si="50"/>
        <v>0</v>
      </c>
      <c r="X108" s="135">
        <f t="shared" si="51"/>
        <v>0</v>
      </c>
    </row>
    <row r="109" spans="1:24">
      <c r="A109" s="777">
        <f>'CG. MPB'!A110</f>
        <v>30</v>
      </c>
      <c r="B109" s="801">
        <v>15</v>
      </c>
      <c r="C109" s="246">
        <f>IF('CG. MPB'!E110="CONCRETO",'RMCV.PB'!B109,0)</f>
        <v>0</v>
      </c>
      <c r="D109" s="135">
        <f>IF(C109=0,0,'CG. MPB'!C110*100)</f>
        <v>0</v>
      </c>
      <c r="E109" s="135">
        <f>IF(C109=0,0,'RMCV.PB'!C109)</f>
        <v>0</v>
      </c>
      <c r="F109" s="135">
        <f t="shared" si="36"/>
        <v>0</v>
      </c>
      <c r="G109" s="246">
        <f>IF(C109=0,0,'RMCS.PB'!L109)</f>
        <v>0</v>
      </c>
      <c r="H109" s="246">
        <f>IF(C109=0,0,'CASTILLOS-PB'!K109)</f>
        <v>0</v>
      </c>
      <c r="I109" s="144">
        <f t="shared" si="37"/>
        <v>0</v>
      </c>
      <c r="J109" s="144">
        <f t="shared" si="38"/>
        <v>0</v>
      </c>
      <c r="K109" s="149">
        <f t="shared" si="39"/>
        <v>0</v>
      </c>
      <c r="L109" s="144">
        <f t="shared" si="25"/>
        <v>0</v>
      </c>
      <c r="M109" s="147">
        <f t="shared" si="40"/>
        <v>0</v>
      </c>
      <c r="N109" s="246">
        <f t="shared" si="41"/>
        <v>0</v>
      </c>
      <c r="O109" s="246">
        <f t="shared" si="42"/>
        <v>0</v>
      </c>
      <c r="P109" s="246">
        <f t="shared" si="43"/>
        <v>0</v>
      </c>
      <c r="Q109" s="246">
        <f t="shared" si="44"/>
        <v>0</v>
      </c>
      <c r="R109" s="246">
        <f t="shared" si="45"/>
        <v>0</v>
      </c>
      <c r="S109" s="145">
        <f t="shared" si="46"/>
        <v>0</v>
      </c>
      <c r="T109" s="147">
        <f t="shared" si="47"/>
        <v>0</v>
      </c>
      <c r="U109" s="802">
        <f t="shared" si="48"/>
        <v>0</v>
      </c>
      <c r="V109" s="147">
        <f t="shared" si="49"/>
        <v>0</v>
      </c>
      <c r="W109" s="832">
        <f t="shared" si="50"/>
        <v>0</v>
      </c>
      <c r="X109" s="135">
        <f t="shared" si="51"/>
        <v>0</v>
      </c>
    </row>
    <row r="110" spans="1:24">
      <c r="A110" s="777">
        <f>'CG. MPB'!A111</f>
        <v>31</v>
      </c>
      <c r="B110" s="801">
        <v>15</v>
      </c>
      <c r="C110" s="246">
        <f>IF('CG. MPB'!E111="CONCRETO",'RMCV.PB'!B110,0)</f>
        <v>0</v>
      </c>
      <c r="D110" s="135">
        <f>IF(C110=0,0,'CG. MPB'!C111*100)</f>
        <v>0</v>
      </c>
      <c r="E110" s="135">
        <f>IF(C110=0,0,'RMCV.PB'!C110)</f>
        <v>0</v>
      </c>
      <c r="F110" s="135">
        <f t="shared" si="36"/>
        <v>0</v>
      </c>
      <c r="G110" s="246">
        <f>IF(C110=0,0,'RMCS.PB'!L110)</f>
        <v>0</v>
      </c>
      <c r="H110" s="246">
        <f>IF(C110=0,0,'CASTILLOS-PB'!K110)</f>
        <v>0</v>
      </c>
      <c r="I110" s="144">
        <f t="shared" si="37"/>
        <v>0</v>
      </c>
      <c r="J110" s="144">
        <f t="shared" si="38"/>
        <v>0</v>
      </c>
      <c r="K110" s="149">
        <f t="shared" si="39"/>
        <v>0</v>
      </c>
      <c r="L110" s="144">
        <f t="shared" si="25"/>
        <v>0</v>
      </c>
      <c r="M110" s="147">
        <f t="shared" si="40"/>
        <v>0</v>
      </c>
      <c r="N110" s="246">
        <f t="shared" si="41"/>
        <v>0</v>
      </c>
      <c r="O110" s="246">
        <f t="shared" si="42"/>
        <v>0</v>
      </c>
      <c r="P110" s="246">
        <f t="shared" si="43"/>
        <v>0</v>
      </c>
      <c r="Q110" s="246">
        <f t="shared" si="44"/>
        <v>0</v>
      </c>
      <c r="R110" s="246">
        <f t="shared" si="45"/>
        <v>0</v>
      </c>
      <c r="S110" s="145">
        <f t="shared" si="46"/>
        <v>0</v>
      </c>
      <c r="T110" s="147">
        <f t="shared" si="47"/>
        <v>0</v>
      </c>
      <c r="U110" s="802">
        <f t="shared" si="48"/>
        <v>0</v>
      </c>
      <c r="V110" s="147">
        <f t="shared" si="49"/>
        <v>0</v>
      </c>
      <c r="W110" s="832">
        <f t="shared" si="50"/>
        <v>0</v>
      </c>
    </row>
    <row r="111" spans="1:24">
      <c r="A111" s="777">
        <f>'CG. MPB'!A112</f>
        <v>32</v>
      </c>
      <c r="B111" s="801">
        <v>15</v>
      </c>
      <c r="C111" s="246">
        <f>IF('CG. MPB'!E112="CONCRETO",'RMCV.PB'!B111,0)</f>
        <v>0</v>
      </c>
      <c r="D111" s="135">
        <f>IF(C111=0,0,'CG. MPB'!C112*100)</f>
        <v>0</v>
      </c>
      <c r="E111" s="135">
        <f>IF(C111=0,0,'RMCV.PB'!C111)</f>
        <v>0</v>
      </c>
      <c r="F111" s="135">
        <f t="shared" si="36"/>
        <v>0</v>
      </c>
      <c r="G111" s="246">
        <f>IF(C111=0,0,'RMCS.PB'!L111)</f>
        <v>0</v>
      </c>
      <c r="H111" s="246">
        <f>IF(C111=0,0,'CASTILLOS-PB'!K111)</f>
        <v>0</v>
      </c>
      <c r="I111" s="144">
        <f t="shared" si="37"/>
        <v>0</v>
      </c>
      <c r="J111" s="144">
        <f t="shared" si="38"/>
        <v>0</v>
      </c>
      <c r="K111" s="149">
        <f t="shared" si="39"/>
        <v>0</v>
      </c>
      <c r="L111" s="144">
        <f t="shared" si="25"/>
        <v>0</v>
      </c>
      <c r="M111" s="147">
        <f t="shared" si="40"/>
        <v>0</v>
      </c>
      <c r="N111" s="246">
        <f t="shared" si="41"/>
        <v>0</v>
      </c>
      <c r="O111" s="246">
        <f t="shared" si="42"/>
        <v>0</v>
      </c>
      <c r="P111" s="246">
        <f t="shared" si="43"/>
        <v>0</v>
      </c>
      <c r="Q111" s="246">
        <f t="shared" si="44"/>
        <v>0</v>
      </c>
      <c r="R111" s="246">
        <f t="shared" si="45"/>
        <v>0</v>
      </c>
      <c r="S111" s="145">
        <f t="shared" si="46"/>
        <v>0</v>
      </c>
      <c r="T111" s="147">
        <f t="shared" si="47"/>
        <v>0</v>
      </c>
      <c r="U111" s="802">
        <f t="shared" si="48"/>
        <v>0</v>
      </c>
      <c r="V111" s="147">
        <f t="shared" si="49"/>
        <v>0</v>
      </c>
      <c r="W111" s="832">
        <f t="shared" si="50"/>
        <v>0</v>
      </c>
    </row>
    <row r="112" spans="1:24">
      <c r="A112" s="777">
        <f>'CG. MPB'!A113</f>
        <v>33</v>
      </c>
      <c r="B112" s="801">
        <v>15</v>
      </c>
      <c r="C112" s="246">
        <f>IF('CG. MPB'!E113="CONCRETO",'RMCV.PB'!B112,0)</f>
        <v>0</v>
      </c>
      <c r="D112" s="135">
        <f>IF(C112=0,0,'CG. MPB'!C113*100)</f>
        <v>0</v>
      </c>
      <c r="E112" s="135">
        <f>IF(C112=0,0,'RMCV.PB'!C112)</f>
        <v>0</v>
      </c>
      <c r="F112" s="135">
        <f t="shared" si="36"/>
        <v>0</v>
      </c>
      <c r="G112" s="246">
        <f>IF(C112=0,0,'RMCS.PB'!L112)</f>
        <v>0</v>
      </c>
      <c r="H112" s="246">
        <f>IF(C112=0,0,'CASTILLOS-PB'!K112)</f>
        <v>0</v>
      </c>
      <c r="I112" s="144">
        <f t="shared" si="37"/>
        <v>0</v>
      </c>
      <c r="J112" s="144">
        <f t="shared" si="38"/>
        <v>0</v>
      </c>
      <c r="K112" s="149">
        <f t="shared" si="39"/>
        <v>0</v>
      </c>
      <c r="L112" s="144">
        <f t="shared" si="25"/>
        <v>0</v>
      </c>
      <c r="M112" s="147">
        <f t="shared" si="40"/>
        <v>0</v>
      </c>
      <c r="N112" s="246">
        <f t="shared" si="41"/>
        <v>0</v>
      </c>
      <c r="O112" s="246">
        <f t="shared" si="42"/>
        <v>0</v>
      </c>
      <c r="P112" s="246">
        <f t="shared" si="43"/>
        <v>0</v>
      </c>
      <c r="Q112" s="246">
        <f t="shared" si="44"/>
        <v>0</v>
      </c>
      <c r="R112" s="246">
        <f t="shared" si="45"/>
        <v>0</v>
      </c>
      <c r="S112" s="145">
        <f t="shared" si="46"/>
        <v>0</v>
      </c>
      <c r="T112" s="147">
        <f t="shared" si="47"/>
        <v>0</v>
      </c>
      <c r="U112" s="802">
        <f t="shared" si="48"/>
        <v>0</v>
      </c>
      <c r="V112" s="147">
        <f t="shared" si="49"/>
        <v>0</v>
      </c>
      <c r="W112" s="832">
        <f t="shared" si="50"/>
        <v>0</v>
      </c>
    </row>
    <row r="113" spans="1:23">
      <c r="A113" s="777">
        <f>'CG. MPB'!A114</f>
        <v>34</v>
      </c>
      <c r="B113" s="801">
        <v>15</v>
      </c>
      <c r="C113" s="246">
        <f>IF('CG. MPB'!E114="CONCRETO",'RMCV.PB'!B113,0)</f>
        <v>0</v>
      </c>
      <c r="D113" s="135">
        <f>IF(C113=0,0,'CG. MPB'!C114*100)</f>
        <v>0</v>
      </c>
      <c r="E113" s="135">
        <f>IF(C113=0,0,'RMCV.PB'!C113)</f>
        <v>0</v>
      </c>
      <c r="F113" s="135">
        <f t="shared" si="36"/>
        <v>0</v>
      </c>
      <c r="G113" s="246">
        <f>IF(C113=0,0,'RMCS.PB'!L113)</f>
        <v>0</v>
      </c>
      <c r="H113" s="246">
        <f>IF(C113=0,0,'CASTILLOS-PB'!K113)</f>
        <v>0</v>
      </c>
      <c r="I113" s="144">
        <f t="shared" si="37"/>
        <v>0</v>
      </c>
      <c r="J113" s="144">
        <f t="shared" si="38"/>
        <v>0</v>
      </c>
      <c r="K113" s="149">
        <f t="shared" si="39"/>
        <v>0</v>
      </c>
      <c r="L113" s="144">
        <f t="shared" si="25"/>
        <v>0</v>
      </c>
      <c r="M113" s="147">
        <f t="shared" si="40"/>
        <v>0</v>
      </c>
      <c r="N113" s="246">
        <f t="shared" si="41"/>
        <v>0</v>
      </c>
      <c r="O113" s="246">
        <f t="shared" si="42"/>
        <v>0</v>
      </c>
      <c r="P113" s="246">
        <f t="shared" si="43"/>
        <v>0</v>
      </c>
      <c r="Q113" s="246">
        <f t="shared" si="44"/>
        <v>0</v>
      </c>
      <c r="R113" s="246">
        <f t="shared" si="45"/>
        <v>0</v>
      </c>
      <c r="S113" s="145">
        <f t="shared" si="46"/>
        <v>0</v>
      </c>
      <c r="T113" s="147">
        <f t="shared" si="47"/>
        <v>0</v>
      </c>
      <c r="U113" s="802">
        <f t="shared" si="48"/>
        <v>0</v>
      </c>
      <c r="V113" s="147">
        <f t="shared" si="49"/>
        <v>0</v>
      </c>
      <c r="W113" s="832">
        <f t="shared" si="50"/>
        <v>0</v>
      </c>
    </row>
    <row r="114" spans="1:23">
      <c r="A114" s="777">
        <f>'CG. MPB'!A115</f>
        <v>35</v>
      </c>
      <c r="B114" s="801">
        <v>15</v>
      </c>
      <c r="C114" s="246">
        <f>IF('CG. MPB'!E115="CONCRETO",'RMCV.PB'!B114,0)</f>
        <v>0</v>
      </c>
      <c r="D114" s="135">
        <f>IF(C114=0,0,'CG. MPB'!C115*100)</f>
        <v>0</v>
      </c>
      <c r="E114" s="135">
        <f>IF(C114=0,0,'RMCV.PB'!C114)</f>
        <v>0</v>
      </c>
      <c r="F114" s="135">
        <f t="shared" si="36"/>
        <v>0</v>
      </c>
      <c r="G114" s="246">
        <f>IF(C114=0,0,'RMCS.PB'!L114)</f>
        <v>0</v>
      </c>
      <c r="H114" s="246">
        <f>IF(C114=0,0,'CASTILLOS-PB'!K114)</f>
        <v>0</v>
      </c>
      <c r="I114" s="144">
        <f t="shared" si="37"/>
        <v>0</v>
      </c>
      <c r="J114" s="144">
        <f t="shared" si="38"/>
        <v>0</v>
      </c>
      <c r="K114" s="149">
        <f t="shared" si="39"/>
        <v>0</v>
      </c>
      <c r="L114" s="144">
        <f t="shared" si="25"/>
        <v>0</v>
      </c>
      <c r="M114" s="147">
        <f t="shared" si="40"/>
        <v>0</v>
      </c>
      <c r="N114" s="246">
        <f t="shared" si="41"/>
        <v>0</v>
      </c>
      <c r="O114" s="246">
        <f t="shared" si="42"/>
        <v>0</v>
      </c>
      <c r="P114" s="246">
        <f t="shared" si="43"/>
        <v>0</v>
      </c>
      <c r="Q114" s="246">
        <f t="shared" si="44"/>
        <v>0</v>
      </c>
      <c r="R114" s="246">
        <f t="shared" si="45"/>
        <v>0</v>
      </c>
      <c r="S114" s="145">
        <f t="shared" si="46"/>
        <v>0</v>
      </c>
      <c r="T114" s="147">
        <f t="shared" si="47"/>
        <v>0</v>
      </c>
      <c r="U114" s="802">
        <f t="shared" si="48"/>
        <v>0</v>
      </c>
      <c r="V114" s="147">
        <f t="shared" si="49"/>
        <v>0</v>
      </c>
      <c r="W114" s="832">
        <f t="shared" si="50"/>
        <v>0</v>
      </c>
    </row>
    <row r="115" spans="1:23">
      <c r="A115" s="777">
        <f>'CG. MPB'!A116</f>
        <v>36</v>
      </c>
      <c r="B115" s="801">
        <v>15</v>
      </c>
      <c r="C115" s="246">
        <f>IF('CG. MPB'!E116="CONCRETO",'RMCV.PB'!B115,0)</f>
        <v>0</v>
      </c>
      <c r="D115" s="135">
        <f>IF(C115=0,0,'CG. MPB'!C116*100)</f>
        <v>0</v>
      </c>
      <c r="E115" s="135">
        <f>IF(C115=0,0,'RMCV.PB'!C115)</f>
        <v>0</v>
      </c>
      <c r="F115" s="135">
        <f t="shared" si="36"/>
        <v>0</v>
      </c>
      <c r="G115" s="246">
        <f>IF(C115=0,0,'RMCS.PB'!L115)</f>
        <v>0</v>
      </c>
      <c r="H115" s="246">
        <f>IF(C115=0,0,'CASTILLOS-PB'!K115)</f>
        <v>0</v>
      </c>
      <c r="I115" s="144">
        <f t="shared" si="37"/>
        <v>0</v>
      </c>
      <c r="J115" s="144">
        <f t="shared" si="38"/>
        <v>0</v>
      </c>
      <c r="K115" s="149">
        <f t="shared" si="39"/>
        <v>0</v>
      </c>
      <c r="L115" s="144">
        <f t="shared" si="25"/>
        <v>0</v>
      </c>
      <c r="M115" s="147">
        <f t="shared" si="40"/>
        <v>0</v>
      </c>
      <c r="N115" s="246">
        <f t="shared" si="41"/>
        <v>0</v>
      </c>
      <c r="O115" s="246">
        <f t="shared" si="42"/>
        <v>0</v>
      </c>
      <c r="P115" s="246">
        <f t="shared" si="43"/>
        <v>0</v>
      </c>
      <c r="Q115" s="246">
        <f t="shared" si="44"/>
        <v>0</v>
      </c>
      <c r="R115" s="246">
        <f t="shared" si="45"/>
        <v>0</v>
      </c>
      <c r="S115" s="145">
        <f t="shared" si="46"/>
        <v>0</v>
      </c>
      <c r="T115" s="147">
        <f t="shared" si="47"/>
        <v>0</v>
      </c>
      <c r="U115" s="802">
        <f t="shared" si="48"/>
        <v>0</v>
      </c>
      <c r="V115" s="147">
        <f t="shared" si="49"/>
        <v>0</v>
      </c>
      <c r="W115" s="832">
        <f t="shared" si="50"/>
        <v>0</v>
      </c>
    </row>
    <row r="116" spans="1:23">
      <c r="A116" s="777">
        <f>'CG. MPB'!A117</f>
        <v>37</v>
      </c>
      <c r="B116" s="801">
        <v>15</v>
      </c>
      <c r="C116" s="246">
        <f>IF('CG. MPB'!E117="CONCRETO",'RMCV.PB'!B116,0)</f>
        <v>0</v>
      </c>
      <c r="D116" s="135">
        <f>IF(C116=0,0,'CG. MPB'!C117*100)</f>
        <v>0</v>
      </c>
      <c r="E116" s="135">
        <f>IF(C116=0,0,'RMCV.PB'!C116)</f>
        <v>0</v>
      </c>
      <c r="F116" s="135">
        <f t="shared" si="36"/>
        <v>0</v>
      </c>
      <c r="G116" s="246">
        <f>IF(C116=0,0,'RMCS.PB'!L116)</f>
        <v>0</v>
      </c>
      <c r="H116" s="246">
        <f>IF(C116=0,0,'CASTILLOS-PB'!K116)</f>
        <v>0</v>
      </c>
      <c r="I116" s="144">
        <f t="shared" si="37"/>
        <v>0</v>
      </c>
      <c r="J116" s="144">
        <f t="shared" si="38"/>
        <v>0</v>
      </c>
      <c r="K116" s="149">
        <f t="shared" si="39"/>
        <v>0</v>
      </c>
      <c r="L116" s="144">
        <f t="shared" si="25"/>
        <v>0</v>
      </c>
      <c r="M116" s="147">
        <f t="shared" si="40"/>
        <v>0</v>
      </c>
      <c r="N116" s="246">
        <f t="shared" si="41"/>
        <v>0</v>
      </c>
      <c r="O116" s="246">
        <f t="shared" si="42"/>
        <v>0</v>
      </c>
      <c r="P116" s="246">
        <f t="shared" si="43"/>
        <v>0</v>
      </c>
      <c r="Q116" s="246">
        <f t="shared" si="44"/>
        <v>0</v>
      </c>
      <c r="R116" s="246">
        <f t="shared" si="45"/>
        <v>0</v>
      </c>
      <c r="S116" s="145">
        <f t="shared" si="46"/>
        <v>0</v>
      </c>
      <c r="T116" s="147">
        <f t="shared" si="47"/>
        <v>0</v>
      </c>
      <c r="U116" s="802">
        <f t="shared" si="48"/>
        <v>0</v>
      </c>
      <c r="V116" s="147">
        <f t="shared" si="49"/>
        <v>0</v>
      </c>
      <c r="W116" s="832">
        <f t="shared" si="50"/>
        <v>0</v>
      </c>
    </row>
    <row r="117" spans="1:23">
      <c r="A117" s="777">
        <f>'CG. MPB'!A118</f>
        <v>38</v>
      </c>
      <c r="B117" s="801">
        <v>15</v>
      </c>
      <c r="C117" s="246">
        <f>IF('CG. MPB'!E118="CONCRETO",'RMCV.PB'!B117,0)</f>
        <v>0</v>
      </c>
      <c r="D117" s="135">
        <f>IF(C117=0,0,'CG. MPB'!C118*100)</f>
        <v>0</v>
      </c>
      <c r="E117" s="135">
        <f>IF(C117=0,0,'RMCV.PB'!C117)</f>
        <v>0</v>
      </c>
      <c r="F117" s="135">
        <f t="shared" si="36"/>
        <v>0</v>
      </c>
      <c r="G117" s="246">
        <f>IF(C117=0,0,'RMCS.PB'!L117)</f>
        <v>0</v>
      </c>
      <c r="H117" s="246">
        <f>IF(C117=0,0,'CASTILLOS-PB'!K117)</f>
        <v>0</v>
      </c>
      <c r="I117" s="144">
        <f t="shared" si="37"/>
        <v>0</v>
      </c>
      <c r="J117" s="144">
        <f t="shared" si="38"/>
        <v>0</v>
      </c>
      <c r="K117" s="149">
        <f t="shared" si="39"/>
        <v>0</v>
      </c>
      <c r="L117" s="144">
        <f t="shared" si="25"/>
        <v>0</v>
      </c>
      <c r="M117" s="147">
        <f t="shared" si="40"/>
        <v>0</v>
      </c>
      <c r="N117" s="246">
        <f t="shared" si="41"/>
        <v>0</v>
      </c>
      <c r="O117" s="246">
        <f t="shared" si="42"/>
        <v>0</v>
      </c>
      <c r="P117" s="246">
        <f t="shared" si="43"/>
        <v>0</v>
      </c>
      <c r="Q117" s="246">
        <f t="shared" si="44"/>
        <v>0</v>
      </c>
      <c r="R117" s="246">
        <f t="shared" si="45"/>
        <v>0</v>
      </c>
      <c r="S117" s="145">
        <f t="shared" si="46"/>
        <v>0</v>
      </c>
      <c r="T117" s="147">
        <f t="shared" si="47"/>
        <v>0</v>
      </c>
      <c r="U117" s="802">
        <f t="shared" si="48"/>
        <v>0</v>
      </c>
      <c r="V117" s="147">
        <f t="shared" si="49"/>
        <v>0</v>
      </c>
      <c r="W117" s="832">
        <f t="shared" si="50"/>
        <v>0</v>
      </c>
    </row>
    <row r="118" spans="1:23">
      <c r="A118" s="777">
        <f>'CG. MPB'!A119</f>
        <v>39</v>
      </c>
      <c r="B118" s="801">
        <v>15</v>
      </c>
      <c r="C118" s="246">
        <f>IF('CG. MPB'!E119="CONCRETO",'RMCV.PB'!B118,0)</f>
        <v>0</v>
      </c>
      <c r="D118" s="135">
        <f>IF(C118=0,0,'CG. MPB'!C119*100)</f>
        <v>0</v>
      </c>
      <c r="E118" s="135">
        <f>IF(C118=0,0,'RMCV.PB'!C118)</f>
        <v>0</v>
      </c>
      <c r="F118" s="135">
        <f t="shared" si="36"/>
        <v>0</v>
      </c>
      <c r="G118" s="246">
        <f>IF(C118=0,0,'RMCS.PB'!L118)</f>
        <v>0</v>
      </c>
      <c r="H118" s="246">
        <f>IF(C118=0,0,'CASTILLOS-PB'!K118)</f>
        <v>0</v>
      </c>
      <c r="I118" s="144">
        <f t="shared" si="37"/>
        <v>0</v>
      </c>
      <c r="J118" s="144">
        <f t="shared" si="38"/>
        <v>0</v>
      </c>
      <c r="K118" s="149">
        <f t="shared" si="39"/>
        <v>0</v>
      </c>
      <c r="L118" s="144">
        <f t="shared" si="25"/>
        <v>0</v>
      </c>
      <c r="M118" s="147">
        <f t="shared" si="40"/>
        <v>0</v>
      </c>
      <c r="N118" s="246">
        <f t="shared" si="41"/>
        <v>0</v>
      </c>
      <c r="O118" s="246">
        <f t="shared" si="42"/>
        <v>0</v>
      </c>
      <c r="P118" s="246">
        <f t="shared" si="43"/>
        <v>0</v>
      </c>
      <c r="Q118" s="246">
        <f t="shared" si="44"/>
        <v>0</v>
      </c>
      <c r="R118" s="246">
        <f t="shared" si="45"/>
        <v>0</v>
      </c>
      <c r="S118" s="145">
        <f t="shared" si="46"/>
        <v>0</v>
      </c>
      <c r="T118" s="147">
        <f t="shared" si="47"/>
        <v>0</v>
      </c>
      <c r="U118" s="802">
        <f t="shared" si="48"/>
        <v>0</v>
      </c>
      <c r="V118" s="147">
        <f t="shared" si="49"/>
        <v>0</v>
      </c>
      <c r="W118" s="832">
        <f t="shared" si="50"/>
        <v>0</v>
      </c>
    </row>
    <row r="119" spans="1:23">
      <c r="A119" s="777">
        <f>'CG. MPB'!A120</f>
        <v>40</v>
      </c>
      <c r="B119" s="801">
        <v>15</v>
      </c>
      <c r="C119" s="246">
        <f>IF('CG. MPB'!E120="CONCRETO",'RMCV.PB'!B119,0)</f>
        <v>0</v>
      </c>
      <c r="D119" s="135">
        <f>IF(C119=0,0,'CG. MPB'!C120*100)</f>
        <v>0</v>
      </c>
      <c r="E119" s="135">
        <f>IF(C119=0,0,'RMCV.PB'!C119)</f>
        <v>0</v>
      </c>
      <c r="F119" s="135">
        <f t="shared" si="36"/>
        <v>0</v>
      </c>
      <c r="G119" s="246">
        <f>IF(C119=0,0,'RMCS.PB'!L119)</f>
        <v>0</v>
      </c>
      <c r="H119" s="246">
        <f>IF(C119=0,0,'CASTILLOS-PB'!K119)</f>
        <v>0</v>
      </c>
      <c r="I119" s="144">
        <f t="shared" si="37"/>
        <v>0</v>
      </c>
      <c r="J119" s="144">
        <f t="shared" si="38"/>
        <v>0</v>
      </c>
      <c r="K119" s="149">
        <f t="shared" si="39"/>
        <v>0</v>
      </c>
      <c r="L119" s="144">
        <f t="shared" si="25"/>
        <v>0</v>
      </c>
      <c r="M119" s="147">
        <f t="shared" si="40"/>
        <v>0</v>
      </c>
      <c r="N119" s="246">
        <f t="shared" si="41"/>
        <v>0</v>
      </c>
      <c r="O119" s="246">
        <f t="shared" si="42"/>
        <v>0</v>
      </c>
      <c r="P119" s="246">
        <f t="shared" si="43"/>
        <v>0</v>
      </c>
      <c r="Q119" s="246">
        <f t="shared" si="44"/>
        <v>0</v>
      </c>
      <c r="R119" s="246">
        <f t="shared" si="45"/>
        <v>0</v>
      </c>
      <c r="S119" s="145">
        <f t="shared" si="46"/>
        <v>0</v>
      </c>
      <c r="T119" s="147">
        <f t="shared" si="47"/>
        <v>0</v>
      </c>
      <c r="U119" s="802">
        <f t="shared" si="48"/>
        <v>0</v>
      </c>
      <c r="V119" s="147">
        <f t="shared" si="49"/>
        <v>0</v>
      </c>
      <c r="W119" s="832">
        <f t="shared" si="50"/>
        <v>0</v>
      </c>
    </row>
    <row r="120" spans="1:23">
      <c r="A120" s="777">
        <f>'CG. MPB'!A121</f>
        <v>41</v>
      </c>
      <c r="B120" s="801">
        <v>15</v>
      </c>
      <c r="C120" s="246">
        <f>IF('CG. MPB'!E121="CONCRETO",'RMCV.PB'!B120,0)</f>
        <v>0</v>
      </c>
      <c r="D120" s="135">
        <f>IF(C120=0,0,'CG. MPB'!C121*100)</f>
        <v>0</v>
      </c>
      <c r="E120" s="135">
        <f>IF(C120=0,0,'RMCV.PB'!C120)</f>
        <v>0</v>
      </c>
      <c r="F120" s="135">
        <f t="shared" si="36"/>
        <v>0</v>
      </c>
      <c r="G120" s="246">
        <f>IF(C120=0,0,'RMCS.PB'!L120)</f>
        <v>0</v>
      </c>
      <c r="H120" s="246">
        <f>IF(C120=0,0,'CASTILLOS-PB'!K120)</f>
        <v>0</v>
      </c>
      <c r="I120" s="144">
        <f t="shared" si="37"/>
        <v>0</v>
      </c>
      <c r="J120" s="144">
        <f t="shared" si="38"/>
        <v>0</v>
      </c>
      <c r="K120" s="149">
        <f t="shared" si="39"/>
        <v>0</v>
      </c>
      <c r="L120" s="144">
        <f t="shared" si="25"/>
        <v>0</v>
      </c>
      <c r="M120" s="147">
        <f t="shared" si="40"/>
        <v>0</v>
      </c>
      <c r="N120" s="246">
        <f t="shared" si="41"/>
        <v>0</v>
      </c>
      <c r="O120" s="246">
        <f t="shared" si="42"/>
        <v>0</v>
      </c>
      <c r="P120" s="246">
        <f t="shared" si="43"/>
        <v>0</v>
      </c>
      <c r="Q120" s="246">
        <f t="shared" si="44"/>
        <v>0</v>
      </c>
      <c r="R120" s="246">
        <f t="shared" si="45"/>
        <v>0</v>
      </c>
      <c r="S120" s="145">
        <f t="shared" si="46"/>
        <v>0</v>
      </c>
      <c r="T120" s="147">
        <f t="shared" si="47"/>
        <v>0</v>
      </c>
      <c r="U120" s="802">
        <f t="shared" si="48"/>
        <v>0</v>
      </c>
      <c r="V120" s="147">
        <f t="shared" si="49"/>
        <v>0</v>
      </c>
      <c r="W120" s="832">
        <f t="shared" si="50"/>
        <v>0</v>
      </c>
    </row>
    <row r="121" spans="1:23">
      <c r="A121" s="777">
        <f>'CG. MPB'!A122</f>
        <v>42</v>
      </c>
      <c r="B121" s="801">
        <v>15</v>
      </c>
      <c r="C121" s="246">
        <f>IF('CG. MPB'!E122="CONCRETO",'RMCV.PB'!B121,0)</f>
        <v>0</v>
      </c>
      <c r="D121" s="135">
        <f>IF(C121=0,0,'CG. MPB'!C122*100)</f>
        <v>0</v>
      </c>
      <c r="E121" s="135">
        <f>IF(C121=0,0,'RMCV.PB'!C121)</f>
        <v>0</v>
      </c>
      <c r="F121" s="135">
        <f t="shared" si="36"/>
        <v>0</v>
      </c>
      <c r="G121" s="246">
        <f>IF(C121=0,0,'RMCS.PB'!L121)</f>
        <v>0</v>
      </c>
      <c r="H121" s="246">
        <f>IF(C121=0,0,'CASTILLOS-PB'!K121)</f>
        <v>0</v>
      </c>
      <c r="I121" s="144">
        <f t="shared" si="37"/>
        <v>0</v>
      </c>
      <c r="J121" s="144">
        <f t="shared" si="38"/>
        <v>0</v>
      </c>
      <c r="K121" s="149">
        <f t="shared" si="39"/>
        <v>0</v>
      </c>
      <c r="L121" s="144">
        <f t="shared" si="25"/>
        <v>0</v>
      </c>
      <c r="M121" s="147">
        <f t="shared" si="40"/>
        <v>0</v>
      </c>
      <c r="N121" s="246">
        <f t="shared" si="41"/>
        <v>0</v>
      </c>
      <c r="O121" s="246">
        <f t="shared" si="42"/>
        <v>0</v>
      </c>
      <c r="P121" s="246">
        <f t="shared" si="43"/>
        <v>0</v>
      </c>
      <c r="Q121" s="246">
        <f t="shared" si="44"/>
        <v>0</v>
      </c>
      <c r="R121" s="246">
        <f t="shared" si="45"/>
        <v>0</v>
      </c>
      <c r="S121" s="145">
        <f t="shared" si="46"/>
        <v>0</v>
      </c>
      <c r="T121" s="147">
        <f t="shared" si="47"/>
        <v>0</v>
      </c>
      <c r="U121" s="802">
        <f t="shared" si="48"/>
        <v>0</v>
      </c>
      <c r="V121" s="147">
        <f t="shared" si="49"/>
        <v>0</v>
      </c>
      <c r="W121" s="832">
        <f t="shared" si="50"/>
        <v>0</v>
      </c>
    </row>
    <row r="122" spans="1:23">
      <c r="A122" s="777">
        <f>'CG. MPB'!A123</f>
        <v>43</v>
      </c>
      <c r="B122" s="801">
        <v>15</v>
      </c>
      <c r="C122" s="246">
        <f>IF('CG. MPB'!E123="CONCRETO",'RMCV.PB'!B122,0)</f>
        <v>0</v>
      </c>
      <c r="D122" s="135">
        <f>IF(C122=0,0,'CG. MPB'!C123*100)</f>
        <v>0</v>
      </c>
      <c r="E122" s="135">
        <f>IF(C122=0,0,'RMCV.PB'!C122)</f>
        <v>0</v>
      </c>
      <c r="F122" s="135">
        <f t="shared" si="36"/>
        <v>0</v>
      </c>
      <c r="G122" s="246">
        <f>IF(C122=0,0,'RMCS.PB'!L122)</f>
        <v>0</v>
      </c>
      <c r="H122" s="246">
        <f>IF(C122=0,0,'CASTILLOS-PB'!K122)</f>
        <v>0</v>
      </c>
      <c r="I122" s="144">
        <f t="shared" si="37"/>
        <v>0</v>
      </c>
      <c r="J122" s="144">
        <f t="shared" si="38"/>
        <v>0</v>
      </c>
      <c r="K122" s="149">
        <f t="shared" si="39"/>
        <v>0</v>
      </c>
      <c r="L122" s="144">
        <f t="shared" si="25"/>
        <v>0</v>
      </c>
      <c r="M122" s="147">
        <f t="shared" si="40"/>
        <v>0</v>
      </c>
      <c r="N122" s="246">
        <f t="shared" si="41"/>
        <v>0</v>
      </c>
      <c r="O122" s="246">
        <f t="shared" si="42"/>
        <v>0</v>
      </c>
      <c r="P122" s="246">
        <f t="shared" si="43"/>
        <v>0</v>
      </c>
      <c r="Q122" s="246">
        <f t="shared" si="44"/>
        <v>0</v>
      </c>
      <c r="R122" s="246">
        <f t="shared" si="45"/>
        <v>0</v>
      </c>
      <c r="S122" s="145">
        <f t="shared" si="46"/>
        <v>0</v>
      </c>
      <c r="T122" s="147">
        <f t="shared" si="47"/>
        <v>0</v>
      </c>
      <c r="U122" s="802">
        <f t="shared" si="48"/>
        <v>0</v>
      </c>
      <c r="V122" s="147">
        <f t="shared" si="49"/>
        <v>0</v>
      </c>
      <c r="W122" s="832">
        <f t="shared" si="50"/>
        <v>0</v>
      </c>
    </row>
    <row r="123" spans="1:23">
      <c r="A123" s="777">
        <f>'CG. MPB'!A124</f>
        <v>44</v>
      </c>
      <c r="B123" s="801">
        <v>15</v>
      </c>
      <c r="C123" s="246">
        <f>IF('CG. MPB'!E124="CONCRETO",'RMCV.PB'!B123,0)</f>
        <v>0</v>
      </c>
      <c r="D123" s="135">
        <f>IF(C123=0,0,'CG. MPB'!C124*100)</f>
        <v>0</v>
      </c>
      <c r="E123" s="135">
        <f>IF(C123=0,0,'RMCV.PB'!C123)</f>
        <v>0</v>
      </c>
      <c r="F123" s="135">
        <f t="shared" si="36"/>
        <v>0</v>
      </c>
      <c r="G123" s="246">
        <f>IF(C123=0,0,'RMCS.PB'!L123)</f>
        <v>0</v>
      </c>
      <c r="H123" s="246">
        <f>IF(C123=0,0,'CASTILLOS-PB'!K123)</f>
        <v>0</v>
      </c>
      <c r="I123" s="144">
        <f t="shared" si="37"/>
        <v>0</v>
      </c>
      <c r="J123" s="144">
        <f t="shared" si="38"/>
        <v>0</v>
      </c>
      <c r="K123" s="149">
        <f t="shared" si="39"/>
        <v>0</v>
      </c>
      <c r="L123" s="144">
        <f t="shared" si="25"/>
        <v>0</v>
      </c>
      <c r="M123" s="147">
        <f t="shared" si="40"/>
        <v>0</v>
      </c>
      <c r="N123" s="246">
        <f t="shared" si="41"/>
        <v>0</v>
      </c>
      <c r="O123" s="246">
        <f t="shared" si="42"/>
        <v>0</v>
      </c>
      <c r="P123" s="246">
        <f t="shared" si="43"/>
        <v>0</v>
      </c>
      <c r="Q123" s="246">
        <f t="shared" si="44"/>
        <v>0</v>
      </c>
      <c r="R123" s="246">
        <f t="shared" si="45"/>
        <v>0</v>
      </c>
      <c r="S123" s="145">
        <f t="shared" si="46"/>
        <v>0</v>
      </c>
      <c r="T123" s="147">
        <f t="shared" si="47"/>
        <v>0</v>
      </c>
      <c r="U123" s="802">
        <f t="shared" si="48"/>
        <v>0</v>
      </c>
      <c r="V123" s="147">
        <f t="shared" si="49"/>
        <v>0</v>
      </c>
      <c r="W123" s="832">
        <f t="shared" si="50"/>
        <v>0</v>
      </c>
    </row>
    <row r="124" spans="1:23">
      <c r="A124" s="777">
        <f>'CG. MPB'!A125</f>
        <v>45</v>
      </c>
      <c r="B124" s="801">
        <v>15</v>
      </c>
      <c r="C124" s="246">
        <f>IF('CG. MPB'!E125="CONCRETO",'RMCV.PB'!B124,0)</f>
        <v>0</v>
      </c>
      <c r="D124" s="135">
        <f>IF(C124=0,0,'CG. MPB'!C125*100)</f>
        <v>0</v>
      </c>
      <c r="E124" s="135">
        <f>IF(C124=0,0,'RMCV.PB'!C124)</f>
        <v>0</v>
      </c>
      <c r="F124" s="135">
        <f t="shared" si="36"/>
        <v>0</v>
      </c>
      <c r="G124" s="246">
        <f>IF(C124=0,0,'RMCS.PB'!L124)</f>
        <v>0</v>
      </c>
      <c r="H124" s="246">
        <f>IF(C124=0,0,'CASTILLOS-PB'!K124)</f>
        <v>0</v>
      </c>
      <c r="I124" s="144">
        <f t="shared" si="37"/>
        <v>0</v>
      </c>
      <c r="J124" s="144">
        <f t="shared" si="38"/>
        <v>0</v>
      </c>
      <c r="K124" s="149">
        <f t="shared" si="39"/>
        <v>0</v>
      </c>
      <c r="L124" s="144">
        <f t="shared" si="25"/>
        <v>0</v>
      </c>
      <c r="M124" s="147">
        <f t="shared" si="40"/>
        <v>0</v>
      </c>
      <c r="N124" s="246">
        <f t="shared" si="41"/>
        <v>0</v>
      </c>
      <c r="O124" s="246">
        <f t="shared" si="42"/>
        <v>0</v>
      </c>
      <c r="P124" s="246">
        <f t="shared" si="43"/>
        <v>0</v>
      </c>
      <c r="Q124" s="246">
        <f t="shared" si="44"/>
        <v>0</v>
      </c>
      <c r="R124" s="246">
        <f t="shared" si="45"/>
        <v>0</v>
      </c>
      <c r="S124" s="145">
        <f t="shared" si="46"/>
        <v>0</v>
      </c>
      <c r="T124" s="147">
        <f t="shared" si="47"/>
        <v>0</v>
      </c>
      <c r="U124" s="802">
        <f t="shared" si="48"/>
        <v>0</v>
      </c>
      <c r="V124" s="147">
        <f t="shared" si="49"/>
        <v>0</v>
      </c>
      <c r="W124" s="832">
        <f t="shared" si="50"/>
        <v>0</v>
      </c>
    </row>
    <row r="125" spans="1:23">
      <c r="A125" s="777">
        <f>'CG. MPB'!A126</f>
        <v>46</v>
      </c>
      <c r="B125" s="801">
        <v>15</v>
      </c>
      <c r="C125" s="246">
        <f>IF('CG. MPB'!E126="CONCRETO",'RMCV.PB'!B125,0)</f>
        <v>0</v>
      </c>
      <c r="D125" s="135">
        <f>IF(C125=0,0,'CG. MPB'!C126*100)</f>
        <v>0</v>
      </c>
      <c r="E125" s="135">
        <f>IF(C125=0,0,'RMCV.PB'!C125)</f>
        <v>0</v>
      </c>
      <c r="F125" s="135">
        <f t="shared" si="36"/>
        <v>0</v>
      </c>
      <c r="G125" s="246">
        <f>IF(C125=0,0,'RMCS.PB'!L125)</f>
        <v>0</v>
      </c>
      <c r="H125" s="246">
        <f>IF(C125=0,0,'CASTILLOS-PB'!K125)</f>
        <v>0</v>
      </c>
      <c r="I125" s="144">
        <f t="shared" si="37"/>
        <v>0</v>
      </c>
      <c r="J125" s="144">
        <f t="shared" si="38"/>
        <v>0</v>
      </c>
      <c r="K125" s="149">
        <f t="shared" si="39"/>
        <v>0</v>
      </c>
      <c r="L125" s="144">
        <f t="shared" si="25"/>
        <v>0</v>
      </c>
      <c r="M125" s="147">
        <f t="shared" si="40"/>
        <v>0</v>
      </c>
      <c r="N125" s="246">
        <f t="shared" si="41"/>
        <v>0</v>
      </c>
      <c r="O125" s="246">
        <f t="shared" si="42"/>
        <v>0</v>
      </c>
      <c r="P125" s="246">
        <f t="shared" si="43"/>
        <v>0</v>
      </c>
      <c r="Q125" s="246">
        <f t="shared" si="44"/>
        <v>0</v>
      </c>
      <c r="R125" s="246">
        <f t="shared" si="45"/>
        <v>0</v>
      </c>
      <c r="S125" s="145">
        <f t="shared" si="46"/>
        <v>0</v>
      </c>
      <c r="T125" s="147">
        <f t="shared" si="47"/>
        <v>0</v>
      </c>
      <c r="U125" s="802">
        <f t="shared" si="48"/>
        <v>0</v>
      </c>
      <c r="V125" s="147">
        <f t="shared" si="49"/>
        <v>0</v>
      </c>
      <c r="W125" s="832">
        <f t="shared" si="50"/>
        <v>0</v>
      </c>
    </row>
    <row r="126" spans="1:23">
      <c r="A126" s="777">
        <f>'CG. MPB'!A127</f>
        <v>47</v>
      </c>
      <c r="B126" s="801">
        <v>15</v>
      </c>
      <c r="C126" s="246">
        <f>IF('CG. MPB'!E127="CONCRETO",'RMCV.PB'!B126,0)</f>
        <v>0</v>
      </c>
      <c r="D126" s="135">
        <f>IF(C126=0,0,'CG. MPB'!C127*100)</f>
        <v>0</v>
      </c>
      <c r="E126" s="135">
        <f>IF(C126=0,0,'RMCV.PB'!C126)</f>
        <v>0</v>
      </c>
      <c r="F126" s="135">
        <f t="shared" si="36"/>
        <v>0</v>
      </c>
      <c r="G126" s="246">
        <f>IF(C126=0,0,'RMCS.PB'!L126)</f>
        <v>0</v>
      </c>
      <c r="H126" s="246">
        <f>IF(C126=0,0,'CASTILLOS-PB'!K126)</f>
        <v>0</v>
      </c>
      <c r="I126" s="144">
        <f t="shared" si="37"/>
        <v>0</v>
      </c>
      <c r="J126" s="144">
        <f t="shared" si="38"/>
        <v>0</v>
      </c>
      <c r="K126" s="149">
        <f t="shared" si="39"/>
        <v>0</v>
      </c>
      <c r="L126" s="144">
        <f t="shared" si="25"/>
        <v>0</v>
      </c>
      <c r="M126" s="147">
        <f t="shared" si="40"/>
        <v>0</v>
      </c>
      <c r="N126" s="246">
        <f t="shared" si="41"/>
        <v>0</v>
      </c>
      <c r="O126" s="246">
        <f t="shared" si="42"/>
        <v>0</v>
      </c>
      <c r="P126" s="246">
        <f t="shared" si="43"/>
        <v>0</v>
      </c>
      <c r="Q126" s="246">
        <f t="shared" si="44"/>
        <v>0</v>
      </c>
      <c r="R126" s="246">
        <f t="shared" si="45"/>
        <v>0</v>
      </c>
      <c r="S126" s="145">
        <f t="shared" si="46"/>
        <v>0</v>
      </c>
      <c r="T126" s="147">
        <f t="shared" si="47"/>
        <v>0</v>
      </c>
      <c r="U126" s="802">
        <f t="shared" si="48"/>
        <v>0</v>
      </c>
      <c r="V126" s="147">
        <f t="shared" si="49"/>
        <v>0</v>
      </c>
      <c r="W126" s="832">
        <f t="shared" si="50"/>
        <v>0</v>
      </c>
    </row>
    <row r="127" spans="1:23">
      <c r="A127" s="777">
        <f>'CG. MPB'!A128</f>
        <v>48</v>
      </c>
      <c r="B127" s="801">
        <v>15</v>
      </c>
      <c r="C127" s="246">
        <f>IF('CG. MPB'!E128="CONCRETO",'RMCV.PB'!B127,0)</f>
        <v>0</v>
      </c>
      <c r="D127" s="135">
        <f>IF(C127=0,0,'CG. MPB'!C128*100)</f>
        <v>0</v>
      </c>
      <c r="E127" s="135">
        <f>IF(C127=0,0,'RMCV.PB'!C127)</f>
        <v>0</v>
      </c>
      <c r="F127" s="135">
        <f t="shared" si="36"/>
        <v>0</v>
      </c>
      <c r="G127" s="246">
        <f>IF(C127=0,0,'RMCS.PB'!L127)</f>
        <v>0</v>
      </c>
      <c r="H127" s="246">
        <f>IF(C127=0,0,'CASTILLOS-PB'!K127)</f>
        <v>0</v>
      </c>
      <c r="I127" s="144">
        <f t="shared" si="37"/>
        <v>0</v>
      </c>
      <c r="J127" s="144">
        <f t="shared" si="38"/>
        <v>0</v>
      </c>
      <c r="K127" s="149">
        <f t="shared" si="39"/>
        <v>0</v>
      </c>
      <c r="L127" s="144">
        <f t="shared" si="25"/>
        <v>0</v>
      </c>
      <c r="M127" s="147">
        <f t="shared" si="40"/>
        <v>0</v>
      </c>
      <c r="N127" s="246">
        <f t="shared" si="41"/>
        <v>0</v>
      </c>
      <c r="O127" s="246">
        <f t="shared" si="42"/>
        <v>0</v>
      </c>
      <c r="P127" s="246">
        <f t="shared" si="43"/>
        <v>0</v>
      </c>
      <c r="Q127" s="246">
        <f t="shared" si="44"/>
        <v>0</v>
      </c>
      <c r="R127" s="246">
        <f t="shared" si="45"/>
        <v>0</v>
      </c>
      <c r="S127" s="145">
        <f t="shared" si="46"/>
        <v>0</v>
      </c>
      <c r="T127" s="147">
        <f t="shared" si="47"/>
        <v>0</v>
      </c>
      <c r="U127" s="802">
        <f t="shared" si="48"/>
        <v>0</v>
      </c>
      <c r="V127" s="147">
        <f t="shared" si="49"/>
        <v>0</v>
      </c>
      <c r="W127" s="832">
        <f t="shared" si="50"/>
        <v>0</v>
      </c>
    </row>
    <row r="128" spans="1:23">
      <c r="A128" s="777">
        <f>'CG. MPB'!A129</f>
        <v>49</v>
      </c>
      <c r="B128" s="801">
        <v>15</v>
      </c>
      <c r="C128" s="246">
        <f>IF('CG. MPB'!E129="CONCRETO",'RMCV.PB'!B128,0)</f>
        <v>0</v>
      </c>
      <c r="D128" s="135">
        <f>IF(C128=0,0,'CG. MPB'!C129*100)</f>
        <v>0</v>
      </c>
      <c r="E128" s="135">
        <f>IF(C128=0,0,'RMCV.PB'!C128)</f>
        <v>0</v>
      </c>
      <c r="F128" s="135">
        <f t="shared" si="36"/>
        <v>0</v>
      </c>
      <c r="G128" s="246">
        <f>IF(C128=0,0,'RMCS.PB'!L128)</f>
        <v>0</v>
      </c>
      <c r="H128" s="246">
        <f>IF(C128=0,0,'CASTILLOS-PB'!K128)</f>
        <v>0</v>
      </c>
      <c r="I128" s="144">
        <f t="shared" si="37"/>
        <v>0</v>
      </c>
      <c r="J128" s="144">
        <f t="shared" si="38"/>
        <v>0</v>
      </c>
      <c r="K128" s="149">
        <f t="shared" si="39"/>
        <v>0</v>
      </c>
      <c r="L128" s="144">
        <f t="shared" si="25"/>
        <v>0</v>
      </c>
      <c r="M128" s="147">
        <f t="shared" si="40"/>
        <v>0</v>
      </c>
      <c r="N128" s="246">
        <f t="shared" si="41"/>
        <v>0</v>
      </c>
      <c r="O128" s="246">
        <f t="shared" si="42"/>
        <v>0</v>
      </c>
      <c r="P128" s="246">
        <f t="shared" si="43"/>
        <v>0</v>
      </c>
      <c r="Q128" s="246">
        <f t="shared" si="44"/>
        <v>0</v>
      </c>
      <c r="R128" s="246">
        <f t="shared" si="45"/>
        <v>0</v>
      </c>
      <c r="S128" s="145">
        <f t="shared" si="46"/>
        <v>0</v>
      </c>
      <c r="T128" s="147">
        <f t="shared" si="47"/>
        <v>0</v>
      </c>
      <c r="U128" s="802">
        <f t="shared" si="48"/>
        <v>0</v>
      </c>
      <c r="V128" s="147">
        <f t="shared" si="49"/>
        <v>0</v>
      </c>
      <c r="W128" s="832">
        <f t="shared" si="50"/>
        <v>0</v>
      </c>
    </row>
    <row r="129" spans="1:23" ht="15.75" thickBot="1">
      <c r="A129" s="835">
        <f>'CG. MPB'!A130</f>
        <v>50</v>
      </c>
      <c r="B129" s="836">
        <v>15</v>
      </c>
      <c r="C129" s="837">
        <f>IF('CG. MPB'!E130="CONCRETO",'RMCV.PB'!B129,0)</f>
        <v>0</v>
      </c>
      <c r="D129" s="786">
        <f>IF(C129=0,0,'CG. MPB'!C130*100)</f>
        <v>0</v>
      </c>
      <c r="E129" s="786">
        <f>IF(C129=0,0,'RMCV.PB'!C129)</f>
        <v>0</v>
      </c>
      <c r="F129" s="786">
        <f t="shared" si="36"/>
        <v>0</v>
      </c>
      <c r="G129" s="837">
        <f>IF(C129=0,0,'RMCS.PB'!L129)</f>
        <v>0</v>
      </c>
      <c r="H129" s="837">
        <f>IF(C129=0,0,'CASTILLOS-PB'!K129)</f>
        <v>0</v>
      </c>
      <c r="I129" s="838">
        <f t="shared" si="37"/>
        <v>0</v>
      </c>
      <c r="J129" s="838">
        <f t="shared" si="38"/>
        <v>0</v>
      </c>
      <c r="K129" s="839">
        <f t="shared" si="39"/>
        <v>0</v>
      </c>
      <c r="L129" s="838">
        <f t="shared" si="25"/>
        <v>0</v>
      </c>
      <c r="M129" s="840">
        <f t="shared" si="40"/>
        <v>0</v>
      </c>
      <c r="N129" s="837">
        <f t="shared" si="41"/>
        <v>0</v>
      </c>
      <c r="O129" s="837">
        <f t="shared" si="42"/>
        <v>0</v>
      </c>
      <c r="P129" s="837">
        <f t="shared" si="43"/>
        <v>0</v>
      </c>
      <c r="Q129" s="837">
        <f t="shared" si="44"/>
        <v>0</v>
      </c>
      <c r="R129" s="837">
        <f t="shared" si="45"/>
        <v>0</v>
      </c>
      <c r="S129" s="841">
        <f t="shared" si="46"/>
        <v>0</v>
      </c>
      <c r="T129" s="840">
        <f t="shared" si="47"/>
        <v>0</v>
      </c>
      <c r="U129" s="842">
        <f t="shared" si="48"/>
        <v>0</v>
      </c>
      <c r="V129" s="840">
        <f t="shared" si="49"/>
        <v>0</v>
      </c>
      <c r="W129" s="843">
        <f t="shared" si="50"/>
        <v>0</v>
      </c>
    </row>
  </sheetData>
  <mergeCells count="5">
    <mergeCell ref="T20:U20"/>
    <mergeCell ref="V20:W20"/>
    <mergeCell ref="J20:M20"/>
    <mergeCell ref="A14:H14"/>
    <mergeCell ref="C21:C22"/>
  </mergeCells>
  <phoneticPr fontId="0" type="noConversion"/>
  <conditionalFormatting sqref="S1:S1048576">
    <cfRule type="containsText" dxfId="5" priority="2" operator="containsText" text="MAL">
      <formula>NOT(ISERROR(SEARCH("MAL",S1)))</formula>
    </cfRule>
    <cfRule type="containsText" dxfId="4" priority="3" operator="containsText" text="BIEN">
      <formula>NOT(ISERROR(SEARCH("BIEN",S1)))</formula>
    </cfRule>
  </conditionalFormatting>
  <conditionalFormatting sqref="N1:N1048576">
    <cfRule type="containsText" dxfId="3" priority="1" operator="containsText" text="MAL">
      <formula>NOT(ISERROR(SEARCH("MAL",N1)))</formula>
    </cfRule>
  </conditionalFormatting>
  <pageMargins left="0.59055118110236227" right="0.39370078740157483" top="0.39370078740157483" bottom="0.39370078740157483" header="0" footer="0"/>
  <pageSetup scale="52" orientation="portrait" horizontalDpi="300" verticalDpi="300" r:id="rId1"/>
  <headerFooter alignWithMargins="0">
    <oddFooter>&amp;L&amp;"Arial,Normal"TEL (FAX) 01 951 51 4 28 30&amp;C_________________________________________________________________________________________________________________________________________________________________________
.&amp;R&amp;"Arial,Normal"CED. PROF. 1718634</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837A-3D1A-4521-A63C-B9FE558F37AA}">
  <sheetPr codeName="Hoja12">
    <tabColor rgb="FF92D050"/>
  </sheetPr>
  <dimension ref="A1:AA129"/>
  <sheetViews>
    <sheetView zoomScale="85" zoomScaleNormal="85" workbookViewId="0">
      <selection activeCell="AF100" sqref="AF100"/>
    </sheetView>
  </sheetViews>
  <sheetFormatPr baseColWidth="10" defaultColWidth="11" defaultRowHeight="15"/>
  <cols>
    <col min="1" max="1" width="7" style="593" customWidth="1"/>
    <col min="2" max="2" width="6.875" style="593" customWidth="1"/>
    <col min="3" max="3" width="7.625" style="593" customWidth="1"/>
    <col min="4" max="4" width="6.5" style="593" customWidth="1"/>
    <col min="5" max="5" width="5.75" style="593" customWidth="1"/>
    <col min="6" max="6" width="7.625" style="593" customWidth="1"/>
    <col min="7" max="7" width="8.625" style="593" bestFit="1" customWidth="1"/>
    <col min="8" max="8" width="10.5" style="593" bestFit="1" customWidth="1"/>
    <col min="9" max="9" width="6.5" style="593" customWidth="1"/>
    <col min="10" max="10" width="7.75" style="594" customWidth="1"/>
    <col min="11" max="11" width="10.125" style="595" customWidth="1"/>
    <col min="12" max="12" width="10.5" style="594" customWidth="1"/>
    <col min="13" max="13" width="8.875" style="596" customWidth="1"/>
    <col min="14" max="14" width="13.25" style="594" bestFit="1" customWidth="1"/>
    <col min="15" max="15" width="8.5" style="594" customWidth="1"/>
    <col min="16" max="16" width="9.625" style="594" hidden="1" customWidth="1"/>
    <col min="17" max="18" width="10.125" style="594" hidden="1" customWidth="1"/>
    <col min="19" max="19" width="13.25" style="593" bestFit="1" customWidth="1"/>
    <col min="20" max="20" width="9.125" style="593" customWidth="1"/>
    <col min="21" max="21" width="8" style="593" customWidth="1"/>
    <col min="22" max="22" width="8.375" style="593" customWidth="1"/>
    <col min="23" max="23" width="7.5" style="593" customWidth="1"/>
    <col min="24" max="26" width="0" style="593" hidden="1" customWidth="1"/>
    <col min="27" max="16384" width="11" style="593"/>
  </cols>
  <sheetData>
    <row r="1" spans="1:23" s="591" customFormat="1" ht="12.75">
      <c r="A1" s="590"/>
      <c r="B1" s="590"/>
      <c r="C1" s="590"/>
      <c r="D1" s="590"/>
      <c r="E1" s="590"/>
      <c r="F1" s="590"/>
      <c r="G1" s="590"/>
      <c r="H1" s="590"/>
      <c r="I1" s="590"/>
      <c r="J1" s="590"/>
      <c r="K1" s="590"/>
    </row>
    <row r="2" spans="1:23" s="591" customFormat="1" ht="12.75">
      <c r="A2" s="590"/>
      <c r="B2" s="590"/>
      <c r="C2" s="590"/>
      <c r="D2" s="590"/>
      <c r="E2" s="590"/>
      <c r="F2" s="590"/>
      <c r="G2" s="590"/>
      <c r="H2" s="590"/>
      <c r="I2" s="590"/>
      <c r="J2" s="590"/>
      <c r="K2" s="590"/>
    </row>
    <row r="3" spans="1:23" s="591" customFormat="1" ht="12.75">
      <c r="A3" s="590"/>
      <c r="B3" s="590"/>
      <c r="C3" s="590"/>
      <c r="D3" s="590"/>
      <c r="E3" s="590"/>
      <c r="F3" s="590"/>
      <c r="G3" s="590"/>
      <c r="H3" s="590"/>
      <c r="I3" s="590"/>
      <c r="J3" s="590"/>
      <c r="K3" s="590"/>
    </row>
    <row r="4" spans="1:23" s="591" customFormat="1" ht="12.75">
      <c r="A4" s="590"/>
      <c r="B4" s="590"/>
      <c r="C4" s="590"/>
      <c r="D4" s="590"/>
      <c r="E4" s="590"/>
      <c r="F4" s="590"/>
      <c r="G4" s="590"/>
      <c r="H4" s="590"/>
      <c r="I4" s="590"/>
      <c r="J4" s="590"/>
      <c r="K4" s="590"/>
    </row>
    <row r="5" spans="1:23" s="591" customFormat="1" ht="12.75">
      <c r="A5" s="590"/>
      <c r="B5" s="590"/>
      <c r="C5" s="590"/>
      <c r="D5" s="590"/>
      <c r="E5" s="590"/>
      <c r="F5" s="590"/>
      <c r="G5" s="590"/>
      <c r="H5" s="590"/>
      <c r="I5" s="590"/>
      <c r="J5" s="590"/>
      <c r="K5" s="590"/>
    </row>
    <row r="6" spans="1:23" s="591" customFormat="1" ht="12.75">
      <c r="A6" s="590"/>
      <c r="B6" s="590"/>
      <c r="C6" s="590"/>
      <c r="D6" s="590"/>
      <c r="E6" s="590"/>
      <c r="F6" s="590"/>
      <c r="G6" s="590"/>
      <c r="H6" s="590"/>
      <c r="I6" s="590"/>
      <c r="J6" s="590"/>
      <c r="K6" s="590"/>
    </row>
    <row r="7" spans="1:23">
      <c r="A7" s="592" t="str">
        <f>'CG. MPB'!A7</f>
        <v>PROPIETARIO   : ING. ROLANDO ORTIZ RAMOS</v>
      </c>
    </row>
    <row r="8" spans="1:23">
      <c r="A8" s="592" t="str">
        <f>'CG. MPB'!A8</f>
        <v xml:space="preserve">OBRA                   : </v>
      </c>
    </row>
    <row r="9" spans="1:23">
      <c r="A9" s="592" t="str">
        <f>'CG. MPB'!A9</f>
        <v>LOCALIZACION : 1ª PRIVADA 13 DE SEPTIEMBRE, COL. VICENTE SUAREZ</v>
      </c>
    </row>
    <row r="10" spans="1:23" hidden="1">
      <c r="A10" s="592">
        <f>'CG. MPB'!A10</f>
        <v>0</v>
      </c>
    </row>
    <row r="11" spans="1:23" hidden="1">
      <c r="A11" s="592" t="str">
        <f>'CG. MPB'!A11</f>
        <v>TABLA No. 1</v>
      </c>
    </row>
    <row r="12" spans="1:23" ht="15.75" thickBot="1">
      <c r="A12" s="593" t="s">
        <v>0</v>
      </c>
    </row>
    <row r="13" spans="1:23" ht="18.75">
      <c r="A13" s="714"/>
      <c r="B13" s="715"/>
      <c r="C13" s="715"/>
      <c r="D13" s="715"/>
      <c r="E13" s="715"/>
      <c r="F13" s="715"/>
      <c r="G13" s="715"/>
      <c r="H13" s="715"/>
      <c r="I13" s="715" t="s">
        <v>1</v>
      </c>
      <c r="J13" s="716">
        <v>250</v>
      </c>
      <c r="K13" s="717" t="s">
        <v>194</v>
      </c>
      <c r="L13" s="718"/>
      <c r="M13" s="719"/>
      <c r="N13" s="715"/>
      <c r="O13" s="720"/>
      <c r="P13" s="720"/>
      <c r="Q13" s="720"/>
      <c r="R13" s="720"/>
      <c r="S13" s="721"/>
      <c r="T13" s="721"/>
      <c r="U13" s="722"/>
      <c r="V13" s="722"/>
      <c r="W13" s="723"/>
    </row>
    <row r="14" spans="1:23" ht="18.75">
      <c r="A14" s="833" t="s">
        <v>453</v>
      </c>
      <c r="B14" s="597"/>
      <c r="C14" s="597"/>
      <c r="D14" s="597"/>
      <c r="E14" s="597"/>
      <c r="F14" s="597"/>
      <c r="G14" s="597"/>
      <c r="H14" s="597"/>
      <c r="I14" s="597" t="s">
        <v>216</v>
      </c>
      <c r="J14" s="598">
        <f>0.8*J13</f>
        <v>200</v>
      </c>
      <c r="K14" s="599" t="s">
        <v>194</v>
      </c>
      <c r="L14" s="600"/>
      <c r="M14" s="724"/>
      <c r="N14" s="613"/>
      <c r="O14" s="613"/>
      <c r="P14" s="613"/>
      <c r="Q14" s="613"/>
      <c r="R14" s="613"/>
      <c r="S14" s="609"/>
      <c r="T14" s="609"/>
      <c r="W14" s="725"/>
    </row>
    <row r="15" spans="1:23" ht="21" thickBot="1">
      <c r="A15" s="726"/>
      <c r="B15" s="601"/>
      <c r="C15" s="601"/>
      <c r="D15" s="601"/>
      <c r="E15" s="601"/>
      <c r="F15" s="601"/>
      <c r="G15" s="601"/>
      <c r="H15" s="601"/>
      <c r="I15" s="601" t="s">
        <v>217</v>
      </c>
      <c r="J15" s="602">
        <v>4200</v>
      </c>
      <c r="K15" s="603" t="s">
        <v>194</v>
      </c>
      <c r="L15" s="600"/>
      <c r="M15" s="724"/>
      <c r="N15" s="613"/>
      <c r="O15" s="613"/>
      <c r="P15" s="613"/>
      <c r="Q15" s="613"/>
      <c r="R15" s="613"/>
      <c r="S15" s="609"/>
      <c r="T15" s="609"/>
      <c r="W15" s="725"/>
    </row>
    <row r="16" spans="1:23" ht="16.5" hidden="1" thickTop="1">
      <c r="A16" s="727"/>
      <c r="B16" s="597"/>
      <c r="C16" s="597"/>
      <c r="D16" s="597"/>
      <c r="E16" s="597"/>
      <c r="F16" s="597"/>
      <c r="G16" s="597"/>
      <c r="H16" s="597"/>
      <c r="I16" s="597"/>
      <c r="J16" s="604"/>
      <c r="K16" s="599"/>
      <c r="L16" s="613"/>
      <c r="M16" s="724"/>
      <c r="N16" s="613"/>
      <c r="O16" s="613"/>
      <c r="P16" s="613"/>
      <c r="Q16" s="613"/>
      <c r="R16" s="613"/>
      <c r="S16" s="609"/>
      <c r="T16" s="609"/>
      <c r="W16" s="725"/>
    </row>
    <row r="17" spans="1:27" ht="15.75" hidden="1">
      <c r="A17" s="727"/>
      <c r="B17" s="597"/>
      <c r="C17" s="597"/>
      <c r="D17" s="597"/>
      <c r="E17" s="597"/>
      <c r="F17" s="597"/>
      <c r="G17" s="597"/>
      <c r="H17" s="597"/>
      <c r="I17" s="597"/>
      <c r="J17" s="604"/>
      <c r="K17" s="599"/>
      <c r="L17" s="613"/>
      <c r="M17" s="724"/>
      <c r="N17" s="613"/>
      <c r="O17" s="613"/>
      <c r="P17" s="613"/>
      <c r="Q17" s="613"/>
      <c r="R17" s="613"/>
      <c r="S17" s="609"/>
      <c r="T17" s="609"/>
      <c r="W17" s="725"/>
    </row>
    <row r="18" spans="1:27" ht="15.75" hidden="1">
      <c r="A18" s="727"/>
      <c r="B18" s="597"/>
      <c r="C18" s="597"/>
      <c r="D18" s="597"/>
      <c r="E18" s="597"/>
      <c r="F18" s="597"/>
      <c r="G18" s="597"/>
      <c r="H18" s="597"/>
      <c r="I18" s="597"/>
      <c r="J18" s="604"/>
      <c r="K18" s="599"/>
      <c r="L18" s="613"/>
      <c r="M18" s="724"/>
      <c r="N18" s="613"/>
      <c r="O18" s="613"/>
      <c r="P18" s="613"/>
      <c r="Q18" s="613"/>
      <c r="R18" s="613"/>
      <c r="S18" s="609"/>
      <c r="T18" s="609"/>
      <c r="W18" s="725"/>
    </row>
    <row r="19" spans="1:27" ht="15.75" hidden="1">
      <c r="A19" s="728" t="s">
        <v>91</v>
      </c>
      <c r="B19" s="605" t="s">
        <v>92</v>
      </c>
      <c r="C19" s="605" t="s">
        <v>93</v>
      </c>
      <c r="D19" s="605" t="s">
        <v>94</v>
      </c>
      <c r="E19" s="605" t="s">
        <v>95</v>
      </c>
      <c r="F19" s="605" t="s">
        <v>96</v>
      </c>
      <c r="G19" s="605" t="s">
        <v>97</v>
      </c>
      <c r="H19" s="605" t="s">
        <v>98</v>
      </c>
      <c r="I19" s="605" t="s">
        <v>99</v>
      </c>
      <c r="J19" s="605" t="s">
        <v>100</v>
      </c>
      <c r="K19" s="605" t="s">
        <v>101</v>
      </c>
      <c r="L19" s="605" t="s">
        <v>102</v>
      </c>
      <c r="M19" s="606" t="s">
        <v>103</v>
      </c>
      <c r="N19" s="606" t="s">
        <v>104</v>
      </c>
      <c r="O19" s="606" t="s">
        <v>105</v>
      </c>
      <c r="P19" s="606"/>
      <c r="Q19" s="606"/>
      <c r="R19" s="606"/>
      <c r="S19" s="605" t="s">
        <v>106</v>
      </c>
      <c r="T19" s="605" t="s">
        <v>107</v>
      </c>
      <c r="U19" s="605" t="s">
        <v>168</v>
      </c>
      <c r="V19" s="605" t="s">
        <v>169</v>
      </c>
      <c r="W19" s="729" t="s">
        <v>170</v>
      </c>
    </row>
    <row r="20" spans="1:27" ht="15.75" hidden="1" thickBot="1">
      <c r="A20" s="730"/>
      <c r="W20" s="725"/>
    </row>
    <row r="21" spans="1:27" ht="16.5" thickTop="1">
      <c r="A21" s="803"/>
      <c r="B21" s="804" t="s">
        <v>258</v>
      </c>
      <c r="C21" s="722"/>
      <c r="D21" s="804"/>
      <c r="E21" s="722"/>
      <c r="F21" s="804"/>
      <c r="G21" s="722"/>
      <c r="H21" s="804"/>
      <c r="I21" s="722"/>
      <c r="J21" s="1167" t="s">
        <v>2</v>
      </c>
      <c r="K21" s="1168"/>
      <c r="L21" s="1168"/>
      <c r="M21" s="1169"/>
      <c r="N21" s="805" t="s">
        <v>257</v>
      </c>
      <c r="O21" s="806"/>
      <c r="P21" s="807" t="s">
        <v>3</v>
      </c>
      <c r="Q21" s="807"/>
      <c r="R21" s="808"/>
      <c r="S21" s="809"/>
      <c r="T21" s="810" t="s">
        <v>219</v>
      </c>
      <c r="U21" s="811"/>
      <c r="V21" s="812" t="s">
        <v>218</v>
      </c>
      <c r="W21" s="813"/>
    </row>
    <row r="22" spans="1:27">
      <c r="A22" s="731" t="s">
        <v>4</v>
      </c>
      <c r="B22" s="608" t="s">
        <v>221</v>
      </c>
      <c r="C22" s="609" t="s">
        <v>109</v>
      </c>
      <c r="D22" s="608" t="s">
        <v>46</v>
      </c>
      <c r="E22" s="609" t="s">
        <v>110</v>
      </c>
      <c r="F22" s="608" t="s">
        <v>253</v>
      </c>
      <c r="G22" s="609" t="s">
        <v>7</v>
      </c>
      <c r="H22" s="610" t="s">
        <v>8</v>
      </c>
      <c r="I22" s="595" t="s">
        <v>12</v>
      </c>
      <c r="J22" s="611" t="s">
        <v>9</v>
      </c>
      <c r="K22" s="612" t="s">
        <v>10</v>
      </c>
      <c r="L22" s="613" t="s">
        <v>220</v>
      </c>
      <c r="M22" s="614" t="s">
        <v>11</v>
      </c>
      <c r="N22" s="613" t="s">
        <v>227</v>
      </c>
      <c r="O22" s="612" t="s">
        <v>13</v>
      </c>
      <c r="P22" s="615" t="s">
        <v>14</v>
      </c>
      <c r="Q22" s="615" t="s">
        <v>15</v>
      </c>
      <c r="R22" s="615" t="s">
        <v>16</v>
      </c>
      <c r="S22" s="616" t="s">
        <v>223</v>
      </c>
      <c r="T22" s="617" t="s">
        <v>17</v>
      </c>
      <c r="U22" s="616" t="s">
        <v>18</v>
      </c>
      <c r="V22" s="618" t="s">
        <v>19</v>
      </c>
      <c r="W22" s="732" t="s">
        <v>18</v>
      </c>
    </row>
    <row r="23" spans="1:27" ht="15.75">
      <c r="A23" s="733"/>
      <c r="B23" s="619"/>
      <c r="C23" s="620"/>
      <c r="D23" s="619"/>
      <c r="E23" s="620"/>
      <c r="F23" s="619"/>
      <c r="G23" s="620"/>
      <c r="H23" s="619"/>
      <c r="I23" s="620"/>
      <c r="J23" s="621"/>
      <c r="K23" s="622"/>
      <c r="L23" s="623">
        <v>1.27</v>
      </c>
      <c r="M23" s="624"/>
      <c r="N23" s="625"/>
      <c r="O23" s="626"/>
      <c r="P23" s="627" t="s">
        <v>20</v>
      </c>
      <c r="Q23" s="627" t="s">
        <v>21</v>
      </c>
      <c r="R23" s="627" t="s">
        <v>22</v>
      </c>
      <c r="S23" s="628"/>
      <c r="T23" s="629"/>
      <c r="U23" s="630">
        <v>0.71</v>
      </c>
      <c r="V23" s="631"/>
      <c r="W23" s="734">
        <v>0.71</v>
      </c>
    </row>
    <row r="24" spans="1:27" ht="15.75" hidden="1">
      <c r="A24" s="735"/>
      <c r="B24" s="608"/>
      <c r="C24" s="609"/>
      <c r="D24" s="608"/>
      <c r="E24" s="609"/>
      <c r="F24" s="608"/>
      <c r="G24" s="609"/>
      <c r="H24" s="608"/>
      <c r="I24" s="609"/>
      <c r="J24" s="611"/>
      <c r="L24" s="632"/>
      <c r="P24" s="615"/>
      <c r="Q24" s="615"/>
      <c r="R24" s="615"/>
      <c r="S24" s="610"/>
      <c r="U24" s="633"/>
      <c r="W24" s="736"/>
    </row>
    <row r="25" spans="1:27" ht="15.75" hidden="1">
      <c r="A25" s="735"/>
      <c r="B25" s="608"/>
      <c r="C25" s="609"/>
      <c r="D25" s="608"/>
      <c r="E25" s="609"/>
      <c r="F25" s="608"/>
      <c r="G25" s="609"/>
      <c r="H25" s="608"/>
      <c r="I25" s="609"/>
      <c r="J25" s="611"/>
      <c r="L25" s="632"/>
      <c r="P25" s="615"/>
      <c r="Q25" s="615"/>
      <c r="R25" s="615"/>
      <c r="S25" s="610"/>
      <c r="U25" s="633"/>
      <c r="W25" s="736"/>
    </row>
    <row r="26" spans="1:27" ht="15.75" hidden="1">
      <c r="A26" s="735"/>
      <c r="B26" s="608"/>
      <c r="C26" s="609"/>
      <c r="D26" s="608"/>
      <c r="E26" s="609"/>
      <c r="F26" s="608"/>
      <c r="G26" s="609"/>
      <c r="H26" s="608"/>
      <c r="I26" s="609"/>
      <c r="J26" s="611"/>
      <c r="L26" s="632"/>
      <c r="P26" s="615"/>
      <c r="Q26" s="615"/>
      <c r="R26" s="615"/>
      <c r="S26" s="610"/>
      <c r="U26" s="633"/>
      <c r="W26" s="736"/>
    </row>
    <row r="27" spans="1:27" ht="15.75" hidden="1">
      <c r="A27" s="735"/>
      <c r="B27" s="608"/>
      <c r="C27" s="609"/>
      <c r="D27" s="608"/>
      <c r="E27" s="609"/>
      <c r="F27" s="608"/>
      <c r="G27" s="609"/>
      <c r="H27" s="608"/>
      <c r="I27" s="609"/>
      <c r="J27" s="611"/>
      <c r="L27" s="632"/>
      <c r="P27" s="615"/>
      <c r="Q27" s="615"/>
      <c r="R27" s="615"/>
      <c r="S27" s="610"/>
      <c r="U27" s="633"/>
      <c r="W27" s="736"/>
    </row>
    <row r="28" spans="1:27" ht="14.45" customHeight="1" thickBot="1">
      <c r="A28" s="737" t="s">
        <v>87</v>
      </c>
      <c r="B28" s="634"/>
      <c r="C28" s="635"/>
      <c r="D28" s="634"/>
      <c r="E28" s="635"/>
      <c r="F28" s="634"/>
      <c r="G28" s="635"/>
      <c r="H28" s="634"/>
      <c r="I28" s="635"/>
      <c r="J28" s="636"/>
      <c r="K28" s="637"/>
      <c r="L28" s="638"/>
      <c r="M28" s="639"/>
      <c r="N28" s="640"/>
      <c r="O28" s="641"/>
      <c r="P28" s="641"/>
      <c r="Q28" s="641"/>
      <c r="R28" s="641"/>
      <c r="S28" s="616"/>
      <c r="T28" s="607"/>
      <c r="U28" s="642"/>
      <c r="V28" s="607"/>
      <c r="W28" s="738"/>
    </row>
    <row r="29" spans="1:27" hidden="1">
      <c r="A29" s="735">
        <f>'CG. MPA'!A29</f>
        <v>1</v>
      </c>
      <c r="B29" s="798">
        <v>30</v>
      </c>
      <c r="C29" s="643">
        <f>IF('CG. MPA'!E29="CONCRETO",'RMCV.PA'!B29,0)</f>
        <v>0</v>
      </c>
      <c r="D29" s="593">
        <f>IF(C29=0,0,'CG. MPA'!C29*100)</f>
        <v>0</v>
      </c>
      <c r="E29" s="593">
        <f>IF(D29=0,0,'RMCV.PA'!C29)</f>
        <v>0</v>
      </c>
      <c r="F29" s="593">
        <f>IF(C29=0,0,C29-B29)</f>
        <v>0</v>
      </c>
      <c r="G29" s="643">
        <f>IF(C29=0,0,'RMCS.PA'!M28)</f>
        <v>0</v>
      </c>
      <c r="H29" s="643">
        <f>IF(C29=0,0,'CASTILLOS-PA'!K29)</f>
        <v>0</v>
      </c>
      <c r="I29" s="594">
        <f>IF(C29=0,0,D29/C29)</f>
        <v>0</v>
      </c>
      <c r="J29" s="594">
        <f t="shared" ref="J29" si="0">IF(C29=0,0,IF(D29/C29&gt;=1,0.8*C29,IF(D29/C29&lt;=0.5,1.2*D29,0.4*(1+D29/C29)*C29)))</f>
        <v>0</v>
      </c>
      <c r="K29" s="595">
        <f>IF(C29=0,0,M29*E29*F29)</f>
        <v>0</v>
      </c>
      <c r="L29" s="594">
        <f>(K29/$L$23)</f>
        <v>0</v>
      </c>
      <c r="M29" s="596">
        <f>IF(C29=0,0,IF((H29/(0.85*$J$15*J29))/(F29*E29)&lt;0.015,IF(0.7*$J$13^0.5/$J$15&gt;(H29/(0.85*$J$15*J29))/(F29*E29),0.7*$J$13^0.5/$J$15,(H29/(0.85*$J$15*J29))/(F29*E29)),"MAL"))</f>
        <v>0</v>
      </c>
      <c r="N29" s="643">
        <f>IF(C29=0,0,IF(G29&lt;1.6*F29*E29*$J$14^0.5,1.6*F29*E29*$J$14^0.5,"MAL"))</f>
        <v>0</v>
      </c>
      <c r="O29" s="643">
        <f>IF(I29&lt;1.5,0.68*E29*F29*$J$14^0.5,IF(I29&gt;=2,IF(M29&lt;0.015,0.8*E29*F29*(0.2+20*M29)*$J$14^0.5,0.4*E29*F29*$J$14^0.5),R29))</f>
        <v>0</v>
      </c>
      <c r="P29" s="644">
        <f>IF(C29=0,0,IF(I29=0,0,0.68*E29*F29*($J$14)^0.5))</f>
        <v>0</v>
      </c>
      <c r="Q29" s="643">
        <f>IF(C29=0,0,IF(I29=0,0,0.8*F29*E29*(0.2+20*M29)*($J$14)^0.5))</f>
        <v>0</v>
      </c>
      <c r="R29" s="644">
        <f>IF(C29=0,0,IF(I29&lt;1.5,0,IF(I29&gt;2,0,Q29+(P29-Q29)*(2-I29)/0.5)))</f>
        <v>0</v>
      </c>
      <c r="S29" s="799">
        <f>IF(C29=0,0,IF(AND(N29&gt;G29,N29&gt;O29),"BIEN","MAL"))</f>
        <v>0</v>
      </c>
      <c r="T29" s="596">
        <f>IF(C29=0,0,IF(O29&gt;G29,0.0025,IF((G29-O29)/(0.8*$J$15*E29*F29)&gt;0.0025,(G29-O29)/(0.8*$J$15*E29*F29),0.0025)))</f>
        <v>0</v>
      </c>
      <c r="U29" s="800">
        <f>IF(C29=0,0,IF($U$23/(T29*E29)&gt;35,35,$U$23/(T29*E29)))</f>
        <v>0</v>
      </c>
      <c r="V29" s="596">
        <f>IF(C29=0,0,IF(D29/C29&lt;=2,T29,IF((0.0025+0.5*(2.5-D29/C29)*(T29-0.0025))&gt;0.0025,(0.0025+0.5*(2.5-D29/C29)*(T29-0.0025)),0.0025)))</f>
        <v>0</v>
      </c>
      <c r="W29" s="814">
        <f t="shared" ref="W29" si="1">IF(C29=0,0,IF($W$23/(V29*E29)&gt;35,35,$W$23/(V29*E29)))</f>
        <v>0</v>
      </c>
      <c r="X29" s="593">
        <f t="shared" ref="X29:X111" si="2">1.6*F29*E29*$J$14^0.5</f>
        <v>0</v>
      </c>
      <c r="AA29" s="593">
        <f>EVEN(L29)</f>
        <v>0</v>
      </c>
    </row>
    <row r="30" spans="1:27" hidden="1">
      <c r="A30" s="735">
        <f>'CG. MPA'!A30</f>
        <v>2</v>
      </c>
      <c r="B30" s="798">
        <v>15</v>
      </c>
      <c r="C30" s="643">
        <f>IF('CG. MPA'!E30="CONCRETO",'RMCV.PA'!B30,0)</f>
        <v>119.99999999999993</v>
      </c>
      <c r="D30" s="593">
        <f>IF(C30=0,0,'CG. MPA'!C30*100)</f>
        <v>280</v>
      </c>
      <c r="E30" s="593">
        <f>IF(D30=0,0,'RMCV.PA'!C30)</f>
        <v>15</v>
      </c>
      <c r="F30" s="593">
        <f t="shared" ref="F30:F78" si="3">IF(C30=0,0,C30-B30)</f>
        <v>104.99999999999993</v>
      </c>
      <c r="G30" s="643">
        <f>IF(C30=0,0,'RMCS.PA'!M29)</f>
        <v>17038.037517748609</v>
      </c>
      <c r="H30" s="643">
        <f>IF(C30=0,0,'CASTILLOS-PA'!K30)</f>
        <v>2606270.8584905076</v>
      </c>
      <c r="I30" s="594">
        <f t="shared" ref="I30:I78" si="4">IF(C30=0,0,D30/C30)</f>
        <v>2.3333333333333348</v>
      </c>
      <c r="J30" s="594">
        <f t="shared" ref="J30:J78" si="5">IF(C30=0,0,IF(D30/C30&gt;=1,0.8*C30,IF(D30/C30&lt;=0.5,1.2*D30,0.4*(1+D30/C30)*C30)))</f>
        <v>95.999999999999943</v>
      </c>
      <c r="K30" s="595">
        <f t="shared" ref="K30:K78" si="6">IF(C30=0,0,M30*E30*F30)</f>
        <v>7.6046652033453235</v>
      </c>
      <c r="L30" s="594">
        <f t="shared" ref="L30:L78" si="7">(K30/$L$23)</f>
        <v>5.9879253569648219</v>
      </c>
      <c r="M30" s="596">
        <f t="shared" ref="M30:M78" si="8">IF(C30=0,0,IF((H30/(0.85*$J$15*J30))/(F30*E30)&lt;0.015,IF(0.7*$J$13^0.5/$J$15&gt;(H30/(0.85*$J$15*J30))/(F30*E30),0.7*$J$13^0.5/$J$15,(H30/(0.85*$J$15*J30))/(F30*E30)),"MAL"))</f>
        <v>4.8283588592668751E-3</v>
      </c>
      <c r="N30" s="643">
        <f t="shared" ref="N30:N78" si="9">IF(C30=0,0,IF(G30&lt;1.6*F30*E30*$J$14^0.5,1.6*F30*E30*$J$14^0.5,"MAL"))</f>
        <v>35638.181771801974</v>
      </c>
      <c r="O30" s="643">
        <f t="shared" ref="O30:O78" si="10">IF(I30&lt;1.5,0.68*E30*F30*$J$14^0.5,IF(I30&gt;=2,IF(M30&lt;0.015,0.8*E30*F30*(0.2+20*M30)*$J$14^0.5,0.4*E30*F30*$J$14^0.5),R30))</f>
        <v>5284.5574840406307</v>
      </c>
      <c r="P30" s="644">
        <f t="shared" ref="P30:P78" si="11">IF(C30=0,0,IF(I30=0,0,0.68*E30*F30*($J$14)^0.5))</f>
        <v>15146.227253015839</v>
      </c>
      <c r="Q30" s="643">
        <f t="shared" ref="Q30:Q78" si="12">IF(C30=0,0,IF(I30=0,0,0.8*F30*E30*(0.2+20*M30)*($J$14)^0.5))</f>
        <v>5284.5574840406307</v>
      </c>
      <c r="R30" s="644">
        <f t="shared" ref="R30:R78" si="13">IF(C30=0,0,IF(I30&lt;1.5,0,IF(I30&gt;2,0,Q30+(P30-Q30)*(2-I30)/0.5)))</f>
        <v>0</v>
      </c>
      <c r="S30" s="799" t="str">
        <f t="shared" ref="S30:S78" si="14">IF(C30=0,0,IF(AND(N30&gt;G30,N30&gt;O30),"BIEN","MAL"))</f>
        <v>BIEN</v>
      </c>
      <c r="T30" s="596">
        <f t="shared" ref="T30:T78" si="15">IF(C30=0,0,IF(O30&gt;G30,0.0025,IF((G30-O30)/(0.8*$J$15*E30*F30)&gt;0.0025,(G30-O30)/(0.8*$J$15*E30*F30),0.0025)))</f>
        <v>2.5000000000000001E-3</v>
      </c>
      <c r="U30" s="800">
        <f t="shared" ref="U30:U78" si="16">IF(C30=0,0,IF($U$23/(T30*E30)&gt;35,35,$U$23/(T30*E30)))</f>
        <v>18.933333333333334</v>
      </c>
      <c r="V30" s="596">
        <f t="shared" ref="V30:V78" si="17">IF(C30=0,0,IF(D30/C30&lt;=2,T30,IF((0.0025+0.5*(2.5-D30/C30)*(T30-0.0025))&gt;0.0025,(0.0025+0.5*(2.5-D30/C30)*(T30-0.0025)),0.0025)))</f>
        <v>2.5000000000000001E-3</v>
      </c>
      <c r="W30" s="814">
        <f t="shared" ref="W30:W78" si="18">IF(C30=0,0,IF($W$23/(V30*E30)&gt;35,35,$W$23/(V30*E30)))</f>
        <v>18.933333333333334</v>
      </c>
      <c r="X30" s="593">
        <f t="shared" si="2"/>
        <v>35638.181771801974</v>
      </c>
      <c r="AA30" s="593">
        <f t="shared" ref="AA30:AA93" si="19">EVEN(L30)</f>
        <v>6</v>
      </c>
    </row>
    <row r="31" spans="1:27" ht="17.45" hidden="1" customHeight="1">
      <c r="A31" s="735">
        <f>'CG. MPA'!A31</f>
        <v>3</v>
      </c>
      <c r="B31" s="798">
        <v>15</v>
      </c>
      <c r="C31" s="643">
        <f>IF('CG. MPA'!E31="CONCRETO",'RMCV.PA'!B31,0)</f>
        <v>0</v>
      </c>
      <c r="D31" s="593">
        <f>IF(C31=0,0,'CG. MPA'!C31*100)</f>
        <v>0</v>
      </c>
      <c r="E31" s="593">
        <f>IF(D31=0,0,'RMCV.PA'!C31)</f>
        <v>0</v>
      </c>
      <c r="F31" s="593">
        <f t="shared" si="3"/>
        <v>0</v>
      </c>
      <c r="G31" s="643">
        <f>IF(C31=0,0,'RMCS.PA'!M30)</f>
        <v>0</v>
      </c>
      <c r="H31" s="643">
        <f>IF(C31=0,0,'CASTILLOS-PA'!K31)</f>
        <v>0</v>
      </c>
      <c r="I31" s="594">
        <f t="shared" si="4"/>
        <v>0</v>
      </c>
      <c r="J31" s="594">
        <f t="shared" si="5"/>
        <v>0</v>
      </c>
      <c r="K31" s="595">
        <f t="shared" si="6"/>
        <v>0</v>
      </c>
      <c r="L31" s="594">
        <f t="shared" si="7"/>
        <v>0</v>
      </c>
      <c r="M31" s="596">
        <f t="shared" si="8"/>
        <v>0</v>
      </c>
      <c r="N31" s="643">
        <f t="shared" si="9"/>
        <v>0</v>
      </c>
      <c r="O31" s="643">
        <f t="shared" si="10"/>
        <v>0</v>
      </c>
      <c r="P31" s="644">
        <f t="shared" si="11"/>
        <v>0</v>
      </c>
      <c r="Q31" s="643">
        <f t="shared" si="12"/>
        <v>0</v>
      </c>
      <c r="R31" s="644">
        <f t="shared" si="13"/>
        <v>0</v>
      </c>
      <c r="S31" s="799">
        <f t="shared" si="14"/>
        <v>0</v>
      </c>
      <c r="T31" s="596">
        <f t="shared" si="15"/>
        <v>0</v>
      </c>
      <c r="U31" s="800">
        <f t="shared" si="16"/>
        <v>0</v>
      </c>
      <c r="V31" s="596">
        <f t="shared" si="17"/>
        <v>0</v>
      </c>
      <c r="W31" s="814">
        <f t="shared" si="18"/>
        <v>0</v>
      </c>
      <c r="X31" s="593">
        <f t="shared" si="2"/>
        <v>0</v>
      </c>
      <c r="AA31" s="593">
        <f t="shared" si="19"/>
        <v>0</v>
      </c>
    </row>
    <row r="32" spans="1:27" hidden="1">
      <c r="A32" s="735">
        <f>'CG. MPA'!A32</f>
        <v>4</v>
      </c>
      <c r="B32" s="798">
        <v>15</v>
      </c>
      <c r="C32" s="643">
        <f>IF('CG. MPA'!E32="CONCRETO",'RMCV.PA'!B32,0)</f>
        <v>0</v>
      </c>
      <c r="D32" s="593">
        <f>IF(C32=0,0,'CG. MPA'!C32*100)</f>
        <v>0</v>
      </c>
      <c r="E32" s="593">
        <f>IF(D32=0,0,'RMCV.PA'!C32)</f>
        <v>0</v>
      </c>
      <c r="F32" s="593">
        <f t="shared" si="3"/>
        <v>0</v>
      </c>
      <c r="G32" s="643">
        <f>IF(C32=0,0,'RMCS.PA'!M31)</f>
        <v>0</v>
      </c>
      <c r="H32" s="643">
        <f>IF(C32=0,0,'CASTILLOS-PA'!K32)</f>
        <v>0</v>
      </c>
      <c r="I32" s="594">
        <f t="shared" si="4"/>
        <v>0</v>
      </c>
      <c r="J32" s="594">
        <f t="shared" si="5"/>
        <v>0</v>
      </c>
      <c r="K32" s="595">
        <f t="shared" si="6"/>
        <v>0</v>
      </c>
      <c r="L32" s="594">
        <f t="shared" si="7"/>
        <v>0</v>
      </c>
      <c r="M32" s="596">
        <f t="shared" si="8"/>
        <v>0</v>
      </c>
      <c r="N32" s="643">
        <f t="shared" si="9"/>
        <v>0</v>
      </c>
      <c r="O32" s="643">
        <f t="shared" si="10"/>
        <v>0</v>
      </c>
      <c r="P32" s="644">
        <f t="shared" si="11"/>
        <v>0</v>
      </c>
      <c r="Q32" s="643">
        <f t="shared" si="12"/>
        <v>0</v>
      </c>
      <c r="R32" s="644">
        <f t="shared" si="13"/>
        <v>0</v>
      </c>
      <c r="S32" s="799">
        <f t="shared" si="14"/>
        <v>0</v>
      </c>
      <c r="T32" s="596">
        <f t="shared" si="15"/>
        <v>0</v>
      </c>
      <c r="U32" s="800">
        <f t="shared" si="16"/>
        <v>0</v>
      </c>
      <c r="V32" s="596">
        <f t="shared" si="17"/>
        <v>0</v>
      </c>
      <c r="W32" s="814">
        <f t="shared" si="18"/>
        <v>0</v>
      </c>
      <c r="X32" s="593">
        <f t="shared" si="2"/>
        <v>0</v>
      </c>
      <c r="AA32" s="593">
        <f t="shared" si="19"/>
        <v>0</v>
      </c>
    </row>
    <row r="33" spans="1:27" hidden="1">
      <c r="A33" s="735">
        <f>'CG. MPA'!A33</f>
        <v>5</v>
      </c>
      <c r="B33" s="798">
        <v>15</v>
      </c>
      <c r="C33" s="643">
        <f>IF('CG. MPA'!E33="CONCRETO",'RMCV.PA'!B33,0)</f>
        <v>82.500015151513693</v>
      </c>
      <c r="D33" s="593">
        <f>IF(C33=0,0,'CG. MPA'!C33*100)</f>
        <v>280</v>
      </c>
      <c r="E33" s="593">
        <f>IF(D33=0,0,'RMCV.PA'!C33)</f>
        <v>15</v>
      </c>
      <c r="F33" s="593">
        <f t="shared" si="3"/>
        <v>67.500015151513693</v>
      </c>
      <c r="G33" s="643">
        <f>IF(C33=0,0,'RMCS.PA'!M32)</f>
        <v>16669.623003865341</v>
      </c>
      <c r="H33" s="643">
        <f>IF(C33=0,0,'CASTILLOS-PA'!K33)</f>
        <v>1386567.1764195424</v>
      </c>
      <c r="I33" s="594">
        <f t="shared" si="4"/>
        <v>3.3939387706265483</v>
      </c>
      <c r="J33" s="594">
        <f t="shared" si="5"/>
        <v>66.000012121210958</v>
      </c>
      <c r="K33" s="595">
        <f t="shared" si="6"/>
        <v>5.8847590262710918</v>
      </c>
      <c r="L33" s="594">
        <f t="shared" si="7"/>
        <v>4.633668524622907</v>
      </c>
      <c r="M33" s="596">
        <f t="shared" si="8"/>
        <v>5.8121063756424209E-3</v>
      </c>
      <c r="N33" s="643">
        <f t="shared" si="9"/>
        <v>22910.264853038421</v>
      </c>
      <c r="O33" s="643">
        <f t="shared" si="10"/>
        <v>3622.5954495038518</v>
      </c>
      <c r="P33" s="644">
        <f t="shared" si="11"/>
        <v>9736.8625625413279</v>
      </c>
      <c r="Q33" s="643">
        <f t="shared" si="12"/>
        <v>3622.5954495038527</v>
      </c>
      <c r="R33" s="644">
        <f t="shared" si="13"/>
        <v>0</v>
      </c>
      <c r="S33" s="799" t="str">
        <f t="shared" si="14"/>
        <v>BIEN</v>
      </c>
      <c r="T33" s="596">
        <f t="shared" si="15"/>
        <v>3.8351042403694051E-3</v>
      </c>
      <c r="U33" s="800">
        <f t="shared" si="16"/>
        <v>12.342124324832977</v>
      </c>
      <c r="V33" s="596">
        <f t="shared" si="17"/>
        <v>2.5000000000000001E-3</v>
      </c>
      <c r="W33" s="814">
        <f t="shared" si="18"/>
        <v>18.933333333333334</v>
      </c>
      <c r="X33" s="593">
        <f t="shared" si="2"/>
        <v>22910.264853038421</v>
      </c>
      <c r="AA33" s="593">
        <f t="shared" si="19"/>
        <v>6</v>
      </c>
    </row>
    <row r="34" spans="1:27" hidden="1">
      <c r="A34" s="735">
        <f>'CG. MPA'!A34</f>
        <v>6</v>
      </c>
      <c r="B34" s="798">
        <v>15</v>
      </c>
      <c r="C34" s="643">
        <f>IF('CG. MPA'!E34="CONCRETO",'RMCV.PA'!B34,0)</f>
        <v>0</v>
      </c>
      <c r="D34" s="593">
        <f>IF(C34=0,0,'CG. MPA'!C34*100)</f>
        <v>0</v>
      </c>
      <c r="E34" s="593">
        <f>IF(D34=0,0,'RMCV.PA'!C34)</f>
        <v>0</v>
      </c>
      <c r="F34" s="593">
        <f t="shared" si="3"/>
        <v>0</v>
      </c>
      <c r="G34" s="643">
        <f>IF(C34=0,0,'RMCS.PA'!M33)</f>
        <v>0</v>
      </c>
      <c r="H34" s="643">
        <f>IF(C34=0,0,'CASTILLOS-PA'!K34)</f>
        <v>0</v>
      </c>
      <c r="I34" s="594">
        <f t="shared" si="4"/>
        <v>0</v>
      </c>
      <c r="J34" s="594">
        <f t="shared" si="5"/>
        <v>0</v>
      </c>
      <c r="K34" s="595">
        <f t="shared" si="6"/>
        <v>0</v>
      </c>
      <c r="L34" s="594">
        <f t="shared" si="7"/>
        <v>0</v>
      </c>
      <c r="M34" s="596">
        <f t="shared" si="8"/>
        <v>0</v>
      </c>
      <c r="N34" s="643">
        <f t="shared" si="9"/>
        <v>0</v>
      </c>
      <c r="O34" s="643">
        <f t="shared" si="10"/>
        <v>0</v>
      </c>
      <c r="P34" s="644">
        <f t="shared" si="11"/>
        <v>0</v>
      </c>
      <c r="Q34" s="643">
        <f t="shared" si="12"/>
        <v>0</v>
      </c>
      <c r="R34" s="644">
        <f t="shared" si="13"/>
        <v>0</v>
      </c>
      <c r="S34" s="799">
        <f t="shared" si="14"/>
        <v>0</v>
      </c>
      <c r="T34" s="596">
        <f t="shared" si="15"/>
        <v>0</v>
      </c>
      <c r="U34" s="800">
        <f t="shared" si="16"/>
        <v>0</v>
      </c>
      <c r="V34" s="596">
        <f t="shared" si="17"/>
        <v>0</v>
      </c>
      <c r="W34" s="814">
        <f t="shared" si="18"/>
        <v>0</v>
      </c>
      <c r="X34" s="593">
        <f t="shared" si="2"/>
        <v>0</v>
      </c>
      <c r="Y34" s="593">
        <f>X34*1.33</f>
        <v>0</v>
      </c>
      <c r="AA34" s="593">
        <f t="shared" si="19"/>
        <v>0</v>
      </c>
    </row>
    <row r="35" spans="1:27" hidden="1">
      <c r="A35" s="735">
        <f>'CG. MPA'!A35</f>
        <v>7</v>
      </c>
      <c r="B35" s="798">
        <v>15</v>
      </c>
      <c r="C35" s="643">
        <f>IF('CG. MPA'!E35="CONCRETO",'RMCV.PA'!B35,0)</f>
        <v>0</v>
      </c>
      <c r="D35" s="593">
        <f>IF(C35=0,0,'CG. MPA'!C35*100)</f>
        <v>0</v>
      </c>
      <c r="E35" s="593">
        <f>IF(D35=0,0,'RMCV.PA'!C35)</f>
        <v>0</v>
      </c>
      <c r="F35" s="593">
        <f t="shared" si="3"/>
        <v>0</v>
      </c>
      <c r="G35" s="643">
        <f>IF(C35=0,0,'RMCS.PA'!M34)</f>
        <v>0</v>
      </c>
      <c r="H35" s="643">
        <f>IF(C35=0,0,'CASTILLOS-PA'!K35)</f>
        <v>0</v>
      </c>
      <c r="I35" s="594">
        <f t="shared" si="4"/>
        <v>0</v>
      </c>
      <c r="J35" s="594">
        <f t="shared" si="5"/>
        <v>0</v>
      </c>
      <c r="K35" s="595">
        <f t="shared" si="6"/>
        <v>0</v>
      </c>
      <c r="L35" s="594">
        <f t="shared" si="7"/>
        <v>0</v>
      </c>
      <c r="M35" s="596">
        <f t="shared" si="8"/>
        <v>0</v>
      </c>
      <c r="N35" s="643">
        <f t="shared" si="9"/>
        <v>0</v>
      </c>
      <c r="O35" s="643">
        <f t="shared" si="10"/>
        <v>0</v>
      </c>
      <c r="P35" s="644">
        <f t="shared" si="11"/>
        <v>0</v>
      </c>
      <c r="Q35" s="643">
        <f t="shared" si="12"/>
        <v>0</v>
      </c>
      <c r="R35" s="644">
        <f t="shared" si="13"/>
        <v>0</v>
      </c>
      <c r="S35" s="799">
        <f t="shared" si="14"/>
        <v>0</v>
      </c>
      <c r="T35" s="596">
        <f t="shared" si="15"/>
        <v>0</v>
      </c>
      <c r="U35" s="800">
        <f t="shared" si="16"/>
        <v>0</v>
      </c>
      <c r="V35" s="596">
        <f t="shared" si="17"/>
        <v>0</v>
      </c>
      <c r="W35" s="814">
        <f t="shared" si="18"/>
        <v>0</v>
      </c>
      <c r="X35" s="593">
        <f t="shared" si="2"/>
        <v>0</v>
      </c>
      <c r="AA35" s="593">
        <f t="shared" si="19"/>
        <v>0</v>
      </c>
    </row>
    <row r="36" spans="1:27" hidden="1">
      <c r="A36" s="735">
        <f>'CG. MPA'!A36</f>
        <v>8</v>
      </c>
      <c r="B36" s="798">
        <v>30</v>
      </c>
      <c r="C36" s="643">
        <f>IF('CG. MPA'!E36="CONCRETO",'RMCV.PA'!B36,0)</f>
        <v>0</v>
      </c>
      <c r="D36" s="593">
        <f>IF(C36=0,0,'CG. MPA'!C36*100)</f>
        <v>0</v>
      </c>
      <c r="E36" s="593">
        <f>IF(D36=0,0,'RMCV.PA'!C36)</f>
        <v>0</v>
      </c>
      <c r="F36" s="593">
        <f t="shared" si="3"/>
        <v>0</v>
      </c>
      <c r="G36" s="643">
        <f>IF(C36=0,0,'RMCS.PA'!M35)</f>
        <v>0</v>
      </c>
      <c r="H36" s="643">
        <f>IF(C36=0,0,'CASTILLOS-PA'!K36)</f>
        <v>0</v>
      </c>
      <c r="I36" s="594">
        <f t="shared" si="4"/>
        <v>0</v>
      </c>
      <c r="J36" s="594">
        <f t="shared" si="5"/>
        <v>0</v>
      </c>
      <c r="K36" s="595">
        <f t="shared" si="6"/>
        <v>0</v>
      </c>
      <c r="L36" s="594">
        <f t="shared" si="7"/>
        <v>0</v>
      </c>
      <c r="M36" s="596">
        <f t="shared" si="8"/>
        <v>0</v>
      </c>
      <c r="N36" s="643">
        <f t="shared" si="9"/>
        <v>0</v>
      </c>
      <c r="O36" s="643">
        <f t="shared" si="10"/>
        <v>0</v>
      </c>
      <c r="P36" s="644">
        <f t="shared" si="11"/>
        <v>0</v>
      </c>
      <c r="Q36" s="643">
        <f t="shared" si="12"/>
        <v>0</v>
      </c>
      <c r="R36" s="644">
        <f t="shared" si="13"/>
        <v>0</v>
      </c>
      <c r="S36" s="799">
        <f t="shared" si="14"/>
        <v>0</v>
      </c>
      <c r="T36" s="596">
        <f t="shared" si="15"/>
        <v>0</v>
      </c>
      <c r="U36" s="800">
        <f t="shared" si="16"/>
        <v>0</v>
      </c>
      <c r="V36" s="596">
        <f t="shared" si="17"/>
        <v>0</v>
      </c>
      <c r="W36" s="814">
        <f t="shared" si="18"/>
        <v>0</v>
      </c>
      <c r="X36" s="593">
        <f t="shared" si="2"/>
        <v>0</v>
      </c>
      <c r="Y36" s="645"/>
      <c r="AA36" s="593">
        <f t="shared" si="19"/>
        <v>0</v>
      </c>
    </row>
    <row r="37" spans="1:27" hidden="1">
      <c r="A37" s="735">
        <f>'CG. MPA'!A37</f>
        <v>9</v>
      </c>
      <c r="B37" s="798">
        <v>30</v>
      </c>
      <c r="C37" s="643">
        <f>IF('CG. MPA'!E37="CONCRETO",'RMCV.PA'!B37,0)</f>
        <v>0</v>
      </c>
      <c r="D37" s="593">
        <f>IF(C37=0,0,'CG. MPA'!C37*100)</f>
        <v>0</v>
      </c>
      <c r="E37" s="593">
        <f>IF(D37=0,0,'RMCV.PA'!C37)</f>
        <v>0</v>
      </c>
      <c r="F37" s="593">
        <f t="shared" si="3"/>
        <v>0</v>
      </c>
      <c r="G37" s="643">
        <f>IF(C37=0,0,'RMCS.PA'!M36)</f>
        <v>0</v>
      </c>
      <c r="H37" s="643">
        <f>IF(C37=0,0,'CASTILLOS-PA'!K37)</f>
        <v>0</v>
      </c>
      <c r="I37" s="594">
        <f t="shared" si="4"/>
        <v>0</v>
      </c>
      <c r="J37" s="594">
        <f t="shared" si="5"/>
        <v>0</v>
      </c>
      <c r="K37" s="595">
        <f t="shared" si="6"/>
        <v>0</v>
      </c>
      <c r="L37" s="594">
        <f t="shared" si="7"/>
        <v>0</v>
      </c>
      <c r="M37" s="596">
        <f t="shared" si="8"/>
        <v>0</v>
      </c>
      <c r="N37" s="643">
        <f t="shared" si="9"/>
        <v>0</v>
      </c>
      <c r="O37" s="643">
        <f t="shared" si="10"/>
        <v>0</v>
      </c>
      <c r="P37" s="644">
        <f t="shared" si="11"/>
        <v>0</v>
      </c>
      <c r="Q37" s="643">
        <f t="shared" si="12"/>
        <v>0</v>
      </c>
      <c r="R37" s="644">
        <f t="shared" si="13"/>
        <v>0</v>
      </c>
      <c r="S37" s="799">
        <f t="shared" si="14"/>
        <v>0</v>
      </c>
      <c r="T37" s="596">
        <f t="shared" si="15"/>
        <v>0</v>
      </c>
      <c r="U37" s="800">
        <f t="shared" si="16"/>
        <v>0</v>
      </c>
      <c r="V37" s="596">
        <f t="shared" si="17"/>
        <v>0</v>
      </c>
      <c r="W37" s="814">
        <f t="shared" si="18"/>
        <v>0</v>
      </c>
      <c r="X37" s="593">
        <f t="shared" si="2"/>
        <v>0</v>
      </c>
      <c r="AA37" s="593">
        <f t="shared" si="19"/>
        <v>0</v>
      </c>
    </row>
    <row r="38" spans="1:27" hidden="1">
      <c r="A38" s="735">
        <f>'CG. MPA'!A38</f>
        <v>10</v>
      </c>
      <c r="B38" s="798">
        <v>25</v>
      </c>
      <c r="C38" s="643">
        <f>IF('CG. MPA'!E38="CONCRETO",'RMCV.PA'!B38,0)</f>
        <v>0</v>
      </c>
      <c r="D38" s="593">
        <f>IF(C38=0,0,'CG. MPA'!C38*100)</f>
        <v>0</v>
      </c>
      <c r="E38" s="593">
        <f>IF(D38=0,0,'RMCV.PA'!C38)</f>
        <v>0</v>
      </c>
      <c r="F38" s="593">
        <f t="shared" si="3"/>
        <v>0</v>
      </c>
      <c r="G38" s="643">
        <f>IF(C38=0,0,'RMCS.PA'!M37)</f>
        <v>0</v>
      </c>
      <c r="H38" s="643">
        <f>IF(C38=0,0,'CASTILLOS-PA'!K38)</f>
        <v>0</v>
      </c>
      <c r="I38" s="594">
        <f t="shared" si="4"/>
        <v>0</v>
      </c>
      <c r="J38" s="594">
        <f t="shared" si="5"/>
        <v>0</v>
      </c>
      <c r="K38" s="595">
        <f t="shared" si="6"/>
        <v>0</v>
      </c>
      <c r="L38" s="594">
        <f t="shared" si="7"/>
        <v>0</v>
      </c>
      <c r="M38" s="596">
        <f t="shared" si="8"/>
        <v>0</v>
      </c>
      <c r="N38" s="643">
        <f t="shared" si="9"/>
        <v>0</v>
      </c>
      <c r="O38" s="643">
        <f t="shared" si="10"/>
        <v>0</v>
      </c>
      <c r="P38" s="644">
        <f t="shared" si="11"/>
        <v>0</v>
      </c>
      <c r="Q38" s="643">
        <f t="shared" si="12"/>
        <v>0</v>
      </c>
      <c r="R38" s="644">
        <f t="shared" si="13"/>
        <v>0</v>
      </c>
      <c r="S38" s="799">
        <f t="shared" si="14"/>
        <v>0</v>
      </c>
      <c r="T38" s="596">
        <f t="shared" si="15"/>
        <v>0</v>
      </c>
      <c r="U38" s="800">
        <f t="shared" si="16"/>
        <v>0</v>
      </c>
      <c r="V38" s="596">
        <f t="shared" si="17"/>
        <v>0</v>
      </c>
      <c r="W38" s="814">
        <f t="shared" si="18"/>
        <v>0</v>
      </c>
      <c r="X38" s="593">
        <f t="shared" si="2"/>
        <v>0</v>
      </c>
      <c r="AA38" s="593">
        <f t="shared" si="19"/>
        <v>0</v>
      </c>
    </row>
    <row r="39" spans="1:27" hidden="1">
      <c r="A39" s="735">
        <f>'CG. MPA'!A39</f>
        <v>11</v>
      </c>
      <c r="B39" s="798">
        <v>25</v>
      </c>
      <c r="C39" s="643">
        <f>IF('CG. MPA'!E39="CONCRETO",'RMCV.PA'!B39,0)</f>
        <v>0</v>
      </c>
      <c r="D39" s="593">
        <f>IF(C39=0,0,'CG. MPA'!C39*100)</f>
        <v>0</v>
      </c>
      <c r="E39" s="593">
        <f>IF(D39=0,0,'RMCV.PA'!C39)</f>
        <v>0</v>
      </c>
      <c r="F39" s="593">
        <f t="shared" si="3"/>
        <v>0</v>
      </c>
      <c r="G39" s="643">
        <f>IF(C39=0,0,'RMCS.PA'!M38)</f>
        <v>0</v>
      </c>
      <c r="H39" s="643">
        <f>IF(C39=0,0,'CASTILLOS-PA'!K39)</f>
        <v>0</v>
      </c>
      <c r="I39" s="594">
        <f t="shared" si="4"/>
        <v>0</v>
      </c>
      <c r="J39" s="594">
        <f t="shared" si="5"/>
        <v>0</v>
      </c>
      <c r="K39" s="595">
        <f t="shared" si="6"/>
        <v>0</v>
      </c>
      <c r="L39" s="594">
        <f t="shared" si="7"/>
        <v>0</v>
      </c>
      <c r="M39" s="596">
        <f t="shared" si="8"/>
        <v>0</v>
      </c>
      <c r="N39" s="643">
        <f t="shared" si="9"/>
        <v>0</v>
      </c>
      <c r="O39" s="643">
        <f t="shared" si="10"/>
        <v>0</v>
      </c>
      <c r="P39" s="644">
        <f t="shared" si="11"/>
        <v>0</v>
      </c>
      <c r="Q39" s="643">
        <f t="shared" si="12"/>
        <v>0</v>
      </c>
      <c r="R39" s="644">
        <f t="shared" si="13"/>
        <v>0</v>
      </c>
      <c r="S39" s="799">
        <f t="shared" si="14"/>
        <v>0</v>
      </c>
      <c r="T39" s="596">
        <f t="shared" si="15"/>
        <v>0</v>
      </c>
      <c r="U39" s="800">
        <f t="shared" si="16"/>
        <v>0</v>
      </c>
      <c r="V39" s="596">
        <f t="shared" si="17"/>
        <v>0</v>
      </c>
      <c r="W39" s="814">
        <f t="shared" si="18"/>
        <v>0</v>
      </c>
      <c r="X39" s="593">
        <f t="shared" si="2"/>
        <v>0</v>
      </c>
      <c r="AA39" s="593">
        <f t="shared" si="19"/>
        <v>0</v>
      </c>
    </row>
    <row r="40" spans="1:27" hidden="1">
      <c r="A40" s="735">
        <f>'CG. MPA'!A40</f>
        <v>12</v>
      </c>
      <c r="B40" s="798">
        <v>25</v>
      </c>
      <c r="C40" s="643">
        <f>IF('CG. MPA'!E40="CONCRETO",'RMCV.PA'!B40,0)</f>
        <v>0</v>
      </c>
      <c r="D40" s="593">
        <f>IF(C40=0,0,'CG. MPA'!C40*100)</f>
        <v>0</v>
      </c>
      <c r="E40" s="593">
        <f>IF(D40=0,0,'RMCV.PA'!C40)</f>
        <v>0</v>
      </c>
      <c r="F40" s="593">
        <f t="shared" si="3"/>
        <v>0</v>
      </c>
      <c r="G40" s="643">
        <f>IF(C40=0,0,'RMCS.PA'!M39)</f>
        <v>0</v>
      </c>
      <c r="H40" s="643">
        <f>IF(C40=0,0,'CASTILLOS-PA'!K40)</f>
        <v>0</v>
      </c>
      <c r="I40" s="594">
        <f t="shared" si="4"/>
        <v>0</v>
      </c>
      <c r="J40" s="594">
        <f t="shared" si="5"/>
        <v>0</v>
      </c>
      <c r="K40" s="595">
        <f t="shared" si="6"/>
        <v>0</v>
      </c>
      <c r="L40" s="594">
        <f t="shared" si="7"/>
        <v>0</v>
      </c>
      <c r="M40" s="596">
        <f t="shared" si="8"/>
        <v>0</v>
      </c>
      <c r="N40" s="643">
        <f t="shared" si="9"/>
        <v>0</v>
      </c>
      <c r="O40" s="643">
        <f t="shared" si="10"/>
        <v>0</v>
      </c>
      <c r="P40" s="644">
        <f t="shared" si="11"/>
        <v>0</v>
      </c>
      <c r="Q40" s="643">
        <f t="shared" si="12"/>
        <v>0</v>
      </c>
      <c r="R40" s="644">
        <f t="shared" si="13"/>
        <v>0</v>
      </c>
      <c r="S40" s="799">
        <f t="shared" si="14"/>
        <v>0</v>
      </c>
      <c r="T40" s="596">
        <f t="shared" si="15"/>
        <v>0</v>
      </c>
      <c r="U40" s="800">
        <f t="shared" si="16"/>
        <v>0</v>
      </c>
      <c r="V40" s="596">
        <f t="shared" si="17"/>
        <v>0</v>
      </c>
      <c r="W40" s="814">
        <f t="shared" si="18"/>
        <v>0</v>
      </c>
      <c r="X40" s="593">
        <f t="shared" si="2"/>
        <v>0</v>
      </c>
      <c r="AA40" s="593">
        <f t="shared" si="19"/>
        <v>0</v>
      </c>
    </row>
    <row r="41" spans="1:27" hidden="1">
      <c r="A41" s="735">
        <f>'CG. MPA'!A41</f>
        <v>13</v>
      </c>
      <c r="B41" s="798">
        <v>25</v>
      </c>
      <c r="C41" s="643">
        <f>IF('CG. MPA'!E41="CONCRETO",'RMCV.PA'!B41,0)</f>
        <v>0</v>
      </c>
      <c r="D41" s="593">
        <f>IF(C41=0,0,'CG. MPA'!C41*100)</f>
        <v>0</v>
      </c>
      <c r="E41" s="593">
        <f>IF(D41=0,0,'RMCV.PA'!C41)</f>
        <v>0</v>
      </c>
      <c r="F41" s="593">
        <f t="shared" si="3"/>
        <v>0</v>
      </c>
      <c r="G41" s="643">
        <f>IF(C41=0,0,'RMCS.PA'!M40)</f>
        <v>0</v>
      </c>
      <c r="H41" s="643">
        <f>IF(C41=0,0,'CASTILLOS-PA'!K41)</f>
        <v>0</v>
      </c>
      <c r="I41" s="594">
        <f t="shared" si="4"/>
        <v>0</v>
      </c>
      <c r="J41" s="594">
        <f t="shared" si="5"/>
        <v>0</v>
      </c>
      <c r="K41" s="595">
        <f t="shared" si="6"/>
        <v>0</v>
      </c>
      <c r="L41" s="594">
        <f t="shared" si="7"/>
        <v>0</v>
      </c>
      <c r="M41" s="596">
        <f t="shared" si="8"/>
        <v>0</v>
      </c>
      <c r="N41" s="643">
        <f t="shared" si="9"/>
        <v>0</v>
      </c>
      <c r="O41" s="643">
        <f t="shared" si="10"/>
        <v>0</v>
      </c>
      <c r="P41" s="644">
        <f t="shared" si="11"/>
        <v>0</v>
      </c>
      <c r="Q41" s="643">
        <f t="shared" si="12"/>
        <v>0</v>
      </c>
      <c r="R41" s="644">
        <f t="shared" si="13"/>
        <v>0</v>
      </c>
      <c r="S41" s="799">
        <f t="shared" si="14"/>
        <v>0</v>
      </c>
      <c r="T41" s="596">
        <f t="shared" si="15"/>
        <v>0</v>
      </c>
      <c r="U41" s="800">
        <f t="shared" si="16"/>
        <v>0</v>
      </c>
      <c r="V41" s="596">
        <f t="shared" si="17"/>
        <v>0</v>
      </c>
      <c r="W41" s="814">
        <f t="shared" si="18"/>
        <v>0</v>
      </c>
      <c r="X41" s="593">
        <f t="shared" si="2"/>
        <v>0</v>
      </c>
      <c r="AA41" s="593">
        <f t="shared" si="19"/>
        <v>0</v>
      </c>
    </row>
    <row r="42" spans="1:27" hidden="1">
      <c r="A42" s="735">
        <f>'CG. MPA'!A42</f>
        <v>14</v>
      </c>
      <c r="B42" s="798">
        <v>15</v>
      </c>
      <c r="C42" s="643">
        <f>IF('CG. MPA'!E42="CONCRETO",'RMCV.PA'!B42,0)</f>
        <v>0</v>
      </c>
      <c r="D42" s="593">
        <f>IF(C42=0,0,'CG. MPA'!C42*100)</f>
        <v>0</v>
      </c>
      <c r="E42" s="593">
        <f>IF(D42=0,0,'RMCV.PA'!C42)</f>
        <v>0</v>
      </c>
      <c r="F42" s="593">
        <f t="shared" si="3"/>
        <v>0</v>
      </c>
      <c r="G42" s="643">
        <f>IF(C42=0,0,'RMCS.PA'!M41)</f>
        <v>0</v>
      </c>
      <c r="H42" s="643">
        <f>IF(C42=0,0,'CASTILLOS-PA'!K42)</f>
        <v>0</v>
      </c>
      <c r="I42" s="594">
        <f t="shared" si="4"/>
        <v>0</v>
      </c>
      <c r="J42" s="594">
        <f t="shared" si="5"/>
        <v>0</v>
      </c>
      <c r="K42" s="595">
        <f t="shared" si="6"/>
        <v>0</v>
      </c>
      <c r="L42" s="594">
        <f t="shared" si="7"/>
        <v>0</v>
      </c>
      <c r="M42" s="596">
        <f t="shared" si="8"/>
        <v>0</v>
      </c>
      <c r="N42" s="643">
        <f t="shared" si="9"/>
        <v>0</v>
      </c>
      <c r="O42" s="643">
        <f t="shared" si="10"/>
        <v>0</v>
      </c>
      <c r="P42" s="644">
        <f t="shared" si="11"/>
        <v>0</v>
      </c>
      <c r="Q42" s="643">
        <f t="shared" si="12"/>
        <v>0</v>
      </c>
      <c r="R42" s="644">
        <f t="shared" si="13"/>
        <v>0</v>
      </c>
      <c r="S42" s="799">
        <f t="shared" si="14"/>
        <v>0</v>
      </c>
      <c r="T42" s="596">
        <f t="shared" si="15"/>
        <v>0</v>
      </c>
      <c r="U42" s="800">
        <f t="shared" si="16"/>
        <v>0</v>
      </c>
      <c r="V42" s="596">
        <f t="shared" si="17"/>
        <v>0</v>
      </c>
      <c r="W42" s="814">
        <f t="shared" si="18"/>
        <v>0</v>
      </c>
      <c r="X42" s="593">
        <f t="shared" si="2"/>
        <v>0</v>
      </c>
      <c r="AA42" s="593">
        <f t="shared" si="19"/>
        <v>0</v>
      </c>
    </row>
    <row r="43" spans="1:27" hidden="1">
      <c r="A43" s="735">
        <f>'CG. MPA'!A43</f>
        <v>15</v>
      </c>
      <c r="B43" s="798">
        <v>30</v>
      </c>
      <c r="C43" s="643">
        <f>IF('CG. MPA'!E43="CONCRETO",'RMCV.PA'!B43,0)</f>
        <v>0</v>
      </c>
      <c r="D43" s="593">
        <f>IF(C43=0,0,'CG. MPA'!C43*100)</f>
        <v>0</v>
      </c>
      <c r="E43" s="593">
        <f>IF(D43=0,0,'RMCV.PA'!C43)</f>
        <v>0</v>
      </c>
      <c r="F43" s="593">
        <f t="shared" si="3"/>
        <v>0</v>
      </c>
      <c r="G43" s="643">
        <f>IF(C43=0,0,'RMCS.PA'!M42)</f>
        <v>0</v>
      </c>
      <c r="H43" s="643">
        <f>IF(C43=0,0,'CASTILLOS-PA'!K43)</f>
        <v>0</v>
      </c>
      <c r="I43" s="594">
        <f t="shared" si="4"/>
        <v>0</v>
      </c>
      <c r="J43" s="594">
        <f t="shared" si="5"/>
        <v>0</v>
      </c>
      <c r="K43" s="595">
        <f t="shared" si="6"/>
        <v>0</v>
      </c>
      <c r="L43" s="594">
        <f t="shared" si="7"/>
        <v>0</v>
      </c>
      <c r="M43" s="596">
        <f t="shared" si="8"/>
        <v>0</v>
      </c>
      <c r="N43" s="643">
        <f t="shared" si="9"/>
        <v>0</v>
      </c>
      <c r="O43" s="643">
        <f t="shared" si="10"/>
        <v>0</v>
      </c>
      <c r="P43" s="644">
        <f t="shared" si="11"/>
        <v>0</v>
      </c>
      <c r="Q43" s="643">
        <f t="shared" si="12"/>
        <v>0</v>
      </c>
      <c r="R43" s="644">
        <f t="shared" si="13"/>
        <v>0</v>
      </c>
      <c r="S43" s="799">
        <f t="shared" si="14"/>
        <v>0</v>
      </c>
      <c r="T43" s="596">
        <f t="shared" si="15"/>
        <v>0</v>
      </c>
      <c r="U43" s="800">
        <f t="shared" si="16"/>
        <v>0</v>
      </c>
      <c r="V43" s="596">
        <f t="shared" si="17"/>
        <v>0</v>
      </c>
      <c r="W43" s="814">
        <f t="shared" si="18"/>
        <v>0</v>
      </c>
      <c r="X43" s="593">
        <f t="shared" si="2"/>
        <v>0</v>
      </c>
      <c r="AA43" s="593">
        <f t="shared" si="19"/>
        <v>0</v>
      </c>
    </row>
    <row r="44" spans="1:27" hidden="1">
      <c r="A44" s="735">
        <f>'CG. MPA'!A44</f>
        <v>16</v>
      </c>
      <c r="B44" s="798">
        <v>15</v>
      </c>
      <c r="C44" s="643">
        <f>IF('CG. MPA'!E44="CONCRETO",'RMCV.PA'!B44,0)</f>
        <v>0</v>
      </c>
      <c r="D44" s="593">
        <f>IF(C44=0,0,'CG. MPA'!C44*100)</f>
        <v>0</v>
      </c>
      <c r="E44" s="593">
        <f>IF(D44=0,0,'RMCV.PA'!C44)</f>
        <v>0</v>
      </c>
      <c r="F44" s="593">
        <f t="shared" si="3"/>
        <v>0</v>
      </c>
      <c r="G44" s="643">
        <f>IF(C44=0,0,'RMCS.PA'!M43)</f>
        <v>0</v>
      </c>
      <c r="H44" s="643">
        <f>IF(C44=0,0,'CASTILLOS-PA'!K44)</f>
        <v>0</v>
      </c>
      <c r="I44" s="594">
        <f t="shared" si="4"/>
        <v>0</v>
      </c>
      <c r="J44" s="594">
        <f t="shared" si="5"/>
        <v>0</v>
      </c>
      <c r="K44" s="595">
        <f t="shared" si="6"/>
        <v>0</v>
      </c>
      <c r="L44" s="594">
        <f t="shared" si="7"/>
        <v>0</v>
      </c>
      <c r="M44" s="596">
        <f t="shared" si="8"/>
        <v>0</v>
      </c>
      <c r="N44" s="643">
        <f t="shared" si="9"/>
        <v>0</v>
      </c>
      <c r="O44" s="643">
        <f t="shared" si="10"/>
        <v>0</v>
      </c>
      <c r="P44" s="644">
        <f t="shared" si="11"/>
        <v>0</v>
      </c>
      <c r="Q44" s="643">
        <f t="shared" si="12"/>
        <v>0</v>
      </c>
      <c r="R44" s="644">
        <f t="shared" si="13"/>
        <v>0</v>
      </c>
      <c r="S44" s="799">
        <f t="shared" si="14"/>
        <v>0</v>
      </c>
      <c r="T44" s="596">
        <f t="shared" si="15"/>
        <v>0</v>
      </c>
      <c r="U44" s="800">
        <f t="shared" si="16"/>
        <v>0</v>
      </c>
      <c r="V44" s="596">
        <f t="shared" si="17"/>
        <v>0</v>
      </c>
      <c r="W44" s="814">
        <f t="shared" si="18"/>
        <v>0</v>
      </c>
      <c r="X44" s="593">
        <f t="shared" si="2"/>
        <v>0</v>
      </c>
      <c r="AA44" s="593">
        <f t="shared" si="19"/>
        <v>0</v>
      </c>
    </row>
    <row r="45" spans="1:27" hidden="1">
      <c r="A45" s="735">
        <f>'CG. MPA'!A45</f>
        <v>17</v>
      </c>
      <c r="B45" s="798">
        <v>15</v>
      </c>
      <c r="C45" s="643">
        <f>IF('CG. MPA'!E45="CONCRETO",'RMCV.PA'!B45,0)</f>
        <v>0</v>
      </c>
      <c r="D45" s="593">
        <f>IF(C45=0,0,'CG. MPA'!C45*100)</f>
        <v>0</v>
      </c>
      <c r="E45" s="593">
        <f>IF(D45=0,0,'RMCV.PA'!C45)</f>
        <v>0</v>
      </c>
      <c r="F45" s="593">
        <f t="shared" si="3"/>
        <v>0</v>
      </c>
      <c r="G45" s="643">
        <f>IF(C45=0,0,'RMCS.PA'!M44)</f>
        <v>0</v>
      </c>
      <c r="H45" s="643">
        <f>IF(C45=0,0,'CASTILLOS-PA'!K45)</f>
        <v>0</v>
      </c>
      <c r="I45" s="594">
        <f t="shared" si="4"/>
        <v>0</v>
      </c>
      <c r="J45" s="594">
        <f t="shared" si="5"/>
        <v>0</v>
      </c>
      <c r="K45" s="595">
        <f t="shared" si="6"/>
        <v>0</v>
      </c>
      <c r="L45" s="594">
        <f t="shared" si="7"/>
        <v>0</v>
      </c>
      <c r="M45" s="596">
        <f t="shared" si="8"/>
        <v>0</v>
      </c>
      <c r="N45" s="643">
        <f t="shared" si="9"/>
        <v>0</v>
      </c>
      <c r="O45" s="643">
        <f t="shared" si="10"/>
        <v>0</v>
      </c>
      <c r="P45" s="644">
        <f t="shared" si="11"/>
        <v>0</v>
      </c>
      <c r="Q45" s="643">
        <f t="shared" si="12"/>
        <v>0</v>
      </c>
      <c r="R45" s="644">
        <f t="shared" si="13"/>
        <v>0</v>
      </c>
      <c r="S45" s="799">
        <f t="shared" si="14"/>
        <v>0</v>
      </c>
      <c r="T45" s="596">
        <f t="shared" si="15"/>
        <v>0</v>
      </c>
      <c r="U45" s="800">
        <f t="shared" si="16"/>
        <v>0</v>
      </c>
      <c r="V45" s="596">
        <f t="shared" si="17"/>
        <v>0</v>
      </c>
      <c r="W45" s="814">
        <f t="shared" si="18"/>
        <v>0</v>
      </c>
      <c r="X45" s="593">
        <f t="shared" si="2"/>
        <v>0</v>
      </c>
      <c r="AA45" s="593">
        <f t="shared" si="19"/>
        <v>0</v>
      </c>
    </row>
    <row r="46" spans="1:27" hidden="1">
      <c r="A46" s="735">
        <f>'CG. MPA'!A46</f>
        <v>18</v>
      </c>
      <c r="B46" s="798">
        <v>20</v>
      </c>
      <c r="C46" s="643">
        <f>IF('CG. MPA'!E46="CONCRETO",'RMCV.PA'!B46,0)</f>
        <v>0</v>
      </c>
      <c r="D46" s="593">
        <f>IF(C46=0,0,'CG. MPA'!C46*100)</f>
        <v>0</v>
      </c>
      <c r="E46" s="593">
        <f>IF(D46=0,0,'RMCV.PA'!C46)</f>
        <v>0</v>
      </c>
      <c r="F46" s="593">
        <f t="shared" si="3"/>
        <v>0</v>
      </c>
      <c r="G46" s="643">
        <f>IF(C46=0,0,'RMCS.PA'!M45)</f>
        <v>0</v>
      </c>
      <c r="H46" s="643">
        <f>IF(C46=0,0,'CASTILLOS-PA'!K46)</f>
        <v>0</v>
      </c>
      <c r="I46" s="594">
        <f t="shared" si="4"/>
        <v>0</v>
      </c>
      <c r="J46" s="594">
        <f t="shared" si="5"/>
        <v>0</v>
      </c>
      <c r="K46" s="595">
        <f t="shared" si="6"/>
        <v>0</v>
      </c>
      <c r="L46" s="594">
        <f t="shared" si="7"/>
        <v>0</v>
      </c>
      <c r="M46" s="596">
        <f t="shared" si="8"/>
        <v>0</v>
      </c>
      <c r="N46" s="643">
        <f t="shared" si="9"/>
        <v>0</v>
      </c>
      <c r="O46" s="643">
        <f t="shared" si="10"/>
        <v>0</v>
      </c>
      <c r="P46" s="644">
        <f t="shared" si="11"/>
        <v>0</v>
      </c>
      <c r="Q46" s="643">
        <f t="shared" si="12"/>
        <v>0</v>
      </c>
      <c r="R46" s="644">
        <f t="shared" si="13"/>
        <v>0</v>
      </c>
      <c r="S46" s="799">
        <f t="shared" si="14"/>
        <v>0</v>
      </c>
      <c r="T46" s="596">
        <f t="shared" si="15"/>
        <v>0</v>
      </c>
      <c r="U46" s="800">
        <f t="shared" si="16"/>
        <v>0</v>
      </c>
      <c r="V46" s="596">
        <f t="shared" si="17"/>
        <v>0</v>
      </c>
      <c r="W46" s="814">
        <f t="shared" si="18"/>
        <v>0</v>
      </c>
      <c r="X46" s="593">
        <f t="shared" si="2"/>
        <v>0</v>
      </c>
      <c r="AA46" s="593">
        <f t="shared" si="19"/>
        <v>0</v>
      </c>
    </row>
    <row r="47" spans="1:27" hidden="1">
      <c r="A47" s="735">
        <f>'CG. MPA'!A47</f>
        <v>19</v>
      </c>
      <c r="B47" s="798">
        <v>20</v>
      </c>
      <c r="C47" s="643">
        <f>IF('CG. MPA'!E47="CONCRETO",'RMCV.PA'!B47,0)</f>
        <v>0</v>
      </c>
      <c r="D47" s="593">
        <f>IF(C47=0,0,'CG. MPA'!C47*100)</f>
        <v>0</v>
      </c>
      <c r="E47" s="593">
        <f>IF(D47=0,0,'RMCV.PA'!C47)</f>
        <v>0</v>
      </c>
      <c r="F47" s="593">
        <f t="shared" si="3"/>
        <v>0</v>
      </c>
      <c r="G47" s="643">
        <f>IF(C47=0,0,'RMCS.PA'!M46)</f>
        <v>0</v>
      </c>
      <c r="H47" s="643">
        <f>IF(C47=0,0,'CASTILLOS-PA'!K47)</f>
        <v>0</v>
      </c>
      <c r="I47" s="594">
        <f t="shared" si="4"/>
        <v>0</v>
      </c>
      <c r="J47" s="594">
        <f t="shared" si="5"/>
        <v>0</v>
      </c>
      <c r="K47" s="595">
        <f t="shared" si="6"/>
        <v>0</v>
      </c>
      <c r="L47" s="594">
        <f t="shared" si="7"/>
        <v>0</v>
      </c>
      <c r="M47" s="596">
        <f t="shared" si="8"/>
        <v>0</v>
      </c>
      <c r="N47" s="643">
        <f t="shared" si="9"/>
        <v>0</v>
      </c>
      <c r="O47" s="643">
        <f t="shared" si="10"/>
        <v>0</v>
      </c>
      <c r="P47" s="644">
        <f t="shared" si="11"/>
        <v>0</v>
      </c>
      <c r="Q47" s="643">
        <f t="shared" si="12"/>
        <v>0</v>
      </c>
      <c r="R47" s="644">
        <f t="shared" si="13"/>
        <v>0</v>
      </c>
      <c r="S47" s="799">
        <f t="shared" si="14"/>
        <v>0</v>
      </c>
      <c r="T47" s="596">
        <f t="shared" si="15"/>
        <v>0</v>
      </c>
      <c r="U47" s="800">
        <f t="shared" si="16"/>
        <v>0</v>
      </c>
      <c r="V47" s="596">
        <f t="shared" si="17"/>
        <v>0</v>
      </c>
      <c r="W47" s="814">
        <f t="shared" si="18"/>
        <v>0</v>
      </c>
      <c r="X47" s="593">
        <f t="shared" si="2"/>
        <v>0</v>
      </c>
      <c r="AA47" s="593">
        <f t="shared" si="19"/>
        <v>0</v>
      </c>
    </row>
    <row r="48" spans="1:27" hidden="1">
      <c r="A48" s="735">
        <f>'CG. MPA'!A48</f>
        <v>20</v>
      </c>
      <c r="B48" s="798">
        <v>30</v>
      </c>
      <c r="C48" s="643">
        <f>IF('CG. MPA'!E48="CONCRETO",'RMCV.PA'!B48,0)</f>
        <v>0</v>
      </c>
      <c r="D48" s="593">
        <f>IF(C48=0,0,'CG. MPA'!C48*100)</f>
        <v>0</v>
      </c>
      <c r="E48" s="593">
        <f>IF(D48=0,0,'RMCV.PA'!C48)</f>
        <v>0</v>
      </c>
      <c r="F48" s="593">
        <f t="shared" si="3"/>
        <v>0</v>
      </c>
      <c r="G48" s="643">
        <f>IF(C48=0,0,'RMCS.PA'!M47)</f>
        <v>0</v>
      </c>
      <c r="H48" s="643">
        <f>IF(C48=0,0,'CASTILLOS-PA'!K48)</f>
        <v>0</v>
      </c>
      <c r="I48" s="594">
        <f t="shared" si="4"/>
        <v>0</v>
      </c>
      <c r="J48" s="594">
        <f t="shared" si="5"/>
        <v>0</v>
      </c>
      <c r="K48" s="595">
        <f t="shared" si="6"/>
        <v>0</v>
      </c>
      <c r="L48" s="594">
        <f t="shared" si="7"/>
        <v>0</v>
      </c>
      <c r="M48" s="596">
        <f t="shared" si="8"/>
        <v>0</v>
      </c>
      <c r="N48" s="643">
        <f t="shared" si="9"/>
        <v>0</v>
      </c>
      <c r="O48" s="643">
        <f t="shared" si="10"/>
        <v>0</v>
      </c>
      <c r="P48" s="644">
        <f t="shared" si="11"/>
        <v>0</v>
      </c>
      <c r="Q48" s="643">
        <f t="shared" si="12"/>
        <v>0</v>
      </c>
      <c r="R48" s="644">
        <f t="shared" si="13"/>
        <v>0</v>
      </c>
      <c r="S48" s="799">
        <f t="shared" si="14"/>
        <v>0</v>
      </c>
      <c r="T48" s="596">
        <f t="shared" si="15"/>
        <v>0</v>
      </c>
      <c r="U48" s="800">
        <f t="shared" si="16"/>
        <v>0</v>
      </c>
      <c r="V48" s="596">
        <f t="shared" si="17"/>
        <v>0</v>
      </c>
      <c r="W48" s="814">
        <f t="shared" si="18"/>
        <v>0</v>
      </c>
      <c r="X48" s="593">
        <f t="shared" si="2"/>
        <v>0</v>
      </c>
      <c r="AA48" s="593">
        <f t="shared" si="19"/>
        <v>0</v>
      </c>
    </row>
    <row r="49" spans="1:27" hidden="1">
      <c r="A49" s="735">
        <f>'CG. MPA'!A49</f>
        <v>21</v>
      </c>
      <c r="B49" s="798">
        <v>30</v>
      </c>
      <c r="C49" s="643">
        <f>IF('CG. MPA'!E49="CONCRETO",'RMCV.PA'!B49,0)</f>
        <v>0</v>
      </c>
      <c r="D49" s="593">
        <f>IF(C49=0,0,'CG. MPA'!C49*100)</f>
        <v>0</v>
      </c>
      <c r="E49" s="593">
        <f>IF(D49=0,0,'RMCV.PA'!C49)</f>
        <v>0</v>
      </c>
      <c r="F49" s="593">
        <f t="shared" si="3"/>
        <v>0</v>
      </c>
      <c r="G49" s="643">
        <f>IF(C49=0,0,'RMCS.PA'!M48)</f>
        <v>0</v>
      </c>
      <c r="H49" s="643">
        <f>IF(C49=0,0,'CASTILLOS-PA'!K49)</f>
        <v>0</v>
      </c>
      <c r="I49" s="594">
        <f t="shared" si="4"/>
        <v>0</v>
      </c>
      <c r="J49" s="594">
        <f t="shared" si="5"/>
        <v>0</v>
      </c>
      <c r="K49" s="595">
        <f t="shared" si="6"/>
        <v>0</v>
      </c>
      <c r="L49" s="594">
        <f t="shared" si="7"/>
        <v>0</v>
      </c>
      <c r="M49" s="596">
        <f t="shared" si="8"/>
        <v>0</v>
      </c>
      <c r="N49" s="643">
        <f t="shared" si="9"/>
        <v>0</v>
      </c>
      <c r="O49" s="643">
        <f t="shared" si="10"/>
        <v>0</v>
      </c>
      <c r="P49" s="644">
        <f t="shared" si="11"/>
        <v>0</v>
      </c>
      <c r="Q49" s="643">
        <f t="shared" si="12"/>
        <v>0</v>
      </c>
      <c r="R49" s="644">
        <f t="shared" si="13"/>
        <v>0</v>
      </c>
      <c r="S49" s="799">
        <f t="shared" si="14"/>
        <v>0</v>
      </c>
      <c r="T49" s="596">
        <f t="shared" si="15"/>
        <v>0</v>
      </c>
      <c r="U49" s="800">
        <f t="shared" si="16"/>
        <v>0</v>
      </c>
      <c r="V49" s="596">
        <f t="shared" si="17"/>
        <v>0</v>
      </c>
      <c r="W49" s="814">
        <f t="shared" si="18"/>
        <v>0</v>
      </c>
      <c r="X49" s="593">
        <f t="shared" si="2"/>
        <v>0</v>
      </c>
      <c r="AA49" s="593">
        <f t="shared" si="19"/>
        <v>0</v>
      </c>
    </row>
    <row r="50" spans="1:27" hidden="1">
      <c r="A50" s="735">
        <f>'CG. MPA'!A50</f>
        <v>22</v>
      </c>
      <c r="B50" s="798">
        <v>15</v>
      </c>
      <c r="C50" s="643">
        <f>IF('CG. MPA'!E50="CONCRETO",'RMCV.PA'!B50,0)</f>
        <v>0</v>
      </c>
      <c r="D50" s="593">
        <f>IF(C50=0,0,'CG. MPA'!C50*100)</f>
        <v>0</v>
      </c>
      <c r="E50" s="593">
        <f>IF(D50=0,0,'RMCV.PA'!C50)</f>
        <v>0</v>
      </c>
      <c r="F50" s="593">
        <f t="shared" si="3"/>
        <v>0</v>
      </c>
      <c r="G50" s="643">
        <f>IF(C50=0,0,'RMCS.PA'!M49)</f>
        <v>0</v>
      </c>
      <c r="H50" s="643">
        <f>IF(C50=0,0,'CASTILLOS-PA'!K50)</f>
        <v>0</v>
      </c>
      <c r="I50" s="594">
        <f t="shared" si="4"/>
        <v>0</v>
      </c>
      <c r="J50" s="594">
        <f t="shared" si="5"/>
        <v>0</v>
      </c>
      <c r="K50" s="595">
        <f t="shared" si="6"/>
        <v>0</v>
      </c>
      <c r="L50" s="594">
        <f t="shared" si="7"/>
        <v>0</v>
      </c>
      <c r="M50" s="596">
        <f t="shared" si="8"/>
        <v>0</v>
      </c>
      <c r="N50" s="643">
        <f t="shared" si="9"/>
        <v>0</v>
      </c>
      <c r="O50" s="643">
        <f t="shared" si="10"/>
        <v>0</v>
      </c>
      <c r="P50" s="644">
        <f t="shared" si="11"/>
        <v>0</v>
      </c>
      <c r="Q50" s="643">
        <f t="shared" si="12"/>
        <v>0</v>
      </c>
      <c r="R50" s="644">
        <f t="shared" si="13"/>
        <v>0</v>
      </c>
      <c r="S50" s="799">
        <f t="shared" si="14"/>
        <v>0</v>
      </c>
      <c r="T50" s="596">
        <f t="shared" si="15"/>
        <v>0</v>
      </c>
      <c r="U50" s="800">
        <f t="shared" si="16"/>
        <v>0</v>
      </c>
      <c r="V50" s="596">
        <f t="shared" si="17"/>
        <v>0</v>
      </c>
      <c r="W50" s="814">
        <f t="shared" si="18"/>
        <v>0</v>
      </c>
      <c r="X50" s="593">
        <f t="shared" si="2"/>
        <v>0</v>
      </c>
      <c r="AA50" s="593">
        <f t="shared" si="19"/>
        <v>0</v>
      </c>
    </row>
    <row r="51" spans="1:27" hidden="1">
      <c r="A51" s="735">
        <f>'CG. MPA'!A51</f>
        <v>23</v>
      </c>
      <c r="B51" s="798">
        <v>15</v>
      </c>
      <c r="C51" s="643">
        <f>IF('CG. MPA'!E51="CONCRETO",'RMCV.PA'!B51,0)</f>
        <v>0</v>
      </c>
      <c r="D51" s="593">
        <f>IF(C51=0,0,'CG. MPA'!C51*100)</f>
        <v>0</v>
      </c>
      <c r="E51" s="593">
        <f>IF(D51=0,0,'RMCV.PA'!C51)</f>
        <v>0</v>
      </c>
      <c r="F51" s="593">
        <f t="shared" si="3"/>
        <v>0</v>
      </c>
      <c r="G51" s="643">
        <f>IF(C51=0,0,'RMCS.PA'!M50)</f>
        <v>0</v>
      </c>
      <c r="H51" s="643">
        <f>IF(C51=0,0,'CASTILLOS-PA'!K51)</f>
        <v>0</v>
      </c>
      <c r="I51" s="594">
        <f t="shared" si="4"/>
        <v>0</v>
      </c>
      <c r="J51" s="594">
        <f t="shared" si="5"/>
        <v>0</v>
      </c>
      <c r="K51" s="595">
        <f t="shared" si="6"/>
        <v>0</v>
      </c>
      <c r="L51" s="594">
        <f t="shared" si="7"/>
        <v>0</v>
      </c>
      <c r="M51" s="596">
        <f t="shared" si="8"/>
        <v>0</v>
      </c>
      <c r="N51" s="643">
        <f t="shared" si="9"/>
        <v>0</v>
      </c>
      <c r="O51" s="643">
        <f t="shared" si="10"/>
        <v>0</v>
      </c>
      <c r="P51" s="644">
        <f t="shared" si="11"/>
        <v>0</v>
      </c>
      <c r="Q51" s="643">
        <f t="shared" si="12"/>
        <v>0</v>
      </c>
      <c r="R51" s="644">
        <f t="shared" si="13"/>
        <v>0</v>
      </c>
      <c r="S51" s="799">
        <f t="shared" si="14"/>
        <v>0</v>
      </c>
      <c r="T51" s="596">
        <f t="shared" si="15"/>
        <v>0</v>
      </c>
      <c r="U51" s="800">
        <f t="shared" si="16"/>
        <v>0</v>
      </c>
      <c r="V51" s="596">
        <f t="shared" si="17"/>
        <v>0</v>
      </c>
      <c r="W51" s="814">
        <f t="shared" si="18"/>
        <v>0</v>
      </c>
      <c r="X51" s="593">
        <f t="shared" si="2"/>
        <v>0</v>
      </c>
      <c r="AA51" s="593">
        <f t="shared" si="19"/>
        <v>0</v>
      </c>
    </row>
    <row r="52" spans="1:27" hidden="1">
      <c r="A52" s="735">
        <f>'CG. MPA'!A52</f>
        <v>24</v>
      </c>
      <c r="B52" s="798">
        <v>15</v>
      </c>
      <c r="C52" s="643">
        <f>IF('CG. MPA'!E52="CONCRETO",'RMCV.PA'!B52,0)</f>
        <v>0</v>
      </c>
      <c r="D52" s="593">
        <f>IF(C52=0,0,'CG. MPA'!C52*100)</f>
        <v>0</v>
      </c>
      <c r="E52" s="593">
        <f>IF(D52=0,0,'RMCV.PA'!C52)</f>
        <v>0</v>
      </c>
      <c r="F52" s="593">
        <f t="shared" si="3"/>
        <v>0</v>
      </c>
      <c r="G52" s="643">
        <f>IF(C52=0,0,'RMCS.PA'!M51)</f>
        <v>0</v>
      </c>
      <c r="H52" s="643">
        <f>IF(C52=0,0,'CASTILLOS-PA'!K52)</f>
        <v>0</v>
      </c>
      <c r="I52" s="594">
        <f t="shared" si="4"/>
        <v>0</v>
      </c>
      <c r="J52" s="594">
        <f t="shared" si="5"/>
        <v>0</v>
      </c>
      <c r="K52" s="595">
        <f t="shared" si="6"/>
        <v>0</v>
      </c>
      <c r="L52" s="594">
        <f t="shared" si="7"/>
        <v>0</v>
      </c>
      <c r="M52" s="596">
        <f t="shared" si="8"/>
        <v>0</v>
      </c>
      <c r="N52" s="643">
        <f t="shared" si="9"/>
        <v>0</v>
      </c>
      <c r="O52" s="643">
        <f t="shared" si="10"/>
        <v>0</v>
      </c>
      <c r="P52" s="644">
        <f t="shared" si="11"/>
        <v>0</v>
      </c>
      <c r="Q52" s="643">
        <f t="shared" si="12"/>
        <v>0</v>
      </c>
      <c r="R52" s="644">
        <f t="shared" si="13"/>
        <v>0</v>
      </c>
      <c r="S52" s="799">
        <f t="shared" si="14"/>
        <v>0</v>
      </c>
      <c r="T52" s="596">
        <f t="shared" si="15"/>
        <v>0</v>
      </c>
      <c r="U52" s="800">
        <f t="shared" si="16"/>
        <v>0</v>
      </c>
      <c r="V52" s="596">
        <f t="shared" si="17"/>
        <v>0</v>
      </c>
      <c r="W52" s="814">
        <f t="shared" si="18"/>
        <v>0</v>
      </c>
      <c r="X52" s="593">
        <f t="shared" si="2"/>
        <v>0</v>
      </c>
      <c r="AA52" s="593">
        <f t="shared" si="19"/>
        <v>0</v>
      </c>
    </row>
    <row r="53" spans="1:27" hidden="1">
      <c r="A53" s="735">
        <f>'CG. MPA'!A53</f>
        <v>25</v>
      </c>
      <c r="B53" s="798">
        <v>15</v>
      </c>
      <c r="C53" s="643">
        <f>IF('CG. MPA'!E53="CONCRETO",'RMCV.PA'!B53,0)</f>
        <v>0</v>
      </c>
      <c r="D53" s="593">
        <f>IF(C53=0,0,'CG. MPA'!C53*100)</f>
        <v>0</v>
      </c>
      <c r="E53" s="593">
        <f>IF(D53=0,0,'RMCV.PA'!C53)</f>
        <v>0</v>
      </c>
      <c r="F53" s="593">
        <f t="shared" si="3"/>
        <v>0</v>
      </c>
      <c r="G53" s="643">
        <f>IF(C53=0,0,'RMCS.PA'!M52)</f>
        <v>0</v>
      </c>
      <c r="H53" s="643">
        <f>IF(C53=0,0,'CASTILLOS-PA'!K53)</f>
        <v>0</v>
      </c>
      <c r="I53" s="594">
        <f t="shared" si="4"/>
        <v>0</v>
      </c>
      <c r="J53" s="594">
        <f t="shared" si="5"/>
        <v>0</v>
      </c>
      <c r="K53" s="595">
        <f t="shared" si="6"/>
        <v>0</v>
      </c>
      <c r="L53" s="594">
        <f t="shared" si="7"/>
        <v>0</v>
      </c>
      <c r="M53" s="596">
        <f t="shared" si="8"/>
        <v>0</v>
      </c>
      <c r="N53" s="643">
        <f t="shared" si="9"/>
        <v>0</v>
      </c>
      <c r="O53" s="643">
        <f t="shared" si="10"/>
        <v>0</v>
      </c>
      <c r="P53" s="644">
        <f t="shared" si="11"/>
        <v>0</v>
      </c>
      <c r="Q53" s="643">
        <f t="shared" si="12"/>
        <v>0</v>
      </c>
      <c r="R53" s="644">
        <f t="shared" si="13"/>
        <v>0</v>
      </c>
      <c r="S53" s="799">
        <f t="shared" si="14"/>
        <v>0</v>
      </c>
      <c r="T53" s="596">
        <f t="shared" si="15"/>
        <v>0</v>
      </c>
      <c r="U53" s="800">
        <f t="shared" si="16"/>
        <v>0</v>
      </c>
      <c r="V53" s="596">
        <f t="shared" si="17"/>
        <v>0</v>
      </c>
      <c r="W53" s="814">
        <f t="shared" si="18"/>
        <v>0</v>
      </c>
      <c r="X53" s="593">
        <f t="shared" si="2"/>
        <v>0</v>
      </c>
      <c r="AA53" s="593">
        <f t="shared" si="19"/>
        <v>0</v>
      </c>
    </row>
    <row r="54" spans="1:27" hidden="1">
      <c r="A54" s="735">
        <f>'CG. MPA'!A54</f>
        <v>26</v>
      </c>
      <c r="B54" s="798">
        <v>15</v>
      </c>
      <c r="C54" s="643">
        <f>IF('CG. MPA'!E54="CONCRETO",'RMCV.PA'!B54,0)</f>
        <v>0</v>
      </c>
      <c r="D54" s="593">
        <f>IF(C54=0,0,'CG. MPA'!C54*100)</f>
        <v>0</v>
      </c>
      <c r="E54" s="593">
        <f>IF(D54=0,0,'RMCV.PA'!C54)</f>
        <v>0</v>
      </c>
      <c r="F54" s="593">
        <f t="shared" si="3"/>
        <v>0</v>
      </c>
      <c r="G54" s="643">
        <f>IF(C54=0,0,'RMCS.PA'!M53)</f>
        <v>0</v>
      </c>
      <c r="H54" s="643">
        <f>IF(C54=0,0,'CASTILLOS-PA'!K54)</f>
        <v>0</v>
      </c>
      <c r="I54" s="594">
        <f t="shared" si="4"/>
        <v>0</v>
      </c>
      <c r="J54" s="594">
        <f t="shared" si="5"/>
        <v>0</v>
      </c>
      <c r="K54" s="595">
        <f t="shared" si="6"/>
        <v>0</v>
      </c>
      <c r="L54" s="594">
        <f t="shared" si="7"/>
        <v>0</v>
      </c>
      <c r="M54" s="596">
        <f t="shared" si="8"/>
        <v>0</v>
      </c>
      <c r="N54" s="643">
        <f t="shared" si="9"/>
        <v>0</v>
      </c>
      <c r="O54" s="643">
        <f t="shared" si="10"/>
        <v>0</v>
      </c>
      <c r="P54" s="644">
        <f t="shared" si="11"/>
        <v>0</v>
      </c>
      <c r="Q54" s="643">
        <f t="shared" si="12"/>
        <v>0</v>
      </c>
      <c r="R54" s="644">
        <f t="shared" si="13"/>
        <v>0</v>
      </c>
      <c r="S54" s="799">
        <f t="shared" si="14"/>
        <v>0</v>
      </c>
      <c r="T54" s="596">
        <f t="shared" si="15"/>
        <v>0</v>
      </c>
      <c r="U54" s="800">
        <f t="shared" si="16"/>
        <v>0</v>
      </c>
      <c r="V54" s="596">
        <f t="shared" si="17"/>
        <v>0</v>
      </c>
      <c r="W54" s="814">
        <f t="shared" si="18"/>
        <v>0</v>
      </c>
      <c r="X54" s="593">
        <f t="shared" si="2"/>
        <v>0</v>
      </c>
      <c r="AA54" s="593">
        <f t="shared" si="19"/>
        <v>0</v>
      </c>
    </row>
    <row r="55" spans="1:27" hidden="1">
      <c r="A55" s="735">
        <f>'CG. MPA'!A55</f>
        <v>27</v>
      </c>
      <c r="B55" s="798">
        <v>15</v>
      </c>
      <c r="C55" s="643">
        <f>IF('CG. MPA'!E55="CONCRETO",'RMCV.PA'!B55,0)</f>
        <v>0</v>
      </c>
      <c r="D55" s="593">
        <f>IF(C55=0,0,'CG. MPA'!C55*100)</f>
        <v>0</v>
      </c>
      <c r="E55" s="593">
        <f>IF(D55=0,0,'RMCV.PA'!C55)</f>
        <v>0</v>
      </c>
      <c r="F55" s="593">
        <f t="shared" si="3"/>
        <v>0</v>
      </c>
      <c r="G55" s="643">
        <f>IF(C55=0,0,'RMCS.PA'!M54)</f>
        <v>0</v>
      </c>
      <c r="H55" s="643">
        <f>IF(C55=0,0,'CASTILLOS-PA'!K55)</f>
        <v>0</v>
      </c>
      <c r="I55" s="594">
        <f t="shared" si="4"/>
        <v>0</v>
      </c>
      <c r="J55" s="594">
        <f t="shared" si="5"/>
        <v>0</v>
      </c>
      <c r="K55" s="595">
        <f t="shared" si="6"/>
        <v>0</v>
      </c>
      <c r="L55" s="594">
        <f t="shared" si="7"/>
        <v>0</v>
      </c>
      <c r="M55" s="596">
        <f t="shared" si="8"/>
        <v>0</v>
      </c>
      <c r="N55" s="643">
        <f t="shared" si="9"/>
        <v>0</v>
      </c>
      <c r="O55" s="643">
        <f t="shared" si="10"/>
        <v>0</v>
      </c>
      <c r="P55" s="644">
        <f t="shared" si="11"/>
        <v>0</v>
      </c>
      <c r="Q55" s="643">
        <f t="shared" si="12"/>
        <v>0</v>
      </c>
      <c r="R55" s="644">
        <f t="shared" si="13"/>
        <v>0</v>
      </c>
      <c r="S55" s="799">
        <f t="shared" si="14"/>
        <v>0</v>
      </c>
      <c r="T55" s="596">
        <f t="shared" si="15"/>
        <v>0</v>
      </c>
      <c r="U55" s="800">
        <f t="shared" si="16"/>
        <v>0</v>
      </c>
      <c r="V55" s="596">
        <f t="shared" si="17"/>
        <v>0</v>
      </c>
      <c r="W55" s="814">
        <f t="shared" si="18"/>
        <v>0</v>
      </c>
      <c r="X55" s="593">
        <f t="shared" si="2"/>
        <v>0</v>
      </c>
      <c r="AA55" s="593">
        <f t="shared" si="19"/>
        <v>0</v>
      </c>
    </row>
    <row r="56" spans="1:27" hidden="1">
      <c r="A56" s="735">
        <f>'CG. MPA'!A56</f>
        <v>28</v>
      </c>
      <c r="B56" s="798">
        <v>15</v>
      </c>
      <c r="C56" s="643">
        <f>IF('CG. MPA'!E56="CONCRETO",'RMCV.PA'!B56,0)</f>
        <v>0</v>
      </c>
      <c r="D56" s="593">
        <f>IF(C56=0,0,'CG. MPA'!C56*100)</f>
        <v>0</v>
      </c>
      <c r="E56" s="593">
        <f>IF(D56=0,0,'RMCV.PA'!C56)</f>
        <v>0</v>
      </c>
      <c r="F56" s="593">
        <f t="shared" si="3"/>
        <v>0</v>
      </c>
      <c r="G56" s="643">
        <f>IF(C56=0,0,'RMCS.PA'!M55)</f>
        <v>0</v>
      </c>
      <c r="H56" s="643">
        <f>IF(C56=0,0,'CASTILLOS-PA'!K56)</f>
        <v>0</v>
      </c>
      <c r="I56" s="594">
        <f t="shared" si="4"/>
        <v>0</v>
      </c>
      <c r="J56" s="594">
        <f t="shared" si="5"/>
        <v>0</v>
      </c>
      <c r="K56" s="595">
        <f t="shared" si="6"/>
        <v>0</v>
      </c>
      <c r="L56" s="594">
        <f t="shared" si="7"/>
        <v>0</v>
      </c>
      <c r="M56" s="596">
        <f t="shared" si="8"/>
        <v>0</v>
      </c>
      <c r="N56" s="643">
        <f t="shared" si="9"/>
        <v>0</v>
      </c>
      <c r="O56" s="643">
        <f t="shared" si="10"/>
        <v>0</v>
      </c>
      <c r="P56" s="644">
        <f t="shared" si="11"/>
        <v>0</v>
      </c>
      <c r="Q56" s="643">
        <f t="shared" si="12"/>
        <v>0</v>
      </c>
      <c r="R56" s="644">
        <f t="shared" si="13"/>
        <v>0</v>
      </c>
      <c r="S56" s="799">
        <f t="shared" si="14"/>
        <v>0</v>
      </c>
      <c r="T56" s="596">
        <f t="shared" si="15"/>
        <v>0</v>
      </c>
      <c r="U56" s="800">
        <f t="shared" si="16"/>
        <v>0</v>
      </c>
      <c r="V56" s="596">
        <f t="shared" si="17"/>
        <v>0</v>
      </c>
      <c r="W56" s="814">
        <f t="shared" si="18"/>
        <v>0</v>
      </c>
      <c r="X56" s="593">
        <f t="shared" si="2"/>
        <v>0</v>
      </c>
      <c r="AA56" s="593">
        <f t="shared" si="19"/>
        <v>0</v>
      </c>
    </row>
    <row r="57" spans="1:27" hidden="1">
      <c r="A57" s="735">
        <f>'CG. MPA'!A57</f>
        <v>29</v>
      </c>
      <c r="B57" s="798">
        <v>15</v>
      </c>
      <c r="C57" s="643">
        <f>IF('CG. MPA'!E57="CONCRETO",'RMCV.PA'!B57,0)</f>
        <v>0</v>
      </c>
      <c r="D57" s="593">
        <f>IF(C57=0,0,'CG. MPA'!C57*100)</f>
        <v>0</v>
      </c>
      <c r="E57" s="593">
        <f>IF(D57=0,0,'RMCV.PA'!C57)</f>
        <v>0</v>
      </c>
      <c r="F57" s="593">
        <f t="shared" si="3"/>
        <v>0</v>
      </c>
      <c r="G57" s="643">
        <f>IF(C57=0,0,'RMCS.PA'!M56)</f>
        <v>0</v>
      </c>
      <c r="H57" s="643">
        <f>IF(C57=0,0,'CASTILLOS-PA'!K57)</f>
        <v>0</v>
      </c>
      <c r="I57" s="594">
        <f t="shared" si="4"/>
        <v>0</v>
      </c>
      <c r="J57" s="594">
        <f t="shared" si="5"/>
        <v>0</v>
      </c>
      <c r="K57" s="595">
        <f t="shared" si="6"/>
        <v>0</v>
      </c>
      <c r="L57" s="594">
        <f t="shared" si="7"/>
        <v>0</v>
      </c>
      <c r="M57" s="596">
        <f t="shared" si="8"/>
        <v>0</v>
      </c>
      <c r="N57" s="643">
        <f t="shared" si="9"/>
        <v>0</v>
      </c>
      <c r="O57" s="643">
        <f t="shared" si="10"/>
        <v>0</v>
      </c>
      <c r="P57" s="644">
        <f t="shared" si="11"/>
        <v>0</v>
      </c>
      <c r="Q57" s="643">
        <f t="shared" si="12"/>
        <v>0</v>
      </c>
      <c r="R57" s="644">
        <f t="shared" si="13"/>
        <v>0</v>
      </c>
      <c r="S57" s="799">
        <f t="shared" si="14"/>
        <v>0</v>
      </c>
      <c r="T57" s="596">
        <f t="shared" si="15"/>
        <v>0</v>
      </c>
      <c r="U57" s="800">
        <f t="shared" si="16"/>
        <v>0</v>
      </c>
      <c r="V57" s="596">
        <f t="shared" si="17"/>
        <v>0</v>
      </c>
      <c r="W57" s="814">
        <f t="shared" si="18"/>
        <v>0</v>
      </c>
      <c r="X57" s="593">
        <f t="shared" si="2"/>
        <v>0</v>
      </c>
      <c r="AA57" s="593">
        <f t="shared" si="19"/>
        <v>0</v>
      </c>
    </row>
    <row r="58" spans="1:27" hidden="1">
      <c r="A58" s="735">
        <f>'CG. MPA'!A58</f>
        <v>30</v>
      </c>
      <c r="B58" s="798">
        <v>15</v>
      </c>
      <c r="C58" s="643">
        <f>IF('CG. MPA'!E58="CONCRETO",'RMCV.PA'!B58,0)</f>
        <v>0</v>
      </c>
      <c r="D58" s="593">
        <f>IF(C58=0,0,'CG. MPA'!C58*100)</f>
        <v>0</v>
      </c>
      <c r="E58" s="593">
        <f>IF(D58=0,0,'RMCV.PA'!C58)</f>
        <v>0</v>
      </c>
      <c r="F58" s="593">
        <f t="shared" si="3"/>
        <v>0</v>
      </c>
      <c r="G58" s="643">
        <f>IF(C58=0,0,'RMCS.PA'!M57)</f>
        <v>0</v>
      </c>
      <c r="H58" s="643">
        <f>IF(C58=0,0,'CASTILLOS-PA'!K58)</f>
        <v>0</v>
      </c>
      <c r="I58" s="594">
        <f t="shared" si="4"/>
        <v>0</v>
      </c>
      <c r="J58" s="594">
        <f t="shared" si="5"/>
        <v>0</v>
      </c>
      <c r="K58" s="595">
        <f t="shared" si="6"/>
        <v>0</v>
      </c>
      <c r="L58" s="594">
        <f t="shared" si="7"/>
        <v>0</v>
      </c>
      <c r="M58" s="596">
        <f t="shared" si="8"/>
        <v>0</v>
      </c>
      <c r="N58" s="643">
        <f t="shared" si="9"/>
        <v>0</v>
      </c>
      <c r="O58" s="643">
        <f t="shared" si="10"/>
        <v>0</v>
      </c>
      <c r="P58" s="644">
        <f t="shared" si="11"/>
        <v>0</v>
      </c>
      <c r="Q58" s="643">
        <f t="shared" si="12"/>
        <v>0</v>
      </c>
      <c r="R58" s="644">
        <f t="shared" si="13"/>
        <v>0</v>
      </c>
      <c r="S58" s="799">
        <f t="shared" si="14"/>
        <v>0</v>
      </c>
      <c r="T58" s="596">
        <f t="shared" si="15"/>
        <v>0</v>
      </c>
      <c r="U58" s="800">
        <f t="shared" si="16"/>
        <v>0</v>
      </c>
      <c r="V58" s="596">
        <f t="shared" si="17"/>
        <v>0</v>
      </c>
      <c r="W58" s="814">
        <f t="shared" si="18"/>
        <v>0</v>
      </c>
      <c r="X58" s="593">
        <f t="shared" si="2"/>
        <v>0</v>
      </c>
      <c r="AA58" s="593">
        <f t="shared" si="19"/>
        <v>0</v>
      </c>
    </row>
    <row r="59" spans="1:27" hidden="1">
      <c r="A59" s="735">
        <f>'CG. MPA'!A59</f>
        <v>31</v>
      </c>
      <c r="B59" s="798">
        <v>15</v>
      </c>
      <c r="C59" s="643">
        <f>IF('CG. MPA'!E59="CONCRETO",'RMCV.PA'!B59,0)</f>
        <v>0</v>
      </c>
      <c r="D59" s="593">
        <f>IF(C59=0,0,'CG. MPA'!C59*100)</f>
        <v>0</v>
      </c>
      <c r="E59" s="593">
        <f>IF(D59=0,0,'RMCV.PA'!C59)</f>
        <v>0</v>
      </c>
      <c r="F59" s="593">
        <f t="shared" si="3"/>
        <v>0</v>
      </c>
      <c r="G59" s="643">
        <f>IF(C59=0,0,'RMCS.PA'!M58)</f>
        <v>0</v>
      </c>
      <c r="H59" s="643">
        <f>IF(C59=0,0,'CASTILLOS-PA'!K59)</f>
        <v>0</v>
      </c>
      <c r="I59" s="594">
        <f t="shared" si="4"/>
        <v>0</v>
      </c>
      <c r="J59" s="594">
        <f t="shared" si="5"/>
        <v>0</v>
      </c>
      <c r="K59" s="595">
        <f t="shared" si="6"/>
        <v>0</v>
      </c>
      <c r="L59" s="594">
        <f t="shared" si="7"/>
        <v>0</v>
      </c>
      <c r="M59" s="596">
        <f t="shared" si="8"/>
        <v>0</v>
      </c>
      <c r="N59" s="643">
        <f t="shared" si="9"/>
        <v>0</v>
      </c>
      <c r="O59" s="643">
        <f t="shared" si="10"/>
        <v>0</v>
      </c>
      <c r="P59" s="644">
        <f t="shared" si="11"/>
        <v>0</v>
      </c>
      <c r="Q59" s="643">
        <f t="shared" si="12"/>
        <v>0</v>
      </c>
      <c r="R59" s="644">
        <f t="shared" si="13"/>
        <v>0</v>
      </c>
      <c r="S59" s="799">
        <f t="shared" si="14"/>
        <v>0</v>
      </c>
      <c r="T59" s="596">
        <f t="shared" si="15"/>
        <v>0</v>
      </c>
      <c r="U59" s="800">
        <f t="shared" si="16"/>
        <v>0</v>
      </c>
      <c r="V59" s="596">
        <f t="shared" si="17"/>
        <v>0</v>
      </c>
      <c r="W59" s="814">
        <f t="shared" si="18"/>
        <v>0</v>
      </c>
      <c r="AA59" s="593">
        <f t="shared" si="19"/>
        <v>0</v>
      </c>
    </row>
    <row r="60" spans="1:27" hidden="1">
      <c r="A60" s="735">
        <f>'CG. MPA'!A60</f>
        <v>32</v>
      </c>
      <c r="B60" s="798">
        <v>15</v>
      </c>
      <c r="C60" s="643">
        <f>IF('CG. MPA'!E60="CONCRETO",'RMCV.PA'!B60,0)</f>
        <v>0</v>
      </c>
      <c r="D60" s="593">
        <f>IF(C60=0,0,'CG. MPA'!C60*100)</f>
        <v>0</v>
      </c>
      <c r="E60" s="593">
        <f>IF(D60=0,0,'RMCV.PA'!C60)</f>
        <v>0</v>
      </c>
      <c r="F60" s="593">
        <f t="shared" si="3"/>
        <v>0</v>
      </c>
      <c r="G60" s="643">
        <f>IF(C60=0,0,'RMCS.PA'!M59)</f>
        <v>0</v>
      </c>
      <c r="H60" s="643">
        <f>IF(C60=0,0,'CASTILLOS-PA'!K60)</f>
        <v>0</v>
      </c>
      <c r="I60" s="594">
        <f t="shared" si="4"/>
        <v>0</v>
      </c>
      <c r="J60" s="594">
        <f t="shared" si="5"/>
        <v>0</v>
      </c>
      <c r="K60" s="595">
        <f t="shared" si="6"/>
        <v>0</v>
      </c>
      <c r="L60" s="594">
        <f t="shared" si="7"/>
        <v>0</v>
      </c>
      <c r="M60" s="596">
        <f t="shared" si="8"/>
        <v>0</v>
      </c>
      <c r="N60" s="643">
        <f t="shared" si="9"/>
        <v>0</v>
      </c>
      <c r="O60" s="643">
        <f t="shared" si="10"/>
        <v>0</v>
      </c>
      <c r="P60" s="644">
        <f t="shared" si="11"/>
        <v>0</v>
      </c>
      <c r="Q60" s="643">
        <f t="shared" si="12"/>
        <v>0</v>
      </c>
      <c r="R60" s="644">
        <f t="shared" si="13"/>
        <v>0</v>
      </c>
      <c r="S60" s="799">
        <f t="shared" si="14"/>
        <v>0</v>
      </c>
      <c r="T60" s="596">
        <f t="shared" si="15"/>
        <v>0</v>
      </c>
      <c r="U60" s="800">
        <f t="shared" si="16"/>
        <v>0</v>
      </c>
      <c r="V60" s="596">
        <f t="shared" si="17"/>
        <v>0</v>
      </c>
      <c r="W60" s="814">
        <f t="shared" si="18"/>
        <v>0</v>
      </c>
      <c r="AA60" s="593">
        <f t="shared" si="19"/>
        <v>0</v>
      </c>
    </row>
    <row r="61" spans="1:27" hidden="1">
      <c r="A61" s="735">
        <f>'CG. MPA'!A61</f>
        <v>33</v>
      </c>
      <c r="B61" s="798">
        <v>15</v>
      </c>
      <c r="C61" s="643">
        <f>IF('CG. MPA'!E61="CONCRETO",'RMCV.PA'!B61,0)</f>
        <v>0</v>
      </c>
      <c r="D61" s="593">
        <f>IF(C61=0,0,'CG. MPA'!C61*100)</f>
        <v>0</v>
      </c>
      <c r="E61" s="593">
        <f>IF(D61=0,0,'RMCV.PA'!C61)</f>
        <v>0</v>
      </c>
      <c r="F61" s="593">
        <f t="shared" si="3"/>
        <v>0</v>
      </c>
      <c r="G61" s="643">
        <f>IF(C61=0,0,'RMCS.PA'!M60)</f>
        <v>0</v>
      </c>
      <c r="H61" s="643">
        <f>IF(C61=0,0,'CASTILLOS-PA'!K61)</f>
        <v>0</v>
      </c>
      <c r="I61" s="594">
        <f t="shared" si="4"/>
        <v>0</v>
      </c>
      <c r="J61" s="594">
        <f t="shared" si="5"/>
        <v>0</v>
      </c>
      <c r="K61" s="595">
        <f t="shared" si="6"/>
        <v>0</v>
      </c>
      <c r="L61" s="594">
        <f t="shared" si="7"/>
        <v>0</v>
      </c>
      <c r="M61" s="596">
        <f t="shared" si="8"/>
        <v>0</v>
      </c>
      <c r="N61" s="643">
        <f t="shared" si="9"/>
        <v>0</v>
      </c>
      <c r="O61" s="643">
        <f t="shared" si="10"/>
        <v>0</v>
      </c>
      <c r="P61" s="644">
        <f t="shared" si="11"/>
        <v>0</v>
      </c>
      <c r="Q61" s="643">
        <f t="shared" si="12"/>
        <v>0</v>
      </c>
      <c r="R61" s="644">
        <f t="shared" si="13"/>
        <v>0</v>
      </c>
      <c r="S61" s="799">
        <f t="shared" si="14"/>
        <v>0</v>
      </c>
      <c r="T61" s="596">
        <f t="shared" si="15"/>
        <v>0</v>
      </c>
      <c r="U61" s="800">
        <f t="shared" si="16"/>
        <v>0</v>
      </c>
      <c r="V61" s="596">
        <f t="shared" si="17"/>
        <v>0</v>
      </c>
      <c r="W61" s="814">
        <f t="shared" si="18"/>
        <v>0</v>
      </c>
      <c r="AA61" s="593">
        <f t="shared" si="19"/>
        <v>0</v>
      </c>
    </row>
    <row r="62" spans="1:27" hidden="1">
      <c r="A62" s="735">
        <f>'CG. MPA'!A62</f>
        <v>34</v>
      </c>
      <c r="B62" s="798">
        <v>15</v>
      </c>
      <c r="C62" s="643">
        <f>IF('CG. MPA'!E62="CONCRETO",'RMCV.PA'!B62,0)</f>
        <v>0</v>
      </c>
      <c r="D62" s="593">
        <f>IF(C62=0,0,'CG. MPA'!C62*100)</f>
        <v>0</v>
      </c>
      <c r="E62" s="593">
        <f>IF(D62=0,0,'RMCV.PA'!C62)</f>
        <v>0</v>
      </c>
      <c r="F62" s="593">
        <f t="shared" si="3"/>
        <v>0</v>
      </c>
      <c r="G62" s="643">
        <f>IF(C62=0,0,'RMCS.PA'!M61)</f>
        <v>0</v>
      </c>
      <c r="H62" s="643">
        <f>IF(C62=0,0,'CASTILLOS-PA'!K62)</f>
        <v>0</v>
      </c>
      <c r="I62" s="594">
        <f t="shared" si="4"/>
        <v>0</v>
      </c>
      <c r="J62" s="594">
        <f t="shared" si="5"/>
        <v>0</v>
      </c>
      <c r="K62" s="595">
        <f t="shared" si="6"/>
        <v>0</v>
      </c>
      <c r="L62" s="594">
        <f t="shared" si="7"/>
        <v>0</v>
      </c>
      <c r="M62" s="596">
        <f t="shared" si="8"/>
        <v>0</v>
      </c>
      <c r="N62" s="643">
        <f t="shared" si="9"/>
        <v>0</v>
      </c>
      <c r="O62" s="643">
        <f t="shared" si="10"/>
        <v>0</v>
      </c>
      <c r="P62" s="644">
        <f t="shared" si="11"/>
        <v>0</v>
      </c>
      <c r="Q62" s="643">
        <f t="shared" si="12"/>
        <v>0</v>
      </c>
      <c r="R62" s="644">
        <f t="shared" si="13"/>
        <v>0</v>
      </c>
      <c r="S62" s="799">
        <f t="shared" si="14"/>
        <v>0</v>
      </c>
      <c r="T62" s="596">
        <f t="shared" si="15"/>
        <v>0</v>
      </c>
      <c r="U62" s="800">
        <f t="shared" si="16"/>
        <v>0</v>
      </c>
      <c r="V62" s="596">
        <f t="shared" si="17"/>
        <v>0</v>
      </c>
      <c r="W62" s="814">
        <f t="shared" si="18"/>
        <v>0</v>
      </c>
      <c r="AA62" s="593">
        <f t="shared" si="19"/>
        <v>0</v>
      </c>
    </row>
    <row r="63" spans="1:27" hidden="1">
      <c r="A63" s="735">
        <f>'CG. MPA'!A63</f>
        <v>35</v>
      </c>
      <c r="B63" s="798">
        <v>15</v>
      </c>
      <c r="C63" s="643">
        <f>IF('CG. MPA'!E63="CONCRETO",'RMCV.PA'!B63,0)</f>
        <v>0</v>
      </c>
      <c r="D63" s="593">
        <f>IF(C63=0,0,'CG. MPA'!C63*100)</f>
        <v>0</v>
      </c>
      <c r="E63" s="593">
        <f>IF(D63=0,0,'RMCV.PA'!C63)</f>
        <v>0</v>
      </c>
      <c r="F63" s="593">
        <f t="shared" si="3"/>
        <v>0</v>
      </c>
      <c r="G63" s="643">
        <f>IF(C63=0,0,'RMCS.PA'!M62)</f>
        <v>0</v>
      </c>
      <c r="H63" s="643">
        <f>IF(C63=0,0,'CASTILLOS-PA'!K63)</f>
        <v>0</v>
      </c>
      <c r="I63" s="594">
        <f t="shared" si="4"/>
        <v>0</v>
      </c>
      <c r="J63" s="594">
        <f t="shared" si="5"/>
        <v>0</v>
      </c>
      <c r="K63" s="595">
        <f t="shared" si="6"/>
        <v>0</v>
      </c>
      <c r="L63" s="594">
        <f t="shared" si="7"/>
        <v>0</v>
      </c>
      <c r="M63" s="596">
        <f t="shared" si="8"/>
        <v>0</v>
      </c>
      <c r="N63" s="643">
        <f t="shared" si="9"/>
        <v>0</v>
      </c>
      <c r="O63" s="643">
        <f t="shared" si="10"/>
        <v>0</v>
      </c>
      <c r="P63" s="644">
        <f t="shared" si="11"/>
        <v>0</v>
      </c>
      <c r="Q63" s="643">
        <f t="shared" si="12"/>
        <v>0</v>
      </c>
      <c r="R63" s="644">
        <f t="shared" si="13"/>
        <v>0</v>
      </c>
      <c r="S63" s="799">
        <f t="shared" si="14"/>
        <v>0</v>
      </c>
      <c r="T63" s="596">
        <f t="shared" si="15"/>
        <v>0</v>
      </c>
      <c r="U63" s="800">
        <f t="shared" si="16"/>
        <v>0</v>
      </c>
      <c r="V63" s="596">
        <f t="shared" si="17"/>
        <v>0</v>
      </c>
      <c r="W63" s="814">
        <f t="shared" si="18"/>
        <v>0</v>
      </c>
      <c r="AA63" s="593">
        <f t="shared" si="19"/>
        <v>0</v>
      </c>
    </row>
    <row r="64" spans="1:27" hidden="1">
      <c r="A64" s="735">
        <f>'CG. MPA'!A64</f>
        <v>36</v>
      </c>
      <c r="B64" s="798">
        <v>15</v>
      </c>
      <c r="C64" s="643">
        <f>IF('CG. MPA'!E64="CONCRETO",'RMCV.PA'!B64,0)</f>
        <v>0</v>
      </c>
      <c r="D64" s="593">
        <f>IF(C64=0,0,'CG. MPA'!C64*100)</f>
        <v>0</v>
      </c>
      <c r="E64" s="593">
        <f>IF(D64=0,0,'RMCV.PA'!C64)</f>
        <v>0</v>
      </c>
      <c r="F64" s="593">
        <f t="shared" si="3"/>
        <v>0</v>
      </c>
      <c r="G64" s="643">
        <f>IF(C64=0,0,'RMCS.PA'!M63)</f>
        <v>0</v>
      </c>
      <c r="H64" s="643">
        <f>IF(C64=0,0,'CASTILLOS-PA'!K64)</f>
        <v>0</v>
      </c>
      <c r="I64" s="594">
        <f t="shared" si="4"/>
        <v>0</v>
      </c>
      <c r="J64" s="594">
        <f t="shared" si="5"/>
        <v>0</v>
      </c>
      <c r="K64" s="595">
        <f t="shared" si="6"/>
        <v>0</v>
      </c>
      <c r="L64" s="594">
        <f t="shared" si="7"/>
        <v>0</v>
      </c>
      <c r="M64" s="596">
        <f t="shared" si="8"/>
        <v>0</v>
      </c>
      <c r="N64" s="643">
        <f t="shared" si="9"/>
        <v>0</v>
      </c>
      <c r="O64" s="643">
        <f t="shared" si="10"/>
        <v>0</v>
      </c>
      <c r="P64" s="644">
        <f t="shared" si="11"/>
        <v>0</v>
      </c>
      <c r="Q64" s="643">
        <f t="shared" si="12"/>
        <v>0</v>
      </c>
      <c r="R64" s="644">
        <f t="shared" si="13"/>
        <v>0</v>
      </c>
      <c r="S64" s="799">
        <f t="shared" si="14"/>
        <v>0</v>
      </c>
      <c r="T64" s="596">
        <f t="shared" si="15"/>
        <v>0</v>
      </c>
      <c r="U64" s="800">
        <f t="shared" si="16"/>
        <v>0</v>
      </c>
      <c r="V64" s="596">
        <f t="shared" si="17"/>
        <v>0</v>
      </c>
      <c r="W64" s="814">
        <f t="shared" si="18"/>
        <v>0</v>
      </c>
      <c r="AA64" s="593">
        <f t="shared" si="19"/>
        <v>0</v>
      </c>
    </row>
    <row r="65" spans="1:27" hidden="1">
      <c r="A65" s="735">
        <f>'CG. MPA'!A65</f>
        <v>37</v>
      </c>
      <c r="B65" s="798">
        <v>15</v>
      </c>
      <c r="C65" s="643">
        <f>IF('CG. MPA'!E65="CONCRETO",'RMCV.PA'!B65,0)</f>
        <v>0</v>
      </c>
      <c r="D65" s="593">
        <f>IF(C65=0,0,'CG. MPA'!C65*100)</f>
        <v>0</v>
      </c>
      <c r="E65" s="593">
        <f>IF(D65=0,0,'RMCV.PA'!C65)</f>
        <v>0</v>
      </c>
      <c r="F65" s="593">
        <f t="shared" si="3"/>
        <v>0</v>
      </c>
      <c r="G65" s="643">
        <f>IF(C65=0,0,'RMCS.PA'!M64)</f>
        <v>0</v>
      </c>
      <c r="H65" s="643">
        <f>IF(C65=0,0,'CASTILLOS-PA'!K65)</f>
        <v>0</v>
      </c>
      <c r="I65" s="594">
        <f t="shared" si="4"/>
        <v>0</v>
      </c>
      <c r="J65" s="594">
        <f t="shared" si="5"/>
        <v>0</v>
      </c>
      <c r="K65" s="595">
        <f t="shared" si="6"/>
        <v>0</v>
      </c>
      <c r="L65" s="594">
        <f t="shared" si="7"/>
        <v>0</v>
      </c>
      <c r="M65" s="596">
        <f t="shared" si="8"/>
        <v>0</v>
      </c>
      <c r="N65" s="643">
        <f t="shared" si="9"/>
        <v>0</v>
      </c>
      <c r="O65" s="643">
        <f t="shared" si="10"/>
        <v>0</v>
      </c>
      <c r="P65" s="644">
        <f t="shared" si="11"/>
        <v>0</v>
      </c>
      <c r="Q65" s="643">
        <f t="shared" si="12"/>
        <v>0</v>
      </c>
      <c r="R65" s="644">
        <f t="shared" si="13"/>
        <v>0</v>
      </c>
      <c r="S65" s="799">
        <f t="shared" si="14"/>
        <v>0</v>
      </c>
      <c r="T65" s="596">
        <f t="shared" si="15"/>
        <v>0</v>
      </c>
      <c r="U65" s="800">
        <f t="shared" si="16"/>
        <v>0</v>
      </c>
      <c r="V65" s="596">
        <f t="shared" si="17"/>
        <v>0</v>
      </c>
      <c r="W65" s="814">
        <f t="shared" si="18"/>
        <v>0</v>
      </c>
      <c r="AA65" s="593">
        <f t="shared" si="19"/>
        <v>0</v>
      </c>
    </row>
    <row r="66" spans="1:27" hidden="1">
      <c r="A66" s="735">
        <f>'CG. MPA'!A66</f>
        <v>38</v>
      </c>
      <c r="B66" s="798">
        <v>15</v>
      </c>
      <c r="C66" s="643">
        <f>IF('CG. MPA'!E66="CONCRETO",'RMCV.PA'!B66,0)</f>
        <v>0</v>
      </c>
      <c r="D66" s="593">
        <f>IF(C66=0,0,'CG. MPA'!C66*100)</f>
        <v>0</v>
      </c>
      <c r="E66" s="593">
        <f>IF(D66=0,0,'RMCV.PA'!C66)</f>
        <v>0</v>
      </c>
      <c r="F66" s="593">
        <f t="shared" si="3"/>
        <v>0</v>
      </c>
      <c r="G66" s="643">
        <f>IF(C66=0,0,'RMCS.PA'!M65)</f>
        <v>0</v>
      </c>
      <c r="H66" s="643">
        <f>IF(C66=0,0,'CASTILLOS-PA'!K66)</f>
        <v>0</v>
      </c>
      <c r="I66" s="594">
        <f t="shared" si="4"/>
        <v>0</v>
      </c>
      <c r="J66" s="594">
        <f t="shared" si="5"/>
        <v>0</v>
      </c>
      <c r="K66" s="595">
        <f t="shared" si="6"/>
        <v>0</v>
      </c>
      <c r="L66" s="594">
        <f t="shared" si="7"/>
        <v>0</v>
      </c>
      <c r="M66" s="596">
        <f t="shared" si="8"/>
        <v>0</v>
      </c>
      <c r="N66" s="643">
        <f t="shared" si="9"/>
        <v>0</v>
      </c>
      <c r="O66" s="643">
        <f t="shared" si="10"/>
        <v>0</v>
      </c>
      <c r="P66" s="644">
        <f t="shared" si="11"/>
        <v>0</v>
      </c>
      <c r="Q66" s="643">
        <f t="shared" si="12"/>
        <v>0</v>
      </c>
      <c r="R66" s="644">
        <f t="shared" si="13"/>
        <v>0</v>
      </c>
      <c r="S66" s="799">
        <f t="shared" si="14"/>
        <v>0</v>
      </c>
      <c r="T66" s="596">
        <f t="shared" si="15"/>
        <v>0</v>
      </c>
      <c r="U66" s="800">
        <f t="shared" si="16"/>
        <v>0</v>
      </c>
      <c r="V66" s="596">
        <f t="shared" si="17"/>
        <v>0</v>
      </c>
      <c r="W66" s="814">
        <f t="shared" si="18"/>
        <v>0</v>
      </c>
      <c r="AA66" s="593">
        <f t="shared" si="19"/>
        <v>0</v>
      </c>
    </row>
    <row r="67" spans="1:27" hidden="1">
      <c r="A67" s="735">
        <f>'CG. MPA'!A67</f>
        <v>39</v>
      </c>
      <c r="B67" s="798">
        <v>15</v>
      </c>
      <c r="C67" s="643">
        <f>IF('CG. MPA'!E67="CONCRETO",'RMCV.PA'!B67,0)</f>
        <v>0</v>
      </c>
      <c r="D67" s="593">
        <f>IF(C67=0,0,'CG. MPA'!C67*100)</f>
        <v>0</v>
      </c>
      <c r="E67" s="593">
        <f>IF(D67=0,0,'RMCV.PA'!C67)</f>
        <v>0</v>
      </c>
      <c r="F67" s="593">
        <f t="shared" si="3"/>
        <v>0</v>
      </c>
      <c r="G67" s="643">
        <f>IF(C67=0,0,'RMCS.PA'!M66)</f>
        <v>0</v>
      </c>
      <c r="H67" s="643">
        <f>IF(C67=0,0,'CASTILLOS-PA'!K67)</f>
        <v>0</v>
      </c>
      <c r="I67" s="594">
        <f t="shared" si="4"/>
        <v>0</v>
      </c>
      <c r="J67" s="594">
        <f t="shared" si="5"/>
        <v>0</v>
      </c>
      <c r="K67" s="595">
        <f t="shared" si="6"/>
        <v>0</v>
      </c>
      <c r="L67" s="594">
        <f t="shared" si="7"/>
        <v>0</v>
      </c>
      <c r="M67" s="596">
        <f t="shared" si="8"/>
        <v>0</v>
      </c>
      <c r="N67" s="643">
        <f t="shared" si="9"/>
        <v>0</v>
      </c>
      <c r="O67" s="643">
        <f t="shared" si="10"/>
        <v>0</v>
      </c>
      <c r="P67" s="644">
        <f t="shared" si="11"/>
        <v>0</v>
      </c>
      <c r="Q67" s="643">
        <f t="shared" si="12"/>
        <v>0</v>
      </c>
      <c r="R67" s="644">
        <f t="shared" si="13"/>
        <v>0</v>
      </c>
      <c r="S67" s="799">
        <f t="shared" si="14"/>
        <v>0</v>
      </c>
      <c r="T67" s="596">
        <f t="shared" si="15"/>
        <v>0</v>
      </c>
      <c r="U67" s="800">
        <f t="shared" si="16"/>
        <v>0</v>
      </c>
      <c r="V67" s="596">
        <f t="shared" si="17"/>
        <v>0</v>
      </c>
      <c r="W67" s="814">
        <f t="shared" si="18"/>
        <v>0</v>
      </c>
      <c r="AA67" s="593">
        <f t="shared" si="19"/>
        <v>0</v>
      </c>
    </row>
    <row r="68" spans="1:27" hidden="1">
      <c r="A68" s="735">
        <f>'CG. MPA'!A68</f>
        <v>40</v>
      </c>
      <c r="B68" s="798">
        <v>15</v>
      </c>
      <c r="C68" s="643">
        <f>IF('CG. MPA'!E68="CONCRETO",'RMCV.PA'!B68,0)</f>
        <v>0</v>
      </c>
      <c r="D68" s="593">
        <f>IF(C68=0,0,'CG. MPA'!C68*100)</f>
        <v>0</v>
      </c>
      <c r="E68" s="593">
        <f>IF(D68=0,0,'RMCV.PA'!C68)</f>
        <v>0</v>
      </c>
      <c r="F68" s="593">
        <f t="shared" si="3"/>
        <v>0</v>
      </c>
      <c r="G68" s="643">
        <f>IF(C68=0,0,'RMCS.PA'!M67)</f>
        <v>0</v>
      </c>
      <c r="H68" s="643">
        <f>IF(C68=0,0,'CASTILLOS-PA'!K68)</f>
        <v>0</v>
      </c>
      <c r="I68" s="594">
        <f t="shared" si="4"/>
        <v>0</v>
      </c>
      <c r="J68" s="594">
        <f t="shared" si="5"/>
        <v>0</v>
      </c>
      <c r="K68" s="595">
        <f t="shared" si="6"/>
        <v>0</v>
      </c>
      <c r="L68" s="594">
        <f t="shared" si="7"/>
        <v>0</v>
      </c>
      <c r="M68" s="596">
        <f t="shared" si="8"/>
        <v>0</v>
      </c>
      <c r="N68" s="643">
        <f t="shared" si="9"/>
        <v>0</v>
      </c>
      <c r="O68" s="643">
        <f t="shared" si="10"/>
        <v>0</v>
      </c>
      <c r="P68" s="644">
        <f t="shared" si="11"/>
        <v>0</v>
      </c>
      <c r="Q68" s="643">
        <f t="shared" si="12"/>
        <v>0</v>
      </c>
      <c r="R68" s="644">
        <f t="shared" si="13"/>
        <v>0</v>
      </c>
      <c r="S68" s="799">
        <f t="shared" si="14"/>
        <v>0</v>
      </c>
      <c r="T68" s="596">
        <f t="shared" si="15"/>
        <v>0</v>
      </c>
      <c r="U68" s="800">
        <f t="shared" si="16"/>
        <v>0</v>
      </c>
      <c r="V68" s="596">
        <f t="shared" si="17"/>
        <v>0</v>
      </c>
      <c r="W68" s="814">
        <f t="shared" si="18"/>
        <v>0</v>
      </c>
      <c r="AA68" s="593">
        <f t="shared" si="19"/>
        <v>0</v>
      </c>
    </row>
    <row r="69" spans="1:27" hidden="1">
      <c r="A69" s="735">
        <f>'CG. MPA'!A69</f>
        <v>41</v>
      </c>
      <c r="B69" s="798">
        <v>15</v>
      </c>
      <c r="C69" s="643">
        <f>IF('CG. MPA'!E69="CONCRETO",'RMCV.PA'!B69,0)</f>
        <v>0</v>
      </c>
      <c r="D69" s="593">
        <f>IF(C69=0,0,'CG. MPA'!C69*100)</f>
        <v>0</v>
      </c>
      <c r="E69" s="593">
        <f>IF(D69=0,0,'RMCV.PA'!C69)</f>
        <v>0</v>
      </c>
      <c r="F69" s="593">
        <f t="shared" si="3"/>
        <v>0</v>
      </c>
      <c r="G69" s="643">
        <f>IF(C69=0,0,'RMCS.PA'!M68)</f>
        <v>0</v>
      </c>
      <c r="H69" s="643">
        <f>IF(C69=0,0,'CASTILLOS-PA'!K69)</f>
        <v>0</v>
      </c>
      <c r="I69" s="594">
        <f t="shared" si="4"/>
        <v>0</v>
      </c>
      <c r="J69" s="594">
        <f t="shared" si="5"/>
        <v>0</v>
      </c>
      <c r="K69" s="595">
        <f t="shared" si="6"/>
        <v>0</v>
      </c>
      <c r="L69" s="594">
        <f t="shared" si="7"/>
        <v>0</v>
      </c>
      <c r="M69" s="596">
        <f t="shared" si="8"/>
        <v>0</v>
      </c>
      <c r="N69" s="643">
        <f t="shared" si="9"/>
        <v>0</v>
      </c>
      <c r="O69" s="643">
        <f t="shared" si="10"/>
        <v>0</v>
      </c>
      <c r="P69" s="644">
        <f t="shared" si="11"/>
        <v>0</v>
      </c>
      <c r="Q69" s="643">
        <f t="shared" si="12"/>
        <v>0</v>
      </c>
      <c r="R69" s="644">
        <f t="shared" si="13"/>
        <v>0</v>
      </c>
      <c r="S69" s="799">
        <f t="shared" si="14"/>
        <v>0</v>
      </c>
      <c r="T69" s="596">
        <f t="shared" si="15"/>
        <v>0</v>
      </c>
      <c r="U69" s="800">
        <f t="shared" si="16"/>
        <v>0</v>
      </c>
      <c r="V69" s="596">
        <f t="shared" si="17"/>
        <v>0</v>
      </c>
      <c r="W69" s="814">
        <f t="shared" si="18"/>
        <v>0</v>
      </c>
      <c r="AA69" s="593">
        <f t="shared" si="19"/>
        <v>0</v>
      </c>
    </row>
    <row r="70" spans="1:27" hidden="1">
      <c r="A70" s="735">
        <f>'CG. MPA'!A70</f>
        <v>42</v>
      </c>
      <c r="B70" s="798">
        <v>15</v>
      </c>
      <c r="C70" s="643">
        <f>IF('CG. MPA'!E70="CONCRETO",'RMCV.PA'!B70,0)</f>
        <v>0</v>
      </c>
      <c r="D70" s="593">
        <f>IF(C70=0,0,'CG. MPA'!C70*100)</f>
        <v>0</v>
      </c>
      <c r="E70" s="593">
        <f>IF(D70=0,0,'RMCV.PA'!C70)</f>
        <v>0</v>
      </c>
      <c r="F70" s="593">
        <f t="shared" si="3"/>
        <v>0</v>
      </c>
      <c r="G70" s="643">
        <f>IF(C70=0,0,'RMCS.PA'!M69)</f>
        <v>0</v>
      </c>
      <c r="H70" s="643">
        <f>IF(C70=0,0,'CASTILLOS-PA'!K70)</f>
        <v>0</v>
      </c>
      <c r="I70" s="594">
        <f t="shared" si="4"/>
        <v>0</v>
      </c>
      <c r="J70" s="594">
        <f t="shared" si="5"/>
        <v>0</v>
      </c>
      <c r="K70" s="595">
        <f t="shared" si="6"/>
        <v>0</v>
      </c>
      <c r="L70" s="594">
        <f t="shared" si="7"/>
        <v>0</v>
      </c>
      <c r="M70" s="596">
        <f t="shared" si="8"/>
        <v>0</v>
      </c>
      <c r="N70" s="643">
        <f t="shared" si="9"/>
        <v>0</v>
      </c>
      <c r="O70" s="643">
        <f t="shared" si="10"/>
        <v>0</v>
      </c>
      <c r="P70" s="644">
        <f t="shared" si="11"/>
        <v>0</v>
      </c>
      <c r="Q70" s="643">
        <f t="shared" si="12"/>
        <v>0</v>
      </c>
      <c r="R70" s="644">
        <f t="shared" si="13"/>
        <v>0</v>
      </c>
      <c r="S70" s="799">
        <f t="shared" si="14"/>
        <v>0</v>
      </c>
      <c r="T70" s="596">
        <f t="shared" si="15"/>
        <v>0</v>
      </c>
      <c r="U70" s="800">
        <f t="shared" si="16"/>
        <v>0</v>
      </c>
      <c r="V70" s="596">
        <f t="shared" si="17"/>
        <v>0</v>
      </c>
      <c r="W70" s="814">
        <f t="shared" si="18"/>
        <v>0</v>
      </c>
      <c r="AA70" s="593">
        <f t="shared" si="19"/>
        <v>0</v>
      </c>
    </row>
    <row r="71" spans="1:27" hidden="1">
      <c r="A71" s="735">
        <f>'CG. MPA'!A71</f>
        <v>43</v>
      </c>
      <c r="B71" s="798">
        <v>15</v>
      </c>
      <c r="C71" s="643">
        <f>IF('CG. MPA'!E71="CONCRETO",'RMCV.PA'!B71,0)</f>
        <v>0</v>
      </c>
      <c r="D71" s="593">
        <f>IF(C71=0,0,'CG. MPA'!C71*100)</f>
        <v>0</v>
      </c>
      <c r="E71" s="593">
        <f>IF(D71=0,0,'RMCV.PA'!C71)</f>
        <v>0</v>
      </c>
      <c r="F71" s="593">
        <f t="shared" si="3"/>
        <v>0</v>
      </c>
      <c r="G71" s="643">
        <f>IF(C71=0,0,'RMCS.PA'!M70)</f>
        <v>0</v>
      </c>
      <c r="H71" s="643">
        <f>IF(C71=0,0,'CASTILLOS-PA'!K71)</f>
        <v>0</v>
      </c>
      <c r="I71" s="594">
        <f t="shared" si="4"/>
        <v>0</v>
      </c>
      <c r="J71" s="594">
        <f t="shared" si="5"/>
        <v>0</v>
      </c>
      <c r="K71" s="595">
        <f t="shared" si="6"/>
        <v>0</v>
      </c>
      <c r="L71" s="594">
        <f t="shared" si="7"/>
        <v>0</v>
      </c>
      <c r="M71" s="596">
        <f t="shared" si="8"/>
        <v>0</v>
      </c>
      <c r="N71" s="643">
        <f t="shared" si="9"/>
        <v>0</v>
      </c>
      <c r="O71" s="643">
        <f t="shared" si="10"/>
        <v>0</v>
      </c>
      <c r="P71" s="644">
        <f t="shared" si="11"/>
        <v>0</v>
      </c>
      <c r="Q71" s="643">
        <f t="shared" si="12"/>
        <v>0</v>
      </c>
      <c r="R71" s="644">
        <f t="shared" si="13"/>
        <v>0</v>
      </c>
      <c r="S71" s="799">
        <f t="shared" si="14"/>
        <v>0</v>
      </c>
      <c r="T71" s="596">
        <f t="shared" si="15"/>
        <v>0</v>
      </c>
      <c r="U71" s="800">
        <f t="shared" si="16"/>
        <v>0</v>
      </c>
      <c r="V71" s="596">
        <f t="shared" si="17"/>
        <v>0</v>
      </c>
      <c r="W71" s="814">
        <f t="shared" si="18"/>
        <v>0</v>
      </c>
      <c r="AA71" s="593">
        <f t="shared" si="19"/>
        <v>0</v>
      </c>
    </row>
    <row r="72" spans="1:27" hidden="1">
      <c r="A72" s="735">
        <f>'CG. MPA'!A72</f>
        <v>44</v>
      </c>
      <c r="B72" s="798">
        <v>15</v>
      </c>
      <c r="C72" s="643">
        <f>IF('CG. MPA'!E72="CONCRETO",'RMCV.PA'!B72,0)</f>
        <v>0</v>
      </c>
      <c r="D72" s="593">
        <f>IF(C72=0,0,'CG. MPA'!C72*100)</f>
        <v>0</v>
      </c>
      <c r="E72" s="593">
        <f>IF(D72=0,0,'RMCV.PA'!C72)</f>
        <v>0</v>
      </c>
      <c r="F72" s="593">
        <f t="shared" si="3"/>
        <v>0</v>
      </c>
      <c r="G72" s="643">
        <f>IF(C72=0,0,'RMCS.PA'!M71)</f>
        <v>0</v>
      </c>
      <c r="H72" s="643">
        <f>IF(C72=0,0,'CASTILLOS-PA'!K72)</f>
        <v>0</v>
      </c>
      <c r="I72" s="594">
        <f t="shared" si="4"/>
        <v>0</v>
      </c>
      <c r="J72" s="594">
        <f t="shared" si="5"/>
        <v>0</v>
      </c>
      <c r="K72" s="595">
        <f t="shared" si="6"/>
        <v>0</v>
      </c>
      <c r="L72" s="594">
        <f t="shared" si="7"/>
        <v>0</v>
      </c>
      <c r="M72" s="596">
        <f t="shared" si="8"/>
        <v>0</v>
      </c>
      <c r="N72" s="643">
        <f t="shared" si="9"/>
        <v>0</v>
      </c>
      <c r="O72" s="643">
        <f t="shared" si="10"/>
        <v>0</v>
      </c>
      <c r="P72" s="644">
        <f t="shared" si="11"/>
        <v>0</v>
      </c>
      <c r="Q72" s="643">
        <f t="shared" si="12"/>
        <v>0</v>
      </c>
      <c r="R72" s="644">
        <f t="shared" si="13"/>
        <v>0</v>
      </c>
      <c r="S72" s="799">
        <f t="shared" si="14"/>
        <v>0</v>
      </c>
      <c r="T72" s="596">
        <f t="shared" si="15"/>
        <v>0</v>
      </c>
      <c r="U72" s="800">
        <f t="shared" si="16"/>
        <v>0</v>
      </c>
      <c r="V72" s="596">
        <f t="shared" si="17"/>
        <v>0</v>
      </c>
      <c r="W72" s="814">
        <f t="shared" si="18"/>
        <v>0</v>
      </c>
      <c r="AA72" s="593">
        <f t="shared" si="19"/>
        <v>0</v>
      </c>
    </row>
    <row r="73" spans="1:27" hidden="1">
      <c r="A73" s="735">
        <f>'CG. MPA'!A73</f>
        <v>45</v>
      </c>
      <c r="B73" s="798">
        <v>15</v>
      </c>
      <c r="C73" s="643">
        <f>IF('CG. MPA'!E73="CONCRETO",'RMCV.PA'!B73,0)</f>
        <v>0</v>
      </c>
      <c r="D73" s="593">
        <f>IF(C73=0,0,'CG. MPA'!C73*100)</f>
        <v>0</v>
      </c>
      <c r="E73" s="593">
        <f>IF(D73=0,0,'RMCV.PA'!C73)</f>
        <v>0</v>
      </c>
      <c r="F73" s="593">
        <f t="shared" si="3"/>
        <v>0</v>
      </c>
      <c r="G73" s="643">
        <f>IF(C73=0,0,'RMCS.PA'!M72)</f>
        <v>0</v>
      </c>
      <c r="H73" s="643">
        <f>IF(C73=0,0,'CASTILLOS-PA'!K73)</f>
        <v>0</v>
      </c>
      <c r="I73" s="594">
        <f t="shared" si="4"/>
        <v>0</v>
      </c>
      <c r="J73" s="594">
        <f t="shared" si="5"/>
        <v>0</v>
      </c>
      <c r="K73" s="595">
        <f t="shared" si="6"/>
        <v>0</v>
      </c>
      <c r="L73" s="594">
        <f t="shared" si="7"/>
        <v>0</v>
      </c>
      <c r="M73" s="596">
        <f t="shared" si="8"/>
        <v>0</v>
      </c>
      <c r="N73" s="643">
        <f t="shared" si="9"/>
        <v>0</v>
      </c>
      <c r="O73" s="643">
        <f t="shared" si="10"/>
        <v>0</v>
      </c>
      <c r="P73" s="644">
        <f t="shared" si="11"/>
        <v>0</v>
      </c>
      <c r="Q73" s="643">
        <f t="shared" si="12"/>
        <v>0</v>
      </c>
      <c r="R73" s="644">
        <f t="shared" si="13"/>
        <v>0</v>
      </c>
      <c r="S73" s="799">
        <f t="shared" si="14"/>
        <v>0</v>
      </c>
      <c r="T73" s="596">
        <f t="shared" si="15"/>
        <v>0</v>
      </c>
      <c r="U73" s="800">
        <f t="shared" si="16"/>
        <v>0</v>
      </c>
      <c r="V73" s="596">
        <f t="shared" si="17"/>
        <v>0</v>
      </c>
      <c r="W73" s="814">
        <f t="shared" si="18"/>
        <v>0</v>
      </c>
      <c r="AA73" s="593">
        <f t="shared" si="19"/>
        <v>0</v>
      </c>
    </row>
    <row r="74" spans="1:27" hidden="1">
      <c r="A74" s="735">
        <f>'CG. MPA'!A74</f>
        <v>46</v>
      </c>
      <c r="B74" s="798">
        <v>15</v>
      </c>
      <c r="C74" s="643">
        <f>IF('CG. MPA'!E74="CONCRETO",'RMCV.PA'!B74,0)</f>
        <v>0</v>
      </c>
      <c r="D74" s="593">
        <f>IF(C74=0,0,'CG. MPA'!C74*100)</f>
        <v>0</v>
      </c>
      <c r="E74" s="593">
        <f>IF(D74=0,0,'RMCV.PA'!C74)</f>
        <v>0</v>
      </c>
      <c r="F74" s="593">
        <f t="shared" si="3"/>
        <v>0</v>
      </c>
      <c r="G74" s="643">
        <f>IF(C74=0,0,'RMCS.PA'!M73)</f>
        <v>0</v>
      </c>
      <c r="H74" s="643">
        <f>IF(C74=0,0,'CASTILLOS-PA'!K74)</f>
        <v>0</v>
      </c>
      <c r="I74" s="594">
        <f t="shared" si="4"/>
        <v>0</v>
      </c>
      <c r="J74" s="594">
        <f t="shared" si="5"/>
        <v>0</v>
      </c>
      <c r="K74" s="595">
        <f t="shared" si="6"/>
        <v>0</v>
      </c>
      <c r="L74" s="594">
        <f t="shared" si="7"/>
        <v>0</v>
      </c>
      <c r="M74" s="596">
        <f t="shared" si="8"/>
        <v>0</v>
      </c>
      <c r="N74" s="643">
        <f t="shared" si="9"/>
        <v>0</v>
      </c>
      <c r="O74" s="643">
        <f t="shared" si="10"/>
        <v>0</v>
      </c>
      <c r="P74" s="644">
        <f t="shared" si="11"/>
        <v>0</v>
      </c>
      <c r="Q74" s="643">
        <f t="shared" si="12"/>
        <v>0</v>
      </c>
      <c r="R74" s="644">
        <f t="shared" si="13"/>
        <v>0</v>
      </c>
      <c r="S74" s="799">
        <f t="shared" si="14"/>
        <v>0</v>
      </c>
      <c r="T74" s="596">
        <f t="shared" si="15"/>
        <v>0</v>
      </c>
      <c r="U74" s="800">
        <f t="shared" si="16"/>
        <v>0</v>
      </c>
      <c r="V74" s="596">
        <f t="shared" si="17"/>
        <v>0</v>
      </c>
      <c r="W74" s="814">
        <f t="shared" si="18"/>
        <v>0</v>
      </c>
      <c r="AA74" s="593">
        <f t="shared" si="19"/>
        <v>0</v>
      </c>
    </row>
    <row r="75" spans="1:27" hidden="1">
      <c r="A75" s="735">
        <f>'CG. MPA'!A75</f>
        <v>47</v>
      </c>
      <c r="B75" s="798">
        <v>15</v>
      </c>
      <c r="C75" s="643">
        <f>IF('CG. MPA'!E75="CONCRETO",'RMCV.PA'!B75,0)</f>
        <v>0</v>
      </c>
      <c r="D75" s="593">
        <f>IF(C75=0,0,'CG. MPA'!C75*100)</f>
        <v>0</v>
      </c>
      <c r="E75" s="593">
        <f>IF(D75=0,0,'RMCV.PA'!C75)</f>
        <v>0</v>
      </c>
      <c r="F75" s="593">
        <f t="shared" si="3"/>
        <v>0</v>
      </c>
      <c r="G75" s="643">
        <f>IF(C75=0,0,'RMCS.PA'!M74)</f>
        <v>0</v>
      </c>
      <c r="H75" s="643">
        <f>IF(C75=0,0,'CASTILLOS-PA'!K75)</f>
        <v>0</v>
      </c>
      <c r="I75" s="594">
        <f t="shared" si="4"/>
        <v>0</v>
      </c>
      <c r="J75" s="594">
        <f t="shared" si="5"/>
        <v>0</v>
      </c>
      <c r="K75" s="595">
        <f t="shared" si="6"/>
        <v>0</v>
      </c>
      <c r="L75" s="594">
        <f t="shared" si="7"/>
        <v>0</v>
      </c>
      <c r="M75" s="596">
        <f t="shared" si="8"/>
        <v>0</v>
      </c>
      <c r="N75" s="643">
        <f t="shared" si="9"/>
        <v>0</v>
      </c>
      <c r="O75" s="643">
        <f t="shared" si="10"/>
        <v>0</v>
      </c>
      <c r="P75" s="644">
        <f t="shared" si="11"/>
        <v>0</v>
      </c>
      <c r="Q75" s="643">
        <f t="shared" si="12"/>
        <v>0</v>
      </c>
      <c r="R75" s="644">
        <f t="shared" si="13"/>
        <v>0</v>
      </c>
      <c r="S75" s="799">
        <f t="shared" si="14"/>
        <v>0</v>
      </c>
      <c r="T75" s="596">
        <f t="shared" si="15"/>
        <v>0</v>
      </c>
      <c r="U75" s="800">
        <f t="shared" si="16"/>
        <v>0</v>
      </c>
      <c r="V75" s="596">
        <f t="shared" si="17"/>
        <v>0</v>
      </c>
      <c r="W75" s="814">
        <f t="shared" si="18"/>
        <v>0</v>
      </c>
      <c r="AA75" s="593">
        <f t="shared" si="19"/>
        <v>0</v>
      </c>
    </row>
    <row r="76" spans="1:27" hidden="1">
      <c r="A76" s="735">
        <f>'CG. MPA'!A76</f>
        <v>48</v>
      </c>
      <c r="B76" s="798">
        <v>15</v>
      </c>
      <c r="C76" s="643">
        <f>IF('CG. MPA'!E76="CONCRETO",'RMCV.PA'!B76,0)</f>
        <v>0</v>
      </c>
      <c r="D76" s="593">
        <f>IF(C76=0,0,'CG. MPA'!C76*100)</f>
        <v>0</v>
      </c>
      <c r="E76" s="593">
        <f>IF(D76=0,0,'RMCV.PA'!C76)</f>
        <v>0</v>
      </c>
      <c r="F76" s="593">
        <f t="shared" si="3"/>
        <v>0</v>
      </c>
      <c r="G76" s="643">
        <f>IF(C76=0,0,'RMCS.PA'!M75)</f>
        <v>0</v>
      </c>
      <c r="H76" s="643">
        <f>IF(C76=0,0,'CASTILLOS-PA'!K76)</f>
        <v>0</v>
      </c>
      <c r="I76" s="594">
        <f t="shared" si="4"/>
        <v>0</v>
      </c>
      <c r="J76" s="594">
        <f t="shared" si="5"/>
        <v>0</v>
      </c>
      <c r="K76" s="595">
        <f t="shared" si="6"/>
        <v>0</v>
      </c>
      <c r="L76" s="594">
        <f t="shared" si="7"/>
        <v>0</v>
      </c>
      <c r="M76" s="596">
        <f t="shared" si="8"/>
        <v>0</v>
      </c>
      <c r="N76" s="643">
        <f t="shared" si="9"/>
        <v>0</v>
      </c>
      <c r="O76" s="643">
        <f t="shared" si="10"/>
        <v>0</v>
      </c>
      <c r="P76" s="644">
        <f t="shared" si="11"/>
        <v>0</v>
      </c>
      <c r="Q76" s="643">
        <f t="shared" si="12"/>
        <v>0</v>
      </c>
      <c r="R76" s="644">
        <f t="shared" si="13"/>
        <v>0</v>
      </c>
      <c r="S76" s="799">
        <f t="shared" si="14"/>
        <v>0</v>
      </c>
      <c r="T76" s="596">
        <f t="shared" si="15"/>
        <v>0</v>
      </c>
      <c r="U76" s="800">
        <f t="shared" si="16"/>
        <v>0</v>
      </c>
      <c r="V76" s="596">
        <f t="shared" si="17"/>
        <v>0</v>
      </c>
      <c r="W76" s="814">
        <f t="shared" si="18"/>
        <v>0</v>
      </c>
      <c r="AA76" s="593">
        <f t="shared" si="19"/>
        <v>0</v>
      </c>
    </row>
    <row r="77" spans="1:27" hidden="1">
      <c r="A77" s="735">
        <f>'CG. MPA'!A77</f>
        <v>49</v>
      </c>
      <c r="B77" s="798">
        <v>15</v>
      </c>
      <c r="C77" s="643">
        <f>IF('CG. MPA'!E77="CONCRETO",'RMCV.PA'!B77,0)</f>
        <v>0</v>
      </c>
      <c r="D77" s="593">
        <f>IF(C77=0,0,'CG. MPA'!C77*100)</f>
        <v>0</v>
      </c>
      <c r="E77" s="593">
        <f>IF(D77=0,0,'RMCV.PA'!C77)</f>
        <v>0</v>
      </c>
      <c r="F77" s="593">
        <f t="shared" si="3"/>
        <v>0</v>
      </c>
      <c r="G77" s="643">
        <f>IF(C77=0,0,'RMCS.PA'!M76)</f>
        <v>0</v>
      </c>
      <c r="H77" s="643">
        <f>IF(C77=0,0,'CASTILLOS-PA'!K77)</f>
        <v>0</v>
      </c>
      <c r="I77" s="594">
        <f t="shared" si="4"/>
        <v>0</v>
      </c>
      <c r="J77" s="594">
        <f t="shared" si="5"/>
        <v>0</v>
      </c>
      <c r="K77" s="595">
        <f t="shared" si="6"/>
        <v>0</v>
      </c>
      <c r="L77" s="594">
        <f t="shared" si="7"/>
        <v>0</v>
      </c>
      <c r="M77" s="596">
        <f t="shared" si="8"/>
        <v>0</v>
      </c>
      <c r="N77" s="643">
        <f t="shared" si="9"/>
        <v>0</v>
      </c>
      <c r="O77" s="643">
        <f t="shared" si="10"/>
        <v>0</v>
      </c>
      <c r="P77" s="644">
        <f t="shared" si="11"/>
        <v>0</v>
      </c>
      <c r="Q77" s="643">
        <f t="shared" si="12"/>
        <v>0</v>
      </c>
      <c r="R77" s="644">
        <f t="shared" si="13"/>
        <v>0</v>
      </c>
      <c r="S77" s="799">
        <f t="shared" si="14"/>
        <v>0</v>
      </c>
      <c r="T77" s="596">
        <f t="shared" si="15"/>
        <v>0</v>
      </c>
      <c r="U77" s="800">
        <f t="shared" si="16"/>
        <v>0</v>
      </c>
      <c r="V77" s="596">
        <f t="shared" si="17"/>
        <v>0</v>
      </c>
      <c r="W77" s="814">
        <f t="shared" si="18"/>
        <v>0</v>
      </c>
      <c r="AA77" s="593">
        <f t="shared" si="19"/>
        <v>0</v>
      </c>
    </row>
    <row r="78" spans="1:27" ht="15.75" hidden="1" thickBot="1">
      <c r="A78" s="735">
        <f>'CG. MPA'!A78</f>
        <v>50</v>
      </c>
      <c r="B78" s="798">
        <v>15</v>
      </c>
      <c r="C78" s="643">
        <f>IF('CG. MPA'!E78="CONCRETO",'RMCV.PA'!B78,0)</f>
        <v>0</v>
      </c>
      <c r="D78" s="593">
        <f>IF(C78=0,0,'CG. MPA'!C78*100)</f>
        <v>0</v>
      </c>
      <c r="E78" s="593">
        <f>IF(D78=0,0,'RMCV.PA'!C78)</f>
        <v>0</v>
      </c>
      <c r="F78" s="593">
        <f t="shared" si="3"/>
        <v>0</v>
      </c>
      <c r="G78" s="643">
        <f>IF(C78=0,0,'RMCS.PA'!M77)</f>
        <v>0</v>
      </c>
      <c r="H78" s="643">
        <f>IF(C78=0,0,'CASTILLOS-PA'!K78)</f>
        <v>0</v>
      </c>
      <c r="I78" s="594">
        <f t="shared" si="4"/>
        <v>0</v>
      </c>
      <c r="J78" s="594">
        <f t="shared" si="5"/>
        <v>0</v>
      </c>
      <c r="K78" s="595">
        <f t="shared" si="6"/>
        <v>0</v>
      </c>
      <c r="L78" s="594">
        <f t="shared" si="7"/>
        <v>0</v>
      </c>
      <c r="M78" s="596">
        <f t="shared" si="8"/>
        <v>0</v>
      </c>
      <c r="N78" s="643">
        <f t="shared" si="9"/>
        <v>0</v>
      </c>
      <c r="O78" s="643">
        <f t="shared" si="10"/>
        <v>0</v>
      </c>
      <c r="P78" s="644">
        <f t="shared" si="11"/>
        <v>0</v>
      </c>
      <c r="Q78" s="643">
        <f t="shared" si="12"/>
        <v>0</v>
      </c>
      <c r="R78" s="644">
        <f t="shared" si="13"/>
        <v>0</v>
      </c>
      <c r="S78" s="799">
        <f t="shared" si="14"/>
        <v>0</v>
      </c>
      <c r="T78" s="596">
        <f t="shared" si="15"/>
        <v>0</v>
      </c>
      <c r="U78" s="800">
        <f t="shared" si="16"/>
        <v>0</v>
      </c>
      <c r="V78" s="596">
        <f t="shared" si="17"/>
        <v>0</v>
      </c>
      <c r="W78" s="814">
        <f t="shared" si="18"/>
        <v>0</v>
      </c>
      <c r="AA78" s="593">
        <f t="shared" si="19"/>
        <v>0</v>
      </c>
    </row>
    <row r="79" spans="1:27" ht="15.75">
      <c r="A79" s="950" t="s">
        <v>88</v>
      </c>
      <c r="B79" s="722"/>
      <c r="C79" s="951"/>
      <c r="D79" s="722"/>
      <c r="E79" s="722"/>
      <c r="F79" s="722"/>
      <c r="G79" s="952"/>
      <c r="H79" s="952"/>
      <c r="I79" s="952"/>
      <c r="J79" s="718"/>
      <c r="K79" s="953"/>
      <c r="L79" s="718"/>
      <c r="M79" s="954"/>
      <c r="N79" s="951"/>
      <c r="O79" s="951"/>
      <c r="P79" s="951"/>
      <c r="Q79" s="951"/>
      <c r="R79" s="951"/>
      <c r="S79" s="952"/>
      <c r="T79" s="954"/>
      <c r="U79" s="722"/>
      <c r="V79" s="954"/>
      <c r="W79" s="955"/>
      <c r="AA79" s="593">
        <f t="shared" si="19"/>
        <v>0</v>
      </c>
    </row>
    <row r="80" spans="1:27">
      <c r="A80" s="617">
        <f>'CG. MPA'!A80</f>
        <v>1</v>
      </c>
      <c r="B80" s="798">
        <v>30</v>
      </c>
      <c r="C80" s="643">
        <f>IF('CG. MPA'!E80="CONCRETO",'RMCV.PA'!B80,0)</f>
        <v>0</v>
      </c>
      <c r="D80" s="593">
        <f>IF(C80=0,0,'CG. MPA'!C80*100)</f>
        <v>0</v>
      </c>
      <c r="E80" s="593">
        <f>IF(D80=0,0,'RMCV.PA'!C80)</f>
        <v>0</v>
      </c>
      <c r="F80" s="593">
        <f>IF(C80=0,0,C80-B80)</f>
        <v>0</v>
      </c>
      <c r="G80" s="643">
        <f>IF(C80=0,0,'RMCS.PA'!M79)</f>
        <v>0</v>
      </c>
      <c r="H80" s="643">
        <f>IF(C80=0,0,'CASTILLOS-PA'!K80)</f>
        <v>0</v>
      </c>
      <c r="I80" s="594">
        <f>IF(C80=0,0,D80/C80)</f>
        <v>0</v>
      </c>
      <c r="J80" s="594">
        <f>IF(C80=0,0,IF(D80/C80&gt;=1,0.8*C80,IF(D80/C80&lt;=0.5,1.2*D80,0.4*(1+D80/C80)*C80)))</f>
        <v>0</v>
      </c>
      <c r="K80" s="595">
        <f>IF(C80=0,0,M80*E80*F80)</f>
        <v>0</v>
      </c>
      <c r="L80" s="594">
        <f t="shared" ref="L80" si="20">(K80/$L$23)</f>
        <v>0</v>
      </c>
      <c r="M80" s="596">
        <f t="shared" ref="M80" si="21">IF(C80=0,0,IF((H80/(0.85*$J$15*J80))/(F80*E80)&lt;0.015,IF(0.7*$J$13^0.5/$J$15&gt;(H80/(0.85*$J$15*J80))/(F80*E80),0.7*$J$13^0.5/$J$15,(H80/(0.85*$J$15*J80))/(F80*E80)),"MAL"))</f>
        <v>0</v>
      </c>
      <c r="N80" s="643">
        <f>IF(C80=0,0,IF(G80&lt;1.6*F80*E80*$J$14^0.5,1.6*F80*E80*$J$14^0.5,"MAL"))</f>
        <v>0</v>
      </c>
      <c r="O80" s="643">
        <f>IF(I80&lt;1.5,0.68*E80*F80*$J$14^0.5,IF(I80&gt;=2,IF(M80&lt;0.015,0.8*E80*F80*(0.2+20*M80)*$J$14^0.5,0.4*E80*F80*$J$14^0.5),R80))</f>
        <v>0</v>
      </c>
      <c r="P80" s="643">
        <f>IF(C80=0,0,IF(I80=0,0,0.68*E80*F80*($J$14)^0.5))</f>
        <v>0</v>
      </c>
      <c r="Q80" s="643">
        <f>IF(C80=0,0,IF(I80=0,0,0.8*F80*E80*(0.2+20*M80)*($J$14)^0.5))</f>
        <v>0</v>
      </c>
      <c r="R80" s="643">
        <f>IF(C80=0,0,IF(I80&lt;1.5,0,IF(I80&gt;2,0,Q80+(P80-Q80)*(2-I80)/0.5)))</f>
        <v>0</v>
      </c>
      <c r="S80" s="799">
        <f>IF(C80=0,0,IF(AND(N80&gt;G80,N80&gt;O80),"BIEN","MAL"))</f>
        <v>0</v>
      </c>
      <c r="T80" s="596">
        <f>IF(C80=0,0,IF(O80&gt;G80,0.0025,IF((G80-O80)/(0.8*$J$15*E80*F80)&gt;0.0025,(G80-O80)/(0.8*$J$15*E80*F80),0.0025)))</f>
        <v>0</v>
      </c>
      <c r="U80" s="800">
        <f>IF(C80=0,0,IF($U$23/(T80*E80)&gt;35,35,$U$23/(T80*E80)))</f>
        <v>0</v>
      </c>
      <c r="V80" s="596">
        <f>IF(C80=0,0,IF(D80/C80&lt;=2,T80,IF((0.0025+0.5*(2.5-D80/C80)*(T80-0.0025))&gt;0.0025,(0.0025+0.5*(2.5-D80/C80)*(T80-0.0025)),0.0025)))</f>
        <v>0</v>
      </c>
      <c r="W80" s="814">
        <f t="shared" ref="W80" si="22">IF(C80=0,0,IF($W$23/(V80*E80)&gt;35,35,$W$23/(V80*E80)))</f>
        <v>0</v>
      </c>
      <c r="X80" s="593">
        <f t="shared" si="2"/>
        <v>0</v>
      </c>
      <c r="Y80" s="876"/>
      <c r="AA80" s="593">
        <f t="shared" si="19"/>
        <v>0</v>
      </c>
    </row>
    <row r="81" spans="1:27">
      <c r="A81" s="617">
        <f>'CG. MPA'!A81</f>
        <v>2</v>
      </c>
      <c r="B81" s="798">
        <v>15</v>
      </c>
      <c r="C81" s="643">
        <f>IF('CG. MPA'!E81="CONCRETO",'RMCV.PA'!B81,0)</f>
        <v>0</v>
      </c>
      <c r="D81" s="593">
        <f>IF(C81=0,0,'CG. MPA'!C81*100)</f>
        <v>0</v>
      </c>
      <c r="E81" s="593">
        <f>IF(D81=0,0,'RMCV.PA'!C81)</f>
        <v>0</v>
      </c>
      <c r="F81" s="593">
        <f t="shared" ref="F81:F129" si="23">IF(C81=0,0,C81-B81)</f>
        <v>0</v>
      </c>
      <c r="G81" s="643">
        <f>IF(C81=0,0,'RMCS.PA'!M80)</f>
        <v>0</v>
      </c>
      <c r="H81" s="643">
        <f>IF(C81=0,0,'CASTILLOS-PA'!K81)</f>
        <v>0</v>
      </c>
      <c r="I81" s="594">
        <f t="shared" ref="I81:I129" si="24">IF(C81=0,0,D81/C81)</f>
        <v>0</v>
      </c>
      <c r="J81" s="594">
        <f t="shared" ref="J81:J129" si="25">IF(C81=0,0,IF(D81/C81&gt;=1,0.8*C81,IF(D81/C81&lt;=0.5,1.2*D81,0.4*(1+D81/C81)*C81)))</f>
        <v>0</v>
      </c>
      <c r="K81" s="595">
        <f t="shared" ref="K81:K129" si="26">IF(C81=0,0,M81*E81*F81)</f>
        <v>0</v>
      </c>
      <c r="L81" s="594">
        <f t="shared" ref="L81:L129" si="27">(K81/$L$23)</f>
        <v>0</v>
      </c>
      <c r="M81" s="596">
        <f t="shared" ref="M81:M129" si="28">IF(C81=0,0,IF((H81/(0.85*$J$15*J81))/(F81*E81)&lt;0.015,IF(0.7*$J$13^0.5/$J$15&gt;(H81/(0.85*$J$15*J81))/(F81*E81),0.7*$J$13^0.5/$J$15,(H81/(0.85*$J$15*J81))/(F81*E81)),"MAL"))</f>
        <v>0</v>
      </c>
      <c r="N81" s="643">
        <f t="shared" ref="N81:N129" si="29">IF(C81=0,0,IF(G81&lt;1.6*F81*E81*$J$14^0.5,1.6*F81*E81*$J$14^0.5,"MAL"))</f>
        <v>0</v>
      </c>
      <c r="O81" s="643">
        <f t="shared" ref="O81:O129" si="30">IF(I81&lt;1.5,0.68*E81*F81*$J$14^0.5,IF(I81&gt;=2,IF(M81&lt;0.015,0.8*E81*F81*(0.2+20*M81)*$J$14^0.5,0.4*E81*F81*$J$14^0.5),R81))</f>
        <v>0</v>
      </c>
      <c r="P81" s="643">
        <f t="shared" ref="P81:P129" si="31">IF(C81=0,0,IF(I81=0,0,0.68*E81*F81*($J$14)^0.5))</f>
        <v>0</v>
      </c>
      <c r="Q81" s="643">
        <f t="shared" ref="Q81:Q129" si="32">IF(C81=0,0,IF(I81=0,0,0.8*F81*E81*(0.2+20*M81)*($J$14)^0.5))</f>
        <v>0</v>
      </c>
      <c r="R81" s="643">
        <f t="shared" ref="R81:R129" si="33">IF(C81=0,0,IF(I81&lt;1.5,0,IF(I81&gt;2,0,Q81+(P81-Q81)*(2-I81)/0.5)))</f>
        <v>0</v>
      </c>
      <c r="S81" s="799">
        <f t="shared" ref="S81:S129" si="34">IF(C81=0,0,IF(AND(N81&gt;G81,N81&gt;O81),"BIEN","MAL"))</f>
        <v>0</v>
      </c>
      <c r="T81" s="596">
        <f t="shared" ref="T81:T129" si="35">IF(C81=0,0,IF(O81&gt;G81,0.0025,IF((G81-O81)/(0.8*$J$15*E81*F81)&gt;0.0025,(G81-O81)/(0.8*$J$15*E81*F81),0.0025)))</f>
        <v>0</v>
      </c>
      <c r="U81" s="800">
        <f t="shared" ref="U81:U129" si="36">IF(C81=0,0,IF($U$23/(T81*E81)&gt;35,35,$U$23/(T81*E81)))</f>
        <v>0</v>
      </c>
      <c r="V81" s="596">
        <f t="shared" ref="V81:V129" si="37">IF(C81=0,0,IF(D81/C81&lt;=2,T81,IF((0.0025+0.5*(2.5-D81/C81)*(T81-0.0025))&gt;0.0025,(0.0025+0.5*(2.5-D81/C81)*(T81-0.0025)),0.0025)))</f>
        <v>0</v>
      </c>
      <c r="W81" s="814">
        <f t="shared" ref="W81:W129" si="38">IF(C81=0,0,IF($W$23/(V81*E81)&gt;35,35,$W$23/(V81*E81)))</f>
        <v>0</v>
      </c>
      <c r="X81" s="593">
        <f t="shared" si="2"/>
        <v>0</v>
      </c>
      <c r="AA81" s="593">
        <f t="shared" si="19"/>
        <v>0</v>
      </c>
    </row>
    <row r="82" spans="1:27">
      <c r="A82" s="617">
        <f>'CG. MPA'!A82</f>
        <v>3</v>
      </c>
      <c r="B82" s="798">
        <v>15</v>
      </c>
      <c r="C82" s="643">
        <f>IF('CG. MPA'!E82="CONCRETO",'RMCV.PA'!B82,0)</f>
        <v>0</v>
      </c>
      <c r="D82" s="593">
        <f>IF(C82=0,0,'CG. MPA'!C82*100)</f>
        <v>0</v>
      </c>
      <c r="E82" s="593">
        <f>IF(D82=0,0,'RMCV.PA'!C82)</f>
        <v>0</v>
      </c>
      <c r="F82" s="593">
        <f t="shared" si="23"/>
        <v>0</v>
      </c>
      <c r="G82" s="643">
        <f>IF(C82=0,0,'RMCS.PA'!M81)</f>
        <v>0</v>
      </c>
      <c r="H82" s="643">
        <f>IF(C82=0,0,'CASTILLOS-PA'!K82)</f>
        <v>0</v>
      </c>
      <c r="I82" s="594">
        <f t="shared" si="24"/>
        <v>0</v>
      </c>
      <c r="J82" s="594">
        <f t="shared" si="25"/>
        <v>0</v>
      </c>
      <c r="K82" s="595">
        <f t="shared" si="26"/>
        <v>0</v>
      </c>
      <c r="L82" s="594">
        <f t="shared" si="27"/>
        <v>0</v>
      </c>
      <c r="M82" s="596">
        <f t="shared" si="28"/>
        <v>0</v>
      </c>
      <c r="N82" s="643">
        <f t="shared" si="29"/>
        <v>0</v>
      </c>
      <c r="O82" s="643">
        <f t="shared" si="30"/>
        <v>0</v>
      </c>
      <c r="P82" s="643">
        <f t="shared" si="31"/>
        <v>0</v>
      </c>
      <c r="Q82" s="643">
        <f t="shared" si="32"/>
        <v>0</v>
      </c>
      <c r="R82" s="643">
        <f t="shared" si="33"/>
        <v>0</v>
      </c>
      <c r="S82" s="799">
        <f t="shared" si="34"/>
        <v>0</v>
      </c>
      <c r="T82" s="596">
        <f t="shared" si="35"/>
        <v>0</v>
      </c>
      <c r="U82" s="800">
        <f t="shared" si="36"/>
        <v>0</v>
      </c>
      <c r="V82" s="596">
        <f t="shared" si="37"/>
        <v>0</v>
      </c>
      <c r="W82" s="814">
        <f t="shared" si="38"/>
        <v>0</v>
      </c>
      <c r="X82" s="593">
        <f t="shared" si="2"/>
        <v>0</v>
      </c>
      <c r="AA82" s="593">
        <f t="shared" si="19"/>
        <v>0</v>
      </c>
    </row>
    <row r="83" spans="1:27">
      <c r="A83" s="617">
        <f>'CG. MPA'!A83</f>
        <v>4</v>
      </c>
      <c r="B83" s="798">
        <v>15</v>
      </c>
      <c r="C83" s="643">
        <f>IF('CG. MPA'!E83="CONCRETO",'RMCV.PA'!B83,0)</f>
        <v>384.99999999999994</v>
      </c>
      <c r="D83" s="593">
        <f>IF(C83=0,0,'CG. MPA'!C83*100)</f>
        <v>280</v>
      </c>
      <c r="E83" s="593">
        <f>IF(D83=0,0,'RMCV.PA'!C83)</f>
        <v>15</v>
      </c>
      <c r="F83" s="593">
        <f t="shared" si="23"/>
        <v>369.99999999999994</v>
      </c>
      <c r="G83" s="643">
        <f>IF(C83=0,0,'RMCS.PA'!M82)</f>
        <v>69583.31868167092</v>
      </c>
      <c r="H83" s="643">
        <f>IF(C83=0,0,'CASTILLOS-PA'!K83)</f>
        <v>14456182.896646254</v>
      </c>
      <c r="I83" s="594">
        <f t="shared" si="24"/>
        <v>0.7272727272727274</v>
      </c>
      <c r="J83" s="594">
        <f t="shared" si="25"/>
        <v>266</v>
      </c>
      <c r="K83" s="595">
        <f t="shared" si="26"/>
        <v>15.223123877599729</v>
      </c>
      <c r="L83" s="594">
        <f t="shared" si="27"/>
        <v>11.986711714645455</v>
      </c>
      <c r="M83" s="596">
        <f t="shared" si="28"/>
        <v>2.7429052031711226E-3</v>
      </c>
      <c r="N83" s="643">
        <f t="shared" si="29"/>
        <v>125582.16433873081</v>
      </c>
      <c r="O83" s="643">
        <f t="shared" si="30"/>
        <v>53372.419843960612</v>
      </c>
      <c r="P83" s="643">
        <f t="shared" si="31"/>
        <v>53372.419843960612</v>
      </c>
      <c r="Q83" s="643">
        <f t="shared" si="32"/>
        <v>16002.81615377504</v>
      </c>
      <c r="R83" s="643">
        <f t="shared" si="33"/>
        <v>0</v>
      </c>
      <c r="S83" s="799" t="str">
        <f t="shared" si="34"/>
        <v>BIEN</v>
      </c>
      <c r="T83" s="596">
        <f t="shared" si="35"/>
        <v>2.5000000000000001E-3</v>
      </c>
      <c r="U83" s="800">
        <f t="shared" si="36"/>
        <v>18.933333333333334</v>
      </c>
      <c r="V83" s="596">
        <f t="shared" si="37"/>
        <v>2.5000000000000001E-3</v>
      </c>
      <c r="W83" s="814">
        <f t="shared" si="38"/>
        <v>18.933333333333334</v>
      </c>
      <c r="X83" s="593">
        <f t="shared" si="2"/>
        <v>125582.16433873081</v>
      </c>
      <c r="AA83" s="593">
        <f t="shared" si="19"/>
        <v>12</v>
      </c>
    </row>
    <row r="84" spans="1:27">
      <c r="A84" s="617">
        <f>'CG. MPA'!A84</f>
        <v>5</v>
      </c>
      <c r="B84" s="798">
        <v>15</v>
      </c>
      <c r="C84" s="643">
        <f>IF('CG. MPA'!E84="CONCRETO",'RMCV.PA'!B84,0)</f>
        <v>59.200000000000053</v>
      </c>
      <c r="D84" s="593">
        <f>IF(C84=0,0,'CG. MPA'!C84*100)</f>
        <v>280</v>
      </c>
      <c r="E84" s="593">
        <f>IF(D84=0,0,'RMCV.PA'!C84)</f>
        <v>15</v>
      </c>
      <c r="F84" s="593">
        <f t="shared" si="23"/>
        <v>44.200000000000053</v>
      </c>
      <c r="G84" s="643">
        <f>IF(C84=0,0,'RMCS.PA'!M83)</f>
        <v>4062.8456158001572</v>
      </c>
      <c r="H84" s="643">
        <f>IF(C84=0,0,'CASTILLOS-PA'!K84)</f>
        <v>377228.58578135405</v>
      </c>
      <c r="I84" s="594">
        <f t="shared" si="24"/>
        <v>4.7297297297297254</v>
      </c>
      <c r="J84" s="594">
        <f t="shared" si="25"/>
        <v>47.360000000000042</v>
      </c>
      <c r="K84" s="595">
        <f t="shared" si="26"/>
        <v>2.2311290229516434</v>
      </c>
      <c r="L84" s="594">
        <f t="shared" si="27"/>
        <v>1.7567945062611365</v>
      </c>
      <c r="M84" s="596">
        <f t="shared" si="28"/>
        <v>3.3652021462317358E-3</v>
      </c>
      <c r="N84" s="643">
        <f t="shared" si="29"/>
        <v>15001.977469653812</v>
      </c>
      <c r="O84" s="643">
        <f t="shared" si="30"/>
        <v>2005.0446147513726</v>
      </c>
      <c r="P84" s="643">
        <f t="shared" si="31"/>
        <v>6375.8404246028704</v>
      </c>
      <c r="Q84" s="643">
        <f t="shared" si="32"/>
        <v>2005.0446147513726</v>
      </c>
      <c r="R84" s="643">
        <f t="shared" si="33"/>
        <v>0</v>
      </c>
      <c r="S84" s="799" t="str">
        <f t="shared" si="34"/>
        <v>BIEN</v>
      </c>
      <c r="T84" s="596">
        <f t="shared" si="35"/>
        <v>2.5000000000000001E-3</v>
      </c>
      <c r="U84" s="800">
        <f t="shared" si="36"/>
        <v>18.933333333333334</v>
      </c>
      <c r="V84" s="596">
        <f t="shared" si="37"/>
        <v>2.5000000000000001E-3</v>
      </c>
      <c r="W84" s="814">
        <f t="shared" si="38"/>
        <v>18.933333333333334</v>
      </c>
      <c r="X84" s="593">
        <f t="shared" si="2"/>
        <v>15001.977469653812</v>
      </c>
      <c r="AA84" s="593">
        <f t="shared" si="19"/>
        <v>2</v>
      </c>
    </row>
    <row r="85" spans="1:27">
      <c r="A85" s="617">
        <f>'CG. MPA'!A85</f>
        <v>6</v>
      </c>
      <c r="B85" s="798">
        <v>30</v>
      </c>
      <c r="C85" s="643">
        <f>IF('CG. MPA'!E85="CONCRETO",'RMCV.PA'!B85,0)</f>
        <v>102.54999999999994</v>
      </c>
      <c r="D85" s="593">
        <f>IF(C85=0,0,'CG. MPA'!C85*100)</f>
        <v>280</v>
      </c>
      <c r="E85" s="593">
        <f>IF(D85=0,0,'RMCV.PA'!C85)</f>
        <v>15</v>
      </c>
      <c r="F85" s="593">
        <f t="shared" si="23"/>
        <v>72.54999999999994</v>
      </c>
      <c r="G85" s="643">
        <f>IF(C85=0,0,'RMCS.PA'!M84)</f>
        <v>14504.908258551837</v>
      </c>
      <c r="H85" s="643">
        <f>IF(C85=0,0,'CASTILLOS-PA'!K85)</f>
        <v>1743582.0452938208</v>
      </c>
      <c r="I85" s="594">
        <f t="shared" si="24"/>
        <v>2.7303754266211619</v>
      </c>
      <c r="J85" s="594">
        <f t="shared" si="25"/>
        <v>82.039999999999964</v>
      </c>
      <c r="K85" s="595">
        <f t="shared" si="26"/>
        <v>5.9531732327532429</v>
      </c>
      <c r="L85" s="594">
        <f t="shared" si="27"/>
        <v>4.6875379785458602</v>
      </c>
      <c r="M85" s="596">
        <f t="shared" si="28"/>
        <v>5.4704095867247858E-3</v>
      </c>
      <c r="N85" s="643">
        <f t="shared" si="29"/>
        <v>24624.286548040312</v>
      </c>
      <c r="O85" s="643">
        <f t="shared" si="30"/>
        <v>3809.47798679061</v>
      </c>
      <c r="P85" s="643">
        <f t="shared" si="31"/>
        <v>10465.321782917134</v>
      </c>
      <c r="Q85" s="643">
        <f t="shared" si="32"/>
        <v>3809.4779867906109</v>
      </c>
      <c r="R85" s="643">
        <f t="shared" si="33"/>
        <v>0</v>
      </c>
      <c r="S85" s="799" t="str">
        <f t="shared" si="34"/>
        <v>BIEN</v>
      </c>
      <c r="T85" s="596">
        <f t="shared" si="35"/>
        <v>2.9250298840868463E-3</v>
      </c>
      <c r="U85" s="800">
        <f t="shared" si="36"/>
        <v>16.182170852627081</v>
      </c>
      <c r="V85" s="596">
        <f t="shared" si="37"/>
        <v>2.5000000000000001E-3</v>
      </c>
      <c r="W85" s="814">
        <f t="shared" si="38"/>
        <v>18.933333333333334</v>
      </c>
      <c r="X85" s="593">
        <f t="shared" si="2"/>
        <v>24624.286548040312</v>
      </c>
      <c r="AA85" s="593">
        <f t="shared" si="19"/>
        <v>6</v>
      </c>
    </row>
    <row r="86" spans="1:27" hidden="1">
      <c r="A86" s="617">
        <f>'CG. MPA'!A86</f>
        <v>7</v>
      </c>
      <c r="B86" s="798">
        <v>25</v>
      </c>
      <c r="C86" s="643">
        <f>IF('CG. MPA'!E86="CONCRETO",'RMCV.PA'!B86,0)</f>
        <v>0</v>
      </c>
      <c r="D86" s="593">
        <f>IF(C86=0,0,'CG. MPA'!C86*100)</f>
        <v>0</v>
      </c>
      <c r="E86" s="593">
        <f>IF(D86=0,0,'RMCV.PA'!C86)</f>
        <v>0</v>
      </c>
      <c r="F86" s="593">
        <f t="shared" si="23"/>
        <v>0</v>
      </c>
      <c r="G86" s="643">
        <f>IF(C86=0,0,'RMCS.PA'!M85)</f>
        <v>0</v>
      </c>
      <c r="H86" s="643">
        <f>IF(C86=0,0,'CASTILLOS-PA'!K86)</f>
        <v>0</v>
      </c>
      <c r="I86" s="594">
        <f t="shared" si="24"/>
        <v>0</v>
      </c>
      <c r="J86" s="594">
        <f t="shared" si="25"/>
        <v>0</v>
      </c>
      <c r="K86" s="595">
        <f t="shared" si="26"/>
        <v>0</v>
      </c>
      <c r="L86" s="594">
        <f t="shared" si="27"/>
        <v>0</v>
      </c>
      <c r="M86" s="596">
        <f t="shared" si="28"/>
        <v>0</v>
      </c>
      <c r="N86" s="643">
        <f t="shared" si="29"/>
        <v>0</v>
      </c>
      <c r="O86" s="643">
        <f t="shared" si="30"/>
        <v>0</v>
      </c>
      <c r="P86" s="643">
        <f t="shared" si="31"/>
        <v>0</v>
      </c>
      <c r="Q86" s="643">
        <f t="shared" si="32"/>
        <v>0</v>
      </c>
      <c r="R86" s="643">
        <f t="shared" si="33"/>
        <v>0</v>
      </c>
      <c r="S86" s="799">
        <f t="shared" si="34"/>
        <v>0</v>
      </c>
      <c r="T86" s="596">
        <f t="shared" si="35"/>
        <v>0</v>
      </c>
      <c r="U86" s="800">
        <f t="shared" si="36"/>
        <v>0</v>
      </c>
      <c r="V86" s="596">
        <f t="shared" si="37"/>
        <v>0</v>
      </c>
      <c r="W86" s="814">
        <f t="shared" si="38"/>
        <v>0</v>
      </c>
      <c r="X86" s="593">
        <f t="shared" si="2"/>
        <v>0</v>
      </c>
      <c r="AA86" s="593">
        <f t="shared" si="19"/>
        <v>0</v>
      </c>
    </row>
    <row r="87" spans="1:27">
      <c r="A87" s="617">
        <f>'CG. MPA'!A87</f>
        <v>8</v>
      </c>
      <c r="B87" s="798">
        <v>15</v>
      </c>
      <c r="C87" s="643">
        <f>IF('CG. MPA'!E87="CONCRETO",'RMCV.PA'!B87,0)</f>
        <v>0</v>
      </c>
      <c r="D87" s="593">
        <f>IF(C87=0,0,'CG. MPA'!C87*100)</f>
        <v>0</v>
      </c>
      <c r="E87" s="593">
        <f>IF(D87=0,0,'RMCV.PA'!C87)</f>
        <v>0</v>
      </c>
      <c r="F87" s="593">
        <f t="shared" si="23"/>
        <v>0</v>
      </c>
      <c r="G87" s="643">
        <f>IF(C87=0,0,'RMCS.PA'!M86)</f>
        <v>0</v>
      </c>
      <c r="H87" s="643">
        <f>IF(C87=0,0,'CASTILLOS-PA'!K87)</f>
        <v>0</v>
      </c>
      <c r="I87" s="594">
        <f t="shared" si="24"/>
        <v>0</v>
      </c>
      <c r="J87" s="594">
        <f t="shared" si="25"/>
        <v>0</v>
      </c>
      <c r="K87" s="595">
        <f t="shared" si="26"/>
        <v>0</v>
      </c>
      <c r="L87" s="594">
        <f t="shared" si="27"/>
        <v>0</v>
      </c>
      <c r="M87" s="596">
        <f t="shared" si="28"/>
        <v>0</v>
      </c>
      <c r="N87" s="643">
        <f t="shared" si="29"/>
        <v>0</v>
      </c>
      <c r="O87" s="643">
        <f t="shared" si="30"/>
        <v>0</v>
      </c>
      <c r="P87" s="643">
        <f t="shared" si="31"/>
        <v>0</v>
      </c>
      <c r="Q87" s="643">
        <f t="shared" si="32"/>
        <v>0</v>
      </c>
      <c r="R87" s="643">
        <f t="shared" si="33"/>
        <v>0</v>
      </c>
      <c r="S87" s="799">
        <f t="shared" si="34"/>
        <v>0</v>
      </c>
      <c r="T87" s="596">
        <f t="shared" si="35"/>
        <v>0</v>
      </c>
      <c r="U87" s="800">
        <f t="shared" si="36"/>
        <v>0</v>
      </c>
      <c r="V87" s="596">
        <f t="shared" si="37"/>
        <v>0</v>
      </c>
      <c r="W87" s="814">
        <f t="shared" si="38"/>
        <v>0</v>
      </c>
      <c r="X87" s="593">
        <f t="shared" si="2"/>
        <v>0</v>
      </c>
      <c r="AA87" s="593">
        <f t="shared" si="19"/>
        <v>0</v>
      </c>
    </row>
    <row r="88" spans="1:27" hidden="1">
      <c r="A88" s="617">
        <f>'CG. MPA'!A88</f>
        <v>9</v>
      </c>
      <c r="B88" s="798">
        <v>15</v>
      </c>
      <c r="C88" s="643">
        <f>IF('CG. MPA'!E88="CONCRETO",'RMCV.PA'!B88,0)</f>
        <v>0</v>
      </c>
      <c r="D88" s="593">
        <f>IF(C88=0,0,'CG. MPA'!C88*100)</f>
        <v>0</v>
      </c>
      <c r="E88" s="593">
        <f>IF(D88=0,0,'RMCV.PA'!C88)</f>
        <v>0</v>
      </c>
      <c r="F88" s="593">
        <f t="shared" si="23"/>
        <v>0</v>
      </c>
      <c r="G88" s="643">
        <f>IF(C88=0,0,'RMCS.PA'!M87)</f>
        <v>0</v>
      </c>
      <c r="H88" s="643">
        <f>IF(C88=0,0,'CASTILLOS-PA'!K88)</f>
        <v>0</v>
      </c>
      <c r="I88" s="594">
        <f t="shared" si="24"/>
        <v>0</v>
      </c>
      <c r="J88" s="594">
        <f t="shared" si="25"/>
        <v>0</v>
      </c>
      <c r="K88" s="595">
        <f t="shared" si="26"/>
        <v>0</v>
      </c>
      <c r="L88" s="594">
        <f t="shared" si="27"/>
        <v>0</v>
      </c>
      <c r="M88" s="596">
        <f t="shared" si="28"/>
        <v>0</v>
      </c>
      <c r="N88" s="643">
        <f t="shared" si="29"/>
        <v>0</v>
      </c>
      <c r="O88" s="643">
        <f t="shared" si="30"/>
        <v>0</v>
      </c>
      <c r="P88" s="643">
        <f t="shared" si="31"/>
        <v>0</v>
      </c>
      <c r="Q88" s="643">
        <f t="shared" si="32"/>
        <v>0</v>
      </c>
      <c r="R88" s="643">
        <f t="shared" si="33"/>
        <v>0</v>
      </c>
      <c r="S88" s="799">
        <f t="shared" si="34"/>
        <v>0</v>
      </c>
      <c r="T88" s="596">
        <f t="shared" si="35"/>
        <v>0</v>
      </c>
      <c r="U88" s="800">
        <f t="shared" si="36"/>
        <v>0</v>
      </c>
      <c r="V88" s="596">
        <f t="shared" si="37"/>
        <v>0</v>
      </c>
      <c r="W88" s="814">
        <f t="shared" si="38"/>
        <v>0</v>
      </c>
      <c r="X88" s="593">
        <f t="shared" si="2"/>
        <v>0</v>
      </c>
      <c r="AA88" s="593">
        <f t="shared" si="19"/>
        <v>0</v>
      </c>
    </row>
    <row r="89" spans="1:27" hidden="1">
      <c r="A89" s="617">
        <f>'CG. MPA'!A89</f>
        <v>10</v>
      </c>
      <c r="B89" s="798">
        <v>15</v>
      </c>
      <c r="C89" s="643">
        <f>IF('CG. MPA'!E89="CONCRETO",'RMCV.PA'!B89,0)</f>
        <v>0</v>
      </c>
      <c r="D89" s="593">
        <f>IF(C89=0,0,'CG. MPA'!C89*100)</f>
        <v>0</v>
      </c>
      <c r="E89" s="593">
        <f>IF(D89=0,0,'RMCV.PA'!C89)</f>
        <v>0</v>
      </c>
      <c r="F89" s="593">
        <f t="shared" si="23"/>
        <v>0</v>
      </c>
      <c r="G89" s="643">
        <f>IF(C89=0,0,'RMCS.PA'!M88)</f>
        <v>0</v>
      </c>
      <c r="H89" s="643">
        <f>IF(C89=0,0,'CASTILLOS-PA'!K89)</f>
        <v>0</v>
      </c>
      <c r="I89" s="594">
        <f t="shared" si="24"/>
        <v>0</v>
      </c>
      <c r="J89" s="594">
        <f t="shared" si="25"/>
        <v>0</v>
      </c>
      <c r="K89" s="595">
        <f t="shared" si="26"/>
        <v>0</v>
      </c>
      <c r="L89" s="594">
        <f t="shared" si="27"/>
        <v>0</v>
      </c>
      <c r="M89" s="596">
        <f t="shared" si="28"/>
        <v>0</v>
      </c>
      <c r="N89" s="643">
        <f t="shared" si="29"/>
        <v>0</v>
      </c>
      <c r="O89" s="643">
        <f t="shared" si="30"/>
        <v>0</v>
      </c>
      <c r="P89" s="643">
        <f t="shared" si="31"/>
        <v>0</v>
      </c>
      <c r="Q89" s="643">
        <f t="shared" si="32"/>
        <v>0</v>
      </c>
      <c r="R89" s="643">
        <f t="shared" si="33"/>
        <v>0</v>
      </c>
      <c r="S89" s="799">
        <f t="shared" si="34"/>
        <v>0</v>
      </c>
      <c r="T89" s="596">
        <f t="shared" si="35"/>
        <v>0</v>
      </c>
      <c r="U89" s="800">
        <f t="shared" si="36"/>
        <v>0</v>
      </c>
      <c r="V89" s="596">
        <f t="shared" si="37"/>
        <v>0</v>
      </c>
      <c r="W89" s="814">
        <f t="shared" si="38"/>
        <v>0</v>
      </c>
      <c r="X89" s="593">
        <f t="shared" si="2"/>
        <v>0</v>
      </c>
      <c r="AA89" s="593">
        <f t="shared" si="19"/>
        <v>0</v>
      </c>
    </row>
    <row r="90" spans="1:27" hidden="1">
      <c r="A90" s="617">
        <f>'CG. MPA'!A90</f>
        <v>11</v>
      </c>
      <c r="B90" s="798">
        <v>15</v>
      </c>
      <c r="C90" s="643">
        <f>IF('CG. MPA'!E90="CONCRETO",'RMCV.PA'!B90,0)</f>
        <v>0</v>
      </c>
      <c r="D90" s="593">
        <f>IF(C90=0,0,'CG. MPA'!C90*100)</f>
        <v>0</v>
      </c>
      <c r="E90" s="593">
        <f>IF(D90=0,0,'RMCV.PA'!C90)</f>
        <v>0</v>
      </c>
      <c r="F90" s="593">
        <f t="shared" si="23"/>
        <v>0</v>
      </c>
      <c r="G90" s="643">
        <f>IF(C90=0,0,'RMCS.PA'!M89)</f>
        <v>0</v>
      </c>
      <c r="H90" s="643">
        <f>IF(C90=0,0,'CASTILLOS-PA'!K90)</f>
        <v>0</v>
      </c>
      <c r="I90" s="594">
        <f t="shared" si="24"/>
        <v>0</v>
      </c>
      <c r="J90" s="594">
        <f t="shared" si="25"/>
        <v>0</v>
      </c>
      <c r="K90" s="595">
        <f t="shared" si="26"/>
        <v>0</v>
      </c>
      <c r="L90" s="594">
        <f t="shared" si="27"/>
        <v>0</v>
      </c>
      <c r="M90" s="596">
        <f t="shared" si="28"/>
        <v>0</v>
      </c>
      <c r="N90" s="643">
        <f t="shared" si="29"/>
        <v>0</v>
      </c>
      <c r="O90" s="643">
        <f t="shared" si="30"/>
        <v>0</v>
      </c>
      <c r="P90" s="643">
        <f t="shared" si="31"/>
        <v>0</v>
      </c>
      <c r="Q90" s="643">
        <f t="shared" si="32"/>
        <v>0</v>
      </c>
      <c r="R90" s="643">
        <f t="shared" si="33"/>
        <v>0</v>
      </c>
      <c r="S90" s="799">
        <f t="shared" si="34"/>
        <v>0</v>
      </c>
      <c r="T90" s="596">
        <f t="shared" si="35"/>
        <v>0</v>
      </c>
      <c r="U90" s="800">
        <f t="shared" si="36"/>
        <v>0</v>
      </c>
      <c r="V90" s="596">
        <f t="shared" si="37"/>
        <v>0</v>
      </c>
      <c r="W90" s="814">
        <f t="shared" si="38"/>
        <v>0</v>
      </c>
      <c r="X90" s="593">
        <f t="shared" si="2"/>
        <v>0</v>
      </c>
      <c r="AA90" s="593">
        <f t="shared" si="19"/>
        <v>0</v>
      </c>
    </row>
    <row r="91" spans="1:27" hidden="1">
      <c r="A91" s="617">
        <f>'CG. MPA'!A91</f>
        <v>12</v>
      </c>
      <c r="B91" s="798">
        <v>16</v>
      </c>
      <c r="C91" s="643">
        <f>IF('CG. MPA'!E91="CONCRETO",'RMCV.PA'!B91,0)</f>
        <v>0</v>
      </c>
      <c r="D91" s="593">
        <f>IF(C91=0,0,'CG. MPA'!C91*100)</f>
        <v>0</v>
      </c>
      <c r="E91" s="593">
        <f>IF(D91=0,0,'RMCV.PA'!C91)</f>
        <v>0</v>
      </c>
      <c r="F91" s="593">
        <f t="shared" si="23"/>
        <v>0</v>
      </c>
      <c r="G91" s="643">
        <f>IF(C91=0,0,'RMCS.PA'!M90)</f>
        <v>0</v>
      </c>
      <c r="H91" s="643">
        <f>IF(C91=0,0,'CASTILLOS-PA'!K91)</f>
        <v>0</v>
      </c>
      <c r="I91" s="594">
        <f t="shared" si="24"/>
        <v>0</v>
      </c>
      <c r="J91" s="594">
        <f t="shared" si="25"/>
        <v>0</v>
      </c>
      <c r="K91" s="595">
        <f t="shared" si="26"/>
        <v>0</v>
      </c>
      <c r="L91" s="594">
        <f t="shared" si="27"/>
        <v>0</v>
      </c>
      <c r="M91" s="596">
        <f t="shared" si="28"/>
        <v>0</v>
      </c>
      <c r="N91" s="643">
        <f t="shared" si="29"/>
        <v>0</v>
      </c>
      <c r="O91" s="643">
        <f t="shared" si="30"/>
        <v>0</v>
      </c>
      <c r="P91" s="643">
        <f t="shared" si="31"/>
        <v>0</v>
      </c>
      <c r="Q91" s="643">
        <f t="shared" si="32"/>
        <v>0</v>
      </c>
      <c r="R91" s="643">
        <f t="shared" si="33"/>
        <v>0</v>
      </c>
      <c r="S91" s="799">
        <f t="shared" si="34"/>
        <v>0</v>
      </c>
      <c r="T91" s="596">
        <f t="shared" si="35"/>
        <v>0</v>
      </c>
      <c r="U91" s="800">
        <f t="shared" si="36"/>
        <v>0</v>
      </c>
      <c r="V91" s="596">
        <f t="shared" si="37"/>
        <v>0</v>
      </c>
      <c r="W91" s="814">
        <f t="shared" si="38"/>
        <v>0</v>
      </c>
      <c r="X91" s="593">
        <f t="shared" si="2"/>
        <v>0</v>
      </c>
      <c r="AA91" s="593">
        <f t="shared" si="19"/>
        <v>0</v>
      </c>
    </row>
    <row r="92" spans="1:27" hidden="1">
      <c r="A92" s="617">
        <f>'CG. MPA'!A92</f>
        <v>13</v>
      </c>
      <c r="B92" s="798">
        <v>17</v>
      </c>
      <c r="C92" s="643">
        <f>IF('CG. MPA'!E92="CONCRETO",'RMCV.PA'!B92,0)</f>
        <v>0</v>
      </c>
      <c r="D92" s="593">
        <f>IF(C92=0,0,'CG. MPA'!C92*100)</f>
        <v>0</v>
      </c>
      <c r="E92" s="593">
        <f>IF(D92=0,0,'RMCV.PA'!C92)</f>
        <v>0</v>
      </c>
      <c r="F92" s="593">
        <f t="shared" si="23"/>
        <v>0</v>
      </c>
      <c r="G92" s="643">
        <f>IF(C92=0,0,'RMCS.PA'!M91)</f>
        <v>0</v>
      </c>
      <c r="H92" s="643">
        <f>IF(C92=0,0,'CASTILLOS-PA'!K92)</f>
        <v>0</v>
      </c>
      <c r="I92" s="594">
        <f t="shared" si="24"/>
        <v>0</v>
      </c>
      <c r="J92" s="594">
        <f t="shared" si="25"/>
        <v>0</v>
      </c>
      <c r="K92" s="595">
        <f t="shared" si="26"/>
        <v>0</v>
      </c>
      <c r="L92" s="594">
        <f t="shared" si="27"/>
        <v>0</v>
      </c>
      <c r="M92" s="596">
        <f t="shared" si="28"/>
        <v>0</v>
      </c>
      <c r="N92" s="643">
        <f t="shared" si="29"/>
        <v>0</v>
      </c>
      <c r="O92" s="643">
        <f t="shared" si="30"/>
        <v>0</v>
      </c>
      <c r="P92" s="643">
        <f t="shared" si="31"/>
        <v>0</v>
      </c>
      <c r="Q92" s="643">
        <f t="shared" si="32"/>
        <v>0</v>
      </c>
      <c r="R92" s="643">
        <f t="shared" si="33"/>
        <v>0</v>
      </c>
      <c r="S92" s="799">
        <f t="shared" si="34"/>
        <v>0</v>
      </c>
      <c r="T92" s="596">
        <f t="shared" si="35"/>
        <v>0</v>
      </c>
      <c r="U92" s="800">
        <f t="shared" si="36"/>
        <v>0</v>
      </c>
      <c r="V92" s="596">
        <f t="shared" si="37"/>
        <v>0</v>
      </c>
      <c r="W92" s="814">
        <f t="shared" si="38"/>
        <v>0</v>
      </c>
      <c r="X92" s="593">
        <f t="shared" si="2"/>
        <v>0</v>
      </c>
      <c r="AA92" s="593">
        <f t="shared" si="19"/>
        <v>0</v>
      </c>
    </row>
    <row r="93" spans="1:27" hidden="1">
      <c r="A93" s="617">
        <f>'CG. MPA'!A93</f>
        <v>14</v>
      </c>
      <c r="B93" s="798">
        <v>18</v>
      </c>
      <c r="C93" s="643">
        <f>IF('CG. MPA'!E93="CONCRETO",'RMCV.PA'!B93,0)</f>
        <v>0</v>
      </c>
      <c r="D93" s="593">
        <f>IF(C93=0,0,'CG. MPA'!C93*100)</f>
        <v>0</v>
      </c>
      <c r="E93" s="593">
        <f>IF(D93=0,0,'RMCV.PA'!C93)</f>
        <v>0</v>
      </c>
      <c r="F93" s="593">
        <f t="shared" si="23"/>
        <v>0</v>
      </c>
      <c r="G93" s="643">
        <f>IF(C93=0,0,'RMCS.PA'!M92)</f>
        <v>0</v>
      </c>
      <c r="H93" s="643">
        <f>IF(C93=0,0,'CASTILLOS-PA'!K93)</f>
        <v>0</v>
      </c>
      <c r="I93" s="594">
        <f t="shared" si="24"/>
        <v>0</v>
      </c>
      <c r="J93" s="594">
        <f t="shared" si="25"/>
        <v>0</v>
      </c>
      <c r="K93" s="595">
        <f t="shared" si="26"/>
        <v>0</v>
      </c>
      <c r="L93" s="594">
        <f t="shared" si="27"/>
        <v>0</v>
      </c>
      <c r="M93" s="596">
        <f t="shared" si="28"/>
        <v>0</v>
      </c>
      <c r="N93" s="643">
        <f t="shared" si="29"/>
        <v>0</v>
      </c>
      <c r="O93" s="643">
        <f t="shared" si="30"/>
        <v>0</v>
      </c>
      <c r="P93" s="643">
        <f t="shared" si="31"/>
        <v>0</v>
      </c>
      <c r="Q93" s="643">
        <f t="shared" si="32"/>
        <v>0</v>
      </c>
      <c r="R93" s="643">
        <f t="shared" si="33"/>
        <v>0</v>
      </c>
      <c r="S93" s="799">
        <f t="shared" si="34"/>
        <v>0</v>
      </c>
      <c r="T93" s="596">
        <f t="shared" si="35"/>
        <v>0</v>
      </c>
      <c r="U93" s="800">
        <f t="shared" si="36"/>
        <v>0</v>
      </c>
      <c r="V93" s="596">
        <f t="shared" si="37"/>
        <v>0</v>
      </c>
      <c r="W93" s="814">
        <f t="shared" si="38"/>
        <v>0</v>
      </c>
      <c r="X93" s="593">
        <f t="shared" si="2"/>
        <v>0</v>
      </c>
      <c r="AA93" s="593">
        <f t="shared" si="19"/>
        <v>0</v>
      </c>
    </row>
    <row r="94" spans="1:27" hidden="1">
      <c r="A94" s="617">
        <f>'CG. MPA'!A94</f>
        <v>15</v>
      </c>
      <c r="B94" s="798">
        <v>15</v>
      </c>
      <c r="C94" s="643">
        <f>IF('CG. MPA'!E94="CONCRETO",'RMCV.PA'!B94,0)</f>
        <v>0</v>
      </c>
      <c r="D94" s="593">
        <f>IF(C94=0,0,'CG. MPA'!C94*100)</f>
        <v>0</v>
      </c>
      <c r="E94" s="593">
        <f>IF(D94=0,0,'RMCV.PA'!C94)</f>
        <v>0</v>
      </c>
      <c r="F94" s="593">
        <f t="shared" si="23"/>
        <v>0</v>
      </c>
      <c r="G94" s="643">
        <f>IF(C94=0,0,'RMCS.PA'!M93)</f>
        <v>0</v>
      </c>
      <c r="H94" s="643">
        <f>IF(C94=0,0,'CASTILLOS-PA'!K94)</f>
        <v>0</v>
      </c>
      <c r="I94" s="594">
        <f t="shared" si="24"/>
        <v>0</v>
      </c>
      <c r="J94" s="594">
        <f t="shared" si="25"/>
        <v>0</v>
      </c>
      <c r="K94" s="595">
        <f t="shared" si="26"/>
        <v>0</v>
      </c>
      <c r="L94" s="594">
        <f t="shared" si="27"/>
        <v>0</v>
      </c>
      <c r="M94" s="596">
        <f t="shared" si="28"/>
        <v>0</v>
      </c>
      <c r="N94" s="643">
        <f t="shared" si="29"/>
        <v>0</v>
      </c>
      <c r="O94" s="643">
        <f t="shared" si="30"/>
        <v>0</v>
      </c>
      <c r="P94" s="643">
        <f t="shared" si="31"/>
        <v>0</v>
      </c>
      <c r="Q94" s="643">
        <f t="shared" si="32"/>
        <v>0</v>
      </c>
      <c r="R94" s="643">
        <f t="shared" si="33"/>
        <v>0</v>
      </c>
      <c r="S94" s="799">
        <f t="shared" si="34"/>
        <v>0</v>
      </c>
      <c r="T94" s="596">
        <f t="shared" si="35"/>
        <v>0</v>
      </c>
      <c r="U94" s="800">
        <f t="shared" si="36"/>
        <v>0</v>
      </c>
      <c r="V94" s="596">
        <f t="shared" si="37"/>
        <v>0</v>
      </c>
      <c r="W94" s="814">
        <f t="shared" si="38"/>
        <v>0</v>
      </c>
      <c r="X94" s="593">
        <f t="shared" si="2"/>
        <v>0</v>
      </c>
      <c r="AA94" s="593">
        <f t="shared" ref="AA94:AA129" si="39">EVEN(L94)</f>
        <v>0</v>
      </c>
    </row>
    <row r="95" spans="1:27" hidden="1">
      <c r="A95" s="617">
        <f>'CG. MPA'!A95</f>
        <v>16</v>
      </c>
      <c r="B95" s="798">
        <v>15</v>
      </c>
      <c r="C95" s="643">
        <f>IF('CG. MPA'!E95="CONCRETO",'RMCV.PA'!B95,0)</f>
        <v>0</v>
      </c>
      <c r="D95" s="593">
        <f>IF(C95=0,0,'CG. MPA'!C95*100)</f>
        <v>0</v>
      </c>
      <c r="E95" s="593">
        <f>IF(D95=0,0,'RMCV.PA'!C95)</f>
        <v>0</v>
      </c>
      <c r="F95" s="593">
        <f t="shared" si="23"/>
        <v>0</v>
      </c>
      <c r="G95" s="643">
        <f>IF(C95=0,0,'RMCS.PA'!M94)</f>
        <v>0</v>
      </c>
      <c r="H95" s="643">
        <f>IF(C95=0,0,'CASTILLOS-PA'!K95)</f>
        <v>0</v>
      </c>
      <c r="I95" s="594">
        <f t="shared" si="24"/>
        <v>0</v>
      </c>
      <c r="J95" s="594">
        <f t="shared" si="25"/>
        <v>0</v>
      </c>
      <c r="K95" s="595">
        <f t="shared" si="26"/>
        <v>0</v>
      </c>
      <c r="L95" s="594">
        <f t="shared" si="27"/>
        <v>0</v>
      </c>
      <c r="M95" s="596">
        <f t="shared" si="28"/>
        <v>0</v>
      </c>
      <c r="N95" s="643">
        <f t="shared" si="29"/>
        <v>0</v>
      </c>
      <c r="O95" s="643">
        <f t="shared" si="30"/>
        <v>0</v>
      </c>
      <c r="P95" s="643">
        <f t="shared" si="31"/>
        <v>0</v>
      </c>
      <c r="Q95" s="643">
        <f t="shared" si="32"/>
        <v>0</v>
      </c>
      <c r="R95" s="643">
        <f t="shared" si="33"/>
        <v>0</v>
      </c>
      <c r="S95" s="799">
        <f t="shared" si="34"/>
        <v>0</v>
      </c>
      <c r="T95" s="596">
        <f t="shared" si="35"/>
        <v>0</v>
      </c>
      <c r="U95" s="800">
        <f t="shared" si="36"/>
        <v>0</v>
      </c>
      <c r="V95" s="596">
        <f t="shared" si="37"/>
        <v>0</v>
      </c>
      <c r="W95" s="814">
        <f t="shared" si="38"/>
        <v>0</v>
      </c>
      <c r="X95" s="593">
        <f t="shared" si="2"/>
        <v>0</v>
      </c>
      <c r="AA95" s="593">
        <f t="shared" si="39"/>
        <v>0</v>
      </c>
    </row>
    <row r="96" spans="1:27" hidden="1">
      <c r="A96" s="617">
        <f>'CG. MPA'!A96</f>
        <v>17</v>
      </c>
      <c r="B96" s="798">
        <v>15</v>
      </c>
      <c r="C96" s="643">
        <f>IF('CG. MPA'!E96="CONCRETO",'RMCV.PA'!B96,0)</f>
        <v>0</v>
      </c>
      <c r="D96" s="593">
        <f>IF(C96=0,0,'CG. MPA'!C96*100)</f>
        <v>0</v>
      </c>
      <c r="E96" s="593">
        <f>IF(D96=0,0,'RMCV.PA'!C96)</f>
        <v>0</v>
      </c>
      <c r="F96" s="593">
        <f t="shared" si="23"/>
        <v>0</v>
      </c>
      <c r="G96" s="643">
        <f>IF(C96=0,0,'RMCS.PA'!M95)</f>
        <v>0</v>
      </c>
      <c r="H96" s="643">
        <f>IF(C96=0,0,'CASTILLOS-PA'!K96)</f>
        <v>0</v>
      </c>
      <c r="I96" s="594">
        <f t="shared" si="24"/>
        <v>0</v>
      </c>
      <c r="J96" s="594">
        <f t="shared" si="25"/>
        <v>0</v>
      </c>
      <c r="K96" s="595">
        <f t="shared" si="26"/>
        <v>0</v>
      </c>
      <c r="L96" s="594">
        <f t="shared" si="27"/>
        <v>0</v>
      </c>
      <c r="M96" s="596">
        <f t="shared" si="28"/>
        <v>0</v>
      </c>
      <c r="N96" s="643">
        <f t="shared" si="29"/>
        <v>0</v>
      </c>
      <c r="O96" s="643">
        <f t="shared" si="30"/>
        <v>0</v>
      </c>
      <c r="P96" s="643">
        <f t="shared" si="31"/>
        <v>0</v>
      </c>
      <c r="Q96" s="643">
        <f t="shared" si="32"/>
        <v>0</v>
      </c>
      <c r="R96" s="643">
        <f t="shared" si="33"/>
        <v>0</v>
      </c>
      <c r="S96" s="799">
        <f t="shared" si="34"/>
        <v>0</v>
      </c>
      <c r="T96" s="596">
        <f t="shared" si="35"/>
        <v>0</v>
      </c>
      <c r="U96" s="800">
        <f t="shared" si="36"/>
        <v>0</v>
      </c>
      <c r="V96" s="596">
        <f t="shared" si="37"/>
        <v>0</v>
      </c>
      <c r="W96" s="814">
        <f t="shared" si="38"/>
        <v>0</v>
      </c>
      <c r="X96" s="593">
        <f t="shared" si="2"/>
        <v>0</v>
      </c>
      <c r="AA96" s="593">
        <f t="shared" si="39"/>
        <v>0</v>
      </c>
    </row>
    <row r="97" spans="1:27" hidden="1">
      <c r="A97" s="617">
        <f>'CG. MPA'!A97</f>
        <v>18</v>
      </c>
      <c r="B97" s="798">
        <v>15</v>
      </c>
      <c r="C97" s="643">
        <f>IF('CG. MPA'!E97="CONCRETO",'RMCV.PA'!B97,0)</f>
        <v>0</v>
      </c>
      <c r="D97" s="593">
        <f>IF(C97=0,0,'CG. MPA'!C97*100)</f>
        <v>0</v>
      </c>
      <c r="E97" s="593">
        <f>IF(D97=0,0,'RMCV.PA'!C97)</f>
        <v>0</v>
      </c>
      <c r="F97" s="593">
        <f t="shared" si="23"/>
        <v>0</v>
      </c>
      <c r="G97" s="643">
        <f>IF(C97=0,0,'RMCS.PA'!M96)</f>
        <v>0</v>
      </c>
      <c r="H97" s="643">
        <f>IF(C97=0,0,'CASTILLOS-PA'!K97)</f>
        <v>0</v>
      </c>
      <c r="I97" s="594">
        <f t="shared" si="24"/>
        <v>0</v>
      </c>
      <c r="J97" s="594">
        <f t="shared" si="25"/>
        <v>0</v>
      </c>
      <c r="K97" s="595">
        <f t="shared" si="26"/>
        <v>0</v>
      </c>
      <c r="L97" s="594">
        <f t="shared" si="27"/>
        <v>0</v>
      </c>
      <c r="M97" s="596">
        <f t="shared" si="28"/>
        <v>0</v>
      </c>
      <c r="N97" s="643">
        <f t="shared" si="29"/>
        <v>0</v>
      </c>
      <c r="O97" s="643">
        <f t="shared" si="30"/>
        <v>0</v>
      </c>
      <c r="P97" s="643">
        <f t="shared" si="31"/>
        <v>0</v>
      </c>
      <c r="Q97" s="643">
        <f t="shared" si="32"/>
        <v>0</v>
      </c>
      <c r="R97" s="643">
        <f t="shared" si="33"/>
        <v>0</v>
      </c>
      <c r="S97" s="799">
        <f t="shared" si="34"/>
        <v>0</v>
      </c>
      <c r="T97" s="596">
        <f t="shared" si="35"/>
        <v>0</v>
      </c>
      <c r="U97" s="800">
        <f t="shared" si="36"/>
        <v>0</v>
      </c>
      <c r="V97" s="596">
        <f t="shared" si="37"/>
        <v>0</v>
      </c>
      <c r="W97" s="814">
        <f t="shared" si="38"/>
        <v>0</v>
      </c>
      <c r="X97" s="593">
        <f t="shared" si="2"/>
        <v>0</v>
      </c>
      <c r="AA97" s="593">
        <f t="shared" si="39"/>
        <v>0</v>
      </c>
    </row>
    <row r="98" spans="1:27">
      <c r="A98" s="617">
        <f>'CG. MPA'!A98</f>
        <v>19</v>
      </c>
      <c r="B98" s="798">
        <v>20</v>
      </c>
      <c r="C98" s="643">
        <f>IF('CG. MPA'!E98="CONCRETO",'RMCV.PA'!B98,0)</f>
        <v>0</v>
      </c>
      <c r="D98" s="593">
        <f>IF(C98=0,0,'CG. MPA'!C98*100)</f>
        <v>0</v>
      </c>
      <c r="E98" s="593">
        <f>IF(D98=0,0,'RMCV.PA'!C98)</f>
        <v>0</v>
      </c>
      <c r="F98" s="593">
        <f t="shared" si="23"/>
        <v>0</v>
      </c>
      <c r="G98" s="643">
        <f>IF(C98=0,0,'RMCS.PA'!M97)</f>
        <v>0</v>
      </c>
      <c r="H98" s="643">
        <f>IF(C98=0,0,'CASTILLOS-PA'!K98)</f>
        <v>0</v>
      </c>
      <c r="I98" s="594">
        <f t="shared" si="24"/>
        <v>0</v>
      </c>
      <c r="J98" s="594">
        <f t="shared" si="25"/>
        <v>0</v>
      </c>
      <c r="K98" s="595">
        <f t="shared" si="26"/>
        <v>0</v>
      </c>
      <c r="L98" s="594">
        <f t="shared" si="27"/>
        <v>0</v>
      </c>
      <c r="M98" s="596">
        <f t="shared" si="28"/>
        <v>0</v>
      </c>
      <c r="N98" s="643">
        <f t="shared" si="29"/>
        <v>0</v>
      </c>
      <c r="O98" s="643">
        <f t="shared" si="30"/>
        <v>0</v>
      </c>
      <c r="P98" s="643">
        <f t="shared" si="31"/>
        <v>0</v>
      </c>
      <c r="Q98" s="643">
        <f t="shared" si="32"/>
        <v>0</v>
      </c>
      <c r="R98" s="643">
        <f t="shared" si="33"/>
        <v>0</v>
      </c>
      <c r="S98" s="799">
        <f t="shared" si="34"/>
        <v>0</v>
      </c>
      <c r="T98" s="596">
        <f t="shared" si="35"/>
        <v>0</v>
      </c>
      <c r="U98" s="800">
        <f t="shared" si="36"/>
        <v>0</v>
      </c>
      <c r="V98" s="596">
        <f t="shared" si="37"/>
        <v>0</v>
      </c>
      <c r="W98" s="814">
        <f t="shared" si="38"/>
        <v>0</v>
      </c>
      <c r="X98" s="593">
        <f t="shared" si="2"/>
        <v>0</v>
      </c>
      <c r="AA98" s="593">
        <f t="shared" si="39"/>
        <v>0</v>
      </c>
    </row>
    <row r="99" spans="1:27">
      <c r="A99" s="617">
        <f>'CG. MPA'!A99</f>
        <v>20</v>
      </c>
      <c r="B99" s="798">
        <v>20</v>
      </c>
      <c r="C99" s="643">
        <f>IF('CG. MPA'!E99="CONCRETO",'RMCV.PA'!B99,0)</f>
        <v>0</v>
      </c>
      <c r="D99" s="593">
        <f>IF(C99=0,0,'CG. MPA'!C99*100)</f>
        <v>0</v>
      </c>
      <c r="E99" s="593">
        <f>IF(D99=0,0,'RMCV.PA'!C99)</f>
        <v>0</v>
      </c>
      <c r="F99" s="593">
        <f t="shared" si="23"/>
        <v>0</v>
      </c>
      <c r="G99" s="643">
        <f>IF(C99=0,0,'RMCS.PA'!M98)</f>
        <v>0</v>
      </c>
      <c r="H99" s="643">
        <f>IF(C99=0,0,'CASTILLOS-PA'!K99)</f>
        <v>0</v>
      </c>
      <c r="I99" s="594">
        <f t="shared" si="24"/>
        <v>0</v>
      </c>
      <c r="J99" s="594">
        <f t="shared" si="25"/>
        <v>0</v>
      </c>
      <c r="K99" s="595">
        <f t="shared" si="26"/>
        <v>0</v>
      </c>
      <c r="L99" s="594">
        <f t="shared" si="27"/>
        <v>0</v>
      </c>
      <c r="M99" s="596">
        <f t="shared" si="28"/>
        <v>0</v>
      </c>
      <c r="N99" s="643">
        <f t="shared" si="29"/>
        <v>0</v>
      </c>
      <c r="O99" s="643">
        <f t="shared" si="30"/>
        <v>0</v>
      </c>
      <c r="P99" s="643">
        <f t="shared" si="31"/>
        <v>0</v>
      </c>
      <c r="Q99" s="643">
        <f t="shared" si="32"/>
        <v>0</v>
      </c>
      <c r="R99" s="643">
        <f t="shared" si="33"/>
        <v>0</v>
      </c>
      <c r="S99" s="799">
        <f t="shared" si="34"/>
        <v>0</v>
      </c>
      <c r="T99" s="596">
        <f t="shared" si="35"/>
        <v>0</v>
      </c>
      <c r="U99" s="800">
        <f t="shared" si="36"/>
        <v>0</v>
      </c>
      <c r="V99" s="596">
        <f t="shared" si="37"/>
        <v>0</v>
      </c>
      <c r="W99" s="814">
        <f t="shared" si="38"/>
        <v>0</v>
      </c>
      <c r="X99" s="593">
        <f t="shared" si="2"/>
        <v>0</v>
      </c>
      <c r="AA99" s="593">
        <f t="shared" si="39"/>
        <v>0</v>
      </c>
    </row>
    <row r="100" spans="1:27">
      <c r="A100" s="617">
        <f>'CG. MPA'!A100</f>
        <v>21</v>
      </c>
      <c r="B100" s="798">
        <v>15</v>
      </c>
      <c r="C100" s="643">
        <f>IF('CG. MPA'!E100="CONCRETO",'RMCV.PA'!B100,0)</f>
        <v>0</v>
      </c>
      <c r="D100" s="593">
        <f>IF(C100=0,0,'CG. MPA'!C100*100)</f>
        <v>0</v>
      </c>
      <c r="E100" s="593">
        <f>IF(D100=0,0,'RMCV.PA'!C100)</f>
        <v>0</v>
      </c>
      <c r="F100" s="593">
        <f t="shared" si="23"/>
        <v>0</v>
      </c>
      <c r="G100" s="643">
        <f>IF(C100=0,0,'RMCS.PA'!M99)</f>
        <v>0</v>
      </c>
      <c r="H100" s="643">
        <f>IF(C100=0,0,'CASTILLOS-PA'!K100)</f>
        <v>0</v>
      </c>
      <c r="I100" s="594">
        <f t="shared" si="24"/>
        <v>0</v>
      </c>
      <c r="J100" s="594">
        <f t="shared" si="25"/>
        <v>0</v>
      </c>
      <c r="K100" s="595">
        <f t="shared" si="26"/>
        <v>0</v>
      </c>
      <c r="L100" s="594">
        <f t="shared" si="27"/>
        <v>0</v>
      </c>
      <c r="M100" s="596">
        <f t="shared" si="28"/>
        <v>0</v>
      </c>
      <c r="N100" s="643">
        <f t="shared" si="29"/>
        <v>0</v>
      </c>
      <c r="O100" s="643">
        <f t="shared" si="30"/>
        <v>0</v>
      </c>
      <c r="P100" s="643">
        <f t="shared" si="31"/>
        <v>0</v>
      </c>
      <c r="Q100" s="643">
        <f t="shared" si="32"/>
        <v>0</v>
      </c>
      <c r="R100" s="643">
        <f t="shared" si="33"/>
        <v>0</v>
      </c>
      <c r="S100" s="799">
        <f t="shared" si="34"/>
        <v>0</v>
      </c>
      <c r="T100" s="596">
        <f t="shared" si="35"/>
        <v>0</v>
      </c>
      <c r="U100" s="800">
        <f t="shared" si="36"/>
        <v>0</v>
      </c>
      <c r="V100" s="596">
        <f t="shared" si="37"/>
        <v>0</v>
      </c>
      <c r="W100" s="814">
        <f t="shared" si="38"/>
        <v>0</v>
      </c>
      <c r="X100" s="593">
        <f t="shared" si="2"/>
        <v>0</v>
      </c>
      <c r="AA100" s="593">
        <f t="shared" si="39"/>
        <v>0</v>
      </c>
    </row>
    <row r="101" spans="1:27">
      <c r="A101" s="617">
        <f>'CG. MPA'!A101</f>
        <v>22</v>
      </c>
      <c r="B101" s="798">
        <v>15</v>
      </c>
      <c r="C101" s="643">
        <f>IF('CG. MPA'!E101="CONCRETO",'RMCV.PA'!B101,0)</f>
        <v>0</v>
      </c>
      <c r="D101" s="593">
        <f>IF(C101=0,0,'CG. MPA'!C101*100)</f>
        <v>0</v>
      </c>
      <c r="E101" s="593">
        <f>IF(D101=0,0,'RMCV.PA'!C101)</f>
        <v>0</v>
      </c>
      <c r="F101" s="593">
        <f t="shared" si="23"/>
        <v>0</v>
      </c>
      <c r="G101" s="643">
        <f>IF(C101=0,0,'RMCS.PA'!M100)</f>
        <v>0</v>
      </c>
      <c r="H101" s="643">
        <f>IF(C101=0,0,'CASTILLOS-PA'!K101)</f>
        <v>0</v>
      </c>
      <c r="I101" s="594">
        <f t="shared" si="24"/>
        <v>0</v>
      </c>
      <c r="J101" s="594">
        <f t="shared" si="25"/>
        <v>0</v>
      </c>
      <c r="K101" s="595">
        <f t="shared" si="26"/>
        <v>0</v>
      </c>
      <c r="L101" s="594">
        <f t="shared" si="27"/>
        <v>0</v>
      </c>
      <c r="M101" s="596">
        <f t="shared" si="28"/>
        <v>0</v>
      </c>
      <c r="N101" s="643">
        <f t="shared" si="29"/>
        <v>0</v>
      </c>
      <c r="O101" s="643">
        <f t="shared" si="30"/>
        <v>0</v>
      </c>
      <c r="P101" s="643">
        <f t="shared" si="31"/>
        <v>0</v>
      </c>
      <c r="Q101" s="643">
        <f t="shared" si="32"/>
        <v>0</v>
      </c>
      <c r="R101" s="643">
        <f t="shared" si="33"/>
        <v>0</v>
      </c>
      <c r="S101" s="799">
        <f t="shared" si="34"/>
        <v>0</v>
      </c>
      <c r="T101" s="596">
        <f t="shared" si="35"/>
        <v>0</v>
      </c>
      <c r="U101" s="800">
        <f t="shared" si="36"/>
        <v>0</v>
      </c>
      <c r="V101" s="596">
        <f t="shared" si="37"/>
        <v>0</v>
      </c>
      <c r="W101" s="814">
        <f t="shared" si="38"/>
        <v>0</v>
      </c>
      <c r="X101" s="593">
        <f t="shared" si="2"/>
        <v>0</v>
      </c>
      <c r="AA101" s="593">
        <f t="shared" si="39"/>
        <v>0</v>
      </c>
    </row>
    <row r="102" spans="1:27">
      <c r="A102" s="617">
        <f>'CG. MPA'!A102</f>
        <v>23</v>
      </c>
      <c r="B102" s="798">
        <v>15</v>
      </c>
      <c r="C102" s="643">
        <f>IF('CG. MPA'!E102="CONCRETO",'RMCV.PA'!B102,0)</f>
        <v>0</v>
      </c>
      <c r="D102" s="593">
        <f>IF(C102=0,0,'CG. MPA'!C102*100)</f>
        <v>0</v>
      </c>
      <c r="E102" s="593">
        <f>IF(D102=0,0,'RMCV.PA'!C102)</f>
        <v>0</v>
      </c>
      <c r="F102" s="593">
        <f t="shared" si="23"/>
        <v>0</v>
      </c>
      <c r="G102" s="643">
        <f>IF(C102=0,0,'RMCS.PA'!M101)</f>
        <v>0</v>
      </c>
      <c r="H102" s="643">
        <f>IF(C102=0,0,'CASTILLOS-PA'!K102)</f>
        <v>0</v>
      </c>
      <c r="I102" s="594">
        <f t="shared" si="24"/>
        <v>0</v>
      </c>
      <c r="J102" s="594">
        <f t="shared" si="25"/>
        <v>0</v>
      </c>
      <c r="K102" s="595">
        <f t="shared" si="26"/>
        <v>0</v>
      </c>
      <c r="L102" s="594">
        <f t="shared" si="27"/>
        <v>0</v>
      </c>
      <c r="M102" s="596">
        <f t="shared" si="28"/>
        <v>0</v>
      </c>
      <c r="N102" s="643">
        <f t="shared" si="29"/>
        <v>0</v>
      </c>
      <c r="O102" s="643">
        <f t="shared" si="30"/>
        <v>0</v>
      </c>
      <c r="P102" s="643">
        <f t="shared" si="31"/>
        <v>0</v>
      </c>
      <c r="Q102" s="643">
        <f t="shared" si="32"/>
        <v>0</v>
      </c>
      <c r="R102" s="643">
        <f t="shared" si="33"/>
        <v>0</v>
      </c>
      <c r="S102" s="799">
        <f t="shared" si="34"/>
        <v>0</v>
      </c>
      <c r="T102" s="596">
        <f t="shared" si="35"/>
        <v>0</v>
      </c>
      <c r="U102" s="800">
        <f t="shared" si="36"/>
        <v>0</v>
      </c>
      <c r="V102" s="596">
        <f t="shared" si="37"/>
        <v>0</v>
      </c>
      <c r="W102" s="814">
        <f t="shared" si="38"/>
        <v>0</v>
      </c>
      <c r="X102" s="593">
        <f t="shared" si="2"/>
        <v>0</v>
      </c>
      <c r="AA102" s="593">
        <f t="shared" si="39"/>
        <v>0</v>
      </c>
    </row>
    <row r="103" spans="1:27">
      <c r="A103" s="617">
        <f>'CG. MPA'!A103</f>
        <v>24</v>
      </c>
      <c r="B103" s="798">
        <v>15</v>
      </c>
      <c r="C103" s="643">
        <f>IF('CG. MPA'!E103="CONCRETO",'RMCV.PA'!B103,0)</f>
        <v>0</v>
      </c>
      <c r="D103" s="593">
        <f>IF(C103=0,0,'CG. MPA'!C103*100)</f>
        <v>0</v>
      </c>
      <c r="E103" s="593">
        <f>IF(D103=0,0,'RMCV.PA'!C103)</f>
        <v>0</v>
      </c>
      <c r="F103" s="593">
        <f t="shared" si="23"/>
        <v>0</v>
      </c>
      <c r="G103" s="643">
        <f>IF(C103=0,0,'RMCS.PA'!M102)</f>
        <v>0</v>
      </c>
      <c r="H103" s="643">
        <f>IF(C103=0,0,'CASTILLOS-PA'!K103)</f>
        <v>0</v>
      </c>
      <c r="I103" s="594">
        <f t="shared" si="24"/>
        <v>0</v>
      </c>
      <c r="J103" s="594">
        <f t="shared" si="25"/>
        <v>0</v>
      </c>
      <c r="K103" s="595">
        <f t="shared" si="26"/>
        <v>0</v>
      </c>
      <c r="L103" s="594">
        <f t="shared" si="27"/>
        <v>0</v>
      </c>
      <c r="M103" s="596">
        <f t="shared" si="28"/>
        <v>0</v>
      </c>
      <c r="N103" s="643">
        <f t="shared" si="29"/>
        <v>0</v>
      </c>
      <c r="O103" s="643">
        <f t="shared" si="30"/>
        <v>0</v>
      </c>
      <c r="P103" s="643">
        <f t="shared" si="31"/>
        <v>0</v>
      </c>
      <c r="Q103" s="643">
        <f t="shared" si="32"/>
        <v>0</v>
      </c>
      <c r="R103" s="643">
        <f t="shared" si="33"/>
        <v>0</v>
      </c>
      <c r="S103" s="799">
        <f t="shared" si="34"/>
        <v>0</v>
      </c>
      <c r="T103" s="596">
        <f t="shared" si="35"/>
        <v>0</v>
      </c>
      <c r="U103" s="800">
        <f t="shared" si="36"/>
        <v>0</v>
      </c>
      <c r="V103" s="596">
        <f t="shared" si="37"/>
        <v>0</v>
      </c>
      <c r="W103" s="814">
        <f t="shared" si="38"/>
        <v>0</v>
      </c>
      <c r="X103" s="593">
        <f t="shared" si="2"/>
        <v>0</v>
      </c>
      <c r="AA103" s="593">
        <f t="shared" si="39"/>
        <v>0</v>
      </c>
    </row>
    <row r="104" spans="1:27">
      <c r="A104" s="617">
        <f>'CG. MPA'!A104</f>
        <v>25</v>
      </c>
      <c r="B104" s="798">
        <v>15</v>
      </c>
      <c r="C104" s="643">
        <f>IF('CG. MPA'!E104="CONCRETO",'RMCV.PA'!B104,0)</f>
        <v>0</v>
      </c>
      <c r="D104" s="593">
        <f>IF(C104=0,0,'CG. MPA'!C104*100)</f>
        <v>0</v>
      </c>
      <c r="E104" s="593">
        <f>IF(D104=0,0,'RMCV.PA'!C104)</f>
        <v>0</v>
      </c>
      <c r="F104" s="593">
        <f t="shared" si="23"/>
        <v>0</v>
      </c>
      <c r="G104" s="643">
        <f>IF(C104=0,0,'RMCS.PA'!M103)</f>
        <v>0</v>
      </c>
      <c r="H104" s="643">
        <f>IF(C104=0,0,'CASTILLOS-PA'!K104)</f>
        <v>0</v>
      </c>
      <c r="I104" s="594">
        <f t="shared" si="24"/>
        <v>0</v>
      </c>
      <c r="J104" s="594">
        <f t="shared" si="25"/>
        <v>0</v>
      </c>
      <c r="K104" s="595">
        <f t="shared" si="26"/>
        <v>0</v>
      </c>
      <c r="L104" s="594">
        <f t="shared" si="27"/>
        <v>0</v>
      </c>
      <c r="M104" s="596">
        <f t="shared" si="28"/>
        <v>0</v>
      </c>
      <c r="N104" s="643">
        <f t="shared" si="29"/>
        <v>0</v>
      </c>
      <c r="O104" s="643">
        <f t="shared" si="30"/>
        <v>0</v>
      </c>
      <c r="P104" s="643">
        <f t="shared" si="31"/>
        <v>0</v>
      </c>
      <c r="Q104" s="643">
        <f t="shared" si="32"/>
        <v>0</v>
      </c>
      <c r="R104" s="643">
        <f t="shared" si="33"/>
        <v>0</v>
      </c>
      <c r="S104" s="799">
        <f t="shared" si="34"/>
        <v>0</v>
      </c>
      <c r="T104" s="596">
        <f t="shared" si="35"/>
        <v>0</v>
      </c>
      <c r="U104" s="800">
        <f t="shared" si="36"/>
        <v>0</v>
      </c>
      <c r="V104" s="596">
        <f t="shared" si="37"/>
        <v>0</v>
      </c>
      <c r="W104" s="814">
        <f t="shared" si="38"/>
        <v>0</v>
      </c>
      <c r="X104" s="593">
        <f t="shared" si="2"/>
        <v>0</v>
      </c>
      <c r="AA104" s="593">
        <f t="shared" si="39"/>
        <v>0</v>
      </c>
    </row>
    <row r="105" spans="1:27">
      <c r="A105" s="617">
        <f>'CG. MPA'!A105</f>
        <v>26</v>
      </c>
      <c r="B105" s="798">
        <v>15</v>
      </c>
      <c r="C105" s="643">
        <f>IF('CG. MPA'!E105="CONCRETO",'RMCV.PA'!B105,0)</f>
        <v>0</v>
      </c>
      <c r="D105" s="593">
        <f>IF(C105=0,0,'CG. MPA'!C105*100)</f>
        <v>0</v>
      </c>
      <c r="E105" s="593">
        <f>IF(D105=0,0,'RMCV.PA'!C105)</f>
        <v>0</v>
      </c>
      <c r="F105" s="593">
        <f t="shared" si="23"/>
        <v>0</v>
      </c>
      <c r="G105" s="643">
        <f>IF(C105=0,0,'RMCS.PA'!M104)</f>
        <v>0</v>
      </c>
      <c r="H105" s="643">
        <f>IF(C105=0,0,'CASTILLOS-PA'!K105)</f>
        <v>0</v>
      </c>
      <c r="I105" s="594">
        <f t="shared" si="24"/>
        <v>0</v>
      </c>
      <c r="J105" s="594">
        <f t="shared" si="25"/>
        <v>0</v>
      </c>
      <c r="K105" s="595">
        <f t="shared" si="26"/>
        <v>0</v>
      </c>
      <c r="L105" s="594">
        <f t="shared" si="27"/>
        <v>0</v>
      </c>
      <c r="M105" s="596">
        <f t="shared" si="28"/>
        <v>0</v>
      </c>
      <c r="N105" s="643">
        <f t="shared" si="29"/>
        <v>0</v>
      </c>
      <c r="O105" s="643">
        <f t="shared" si="30"/>
        <v>0</v>
      </c>
      <c r="P105" s="643">
        <f t="shared" si="31"/>
        <v>0</v>
      </c>
      <c r="Q105" s="643">
        <f t="shared" si="32"/>
        <v>0</v>
      </c>
      <c r="R105" s="643">
        <f t="shared" si="33"/>
        <v>0</v>
      </c>
      <c r="S105" s="799">
        <f t="shared" si="34"/>
        <v>0</v>
      </c>
      <c r="T105" s="596">
        <f t="shared" si="35"/>
        <v>0</v>
      </c>
      <c r="U105" s="800">
        <f t="shared" si="36"/>
        <v>0</v>
      </c>
      <c r="V105" s="596">
        <f t="shared" si="37"/>
        <v>0</v>
      </c>
      <c r="W105" s="814">
        <f t="shared" si="38"/>
        <v>0</v>
      </c>
      <c r="X105" s="593">
        <f t="shared" si="2"/>
        <v>0</v>
      </c>
      <c r="AA105" s="593">
        <f t="shared" si="39"/>
        <v>0</v>
      </c>
    </row>
    <row r="106" spans="1:27">
      <c r="A106" s="617">
        <f>'CG. MPA'!A106</f>
        <v>27</v>
      </c>
      <c r="B106" s="798">
        <v>15</v>
      </c>
      <c r="C106" s="643">
        <f>IF('CG. MPA'!E106="CONCRETO",'RMCV.PA'!B106,0)</f>
        <v>0</v>
      </c>
      <c r="D106" s="593">
        <f>IF(C106=0,0,'CG. MPA'!C106*100)</f>
        <v>0</v>
      </c>
      <c r="E106" s="593">
        <f>IF(D106=0,0,'RMCV.PA'!C106)</f>
        <v>0</v>
      </c>
      <c r="F106" s="593">
        <f t="shared" si="23"/>
        <v>0</v>
      </c>
      <c r="G106" s="643">
        <f>IF(C106=0,0,'RMCS.PA'!M105)</f>
        <v>0</v>
      </c>
      <c r="H106" s="643">
        <f>IF(C106=0,0,'CASTILLOS-PA'!K106)</f>
        <v>0</v>
      </c>
      <c r="I106" s="594">
        <f t="shared" si="24"/>
        <v>0</v>
      </c>
      <c r="J106" s="594">
        <f t="shared" si="25"/>
        <v>0</v>
      </c>
      <c r="K106" s="595">
        <f t="shared" si="26"/>
        <v>0</v>
      </c>
      <c r="L106" s="594">
        <f t="shared" si="27"/>
        <v>0</v>
      </c>
      <c r="M106" s="596">
        <f t="shared" si="28"/>
        <v>0</v>
      </c>
      <c r="N106" s="643">
        <f t="shared" si="29"/>
        <v>0</v>
      </c>
      <c r="O106" s="643">
        <f t="shared" si="30"/>
        <v>0</v>
      </c>
      <c r="P106" s="643">
        <f t="shared" si="31"/>
        <v>0</v>
      </c>
      <c r="Q106" s="643">
        <f t="shared" si="32"/>
        <v>0</v>
      </c>
      <c r="R106" s="643">
        <f t="shared" si="33"/>
        <v>0</v>
      </c>
      <c r="S106" s="799">
        <f t="shared" si="34"/>
        <v>0</v>
      </c>
      <c r="T106" s="596">
        <f t="shared" si="35"/>
        <v>0</v>
      </c>
      <c r="U106" s="800">
        <f t="shared" si="36"/>
        <v>0</v>
      </c>
      <c r="V106" s="596">
        <f t="shared" si="37"/>
        <v>0</v>
      </c>
      <c r="W106" s="814">
        <f t="shared" si="38"/>
        <v>0</v>
      </c>
      <c r="X106" s="593">
        <f t="shared" si="2"/>
        <v>0</v>
      </c>
      <c r="AA106" s="593">
        <f t="shared" si="39"/>
        <v>0</v>
      </c>
    </row>
    <row r="107" spans="1:27">
      <c r="A107" s="617">
        <f>'CG. MPA'!A107</f>
        <v>28</v>
      </c>
      <c r="B107" s="798">
        <v>15</v>
      </c>
      <c r="C107" s="643">
        <f>IF('CG. MPA'!E107="CONCRETO",'RMCV.PA'!B107,0)</f>
        <v>0</v>
      </c>
      <c r="D107" s="593">
        <f>IF(C107=0,0,'CG. MPA'!C107*100)</f>
        <v>0</v>
      </c>
      <c r="E107" s="593">
        <f>IF(D107=0,0,'RMCV.PA'!C107)</f>
        <v>0</v>
      </c>
      <c r="F107" s="593">
        <f t="shared" si="23"/>
        <v>0</v>
      </c>
      <c r="G107" s="643">
        <f>IF(C107=0,0,'RMCS.PA'!M106)</f>
        <v>0</v>
      </c>
      <c r="H107" s="643">
        <f>IF(C107=0,0,'CASTILLOS-PA'!K107)</f>
        <v>0</v>
      </c>
      <c r="I107" s="594">
        <f t="shared" si="24"/>
        <v>0</v>
      </c>
      <c r="J107" s="594">
        <f t="shared" si="25"/>
        <v>0</v>
      </c>
      <c r="K107" s="595">
        <f t="shared" si="26"/>
        <v>0</v>
      </c>
      <c r="L107" s="594">
        <f t="shared" si="27"/>
        <v>0</v>
      </c>
      <c r="M107" s="596">
        <f t="shared" si="28"/>
        <v>0</v>
      </c>
      <c r="N107" s="643">
        <f t="shared" si="29"/>
        <v>0</v>
      </c>
      <c r="O107" s="643">
        <f t="shared" si="30"/>
        <v>0</v>
      </c>
      <c r="P107" s="643">
        <f t="shared" si="31"/>
        <v>0</v>
      </c>
      <c r="Q107" s="643">
        <f t="shared" si="32"/>
        <v>0</v>
      </c>
      <c r="R107" s="643">
        <f t="shared" si="33"/>
        <v>0</v>
      </c>
      <c r="S107" s="799">
        <f t="shared" si="34"/>
        <v>0</v>
      </c>
      <c r="T107" s="596">
        <f t="shared" si="35"/>
        <v>0</v>
      </c>
      <c r="U107" s="800">
        <f t="shared" si="36"/>
        <v>0</v>
      </c>
      <c r="V107" s="596">
        <f t="shared" si="37"/>
        <v>0</v>
      </c>
      <c r="W107" s="814">
        <f t="shared" si="38"/>
        <v>0</v>
      </c>
      <c r="X107" s="593">
        <f t="shared" si="2"/>
        <v>0</v>
      </c>
      <c r="AA107" s="593">
        <f t="shared" si="39"/>
        <v>0</v>
      </c>
    </row>
    <row r="108" spans="1:27">
      <c r="A108" s="617">
        <f>'CG. MPA'!A108</f>
        <v>29</v>
      </c>
      <c r="B108" s="798">
        <v>15</v>
      </c>
      <c r="C108" s="643">
        <f>IF('CG. MPA'!E108="CONCRETO",'RMCV.PA'!B108,0)</f>
        <v>0</v>
      </c>
      <c r="D108" s="593">
        <f>IF(C108=0,0,'CG. MPA'!C108*100)</f>
        <v>0</v>
      </c>
      <c r="E108" s="593">
        <f>IF(D108=0,0,'RMCV.PA'!C108)</f>
        <v>0</v>
      </c>
      <c r="F108" s="593">
        <f t="shared" si="23"/>
        <v>0</v>
      </c>
      <c r="G108" s="643">
        <f>IF(C108=0,0,'RMCS.PA'!M107)</f>
        <v>0</v>
      </c>
      <c r="H108" s="643">
        <f>IF(C108=0,0,'CASTILLOS-PA'!K108)</f>
        <v>0</v>
      </c>
      <c r="I108" s="594">
        <f t="shared" si="24"/>
        <v>0</v>
      </c>
      <c r="J108" s="594">
        <f t="shared" si="25"/>
        <v>0</v>
      </c>
      <c r="K108" s="595">
        <f t="shared" si="26"/>
        <v>0</v>
      </c>
      <c r="L108" s="594">
        <f t="shared" si="27"/>
        <v>0</v>
      </c>
      <c r="M108" s="596">
        <f t="shared" si="28"/>
        <v>0</v>
      </c>
      <c r="N108" s="643">
        <f t="shared" si="29"/>
        <v>0</v>
      </c>
      <c r="O108" s="643">
        <f t="shared" si="30"/>
        <v>0</v>
      </c>
      <c r="P108" s="643">
        <f t="shared" si="31"/>
        <v>0</v>
      </c>
      <c r="Q108" s="643">
        <f t="shared" si="32"/>
        <v>0</v>
      </c>
      <c r="R108" s="643">
        <f t="shared" si="33"/>
        <v>0</v>
      </c>
      <c r="S108" s="799">
        <f t="shared" si="34"/>
        <v>0</v>
      </c>
      <c r="T108" s="596">
        <f t="shared" si="35"/>
        <v>0</v>
      </c>
      <c r="U108" s="800">
        <f t="shared" si="36"/>
        <v>0</v>
      </c>
      <c r="V108" s="596">
        <f t="shared" si="37"/>
        <v>0</v>
      </c>
      <c r="W108" s="814">
        <f t="shared" si="38"/>
        <v>0</v>
      </c>
      <c r="X108" s="593">
        <f t="shared" si="2"/>
        <v>0</v>
      </c>
      <c r="AA108" s="593">
        <f t="shared" si="39"/>
        <v>0</v>
      </c>
    </row>
    <row r="109" spans="1:27">
      <c r="A109" s="617">
        <f>'CG. MPA'!A109</f>
        <v>30</v>
      </c>
      <c r="B109" s="798">
        <v>15</v>
      </c>
      <c r="C109" s="643">
        <f>IF('CG. MPA'!E109="CONCRETO",'RMCV.PA'!B109,0)</f>
        <v>0</v>
      </c>
      <c r="D109" s="593">
        <f>IF(C109=0,0,'CG. MPA'!C109*100)</f>
        <v>0</v>
      </c>
      <c r="E109" s="593">
        <f>IF(D109=0,0,'RMCV.PA'!C109)</f>
        <v>0</v>
      </c>
      <c r="F109" s="593">
        <f t="shared" si="23"/>
        <v>0</v>
      </c>
      <c r="G109" s="643">
        <f>IF(C109=0,0,'RMCS.PA'!M108)</f>
        <v>0</v>
      </c>
      <c r="H109" s="643">
        <f>IF(C109=0,0,'CASTILLOS-PA'!K109)</f>
        <v>0</v>
      </c>
      <c r="I109" s="594">
        <f t="shared" si="24"/>
        <v>0</v>
      </c>
      <c r="J109" s="594">
        <f t="shared" si="25"/>
        <v>0</v>
      </c>
      <c r="K109" s="595">
        <f t="shared" si="26"/>
        <v>0</v>
      </c>
      <c r="L109" s="594">
        <f t="shared" si="27"/>
        <v>0</v>
      </c>
      <c r="M109" s="596">
        <f t="shared" si="28"/>
        <v>0</v>
      </c>
      <c r="N109" s="643">
        <f t="shared" si="29"/>
        <v>0</v>
      </c>
      <c r="O109" s="643">
        <f t="shared" si="30"/>
        <v>0</v>
      </c>
      <c r="P109" s="643">
        <f t="shared" si="31"/>
        <v>0</v>
      </c>
      <c r="Q109" s="643">
        <f t="shared" si="32"/>
        <v>0</v>
      </c>
      <c r="R109" s="643">
        <f t="shared" si="33"/>
        <v>0</v>
      </c>
      <c r="S109" s="799">
        <f t="shared" si="34"/>
        <v>0</v>
      </c>
      <c r="T109" s="596">
        <f t="shared" si="35"/>
        <v>0</v>
      </c>
      <c r="U109" s="800">
        <f t="shared" si="36"/>
        <v>0</v>
      </c>
      <c r="V109" s="596">
        <f t="shared" si="37"/>
        <v>0</v>
      </c>
      <c r="W109" s="814">
        <f t="shared" si="38"/>
        <v>0</v>
      </c>
      <c r="X109" s="593">
        <f t="shared" si="2"/>
        <v>0</v>
      </c>
      <c r="AA109" s="593">
        <f t="shared" si="39"/>
        <v>0</v>
      </c>
    </row>
    <row r="110" spans="1:27">
      <c r="A110" s="617">
        <f>'CG. MPA'!A110</f>
        <v>31</v>
      </c>
      <c r="B110" s="798">
        <v>15</v>
      </c>
      <c r="C110" s="643">
        <f>IF('CG. MPA'!E110="CONCRETO",'RMCV.PA'!B110,0)</f>
        <v>0</v>
      </c>
      <c r="D110" s="593">
        <f>IF(C110=0,0,'CG. MPA'!C110*100)</f>
        <v>0</v>
      </c>
      <c r="E110" s="593">
        <f>IF(D110=0,0,'RMCV.PA'!C110)</f>
        <v>0</v>
      </c>
      <c r="F110" s="593">
        <f t="shared" si="23"/>
        <v>0</v>
      </c>
      <c r="G110" s="643">
        <f>IF(C110=0,0,'RMCS.PA'!M109)</f>
        <v>0</v>
      </c>
      <c r="H110" s="643">
        <f>IF(C110=0,0,'CASTILLOS-PA'!K110)</f>
        <v>0</v>
      </c>
      <c r="I110" s="594">
        <f t="shared" si="24"/>
        <v>0</v>
      </c>
      <c r="J110" s="594">
        <f t="shared" si="25"/>
        <v>0</v>
      </c>
      <c r="K110" s="595">
        <f t="shared" si="26"/>
        <v>0</v>
      </c>
      <c r="L110" s="594">
        <f t="shared" si="27"/>
        <v>0</v>
      </c>
      <c r="M110" s="596">
        <f t="shared" si="28"/>
        <v>0</v>
      </c>
      <c r="N110" s="643">
        <f t="shared" si="29"/>
        <v>0</v>
      </c>
      <c r="O110" s="643">
        <f t="shared" si="30"/>
        <v>0</v>
      </c>
      <c r="P110" s="643">
        <f t="shared" si="31"/>
        <v>0</v>
      </c>
      <c r="Q110" s="643">
        <f t="shared" si="32"/>
        <v>0</v>
      </c>
      <c r="R110" s="643">
        <f t="shared" si="33"/>
        <v>0</v>
      </c>
      <c r="S110" s="799">
        <f t="shared" si="34"/>
        <v>0</v>
      </c>
      <c r="T110" s="596">
        <f t="shared" si="35"/>
        <v>0</v>
      </c>
      <c r="U110" s="800">
        <f t="shared" si="36"/>
        <v>0</v>
      </c>
      <c r="V110" s="596">
        <f t="shared" si="37"/>
        <v>0</v>
      </c>
      <c r="W110" s="814">
        <f t="shared" si="38"/>
        <v>0</v>
      </c>
      <c r="X110" s="593">
        <f t="shared" si="2"/>
        <v>0</v>
      </c>
      <c r="AA110" s="593">
        <f t="shared" si="39"/>
        <v>0</v>
      </c>
    </row>
    <row r="111" spans="1:27">
      <c r="A111" s="617">
        <f>'CG. MPA'!A111</f>
        <v>32</v>
      </c>
      <c r="B111" s="798">
        <v>15</v>
      </c>
      <c r="C111" s="643">
        <f>IF('CG. MPA'!E111="CONCRETO",'RMCV.PA'!B111,0)</f>
        <v>0</v>
      </c>
      <c r="D111" s="593">
        <f>IF(C111=0,0,'CG. MPA'!C111*100)</f>
        <v>0</v>
      </c>
      <c r="E111" s="593">
        <f>IF(D111=0,0,'RMCV.PA'!C111)</f>
        <v>0</v>
      </c>
      <c r="F111" s="593">
        <f t="shared" si="23"/>
        <v>0</v>
      </c>
      <c r="G111" s="643">
        <f>IF(C111=0,0,'RMCS.PA'!M110)</f>
        <v>0</v>
      </c>
      <c r="H111" s="643">
        <f>IF(C111=0,0,'CASTILLOS-PA'!K111)</f>
        <v>0</v>
      </c>
      <c r="I111" s="594">
        <f t="shared" si="24"/>
        <v>0</v>
      </c>
      <c r="J111" s="594">
        <f t="shared" si="25"/>
        <v>0</v>
      </c>
      <c r="K111" s="595">
        <f t="shared" si="26"/>
        <v>0</v>
      </c>
      <c r="L111" s="594">
        <f t="shared" si="27"/>
        <v>0</v>
      </c>
      <c r="M111" s="596">
        <f t="shared" si="28"/>
        <v>0</v>
      </c>
      <c r="N111" s="643">
        <f t="shared" si="29"/>
        <v>0</v>
      </c>
      <c r="O111" s="643">
        <f t="shared" si="30"/>
        <v>0</v>
      </c>
      <c r="P111" s="643">
        <f t="shared" si="31"/>
        <v>0</v>
      </c>
      <c r="Q111" s="643">
        <f t="shared" si="32"/>
        <v>0</v>
      </c>
      <c r="R111" s="643">
        <f t="shared" si="33"/>
        <v>0</v>
      </c>
      <c r="S111" s="799">
        <f t="shared" si="34"/>
        <v>0</v>
      </c>
      <c r="T111" s="596">
        <f t="shared" si="35"/>
        <v>0</v>
      </c>
      <c r="U111" s="800">
        <f t="shared" si="36"/>
        <v>0</v>
      </c>
      <c r="V111" s="596">
        <f t="shared" si="37"/>
        <v>0</v>
      </c>
      <c r="W111" s="814">
        <f t="shared" si="38"/>
        <v>0</v>
      </c>
      <c r="X111" s="593">
        <f t="shared" si="2"/>
        <v>0</v>
      </c>
      <c r="AA111" s="593">
        <f t="shared" si="39"/>
        <v>0</v>
      </c>
    </row>
    <row r="112" spans="1:27">
      <c r="A112" s="617">
        <f>'CG. MPA'!A112</f>
        <v>33</v>
      </c>
      <c r="B112" s="798">
        <v>15</v>
      </c>
      <c r="C112" s="643">
        <f>IF('CG. MPA'!E112="CONCRETO",'RMCV.PA'!B112,0)</f>
        <v>0</v>
      </c>
      <c r="D112" s="593">
        <f>IF(C112=0,0,'CG. MPA'!C112*100)</f>
        <v>0</v>
      </c>
      <c r="E112" s="593">
        <f>IF(D112=0,0,'RMCV.PA'!C112)</f>
        <v>0</v>
      </c>
      <c r="F112" s="593">
        <f t="shared" si="23"/>
        <v>0</v>
      </c>
      <c r="G112" s="643">
        <f>IF(C112=0,0,'RMCS.PA'!M111)</f>
        <v>0</v>
      </c>
      <c r="H112" s="643">
        <f>IF(C112=0,0,'CASTILLOS-PA'!K112)</f>
        <v>0</v>
      </c>
      <c r="I112" s="594">
        <f t="shared" si="24"/>
        <v>0</v>
      </c>
      <c r="J112" s="594">
        <f t="shared" si="25"/>
        <v>0</v>
      </c>
      <c r="K112" s="595">
        <f t="shared" si="26"/>
        <v>0</v>
      </c>
      <c r="L112" s="594">
        <f t="shared" si="27"/>
        <v>0</v>
      </c>
      <c r="M112" s="596">
        <f t="shared" si="28"/>
        <v>0</v>
      </c>
      <c r="N112" s="643">
        <f t="shared" si="29"/>
        <v>0</v>
      </c>
      <c r="O112" s="643">
        <f t="shared" si="30"/>
        <v>0</v>
      </c>
      <c r="P112" s="643">
        <f t="shared" si="31"/>
        <v>0</v>
      </c>
      <c r="Q112" s="643">
        <f t="shared" si="32"/>
        <v>0</v>
      </c>
      <c r="R112" s="643">
        <f t="shared" si="33"/>
        <v>0</v>
      </c>
      <c r="S112" s="799">
        <f t="shared" si="34"/>
        <v>0</v>
      </c>
      <c r="T112" s="596">
        <f t="shared" si="35"/>
        <v>0</v>
      </c>
      <c r="U112" s="800">
        <f t="shared" si="36"/>
        <v>0</v>
      </c>
      <c r="V112" s="596">
        <f t="shared" si="37"/>
        <v>0</v>
      </c>
      <c r="W112" s="814">
        <f t="shared" si="38"/>
        <v>0</v>
      </c>
      <c r="X112" s="593">
        <f t="shared" ref="X112:X120" si="40">1.6*F112*E112*$J$14^0.5</f>
        <v>0</v>
      </c>
      <c r="AA112" s="593">
        <f t="shared" si="39"/>
        <v>0</v>
      </c>
    </row>
    <row r="113" spans="1:27">
      <c r="A113" s="617">
        <f>'CG. MPA'!A113</f>
        <v>34</v>
      </c>
      <c r="B113" s="798">
        <v>15</v>
      </c>
      <c r="C113" s="643">
        <f>IF('CG. MPA'!E113="CONCRETO",'RMCV.PA'!B113,0)</f>
        <v>0</v>
      </c>
      <c r="D113" s="593">
        <f>IF(C113=0,0,'CG. MPA'!C113*100)</f>
        <v>0</v>
      </c>
      <c r="E113" s="593">
        <f>IF(D113=0,0,'RMCV.PA'!C113)</f>
        <v>0</v>
      </c>
      <c r="F113" s="593">
        <f t="shared" si="23"/>
        <v>0</v>
      </c>
      <c r="G113" s="643">
        <f>IF(C113=0,0,'RMCS.PA'!M112)</f>
        <v>0</v>
      </c>
      <c r="H113" s="643">
        <f>IF(C113=0,0,'CASTILLOS-PA'!K113)</f>
        <v>0</v>
      </c>
      <c r="I113" s="594">
        <f t="shared" si="24"/>
        <v>0</v>
      </c>
      <c r="J113" s="594">
        <f t="shared" si="25"/>
        <v>0</v>
      </c>
      <c r="K113" s="595">
        <f t="shared" si="26"/>
        <v>0</v>
      </c>
      <c r="L113" s="594">
        <f t="shared" si="27"/>
        <v>0</v>
      </c>
      <c r="M113" s="596">
        <f t="shared" si="28"/>
        <v>0</v>
      </c>
      <c r="N113" s="643">
        <f t="shared" si="29"/>
        <v>0</v>
      </c>
      <c r="O113" s="643">
        <f t="shared" si="30"/>
        <v>0</v>
      </c>
      <c r="P113" s="643">
        <f t="shared" si="31"/>
        <v>0</v>
      </c>
      <c r="Q113" s="643">
        <f t="shared" si="32"/>
        <v>0</v>
      </c>
      <c r="R113" s="643">
        <f t="shared" si="33"/>
        <v>0</v>
      </c>
      <c r="S113" s="799">
        <f t="shared" si="34"/>
        <v>0</v>
      </c>
      <c r="T113" s="596">
        <f t="shared" si="35"/>
        <v>0</v>
      </c>
      <c r="U113" s="800">
        <f t="shared" si="36"/>
        <v>0</v>
      </c>
      <c r="V113" s="596">
        <f t="shared" si="37"/>
        <v>0</v>
      </c>
      <c r="W113" s="814">
        <f t="shared" si="38"/>
        <v>0</v>
      </c>
      <c r="X113" s="593">
        <f t="shared" si="40"/>
        <v>0</v>
      </c>
      <c r="AA113" s="593">
        <f t="shared" si="39"/>
        <v>0</v>
      </c>
    </row>
    <row r="114" spans="1:27">
      <c r="A114" s="617">
        <f>'CG. MPA'!A114</f>
        <v>35</v>
      </c>
      <c r="B114" s="798">
        <v>15</v>
      </c>
      <c r="C114" s="643">
        <f>IF('CG. MPA'!E114="CONCRETO",'RMCV.PA'!B114,0)</f>
        <v>0</v>
      </c>
      <c r="D114" s="593">
        <f>IF(C114=0,0,'CG. MPA'!C114*100)</f>
        <v>0</v>
      </c>
      <c r="E114" s="593">
        <f>IF(D114=0,0,'RMCV.PA'!C114)</f>
        <v>0</v>
      </c>
      <c r="F114" s="593">
        <f t="shared" si="23"/>
        <v>0</v>
      </c>
      <c r="G114" s="643">
        <f>IF(C114=0,0,'RMCS.PA'!M113)</f>
        <v>0</v>
      </c>
      <c r="H114" s="643">
        <f>IF(C114=0,0,'CASTILLOS-PA'!K114)</f>
        <v>0</v>
      </c>
      <c r="I114" s="594">
        <f t="shared" si="24"/>
        <v>0</v>
      </c>
      <c r="J114" s="594">
        <f t="shared" si="25"/>
        <v>0</v>
      </c>
      <c r="K114" s="595">
        <f t="shared" si="26"/>
        <v>0</v>
      </c>
      <c r="L114" s="594">
        <f t="shared" si="27"/>
        <v>0</v>
      </c>
      <c r="M114" s="596">
        <f t="shared" si="28"/>
        <v>0</v>
      </c>
      <c r="N114" s="643">
        <f t="shared" si="29"/>
        <v>0</v>
      </c>
      <c r="O114" s="643">
        <f t="shared" si="30"/>
        <v>0</v>
      </c>
      <c r="P114" s="643">
        <f t="shared" si="31"/>
        <v>0</v>
      </c>
      <c r="Q114" s="643">
        <f t="shared" si="32"/>
        <v>0</v>
      </c>
      <c r="R114" s="643">
        <f t="shared" si="33"/>
        <v>0</v>
      </c>
      <c r="S114" s="799">
        <f t="shared" si="34"/>
        <v>0</v>
      </c>
      <c r="T114" s="596">
        <f t="shared" si="35"/>
        <v>0</v>
      </c>
      <c r="U114" s="800">
        <f t="shared" si="36"/>
        <v>0</v>
      </c>
      <c r="V114" s="596">
        <f t="shared" si="37"/>
        <v>0</v>
      </c>
      <c r="W114" s="814">
        <f t="shared" si="38"/>
        <v>0</v>
      </c>
      <c r="X114" s="593">
        <f t="shared" si="40"/>
        <v>0</v>
      </c>
      <c r="AA114" s="593">
        <f t="shared" si="39"/>
        <v>0</v>
      </c>
    </row>
    <row r="115" spans="1:27">
      <c r="A115" s="617">
        <f>'CG. MPA'!A115</f>
        <v>36</v>
      </c>
      <c r="B115" s="798">
        <v>15</v>
      </c>
      <c r="C115" s="643">
        <f>IF('CG. MPA'!E115="CONCRETO",'RMCV.PA'!B115,0)</f>
        <v>0</v>
      </c>
      <c r="D115" s="593">
        <f>IF(C115=0,0,'CG. MPA'!C115*100)</f>
        <v>0</v>
      </c>
      <c r="E115" s="593">
        <f>IF(D115=0,0,'RMCV.PA'!C115)</f>
        <v>0</v>
      </c>
      <c r="F115" s="593">
        <f t="shared" si="23"/>
        <v>0</v>
      </c>
      <c r="G115" s="643">
        <f>IF(C115=0,0,'RMCS.PA'!M114)</f>
        <v>0</v>
      </c>
      <c r="H115" s="643">
        <f>IF(C115=0,0,'CASTILLOS-PA'!K115)</f>
        <v>0</v>
      </c>
      <c r="I115" s="594">
        <f t="shared" si="24"/>
        <v>0</v>
      </c>
      <c r="J115" s="594">
        <f t="shared" si="25"/>
        <v>0</v>
      </c>
      <c r="K115" s="595">
        <f t="shared" si="26"/>
        <v>0</v>
      </c>
      <c r="L115" s="594">
        <f t="shared" si="27"/>
        <v>0</v>
      </c>
      <c r="M115" s="596">
        <f t="shared" si="28"/>
        <v>0</v>
      </c>
      <c r="N115" s="643">
        <f t="shared" si="29"/>
        <v>0</v>
      </c>
      <c r="O115" s="643">
        <f t="shared" si="30"/>
        <v>0</v>
      </c>
      <c r="P115" s="643">
        <f t="shared" si="31"/>
        <v>0</v>
      </c>
      <c r="Q115" s="643">
        <f t="shared" si="32"/>
        <v>0</v>
      </c>
      <c r="R115" s="643">
        <f t="shared" si="33"/>
        <v>0</v>
      </c>
      <c r="S115" s="799">
        <f t="shared" si="34"/>
        <v>0</v>
      </c>
      <c r="T115" s="596">
        <f t="shared" si="35"/>
        <v>0</v>
      </c>
      <c r="U115" s="800">
        <f t="shared" si="36"/>
        <v>0</v>
      </c>
      <c r="V115" s="596">
        <f t="shared" si="37"/>
        <v>0</v>
      </c>
      <c r="W115" s="814">
        <f t="shared" si="38"/>
        <v>0</v>
      </c>
      <c r="X115" s="593">
        <f t="shared" si="40"/>
        <v>0</v>
      </c>
      <c r="AA115" s="593">
        <f t="shared" si="39"/>
        <v>0</v>
      </c>
    </row>
    <row r="116" spans="1:27">
      <c r="A116" s="617">
        <f>'CG. MPA'!A116</f>
        <v>37</v>
      </c>
      <c r="B116" s="798">
        <v>15</v>
      </c>
      <c r="C116" s="643">
        <f>IF('CG. MPA'!E116="CONCRETO",'RMCV.PA'!B116,0)</f>
        <v>0</v>
      </c>
      <c r="D116" s="593">
        <f>IF(C116=0,0,'CG. MPA'!C116*100)</f>
        <v>0</v>
      </c>
      <c r="E116" s="593">
        <f>IF(D116=0,0,'RMCV.PA'!C116)</f>
        <v>0</v>
      </c>
      <c r="F116" s="593">
        <f t="shared" si="23"/>
        <v>0</v>
      </c>
      <c r="G116" s="643">
        <f>IF(C116=0,0,'RMCS.PA'!M115)</f>
        <v>0</v>
      </c>
      <c r="H116" s="643">
        <f>IF(C116=0,0,'CASTILLOS-PA'!K116)</f>
        <v>0</v>
      </c>
      <c r="I116" s="594">
        <f t="shared" si="24"/>
        <v>0</v>
      </c>
      <c r="J116" s="594">
        <f t="shared" si="25"/>
        <v>0</v>
      </c>
      <c r="K116" s="595">
        <f t="shared" si="26"/>
        <v>0</v>
      </c>
      <c r="L116" s="594">
        <f t="shared" si="27"/>
        <v>0</v>
      </c>
      <c r="M116" s="596">
        <f t="shared" si="28"/>
        <v>0</v>
      </c>
      <c r="N116" s="643">
        <f t="shared" si="29"/>
        <v>0</v>
      </c>
      <c r="O116" s="643">
        <f t="shared" si="30"/>
        <v>0</v>
      </c>
      <c r="P116" s="643">
        <f t="shared" si="31"/>
        <v>0</v>
      </c>
      <c r="Q116" s="643">
        <f t="shared" si="32"/>
        <v>0</v>
      </c>
      <c r="R116" s="643">
        <f t="shared" si="33"/>
        <v>0</v>
      </c>
      <c r="S116" s="799">
        <f t="shared" si="34"/>
        <v>0</v>
      </c>
      <c r="T116" s="596">
        <f t="shared" si="35"/>
        <v>0</v>
      </c>
      <c r="U116" s="800">
        <f t="shared" si="36"/>
        <v>0</v>
      </c>
      <c r="V116" s="596">
        <f t="shared" si="37"/>
        <v>0</v>
      </c>
      <c r="W116" s="814">
        <f t="shared" si="38"/>
        <v>0</v>
      </c>
      <c r="X116" s="593">
        <f t="shared" si="40"/>
        <v>0</v>
      </c>
      <c r="AA116" s="593">
        <f t="shared" si="39"/>
        <v>0</v>
      </c>
    </row>
    <row r="117" spans="1:27">
      <c r="A117" s="617">
        <f>'CG. MPA'!A117</f>
        <v>38</v>
      </c>
      <c r="B117" s="798">
        <v>15</v>
      </c>
      <c r="C117" s="643">
        <f>IF('CG. MPA'!E117="CONCRETO",'RMCV.PA'!B117,0)</f>
        <v>0</v>
      </c>
      <c r="D117" s="593">
        <f>IF(C117=0,0,'CG. MPA'!C117*100)</f>
        <v>0</v>
      </c>
      <c r="E117" s="593">
        <f>IF(D117=0,0,'RMCV.PA'!C117)</f>
        <v>0</v>
      </c>
      <c r="F117" s="593">
        <f t="shared" si="23"/>
        <v>0</v>
      </c>
      <c r="G117" s="643">
        <f>IF(C117=0,0,'RMCS.PA'!M116)</f>
        <v>0</v>
      </c>
      <c r="H117" s="643">
        <f>IF(C117=0,0,'CASTILLOS-PA'!K117)</f>
        <v>0</v>
      </c>
      <c r="I117" s="594">
        <f t="shared" si="24"/>
        <v>0</v>
      </c>
      <c r="J117" s="594">
        <f t="shared" si="25"/>
        <v>0</v>
      </c>
      <c r="K117" s="595">
        <f t="shared" si="26"/>
        <v>0</v>
      </c>
      <c r="L117" s="594">
        <f t="shared" si="27"/>
        <v>0</v>
      </c>
      <c r="M117" s="596">
        <f t="shared" si="28"/>
        <v>0</v>
      </c>
      <c r="N117" s="643">
        <f t="shared" si="29"/>
        <v>0</v>
      </c>
      <c r="O117" s="643">
        <f t="shared" si="30"/>
        <v>0</v>
      </c>
      <c r="P117" s="643">
        <f t="shared" si="31"/>
        <v>0</v>
      </c>
      <c r="Q117" s="643">
        <f t="shared" si="32"/>
        <v>0</v>
      </c>
      <c r="R117" s="643">
        <f t="shared" si="33"/>
        <v>0</v>
      </c>
      <c r="S117" s="799">
        <f t="shared" si="34"/>
        <v>0</v>
      </c>
      <c r="T117" s="596">
        <f t="shared" si="35"/>
        <v>0</v>
      </c>
      <c r="U117" s="800">
        <f t="shared" si="36"/>
        <v>0</v>
      </c>
      <c r="V117" s="596">
        <f t="shared" si="37"/>
        <v>0</v>
      </c>
      <c r="W117" s="814">
        <f t="shared" si="38"/>
        <v>0</v>
      </c>
      <c r="X117" s="593">
        <f t="shared" si="40"/>
        <v>0</v>
      </c>
      <c r="AA117" s="593">
        <f t="shared" si="39"/>
        <v>0</v>
      </c>
    </row>
    <row r="118" spans="1:27">
      <c r="A118" s="617">
        <f>'CG. MPA'!A118</f>
        <v>39</v>
      </c>
      <c r="B118" s="798">
        <v>15</v>
      </c>
      <c r="C118" s="643">
        <f>IF('CG. MPA'!E118="CONCRETO",'RMCV.PA'!B118,0)</f>
        <v>0</v>
      </c>
      <c r="D118" s="593">
        <f>IF(C118=0,0,'CG. MPA'!C118*100)</f>
        <v>0</v>
      </c>
      <c r="E118" s="593">
        <f>IF(D118=0,0,'RMCV.PA'!C118)</f>
        <v>0</v>
      </c>
      <c r="F118" s="593">
        <f t="shared" si="23"/>
        <v>0</v>
      </c>
      <c r="G118" s="643">
        <f>IF(C118=0,0,'RMCS.PA'!M117)</f>
        <v>0</v>
      </c>
      <c r="H118" s="643">
        <f>IF(C118=0,0,'CASTILLOS-PA'!K118)</f>
        <v>0</v>
      </c>
      <c r="I118" s="594">
        <f t="shared" si="24"/>
        <v>0</v>
      </c>
      <c r="J118" s="594">
        <f t="shared" si="25"/>
        <v>0</v>
      </c>
      <c r="K118" s="595">
        <f t="shared" si="26"/>
        <v>0</v>
      </c>
      <c r="L118" s="594">
        <f t="shared" si="27"/>
        <v>0</v>
      </c>
      <c r="M118" s="596">
        <f t="shared" si="28"/>
        <v>0</v>
      </c>
      <c r="N118" s="643">
        <f t="shared" si="29"/>
        <v>0</v>
      </c>
      <c r="O118" s="643">
        <f t="shared" si="30"/>
        <v>0</v>
      </c>
      <c r="P118" s="643">
        <f t="shared" si="31"/>
        <v>0</v>
      </c>
      <c r="Q118" s="643">
        <f t="shared" si="32"/>
        <v>0</v>
      </c>
      <c r="R118" s="643">
        <f t="shared" si="33"/>
        <v>0</v>
      </c>
      <c r="S118" s="799">
        <f t="shared" si="34"/>
        <v>0</v>
      </c>
      <c r="T118" s="596">
        <f t="shared" si="35"/>
        <v>0</v>
      </c>
      <c r="U118" s="800">
        <f t="shared" si="36"/>
        <v>0</v>
      </c>
      <c r="V118" s="596">
        <f t="shared" si="37"/>
        <v>0</v>
      </c>
      <c r="W118" s="814">
        <f t="shared" si="38"/>
        <v>0</v>
      </c>
      <c r="X118" s="593">
        <f t="shared" si="40"/>
        <v>0</v>
      </c>
      <c r="AA118" s="593">
        <f t="shared" si="39"/>
        <v>0</v>
      </c>
    </row>
    <row r="119" spans="1:27">
      <c r="A119" s="617">
        <f>'CG. MPA'!A119</f>
        <v>40</v>
      </c>
      <c r="B119" s="798">
        <v>15</v>
      </c>
      <c r="C119" s="643">
        <f>IF('CG. MPA'!E119="CONCRETO",'RMCV.PA'!B119,0)</f>
        <v>0</v>
      </c>
      <c r="D119" s="593">
        <f>IF(C119=0,0,'CG. MPA'!C119*100)</f>
        <v>0</v>
      </c>
      <c r="E119" s="593">
        <f>IF(D119=0,0,'RMCV.PA'!C119)</f>
        <v>0</v>
      </c>
      <c r="F119" s="593">
        <f t="shared" si="23"/>
        <v>0</v>
      </c>
      <c r="G119" s="643">
        <f>IF(C119=0,0,'RMCS.PA'!M118)</f>
        <v>0</v>
      </c>
      <c r="H119" s="643">
        <f>IF(C119=0,0,'CASTILLOS-PA'!K119)</f>
        <v>0</v>
      </c>
      <c r="I119" s="594">
        <f t="shared" si="24"/>
        <v>0</v>
      </c>
      <c r="J119" s="594">
        <f t="shared" si="25"/>
        <v>0</v>
      </c>
      <c r="K119" s="595">
        <f t="shared" si="26"/>
        <v>0</v>
      </c>
      <c r="L119" s="594">
        <f t="shared" si="27"/>
        <v>0</v>
      </c>
      <c r="M119" s="596">
        <f t="shared" si="28"/>
        <v>0</v>
      </c>
      <c r="N119" s="643">
        <f t="shared" si="29"/>
        <v>0</v>
      </c>
      <c r="O119" s="643">
        <f t="shared" si="30"/>
        <v>0</v>
      </c>
      <c r="P119" s="643">
        <f t="shared" si="31"/>
        <v>0</v>
      </c>
      <c r="Q119" s="643">
        <f t="shared" si="32"/>
        <v>0</v>
      </c>
      <c r="R119" s="643">
        <f t="shared" si="33"/>
        <v>0</v>
      </c>
      <c r="S119" s="799">
        <f t="shared" si="34"/>
        <v>0</v>
      </c>
      <c r="T119" s="596">
        <f t="shared" si="35"/>
        <v>0</v>
      </c>
      <c r="U119" s="800">
        <f t="shared" si="36"/>
        <v>0</v>
      </c>
      <c r="V119" s="596">
        <f t="shared" si="37"/>
        <v>0</v>
      </c>
      <c r="W119" s="814">
        <f t="shared" si="38"/>
        <v>0</v>
      </c>
      <c r="X119" s="593">
        <f t="shared" si="40"/>
        <v>0</v>
      </c>
      <c r="AA119" s="593">
        <f t="shared" si="39"/>
        <v>0</v>
      </c>
    </row>
    <row r="120" spans="1:27">
      <c r="A120" s="617">
        <f>'CG. MPA'!A120</f>
        <v>41</v>
      </c>
      <c r="B120" s="798">
        <v>15</v>
      </c>
      <c r="C120" s="643">
        <f>IF('CG. MPA'!E120="CONCRETO",'RMCV.PA'!B120,0)</f>
        <v>0</v>
      </c>
      <c r="D120" s="593">
        <f>IF(C120=0,0,'CG. MPA'!C120*100)</f>
        <v>0</v>
      </c>
      <c r="E120" s="593">
        <f>IF(D120=0,0,'RMCV.PA'!C120)</f>
        <v>0</v>
      </c>
      <c r="F120" s="593">
        <f t="shared" si="23"/>
        <v>0</v>
      </c>
      <c r="G120" s="643">
        <f>IF(C120=0,0,'RMCS.PA'!M119)</f>
        <v>0</v>
      </c>
      <c r="H120" s="643">
        <f>IF(C120=0,0,'CASTILLOS-PA'!K120)</f>
        <v>0</v>
      </c>
      <c r="I120" s="594">
        <f t="shared" si="24"/>
        <v>0</v>
      </c>
      <c r="J120" s="594">
        <f t="shared" si="25"/>
        <v>0</v>
      </c>
      <c r="K120" s="595">
        <f t="shared" si="26"/>
        <v>0</v>
      </c>
      <c r="L120" s="594">
        <f t="shared" si="27"/>
        <v>0</v>
      </c>
      <c r="M120" s="596">
        <f t="shared" si="28"/>
        <v>0</v>
      </c>
      <c r="N120" s="643">
        <f t="shared" si="29"/>
        <v>0</v>
      </c>
      <c r="O120" s="643">
        <f t="shared" si="30"/>
        <v>0</v>
      </c>
      <c r="P120" s="643">
        <f t="shared" si="31"/>
        <v>0</v>
      </c>
      <c r="Q120" s="643">
        <f t="shared" si="32"/>
        <v>0</v>
      </c>
      <c r="R120" s="643">
        <f t="shared" si="33"/>
        <v>0</v>
      </c>
      <c r="S120" s="799">
        <f t="shared" si="34"/>
        <v>0</v>
      </c>
      <c r="T120" s="596">
        <f t="shared" si="35"/>
        <v>0</v>
      </c>
      <c r="U120" s="800">
        <f t="shared" si="36"/>
        <v>0</v>
      </c>
      <c r="V120" s="596">
        <f t="shared" si="37"/>
        <v>0</v>
      </c>
      <c r="W120" s="814">
        <f t="shared" si="38"/>
        <v>0</v>
      </c>
      <c r="X120" s="593">
        <f t="shared" si="40"/>
        <v>0</v>
      </c>
      <c r="AA120" s="593">
        <f t="shared" si="39"/>
        <v>0</v>
      </c>
    </row>
    <row r="121" spans="1:27">
      <c r="A121" s="617">
        <f>'CG. MPA'!A121</f>
        <v>42</v>
      </c>
      <c r="B121" s="798">
        <v>15</v>
      </c>
      <c r="C121" s="643">
        <f>IF('CG. MPA'!E121="CONCRETO",'RMCV.PA'!B121,0)</f>
        <v>0</v>
      </c>
      <c r="D121" s="593">
        <f>IF(C121=0,0,'CG. MPA'!C121*100)</f>
        <v>0</v>
      </c>
      <c r="E121" s="593">
        <f>IF(D121=0,0,'RMCV.PA'!C121)</f>
        <v>0</v>
      </c>
      <c r="F121" s="593">
        <f t="shared" si="23"/>
        <v>0</v>
      </c>
      <c r="G121" s="643">
        <f>IF(C121=0,0,'RMCS.PA'!M120)</f>
        <v>0</v>
      </c>
      <c r="H121" s="643">
        <f>IF(C121=0,0,'CASTILLOS-PA'!K121)</f>
        <v>0</v>
      </c>
      <c r="I121" s="594">
        <f t="shared" si="24"/>
        <v>0</v>
      </c>
      <c r="J121" s="594">
        <f t="shared" si="25"/>
        <v>0</v>
      </c>
      <c r="K121" s="595">
        <f t="shared" si="26"/>
        <v>0</v>
      </c>
      <c r="L121" s="594">
        <f t="shared" si="27"/>
        <v>0</v>
      </c>
      <c r="M121" s="596">
        <f t="shared" si="28"/>
        <v>0</v>
      </c>
      <c r="N121" s="643">
        <f t="shared" si="29"/>
        <v>0</v>
      </c>
      <c r="O121" s="643">
        <f t="shared" si="30"/>
        <v>0</v>
      </c>
      <c r="P121" s="643">
        <f t="shared" si="31"/>
        <v>0</v>
      </c>
      <c r="Q121" s="643">
        <f t="shared" si="32"/>
        <v>0</v>
      </c>
      <c r="R121" s="643">
        <f t="shared" si="33"/>
        <v>0</v>
      </c>
      <c r="S121" s="799">
        <f t="shared" si="34"/>
        <v>0</v>
      </c>
      <c r="T121" s="596">
        <f t="shared" si="35"/>
        <v>0</v>
      </c>
      <c r="U121" s="800">
        <f t="shared" si="36"/>
        <v>0</v>
      </c>
      <c r="V121" s="596">
        <f t="shared" si="37"/>
        <v>0</v>
      </c>
      <c r="W121" s="814">
        <f t="shared" si="38"/>
        <v>0</v>
      </c>
      <c r="X121" s="593">
        <f>1.6*F121*E121*$J$14^0.5</f>
        <v>0</v>
      </c>
      <c r="AA121" s="593">
        <f t="shared" si="39"/>
        <v>0</v>
      </c>
    </row>
    <row r="122" spans="1:27">
      <c r="A122" s="617">
        <f>'CG. MPA'!A122</f>
        <v>43</v>
      </c>
      <c r="B122" s="798">
        <v>15</v>
      </c>
      <c r="C122" s="643">
        <f>IF('CG. MPA'!E122="CONCRETO",'RMCV.PA'!B122,0)</f>
        <v>0</v>
      </c>
      <c r="D122" s="593">
        <f>IF(C122=0,0,'CG. MPA'!C122*100)</f>
        <v>0</v>
      </c>
      <c r="E122" s="593">
        <f>IF(D122=0,0,'RMCV.PA'!C122)</f>
        <v>0</v>
      </c>
      <c r="F122" s="593">
        <f t="shared" si="23"/>
        <v>0</v>
      </c>
      <c r="G122" s="643">
        <f>IF(C122=0,0,'RMCS.PA'!M121)</f>
        <v>0</v>
      </c>
      <c r="H122" s="643">
        <f>IF(C122=0,0,'CASTILLOS-PA'!K122)</f>
        <v>0</v>
      </c>
      <c r="I122" s="594">
        <f t="shared" si="24"/>
        <v>0</v>
      </c>
      <c r="J122" s="594">
        <f t="shared" si="25"/>
        <v>0</v>
      </c>
      <c r="K122" s="595">
        <f t="shared" si="26"/>
        <v>0</v>
      </c>
      <c r="L122" s="594">
        <f t="shared" si="27"/>
        <v>0</v>
      </c>
      <c r="M122" s="596">
        <f t="shared" si="28"/>
        <v>0</v>
      </c>
      <c r="N122" s="643">
        <f t="shared" si="29"/>
        <v>0</v>
      </c>
      <c r="O122" s="643">
        <f t="shared" si="30"/>
        <v>0</v>
      </c>
      <c r="P122" s="643">
        <f t="shared" si="31"/>
        <v>0</v>
      </c>
      <c r="Q122" s="643">
        <f t="shared" si="32"/>
        <v>0</v>
      </c>
      <c r="R122" s="643">
        <f t="shared" si="33"/>
        <v>0</v>
      </c>
      <c r="S122" s="799">
        <f t="shared" si="34"/>
        <v>0</v>
      </c>
      <c r="T122" s="596">
        <f t="shared" si="35"/>
        <v>0</v>
      </c>
      <c r="U122" s="800">
        <f t="shared" si="36"/>
        <v>0</v>
      </c>
      <c r="V122" s="596">
        <f t="shared" si="37"/>
        <v>0</v>
      </c>
      <c r="W122" s="814">
        <f t="shared" si="38"/>
        <v>0</v>
      </c>
      <c r="X122" s="593">
        <f t="shared" ref="X122:X127" si="41">1.6*F122*E122*$J$14^0.5</f>
        <v>0</v>
      </c>
      <c r="AA122" s="593">
        <f t="shared" si="39"/>
        <v>0</v>
      </c>
    </row>
    <row r="123" spans="1:27">
      <c r="A123" s="617">
        <f>'CG. MPA'!A123</f>
        <v>44</v>
      </c>
      <c r="B123" s="798">
        <v>15</v>
      </c>
      <c r="C123" s="643">
        <f>IF('CG. MPA'!E123="CONCRETO",'RMCV.PA'!B123,0)</f>
        <v>0</v>
      </c>
      <c r="D123" s="593">
        <f>IF(C123=0,0,'CG. MPA'!C123*100)</f>
        <v>0</v>
      </c>
      <c r="E123" s="593">
        <f>IF(D123=0,0,'RMCV.PA'!C123)</f>
        <v>0</v>
      </c>
      <c r="F123" s="593">
        <f t="shared" si="23"/>
        <v>0</v>
      </c>
      <c r="G123" s="643">
        <f>IF(C123=0,0,'RMCS.PA'!M122)</f>
        <v>0</v>
      </c>
      <c r="H123" s="643">
        <f>IF(C123=0,0,'CASTILLOS-PA'!K123)</f>
        <v>0</v>
      </c>
      <c r="I123" s="594">
        <f t="shared" si="24"/>
        <v>0</v>
      </c>
      <c r="J123" s="594">
        <f t="shared" si="25"/>
        <v>0</v>
      </c>
      <c r="K123" s="595">
        <f t="shared" si="26"/>
        <v>0</v>
      </c>
      <c r="L123" s="594">
        <f t="shared" si="27"/>
        <v>0</v>
      </c>
      <c r="M123" s="596">
        <f t="shared" si="28"/>
        <v>0</v>
      </c>
      <c r="N123" s="643">
        <f t="shared" si="29"/>
        <v>0</v>
      </c>
      <c r="O123" s="643">
        <f t="shared" si="30"/>
        <v>0</v>
      </c>
      <c r="P123" s="643">
        <f t="shared" si="31"/>
        <v>0</v>
      </c>
      <c r="Q123" s="643">
        <f t="shared" si="32"/>
        <v>0</v>
      </c>
      <c r="R123" s="643">
        <f t="shared" si="33"/>
        <v>0</v>
      </c>
      <c r="S123" s="799">
        <f t="shared" si="34"/>
        <v>0</v>
      </c>
      <c r="T123" s="596">
        <f t="shared" si="35"/>
        <v>0</v>
      </c>
      <c r="U123" s="800">
        <f t="shared" si="36"/>
        <v>0</v>
      </c>
      <c r="V123" s="596">
        <f t="shared" si="37"/>
        <v>0</v>
      </c>
      <c r="W123" s="814">
        <f t="shared" si="38"/>
        <v>0</v>
      </c>
      <c r="X123" s="593">
        <f>(1.6*F123*E123*$J$14^0.5)</f>
        <v>0</v>
      </c>
      <c r="AA123" s="593">
        <f t="shared" si="39"/>
        <v>0</v>
      </c>
    </row>
    <row r="124" spans="1:27">
      <c r="A124" s="617">
        <f>'CG. MPA'!A124</f>
        <v>45</v>
      </c>
      <c r="B124" s="798">
        <v>15</v>
      </c>
      <c r="C124" s="643">
        <f>IF('CG. MPA'!E124="CONCRETO",'RMCV.PA'!B124,0)</f>
        <v>0</v>
      </c>
      <c r="D124" s="593">
        <f>IF(C124=0,0,'CG. MPA'!C124*100)</f>
        <v>0</v>
      </c>
      <c r="E124" s="593">
        <f>IF(D124=0,0,'RMCV.PA'!C124)</f>
        <v>0</v>
      </c>
      <c r="F124" s="593">
        <f t="shared" si="23"/>
        <v>0</v>
      </c>
      <c r="G124" s="643">
        <f>IF(C124=0,0,'RMCS.PA'!M123)</f>
        <v>0</v>
      </c>
      <c r="H124" s="643">
        <f>IF(C124=0,0,'CASTILLOS-PA'!K124)</f>
        <v>0</v>
      </c>
      <c r="I124" s="594">
        <f t="shared" si="24"/>
        <v>0</v>
      </c>
      <c r="J124" s="594">
        <f t="shared" si="25"/>
        <v>0</v>
      </c>
      <c r="K124" s="595">
        <f t="shared" si="26"/>
        <v>0</v>
      </c>
      <c r="L124" s="594">
        <f t="shared" si="27"/>
        <v>0</v>
      </c>
      <c r="M124" s="596">
        <f t="shared" si="28"/>
        <v>0</v>
      </c>
      <c r="N124" s="643">
        <f t="shared" si="29"/>
        <v>0</v>
      </c>
      <c r="O124" s="643">
        <f t="shared" si="30"/>
        <v>0</v>
      </c>
      <c r="P124" s="643">
        <f t="shared" si="31"/>
        <v>0</v>
      </c>
      <c r="Q124" s="643">
        <f t="shared" si="32"/>
        <v>0</v>
      </c>
      <c r="R124" s="643">
        <f t="shared" si="33"/>
        <v>0</v>
      </c>
      <c r="S124" s="799">
        <f t="shared" si="34"/>
        <v>0</v>
      </c>
      <c r="T124" s="596">
        <f t="shared" si="35"/>
        <v>0</v>
      </c>
      <c r="U124" s="800">
        <f t="shared" si="36"/>
        <v>0</v>
      </c>
      <c r="V124" s="596">
        <f t="shared" si="37"/>
        <v>0</v>
      </c>
      <c r="W124" s="814">
        <f t="shared" si="38"/>
        <v>0</v>
      </c>
      <c r="X124" s="593">
        <f t="shared" si="41"/>
        <v>0</v>
      </c>
      <c r="AA124" s="593">
        <f t="shared" si="39"/>
        <v>0</v>
      </c>
    </row>
    <row r="125" spans="1:27">
      <c r="A125" s="617">
        <f>'CG. MPA'!A125</f>
        <v>46</v>
      </c>
      <c r="B125" s="798">
        <v>15</v>
      </c>
      <c r="C125" s="643">
        <f>IF('CG. MPA'!E125="CONCRETO",'RMCV.PA'!B125,0)</f>
        <v>0</v>
      </c>
      <c r="D125" s="593">
        <f>IF(C125=0,0,'CG. MPA'!C125*100)</f>
        <v>0</v>
      </c>
      <c r="E125" s="593">
        <f>IF(D125=0,0,'RMCV.PA'!C125)</f>
        <v>0</v>
      </c>
      <c r="F125" s="593">
        <f t="shared" si="23"/>
        <v>0</v>
      </c>
      <c r="G125" s="643">
        <f>IF(C125=0,0,'RMCS.PA'!M124)</f>
        <v>0</v>
      </c>
      <c r="H125" s="643">
        <f>IF(C125=0,0,'CASTILLOS-PA'!K125)</f>
        <v>0</v>
      </c>
      <c r="I125" s="594">
        <f t="shared" si="24"/>
        <v>0</v>
      </c>
      <c r="J125" s="594">
        <f t="shared" si="25"/>
        <v>0</v>
      </c>
      <c r="K125" s="595">
        <f t="shared" si="26"/>
        <v>0</v>
      </c>
      <c r="L125" s="594">
        <f t="shared" si="27"/>
        <v>0</v>
      </c>
      <c r="M125" s="596">
        <f t="shared" si="28"/>
        <v>0</v>
      </c>
      <c r="N125" s="643">
        <f t="shared" si="29"/>
        <v>0</v>
      </c>
      <c r="O125" s="643">
        <f t="shared" si="30"/>
        <v>0</v>
      </c>
      <c r="P125" s="643">
        <f t="shared" si="31"/>
        <v>0</v>
      </c>
      <c r="Q125" s="643">
        <f t="shared" si="32"/>
        <v>0</v>
      </c>
      <c r="R125" s="643">
        <f t="shared" si="33"/>
        <v>0</v>
      </c>
      <c r="S125" s="799">
        <f t="shared" si="34"/>
        <v>0</v>
      </c>
      <c r="T125" s="596">
        <f t="shared" si="35"/>
        <v>0</v>
      </c>
      <c r="U125" s="800">
        <f t="shared" si="36"/>
        <v>0</v>
      </c>
      <c r="V125" s="596">
        <f t="shared" si="37"/>
        <v>0</v>
      </c>
      <c r="W125" s="814">
        <f t="shared" si="38"/>
        <v>0</v>
      </c>
      <c r="X125" s="593">
        <f t="shared" si="41"/>
        <v>0</v>
      </c>
      <c r="AA125" s="593">
        <f t="shared" si="39"/>
        <v>0</v>
      </c>
    </row>
    <row r="126" spans="1:27">
      <c r="A126" s="617">
        <f>'CG. MPA'!A126</f>
        <v>47</v>
      </c>
      <c r="B126" s="798">
        <v>15</v>
      </c>
      <c r="C126" s="643">
        <f>IF('CG. MPA'!E126="CONCRETO",'RMCV.PA'!B126,0)</f>
        <v>0</v>
      </c>
      <c r="D126" s="593">
        <f>IF(C126=0,0,'CG. MPA'!C126*100)</f>
        <v>0</v>
      </c>
      <c r="E126" s="593">
        <f>IF(D126=0,0,'RMCV.PA'!C126)</f>
        <v>0</v>
      </c>
      <c r="F126" s="593">
        <f t="shared" si="23"/>
        <v>0</v>
      </c>
      <c r="G126" s="643">
        <f>IF(C126=0,0,'RMCS.PA'!M125)</f>
        <v>0</v>
      </c>
      <c r="H126" s="643">
        <f>IF(C126=0,0,'CASTILLOS-PA'!K126)</f>
        <v>0</v>
      </c>
      <c r="I126" s="594">
        <f t="shared" si="24"/>
        <v>0</v>
      </c>
      <c r="J126" s="594">
        <f t="shared" si="25"/>
        <v>0</v>
      </c>
      <c r="K126" s="595">
        <f t="shared" si="26"/>
        <v>0</v>
      </c>
      <c r="L126" s="594">
        <f t="shared" si="27"/>
        <v>0</v>
      </c>
      <c r="M126" s="596">
        <f t="shared" si="28"/>
        <v>0</v>
      </c>
      <c r="N126" s="643">
        <f t="shared" si="29"/>
        <v>0</v>
      </c>
      <c r="O126" s="643">
        <f t="shared" si="30"/>
        <v>0</v>
      </c>
      <c r="P126" s="643">
        <f t="shared" si="31"/>
        <v>0</v>
      </c>
      <c r="Q126" s="643">
        <f t="shared" si="32"/>
        <v>0</v>
      </c>
      <c r="R126" s="643">
        <f t="shared" si="33"/>
        <v>0</v>
      </c>
      <c r="S126" s="799">
        <f t="shared" si="34"/>
        <v>0</v>
      </c>
      <c r="T126" s="596">
        <f t="shared" si="35"/>
        <v>0</v>
      </c>
      <c r="U126" s="800">
        <f t="shared" si="36"/>
        <v>0</v>
      </c>
      <c r="V126" s="596">
        <f t="shared" si="37"/>
        <v>0</v>
      </c>
      <c r="W126" s="814">
        <f t="shared" si="38"/>
        <v>0</v>
      </c>
      <c r="X126" s="593">
        <f t="shared" si="41"/>
        <v>0</v>
      </c>
      <c r="AA126" s="593">
        <f t="shared" si="39"/>
        <v>0</v>
      </c>
    </row>
    <row r="127" spans="1:27">
      <c r="A127" s="617">
        <f>'CG. MPA'!A127</f>
        <v>48</v>
      </c>
      <c r="B127" s="798">
        <v>15</v>
      </c>
      <c r="C127" s="643">
        <f>IF('CG. MPA'!E127="CONCRETO",'RMCV.PA'!B127,0)</f>
        <v>0</v>
      </c>
      <c r="D127" s="593">
        <f>IF(C127=0,0,'CG. MPA'!C127*100)</f>
        <v>0</v>
      </c>
      <c r="E127" s="593">
        <f>IF(D127=0,0,'RMCV.PA'!C127)</f>
        <v>0</v>
      </c>
      <c r="F127" s="593">
        <f t="shared" si="23"/>
        <v>0</v>
      </c>
      <c r="G127" s="643">
        <f>IF(C127=0,0,'RMCS.PA'!M126)</f>
        <v>0</v>
      </c>
      <c r="H127" s="643">
        <f>IF(C127=0,0,'CASTILLOS-PA'!K127)</f>
        <v>0</v>
      </c>
      <c r="I127" s="594">
        <f t="shared" si="24"/>
        <v>0</v>
      </c>
      <c r="J127" s="594">
        <f t="shared" si="25"/>
        <v>0</v>
      </c>
      <c r="K127" s="595">
        <f t="shared" si="26"/>
        <v>0</v>
      </c>
      <c r="L127" s="594">
        <f t="shared" si="27"/>
        <v>0</v>
      </c>
      <c r="M127" s="596">
        <f t="shared" si="28"/>
        <v>0</v>
      </c>
      <c r="N127" s="643">
        <f t="shared" si="29"/>
        <v>0</v>
      </c>
      <c r="O127" s="643">
        <f t="shared" si="30"/>
        <v>0</v>
      </c>
      <c r="P127" s="643">
        <f t="shared" si="31"/>
        <v>0</v>
      </c>
      <c r="Q127" s="643">
        <f t="shared" si="32"/>
        <v>0</v>
      </c>
      <c r="R127" s="643">
        <f t="shared" si="33"/>
        <v>0</v>
      </c>
      <c r="S127" s="799">
        <f t="shared" si="34"/>
        <v>0</v>
      </c>
      <c r="T127" s="596">
        <f t="shared" si="35"/>
        <v>0</v>
      </c>
      <c r="U127" s="800">
        <f t="shared" si="36"/>
        <v>0</v>
      </c>
      <c r="V127" s="596">
        <f t="shared" si="37"/>
        <v>0</v>
      </c>
      <c r="W127" s="814">
        <f t="shared" si="38"/>
        <v>0</v>
      </c>
      <c r="X127" s="593">
        <f t="shared" si="41"/>
        <v>0</v>
      </c>
      <c r="AA127" s="593">
        <f t="shared" si="39"/>
        <v>0</v>
      </c>
    </row>
    <row r="128" spans="1:27">
      <c r="A128" s="617">
        <f>'CG. MPA'!A128</f>
        <v>49</v>
      </c>
      <c r="B128" s="798">
        <v>15</v>
      </c>
      <c r="C128" s="643">
        <f>IF('CG. MPA'!E128="CONCRETO",'RMCV.PA'!B128,0)</f>
        <v>0</v>
      </c>
      <c r="D128" s="593">
        <f>IF(C128=0,0,'CG. MPA'!C128*100)</f>
        <v>0</v>
      </c>
      <c r="E128" s="593">
        <f>IF(D128=0,0,'RMCV.PA'!C128)</f>
        <v>0</v>
      </c>
      <c r="F128" s="593">
        <f t="shared" si="23"/>
        <v>0</v>
      </c>
      <c r="G128" s="643">
        <f>IF(C128=0,0,'RMCS.PA'!M127)</f>
        <v>0</v>
      </c>
      <c r="H128" s="643">
        <f>IF(C128=0,0,'CASTILLOS-PA'!K128)</f>
        <v>0</v>
      </c>
      <c r="I128" s="594">
        <f t="shared" si="24"/>
        <v>0</v>
      </c>
      <c r="J128" s="594">
        <f t="shared" si="25"/>
        <v>0</v>
      </c>
      <c r="K128" s="595">
        <f t="shared" si="26"/>
        <v>0</v>
      </c>
      <c r="L128" s="594">
        <f t="shared" si="27"/>
        <v>0</v>
      </c>
      <c r="M128" s="596">
        <f t="shared" si="28"/>
        <v>0</v>
      </c>
      <c r="N128" s="643">
        <f t="shared" si="29"/>
        <v>0</v>
      </c>
      <c r="O128" s="643">
        <f t="shared" si="30"/>
        <v>0</v>
      </c>
      <c r="P128" s="643">
        <f t="shared" si="31"/>
        <v>0</v>
      </c>
      <c r="Q128" s="643">
        <f t="shared" si="32"/>
        <v>0</v>
      </c>
      <c r="R128" s="643">
        <f t="shared" si="33"/>
        <v>0</v>
      </c>
      <c r="S128" s="799">
        <f t="shared" si="34"/>
        <v>0</v>
      </c>
      <c r="T128" s="596">
        <f t="shared" si="35"/>
        <v>0</v>
      </c>
      <c r="U128" s="800">
        <f t="shared" si="36"/>
        <v>0</v>
      </c>
      <c r="V128" s="596">
        <f t="shared" si="37"/>
        <v>0</v>
      </c>
      <c r="W128" s="814">
        <f t="shared" si="38"/>
        <v>0</v>
      </c>
      <c r="AA128" s="593">
        <f t="shared" si="39"/>
        <v>0</v>
      </c>
    </row>
    <row r="129" spans="1:27" ht="15.75" thickBot="1">
      <c r="A129" s="903">
        <f>'CG. MPA'!A129</f>
        <v>50</v>
      </c>
      <c r="B129" s="815">
        <v>15</v>
      </c>
      <c r="C129" s="816">
        <f>IF('CG. MPA'!E129="CONCRETO",'RMCV.PA'!B129,0)</f>
        <v>0</v>
      </c>
      <c r="D129" s="817">
        <f>IF(C129=0,0,'CG. MPA'!C129*100)</f>
        <v>0</v>
      </c>
      <c r="E129" s="817">
        <f>IF(D129=0,0,'RMCV.PA'!C129)</f>
        <v>0</v>
      </c>
      <c r="F129" s="817">
        <f t="shared" si="23"/>
        <v>0</v>
      </c>
      <c r="G129" s="816">
        <f>IF(C129=0,0,'RMCS.PA'!M128)</f>
        <v>0</v>
      </c>
      <c r="H129" s="816">
        <f>IF(C129=0,0,'CASTILLOS-PA'!K129)</f>
        <v>0</v>
      </c>
      <c r="I129" s="818">
        <f t="shared" si="24"/>
        <v>0</v>
      </c>
      <c r="J129" s="818">
        <f t="shared" si="25"/>
        <v>0</v>
      </c>
      <c r="K129" s="819">
        <f t="shared" si="26"/>
        <v>0</v>
      </c>
      <c r="L129" s="818">
        <f t="shared" si="27"/>
        <v>0</v>
      </c>
      <c r="M129" s="820">
        <f t="shared" si="28"/>
        <v>0</v>
      </c>
      <c r="N129" s="816">
        <f t="shared" si="29"/>
        <v>0</v>
      </c>
      <c r="O129" s="816">
        <f t="shared" si="30"/>
        <v>0</v>
      </c>
      <c r="P129" s="816">
        <f t="shared" si="31"/>
        <v>0</v>
      </c>
      <c r="Q129" s="816">
        <f t="shared" si="32"/>
        <v>0</v>
      </c>
      <c r="R129" s="816">
        <f t="shared" si="33"/>
        <v>0</v>
      </c>
      <c r="S129" s="821">
        <f t="shared" si="34"/>
        <v>0</v>
      </c>
      <c r="T129" s="820">
        <f t="shared" si="35"/>
        <v>0</v>
      </c>
      <c r="U129" s="822">
        <f t="shared" si="36"/>
        <v>0</v>
      </c>
      <c r="V129" s="820">
        <f t="shared" si="37"/>
        <v>0</v>
      </c>
      <c r="W129" s="823">
        <f t="shared" si="38"/>
        <v>0</v>
      </c>
      <c r="AA129" s="593">
        <f t="shared" si="39"/>
        <v>0</v>
      </c>
    </row>
  </sheetData>
  <mergeCells count="1">
    <mergeCell ref="J21:M21"/>
  </mergeCells>
  <phoneticPr fontId="0" type="noConversion"/>
  <conditionalFormatting sqref="S1:S1048576">
    <cfRule type="containsText" dxfId="2" priority="2" operator="containsText" text="MAL">
      <formula>NOT(ISERROR(SEARCH("MAL",S1)))</formula>
    </cfRule>
    <cfRule type="containsText" dxfId="1" priority="3" operator="containsText" text="BIEN">
      <formula>NOT(ISERROR(SEARCH("BIEN",S1)))</formula>
    </cfRule>
  </conditionalFormatting>
  <conditionalFormatting sqref="N1:N1048576">
    <cfRule type="containsText" dxfId="0" priority="1" operator="containsText" text="MAL">
      <formula>NOT(ISERROR(SEARCH("MAL",N1)))</formula>
    </cfRule>
  </conditionalFormatting>
  <pageMargins left="0.59055118110236227" right="0.39370078740157483" top="0.39370078740157483" bottom="0.39370078740157483" header="0" footer="0"/>
  <pageSetup scale="52" orientation="portrait" horizontalDpi="300" verticalDpi="300" r:id="rId1"/>
  <headerFooter alignWithMargins="0">
    <oddFooter>&amp;L&amp;"Arial,Normal"TEL (FAX) 01 951 51 4 28 30&amp;C____________________________________________________________________________________________________________________________________________________________________________
.&amp;R&amp;"Arial,Normal"CED. PROF. 1718634</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7ED18-AC3B-4D5D-926F-2413A3DCE9B9}">
  <sheetPr codeName="Hoja14"/>
  <dimension ref="A1:L63"/>
  <sheetViews>
    <sheetView topLeftCell="A12" zoomScale="75" workbookViewId="0">
      <selection activeCell="A12" sqref="A12:H61"/>
    </sheetView>
  </sheetViews>
  <sheetFormatPr baseColWidth="10" defaultColWidth="11" defaultRowHeight="15"/>
  <cols>
    <col min="1" max="1" width="6.5" style="4" customWidth="1"/>
    <col min="2" max="2" width="7.875" style="4" customWidth="1"/>
    <col min="3" max="3" width="8.375" style="4" customWidth="1"/>
    <col min="4" max="4" width="7.375" style="4" customWidth="1"/>
    <col min="5" max="5" width="9.375" style="4" customWidth="1"/>
    <col min="6" max="6" width="6.875" style="4" customWidth="1"/>
    <col min="7" max="7" width="8.75" style="4" customWidth="1"/>
    <col min="8" max="8" width="6.75" style="4" customWidth="1"/>
    <col min="9" max="9" width="9.5" style="4" customWidth="1"/>
    <col min="10" max="10" width="10.75" style="4" customWidth="1"/>
    <col min="11" max="11" width="7.5" style="4" customWidth="1"/>
    <col min="12" max="12" width="9" style="4" customWidth="1"/>
    <col min="13" max="13" width="1.25" style="4" customWidth="1"/>
    <col min="14" max="16384" width="11" style="4"/>
  </cols>
  <sheetData>
    <row r="1" spans="1:12" customFormat="1" ht="12.75">
      <c r="A1" s="518"/>
      <c r="B1" s="518"/>
      <c r="C1" s="518"/>
      <c r="D1" s="518"/>
      <c r="E1" s="518"/>
      <c r="F1" s="518"/>
      <c r="G1" s="518"/>
      <c r="H1" s="518"/>
      <c r="I1" s="518"/>
      <c r="J1" s="518"/>
      <c r="K1" s="518"/>
    </row>
    <row r="2" spans="1:12" customFormat="1" ht="12.75">
      <c r="A2" s="518"/>
      <c r="B2" s="518"/>
      <c r="C2" s="518"/>
      <c r="D2" s="518"/>
      <c r="E2" s="518"/>
      <c r="F2" s="518"/>
      <c r="G2" s="518"/>
      <c r="H2" s="518"/>
      <c r="I2" s="518"/>
      <c r="J2" s="518"/>
      <c r="K2" s="518"/>
    </row>
    <row r="3" spans="1:12" customFormat="1" ht="12.75">
      <c r="A3" s="518"/>
      <c r="B3" s="518"/>
      <c r="C3" s="518"/>
      <c r="D3" s="518"/>
      <c r="E3" s="518"/>
      <c r="F3" s="518"/>
      <c r="G3" s="518"/>
      <c r="H3" s="518"/>
      <c r="I3" s="518"/>
      <c r="J3" s="518"/>
      <c r="K3" s="518"/>
    </row>
    <row r="4" spans="1:12" customFormat="1" ht="12.75">
      <c r="A4" s="518"/>
      <c r="B4" s="518"/>
      <c r="C4" s="518"/>
      <c r="D4" s="518"/>
      <c r="E4" s="518"/>
      <c r="F4" s="518"/>
      <c r="G4" s="518"/>
      <c r="H4" s="518"/>
      <c r="I4" s="518"/>
      <c r="J4" s="518"/>
      <c r="K4" s="518"/>
    </row>
    <row r="5" spans="1:12" customFormat="1" ht="12.75">
      <c r="A5" s="518"/>
      <c r="B5" s="518"/>
      <c r="C5" s="518"/>
      <c r="D5" s="518"/>
      <c r="E5" s="518"/>
      <c r="F5" s="518"/>
      <c r="G5" s="518"/>
      <c r="H5" s="518"/>
      <c r="I5" s="518"/>
      <c r="J5" s="518"/>
      <c r="K5" s="518"/>
    </row>
    <row r="6" spans="1:12" customFormat="1" ht="12.75">
      <c r="A6" s="518"/>
      <c r="B6" s="518"/>
      <c r="C6" s="518"/>
      <c r="D6" s="518"/>
      <c r="E6" s="518"/>
      <c r="F6" s="518"/>
      <c r="G6" s="518"/>
      <c r="H6" s="518"/>
      <c r="I6" s="518"/>
      <c r="J6" s="518"/>
      <c r="K6" s="518"/>
    </row>
    <row r="7" spans="1:12">
      <c r="A7" s="4" t="str">
        <f>'CG. MPB'!A7</f>
        <v>PROPIETARIO   : ING. ROLANDO ORTIZ RAMOS</v>
      </c>
    </row>
    <row r="8" spans="1:12">
      <c r="A8" s="4" t="str">
        <f>'CG. MPB'!A8</f>
        <v xml:space="preserve">OBRA                   : </v>
      </c>
    </row>
    <row r="9" spans="1:12">
      <c r="A9" s="4" t="str">
        <f>'CG. MPB'!A9</f>
        <v>LOCALIZACION : 1ª PRIVADA 13 DE SEPTIEMBRE, COL. VICENTE SUAREZ</v>
      </c>
    </row>
    <row r="10" spans="1:12" hidden="1">
      <c r="A10" s="4">
        <f>'CG. MPB'!A10</f>
        <v>0</v>
      </c>
    </row>
    <row r="11" spans="1:12" hidden="1">
      <c r="A11" s="4" t="str">
        <f>'CG. MPB'!A11</f>
        <v>TABLA No. 1</v>
      </c>
    </row>
    <row r="12" spans="1:12" ht="15.75" thickBot="1"/>
    <row r="13" spans="1:12" ht="16.5" thickTop="1">
      <c r="A13" s="5"/>
      <c r="B13" s="6"/>
      <c r="C13" s="6"/>
      <c r="D13" s="6"/>
      <c r="E13" s="6"/>
      <c r="F13" s="6"/>
      <c r="G13" s="6"/>
      <c r="H13" s="6"/>
      <c r="I13" s="6"/>
      <c r="J13" s="6"/>
      <c r="K13" s="6"/>
      <c r="L13" s="7"/>
    </row>
    <row r="14" spans="1:12" ht="18">
      <c r="A14" s="137" t="s">
        <v>38</v>
      </c>
      <c r="B14" s="9"/>
      <c r="C14" s="9"/>
      <c r="D14" s="9"/>
      <c r="E14" s="9"/>
      <c r="F14" s="9"/>
      <c r="G14" s="9"/>
      <c r="H14" s="9"/>
      <c r="I14" s="9"/>
      <c r="J14" s="9"/>
      <c r="K14" s="9"/>
      <c r="L14" s="10"/>
    </row>
    <row r="15" spans="1:12" ht="16.5" thickBot="1">
      <c r="A15" s="11"/>
      <c r="B15" s="12"/>
      <c r="C15" s="12"/>
      <c r="D15" s="12"/>
      <c r="E15" s="12"/>
      <c r="F15" s="12"/>
      <c r="G15" s="12"/>
      <c r="H15" s="12"/>
      <c r="I15" s="12"/>
      <c r="J15" s="12"/>
      <c r="K15" s="12"/>
      <c r="L15" s="13"/>
    </row>
    <row r="16" spans="1:12" ht="16.5" thickTop="1">
      <c r="A16" s="9"/>
      <c r="B16" s="9"/>
      <c r="C16" s="9"/>
      <c r="D16" s="9"/>
      <c r="E16" s="9"/>
      <c r="F16" s="9"/>
      <c r="G16" s="9"/>
      <c r="H16" s="9"/>
      <c r="I16" s="9"/>
      <c r="J16" s="9"/>
      <c r="K16" s="9"/>
      <c r="L16" s="9"/>
    </row>
    <row r="17" spans="1:12" ht="15.75">
      <c r="A17" s="9"/>
      <c r="B17" s="9"/>
      <c r="C17" s="9"/>
      <c r="D17" s="9"/>
      <c r="E17" s="9"/>
      <c r="F17" s="9"/>
      <c r="G17" s="9"/>
      <c r="H17" s="9"/>
      <c r="I17" s="9"/>
      <c r="J17" s="9"/>
      <c r="K17" s="9"/>
      <c r="L17" s="9"/>
    </row>
    <row r="18" spans="1:12" ht="15.75">
      <c r="A18" s="51" t="s">
        <v>39</v>
      </c>
      <c r="B18" s="17">
        <v>4</v>
      </c>
      <c r="C18" s="51" t="s">
        <v>40</v>
      </c>
      <c r="D18" s="50">
        <v>0.64</v>
      </c>
      <c r="E18" s="102"/>
      <c r="F18" s="51" t="s">
        <v>41</v>
      </c>
      <c r="G18" s="9">
        <f>D18/B18</f>
        <v>0.16</v>
      </c>
      <c r="I18" s="9"/>
      <c r="J18" s="9"/>
      <c r="K18" s="9"/>
      <c r="L18" s="9"/>
    </row>
    <row r="19" spans="1:12" ht="15.75">
      <c r="A19" s="9"/>
      <c r="B19" s="9"/>
      <c r="C19" s="9"/>
      <c r="D19" s="9"/>
      <c r="E19" s="9"/>
      <c r="F19" s="9"/>
      <c r="G19" s="9"/>
      <c r="H19" s="9"/>
      <c r="I19" s="9"/>
      <c r="J19" s="9"/>
      <c r="K19" s="9"/>
      <c r="L19" s="9"/>
    </row>
    <row r="20" spans="1:12" ht="15.75">
      <c r="A20" s="26" t="s">
        <v>91</v>
      </c>
      <c r="B20" s="26" t="s">
        <v>92</v>
      </c>
      <c r="C20" s="26" t="s">
        <v>93</v>
      </c>
      <c r="D20" s="26" t="s">
        <v>94</v>
      </c>
      <c r="E20" s="26" t="s">
        <v>95</v>
      </c>
      <c r="F20" s="26" t="s">
        <v>96</v>
      </c>
      <c r="G20" s="26" t="s">
        <v>97</v>
      </c>
      <c r="H20" s="26" t="s">
        <v>98</v>
      </c>
      <c r="I20" s="26" t="s">
        <v>99</v>
      </c>
      <c r="J20" s="26" t="s">
        <v>100</v>
      </c>
      <c r="K20" s="26" t="s">
        <v>101</v>
      </c>
      <c r="L20" s="26" t="s">
        <v>102</v>
      </c>
    </row>
    <row r="22" spans="1:12" ht="15.75">
      <c r="A22" s="62"/>
      <c r="B22" s="103"/>
      <c r="C22" s="61"/>
      <c r="D22" s="103"/>
      <c r="E22" s="61"/>
      <c r="F22" s="103"/>
      <c r="G22" s="61"/>
      <c r="H22" s="103"/>
      <c r="I22" s="61"/>
      <c r="J22" s="103"/>
      <c r="K22" s="61"/>
      <c r="L22" s="103"/>
    </row>
    <row r="23" spans="1:12" ht="15.75">
      <c r="A23" s="25" t="s">
        <v>42</v>
      </c>
      <c r="B23" s="52" t="s">
        <v>131</v>
      </c>
      <c r="C23" s="26" t="s">
        <v>43</v>
      </c>
      <c r="D23" s="52" t="s">
        <v>44</v>
      </c>
      <c r="E23" s="26" t="s">
        <v>45</v>
      </c>
      <c r="F23" s="52" t="s">
        <v>46</v>
      </c>
      <c r="G23" s="26" t="s">
        <v>47</v>
      </c>
      <c r="H23" s="52" t="s">
        <v>9</v>
      </c>
      <c r="I23" s="26" t="s">
        <v>48</v>
      </c>
      <c r="J23" s="52" t="s">
        <v>278</v>
      </c>
      <c r="K23" s="26" t="s">
        <v>49</v>
      </c>
      <c r="L23" s="239" t="s">
        <v>50</v>
      </c>
    </row>
    <row r="24" spans="1:12" ht="15.75">
      <c r="A24" s="98"/>
      <c r="B24" s="230"/>
      <c r="C24" s="97"/>
      <c r="D24" s="230"/>
      <c r="E24" s="97"/>
      <c r="F24" s="230"/>
      <c r="G24" s="97"/>
      <c r="H24" s="230"/>
      <c r="I24" s="97"/>
      <c r="J24" s="230"/>
      <c r="K24" s="97"/>
      <c r="L24" s="230"/>
    </row>
    <row r="25" spans="1:12" ht="15.75">
      <c r="A25" s="103"/>
      <c r="B25" s="63"/>
      <c r="C25" s="203"/>
      <c r="D25" s="204"/>
      <c r="E25" s="24"/>
      <c r="F25" s="24"/>
      <c r="G25" s="77"/>
      <c r="H25" s="77"/>
      <c r="I25" s="77"/>
      <c r="J25" s="77"/>
      <c r="K25" s="77"/>
      <c r="L25" s="77"/>
    </row>
    <row r="26" spans="1:12" ht="15.75">
      <c r="A26" s="71"/>
      <c r="B26" s="40"/>
      <c r="C26" s="554"/>
      <c r="D26" s="87"/>
      <c r="E26" s="27"/>
      <c r="F26" s="27"/>
      <c r="G26" s="35"/>
      <c r="H26" s="35"/>
      <c r="I26" s="35"/>
      <c r="J26" s="35"/>
      <c r="K26" s="35"/>
      <c r="L26" s="35"/>
    </row>
    <row r="27" spans="1:12" ht="15.75">
      <c r="A27" s="71">
        <v>3</v>
      </c>
      <c r="B27" s="40"/>
      <c r="C27" s="555">
        <v>32.5</v>
      </c>
      <c r="D27" s="87">
        <f>C27*(F29+F27+F31)</f>
        <v>269.75</v>
      </c>
      <c r="E27" s="27"/>
      <c r="F27" s="555">
        <v>2.7</v>
      </c>
      <c r="G27" s="556">
        <v>0</v>
      </c>
      <c r="H27" s="556">
        <v>1</v>
      </c>
      <c r="I27" s="556">
        <f t="shared" ref="I27:I33" si="0">(0.8+0.2*H27)</f>
        <v>1</v>
      </c>
      <c r="J27" s="556">
        <f>G27*I27</f>
        <v>0</v>
      </c>
      <c r="K27" s="556">
        <v>0</v>
      </c>
      <c r="L27" s="556">
        <f>K27*E28</f>
        <v>0</v>
      </c>
    </row>
    <row r="28" spans="1:12" ht="15.75">
      <c r="A28" s="71"/>
      <c r="B28" s="40">
        <v>3</v>
      </c>
      <c r="C28" s="558"/>
      <c r="D28" s="87"/>
      <c r="E28" s="556">
        <f>D27*$G$18*$C$36/$D$36</f>
        <v>9.3624052954781085</v>
      </c>
      <c r="F28" s="27"/>
      <c r="G28" s="556"/>
      <c r="H28" s="556"/>
      <c r="I28" s="556"/>
      <c r="J28" s="556"/>
      <c r="L28" s="556"/>
    </row>
    <row r="29" spans="1:12">
      <c r="A29" s="104">
        <v>2</v>
      </c>
      <c r="B29" s="27"/>
      <c r="C29" s="555">
        <v>94.4</v>
      </c>
      <c r="D29" s="87">
        <f>C29*(F31+F29)</f>
        <v>528.64</v>
      </c>
      <c r="E29" s="27"/>
      <c r="F29" s="555">
        <v>2.8</v>
      </c>
      <c r="G29" s="557">
        <f>E28*F27+G27</f>
        <v>25.278494297790896</v>
      </c>
      <c r="H29" s="556">
        <f>(F29+F31)/(F27+F29+F31)</f>
        <v>0.67469879518072284</v>
      </c>
      <c r="I29" s="556">
        <f t="shared" si="0"/>
        <v>0.93493975903614457</v>
      </c>
      <c r="J29" s="556">
        <f>G29*I29</f>
        <v>23.633869367573176</v>
      </c>
      <c r="K29" s="4">
        <f>(C27*(F27)/(C27))</f>
        <v>2.7</v>
      </c>
      <c r="L29" s="557">
        <f>K29*E28</f>
        <v>25.278494297790896</v>
      </c>
    </row>
    <row r="30" spans="1:12">
      <c r="A30" s="104"/>
      <c r="B30" s="27">
        <v>2</v>
      </c>
      <c r="C30" s="559" t="s">
        <v>51</v>
      </c>
      <c r="D30" s="560"/>
      <c r="E30" s="556">
        <f>E28+D29*$G$18*$C$36/$D$36</f>
        <v>27.710290134779488</v>
      </c>
      <c r="F30" s="556"/>
      <c r="G30" s="557"/>
      <c r="H30" s="561"/>
      <c r="I30" s="556"/>
      <c r="J30" s="556">
        <f>G30*I30</f>
        <v>0</v>
      </c>
      <c r="L30" s="557"/>
    </row>
    <row r="31" spans="1:12">
      <c r="A31" s="104">
        <v>1</v>
      </c>
      <c r="B31" s="27"/>
      <c r="C31" s="555">
        <v>117.9</v>
      </c>
      <c r="D31" s="560">
        <f>C31*F31</f>
        <v>330.12</v>
      </c>
      <c r="E31" s="556"/>
      <c r="F31" s="555">
        <v>2.8</v>
      </c>
      <c r="G31" s="557">
        <f>(E30*F29)+G29</f>
        <v>102.86730667517347</v>
      </c>
      <c r="H31" s="556">
        <f>(F31)/(F31+F29)</f>
        <v>0.5</v>
      </c>
      <c r="I31" s="556">
        <f t="shared" si="0"/>
        <v>0.9</v>
      </c>
      <c r="J31" s="556">
        <f>G31*I31</f>
        <v>92.58057600765612</v>
      </c>
      <c r="K31" s="4">
        <f>(C27*(F27+F29+F31)+C29*(F29+F31)+C31*F31)/(C27+C29+C31)</f>
        <v>4.6099264705882348</v>
      </c>
      <c r="L31" s="557">
        <f>E30*K31</f>
        <v>127.74239999999999</v>
      </c>
    </row>
    <row r="32" spans="1:12">
      <c r="A32" s="104"/>
      <c r="B32" s="27">
        <v>1</v>
      </c>
      <c r="C32" s="55" t="s">
        <v>51</v>
      </c>
      <c r="D32" s="69"/>
      <c r="E32" s="35">
        <f>E30+D31*G18*C36/D36</f>
        <v>39.167999999999999</v>
      </c>
      <c r="F32" s="35"/>
      <c r="G32" s="34"/>
      <c r="H32" s="91"/>
      <c r="I32" s="35"/>
      <c r="J32" s="34"/>
      <c r="L32" s="34"/>
    </row>
    <row r="33" spans="1:12">
      <c r="A33" s="104">
        <v>0</v>
      </c>
      <c r="B33" s="27"/>
      <c r="C33" s="55"/>
      <c r="D33" s="69"/>
      <c r="E33" s="35"/>
      <c r="F33" s="27"/>
      <c r="G33" s="109">
        <f>(E32*F31)+G31</f>
        <v>212.53770667517347</v>
      </c>
      <c r="H33" s="105">
        <v>0</v>
      </c>
      <c r="I33" s="35">
        <f t="shared" si="0"/>
        <v>0.8</v>
      </c>
      <c r="J33" s="109">
        <f>G33*I33</f>
        <v>170.03016534013878</v>
      </c>
      <c r="K33" s="4">
        <f>(C29*(F29+F31)+C31*F31)/(C29+C31)</f>
        <v>4.0450306170513421</v>
      </c>
      <c r="L33" s="109">
        <f>E32*K33</f>
        <v>158.43575920866698</v>
      </c>
    </row>
    <row r="34" spans="1:12">
      <c r="A34" s="104"/>
      <c r="B34" s="27"/>
      <c r="C34" s="55"/>
      <c r="D34" s="87"/>
      <c r="E34" s="27"/>
      <c r="F34" s="27"/>
      <c r="G34" s="35"/>
      <c r="H34" s="90"/>
      <c r="I34" s="35"/>
      <c r="J34" s="34"/>
      <c r="K34" s="34"/>
      <c r="L34" s="34"/>
    </row>
    <row r="35" spans="1:12">
      <c r="A35" s="106"/>
      <c r="B35" s="27"/>
      <c r="C35" s="55"/>
      <c r="D35" s="87"/>
      <c r="E35" s="27"/>
      <c r="F35" s="27"/>
      <c r="G35" s="35"/>
      <c r="H35" s="90"/>
      <c r="I35" s="35"/>
      <c r="J35" s="35"/>
      <c r="K35" s="35"/>
      <c r="L35" s="35"/>
    </row>
    <row r="36" spans="1:12">
      <c r="A36" s="107"/>
      <c r="B36" s="30"/>
      <c r="C36" s="520">
        <f>C27+C29+C31</f>
        <v>244.8</v>
      </c>
      <c r="D36" s="205">
        <f>D27+D29+D31</f>
        <v>1128.51</v>
      </c>
      <c r="E36" s="30"/>
      <c r="F36" s="30"/>
      <c r="G36" s="30"/>
      <c r="H36" s="30"/>
      <c r="I36" s="30"/>
      <c r="J36" s="43"/>
      <c r="K36" s="43"/>
      <c r="L36" s="43"/>
    </row>
    <row r="38" spans="1:12" ht="15.75">
      <c r="L38" s="74">
        <v>170.03</v>
      </c>
    </row>
    <row r="39" spans="1:12" ht="15.75">
      <c r="L39" s="74" t="str">
        <f>IF(AND(L33&gt;=J33,G33&gt;=L33),L33,"BUSCAR EL M.V.")</f>
        <v>BUSCAR EL M.V.</v>
      </c>
    </row>
    <row r="47" spans="1:12" ht="15.75" thickBot="1"/>
    <row r="48" spans="1:12" ht="15.75" thickTop="1">
      <c r="A48" s="110"/>
      <c r="B48" s="111"/>
      <c r="C48" s="111"/>
      <c r="D48" s="111"/>
      <c r="E48" s="111"/>
      <c r="F48" s="111"/>
      <c r="G48" s="111"/>
      <c r="H48" s="111"/>
      <c r="I48" s="111"/>
      <c r="J48" s="111"/>
      <c r="K48" s="111"/>
      <c r="L48" s="112"/>
    </row>
    <row r="49" spans="1:12" ht="15.75">
      <c r="A49" s="8" t="s">
        <v>52</v>
      </c>
      <c r="B49" s="9"/>
      <c r="C49" s="9"/>
      <c r="D49" s="9"/>
      <c r="E49" s="9"/>
      <c r="F49" s="9"/>
      <c r="G49" s="9"/>
      <c r="H49" s="9"/>
      <c r="I49" s="9"/>
      <c r="J49" s="9"/>
      <c r="K49" s="9"/>
      <c r="L49" s="10"/>
    </row>
    <row r="50" spans="1:12" ht="15.75" thickBot="1">
      <c r="A50" s="113"/>
      <c r="B50" s="114"/>
      <c r="C50" s="114"/>
      <c r="D50" s="114"/>
      <c r="E50" s="114"/>
      <c r="F50" s="114"/>
      <c r="G50" s="114"/>
      <c r="H50" s="114"/>
      <c r="I50" s="114"/>
      <c r="J50" s="114"/>
      <c r="K50" s="114"/>
      <c r="L50" s="115"/>
    </row>
    <row r="51" spans="1:12" ht="15.75" thickTop="1"/>
    <row r="54" spans="1:12">
      <c r="A54" s="84"/>
      <c r="B54" s="85"/>
      <c r="C54" s="85"/>
      <c r="D54" s="85"/>
      <c r="E54" s="85"/>
      <c r="F54" s="24"/>
    </row>
    <row r="55" spans="1:12" ht="15.75">
      <c r="A55" s="75" t="s">
        <v>42</v>
      </c>
      <c r="B55" s="9" t="s">
        <v>53</v>
      </c>
      <c r="C55" s="9" t="s">
        <v>205</v>
      </c>
      <c r="D55" s="9" t="s">
        <v>9</v>
      </c>
      <c r="E55" s="9" t="s">
        <v>54</v>
      </c>
      <c r="F55" s="76" t="s">
        <v>55</v>
      </c>
    </row>
    <row r="56" spans="1:12">
      <c r="A56" s="81"/>
      <c r="B56" s="82"/>
      <c r="C56" s="82"/>
      <c r="D56" s="82"/>
      <c r="E56" s="82"/>
      <c r="F56" s="30"/>
    </row>
    <row r="57" spans="1:12">
      <c r="A57" s="72"/>
      <c r="F57" s="27"/>
    </row>
    <row r="58" spans="1:12">
      <c r="A58" s="79">
        <v>2</v>
      </c>
      <c r="B58" s="108">
        <f>F29</f>
        <v>2.8</v>
      </c>
      <c r="C58" s="108">
        <v>0</v>
      </c>
      <c r="D58" s="108">
        <v>1</v>
      </c>
      <c r="E58" s="108">
        <f>0.8+0.2*D58</f>
        <v>1</v>
      </c>
      <c r="F58" s="83">
        <f>C58*E58</f>
        <v>0</v>
      </c>
    </row>
    <row r="59" spans="1:12">
      <c r="A59" s="79"/>
      <c r="B59" s="108"/>
      <c r="C59" s="108"/>
      <c r="D59" s="108"/>
      <c r="E59" s="108"/>
      <c r="F59" s="83"/>
    </row>
    <row r="60" spans="1:12">
      <c r="A60" s="79">
        <v>1</v>
      </c>
      <c r="B60" s="108">
        <f>F31</f>
        <v>2.8</v>
      </c>
      <c r="C60" s="108">
        <f>B58^2/B58</f>
        <v>2.8</v>
      </c>
      <c r="D60" s="108">
        <f>B60/(B58+B60)</f>
        <v>0.5</v>
      </c>
      <c r="E60" s="108">
        <f>0.8+0.2*D60</f>
        <v>0.9</v>
      </c>
      <c r="F60" s="116">
        <f>C60*E60</f>
        <v>2.52</v>
      </c>
    </row>
    <row r="61" spans="1:12">
      <c r="A61" s="79"/>
      <c r="B61" s="108"/>
      <c r="C61" s="108"/>
      <c r="D61" s="108"/>
      <c r="E61" s="108"/>
      <c r="F61" s="83"/>
    </row>
    <row r="62" spans="1:12">
      <c r="A62" s="79">
        <v>0</v>
      </c>
      <c r="B62" s="108"/>
      <c r="C62" s="108">
        <f>((B58+B60)^2+B58^2)/(B58+B60+B58)</f>
        <v>4.666666666666667</v>
      </c>
      <c r="D62" s="108">
        <v>0</v>
      </c>
      <c r="E62" s="108">
        <f>0.8+0.2*D62</f>
        <v>0.8</v>
      </c>
      <c r="F62" s="116">
        <f>C62*E62</f>
        <v>3.7333333333333338</v>
      </c>
    </row>
    <row r="63" spans="1:12">
      <c r="A63" s="81"/>
      <c r="B63" s="82"/>
      <c r="C63" s="82"/>
      <c r="D63" s="82"/>
      <c r="E63" s="82"/>
      <c r="F63" s="30"/>
    </row>
  </sheetData>
  <phoneticPr fontId="0" type="noConversion"/>
  <pageMargins left="0.59055118110236227" right="0.39370078740157483" top="0.39370078740157483" bottom="0.39370078740157483" header="0" footer="0"/>
  <pageSetup scale="70" orientation="portrait" horizontalDpi="300" verticalDpi="300" r:id="rId1"/>
  <headerFooter alignWithMargins="0">
    <oddFooter>&amp;L&amp;"Arial,Normal"TEL (FAX) 01 951 51 4 28 30&amp;C________________________________________________________________________________________________________________________________________________________________&amp;R&amp;"Arial,Normal"CED. PROF. 1718634</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0C42D-0460-4494-A5BD-12FB7D586528}">
  <sheetPr codeName="Hoja15">
    <tabColor rgb="FFFFC000"/>
  </sheetPr>
  <dimension ref="A2:N31"/>
  <sheetViews>
    <sheetView topLeftCell="D1" zoomScale="85" zoomScaleNormal="85" workbookViewId="0">
      <selection activeCell="N25" sqref="N25"/>
    </sheetView>
  </sheetViews>
  <sheetFormatPr baseColWidth="10" defaultRowHeight="12"/>
  <sheetData>
    <row r="2" spans="1:14">
      <c r="A2" t="s">
        <v>420</v>
      </c>
      <c r="C2" s="562" t="s">
        <v>421</v>
      </c>
    </row>
    <row r="3" spans="1:14">
      <c r="A3" t="s">
        <v>422</v>
      </c>
      <c r="B3" t="s">
        <v>423</v>
      </c>
      <c r="C3" t="s">
        <v>424</v>
      </c>
      <c r="D3" t="s">
        <v>425</v>
      </c>
      <c r="E3" t="s">
        <v>426</v>
      </c>
      <c r="F3" t="s">
        <v>427</v>
      </c>
      <c r="G3" t="s">
        <v>428</v>
      </c>
      <c r="H3" t="s">
        <v>128</v>
      </c>
      <c r="I3" t="s">
        <v>429</v>
      </c>
      <c r="J3" t="s">
        <v>430</v>
      </c>
      <c r="L3" s="563" t="s">
        <v>431</v>
      </c>
      <c r="M3" s="563">
        <f>I14</f>
        <v>84.55</v>
      </c>
    </row>
    <row r="4" spans="1:14">
      <c r="A4" t="s">
        <v>435</v>
      </c>
      <c r="B4" t="s">
        <v>62</v>
      </c>
      <c r="C4">
        <v>0.05</v>
      </c>
      <c r="D4" t="s">
        <v>433</v>
      </c>
      <c r="E4" t="s">
        <v>443</v>
      </c>
      <c r="F4" t="s">
        <v>61</v>
      </c>
      <c r="G4">
        <v>0.36</v>
      </c>
      <c r="H4">
        <v>1</v>
      </c>
      <c r="I4" s="562">
        <v>209.34</v>
      </c>
      <c r="J4">
        <v>75.36</v>
      </c>
      <c r="L4" s="563" t="s">
        <v>434</v>
      </c>
      <c r="M4" s="563">
        <f>I9-I14</f>
        <v>109.05</v>
      </c>
    </row>
    <row r="5" spans="1:14">
      <c r="A5" t="s">
        <v>432</v>
      </c>
      <c r="B5" t="s">
        <v>49</v>
      </c>
      <c r="C5">
        <v>0.05</v>
      </c>
      <c r="D5" t="s">
        <v>433</v>
      </c>
      <c r="E5" t="s">
        <v>443</v>
      </c>
      <c r="F5" t="s">
        <v>61</v>
      </c>
      <c r="G5">
        <v>0.36</v>
      </c>
      <c r="H5">
        <v>1</v>
      </c>
      <c r="I5" s="562">
        <v>209.34</v>
      </c>
      <c r="J5">
        <v>75.36</v>
      </c>
      <c r="L5" s="563" t="s">
        <v>436</v>
      </c>
      <c r="M5" s="563">
        <f>I4-M3-M4</f>
        <v>15.740000000000009</v>
      </c>
    </row>
    <row r="6" spans="1:14">
      <c r="L6" s="563"/>
      <c r="M6" s="563"/>
    </row>
    <row r="7" spans="1:14">
      <c r="A7" t="s">
        <v>437</v>
      </c>
      <c r="C7" s="562" t="s">
        <v>438</v>
      </c>
      <c r="L7" s="563" t="s">
        <v>439</v>
      </c>
      <c r="M7" s="563">
        <f>SUM(M3:M5)</f>
        <v>209.34</v>
      </c>
    </row>
    <row r="8" spans="1:14">
      <c r="A8" t="s">
        <v>422</v>
      </c>
      <c r="B8" t="s">
        <v>423</v>
      </c>
      <c r="C8" t="s">
        <v>424</v>
      </c>
      <c r="D8" t="s">
        <v>425</v>
      </c>
      <c r="E8" t="s">
        <v>426</v>
      </c>
      <c r="F8" t="s">
        <v>427</v>
      </c>
      <c r="G8" t="s">
        <v>428</v>
      </c>
      <c r="H8" t="s">
        <v>128</v>
      </c>
      <c r="I8" t="s">
        <v>429</v>
      </c>
      <c r="J8" t="s">
        <v>430</v>
      </c>
    </row>
    <row r="9" spans="1:14">
      <c r="A9" t="s">
        <v>435</v>
      </c>
      <c r="B9" t="s">
        <v>62</v>
      </c>
      <c r="C9">
        <v>0.05</v>
      </c>
      <c r="D9" t="s">
        <v>433</v>
      </c>
      <c r="E9" t="s">
        <v>443</v>
      </c>
      <c r="F9" t="s">
        <v>61</v>
      </c>
      <c r="G9">
        <v>0.36</v>
      </c>
      <c r="H9">
        <v>1</v>
      </c>
      <c r="I9">
        <v>193.6</v>
      </c>
      <c r="J9">
        <v>69.7</v>
      </c>
      <c r="K9" s="1170" t="s">
        <v>442</v>
      </c>
      <c r="L9" s="1170"/>
      <c r="M9" s="1170"/>
      <c r="N9">
        <f>I4</f>
        <v>209.34</v>
      </c>
    </row>
    <row r="10" spans="1:14">
      <c r="A10" t="s">
        <v>432</v>
      </c>
      <c r="B10" t="s">
        <v>49</v>
      </c>
      <c r="C10">
        <v>0.05</v>
      </c>
      <c r="D10" t="s">
        <v>433</v>
      </c>
      <c r="E10" t="s">
        <v>443</v>
      </c>
      <c r="F10" t="s">
        <v>61</v>
      </c>
      <c r="G10">
        <v>0.36</v>
      </c>
      <c r="H10">
        <v>1</v>
      </c>
      <c r="I10">
        <v>193.6</v>
      </c>
      <c r="J10">
        <v>69.7</v>
      </c>
    </row>
    <row r="12" spans="1:14">
      <c r="A12" t="s">
        <v>440</v>
      </c>
      <c r="C12" s="562" t="s">
        <v>441</v>
      </c>
    </row>
    <row r="13" spans="1:14">
      <c r="A13" t="s">
        <v>422</v>
      </c>
      <c r="B13" t="s">
        <v>423</v>
      </c>
      <c r="C13" t="s">
        <v>424</v>
      </c>
      <c r="D13" t="s">
        <v>425</v>
      </c>
      <c r="E13" t="s">
        <v>426</v>
      </c>
      <c r="F13" t="s">
        <v>427</v>
      </c>
      <c r="G13" t="s">
        <v>428</v>
      </c>
      <c r="H13" t="s">
        <v>128</v>
      </c>
      <c r="I13" t="s">
        <v>429</v>
      </c>
      <c r="J13" t="s">
        <v>430</v>
      </c>
    </row>
    <row r="14" spans="1:14">
      <c r="A14" t="s">
        <v>435</v>
      </c>
      <c r="B14" t="s">
        <v>62</v>
      </c>
      <c r="C14">
        <v>0.05</v>
      </c>
      <c r="D14" t="s">
        <v>433</v>
      </c>
      <c r="E14" t="s">
        <v>443</v>
      </c>
      <c r="F14" t="s">
        <v>61</v>
      </c>
      <c r="G14">
        <v>0.36</v>
      </c>
      <c r="H14">
        <v>1</v>
      </c>
      <c r="I14">
        <v>84.55</v>
      </c>
      <c r="J14">
        <v>30.44</v>
      </c>
    </row>
    <row r="15" spans="1:14">
      <c r="A15" t="s">
        <v>432</v>
      </c>
      <c r="B15" t="s">
        <v>49</v>
      </c>
      <c r="C15">
        <v>0.05</v>
      </c>
      <c r="D15" t="s">
        <v>433</v>
      </c>
      <c r="E15" t="s">
        <v>443</v>
      </c>
      <c r="F15" t="s">
        <v>61</v>
      </c>
      <c r="G15">
        <v>0.36</v>
      </c>
      <c r="H15">
        <v>1</v>
      </c>
      <c r="I15">
        <v>84.55</v>
      </c>
      <c r="J15">
        <v>30.44</v>
      </c>
    </row>
    <row r="23" spans="5:11" ht="15">
      <c r="E23" s="44" t="s">
        <v>444</v>
      </c>
      <c r="F23" s="564">
        <f>M5</f>
        <v>15.740000000000009</v>
      </c>
      <c r="G23" s="564"/>
      <c r="H23" s="565">
        <v>1.165</v>
      </c>
      <c r="I23" s="565">
        <v>7.9290000000000003</v>
      </c>
      <c r="J23" s="564">
        <f>F23*H23</f>
        <v>18.33710000000001</v>
      </c>
      <c r="K23" s="564">
        <f>F23*I23</f>
        <v>124.80246000000008</v>
      </c>
    </row>
    <row r="24" spans="5:11" ht="15">
      <c r="E24" s="44" t="s">
        <v>445</v>
      </c>
      <c r="F24" s="564">
        <f>M4</f>
        <v>109.05</v>
      </c>
      <c r="G24" s="564"/>
      <c r="H24" s="565">
        <v>4.3</v>
      </c>
      <c r="I24" s="565">
        <v>10.135999999999999</v>
      </c>
      <c r="J24" s="564">
        <f>F24*H24</f>
        <v>468.91499999999996</v>
      </c>
      <c r="K24" s="564">
        <f>F24*I24</f>
        <v>1105.3308</v>
      </c>
    </row>
    <row r="25" spans="5:11" ht="15">
      <c r="E25" s="44" t="s">
        <v>446</v>
      </c>
      <c r="F25" s="564">
        <f>M3</f>
        <v>84.55</v>
      </c>
      <c r="G25" s="564"/>
      <c r="H25" s="565">
        <v>4.0739999999999998</v>
      </c>
      <c r="I25" s="565">
        <v>10.319000000000001</v>
      </c>
      <c r="J25" s="564">
        <f>F25*H25</f>
        <v>344.45669999999996</v>
      </c>
      <c r="K25" s="564">
        <f>F25*I25</f>
        <v>872.47145</v>
      </c>
    </row>
    <row r="26" spans="5:11" ht="15">
      <c r="E26" s="44"/>
      <c r="F26" s="564"/>
      <c r="G26" s="564"/>
      <c r="H26" s="564"/>
      <c r="I26" s="564"/>
      <c r="J26" s="564"/>
      <c r="K26" s="564"/>
    </row>
    <row r="27" spans="5:11" ht="15">
      <c r="E27" s="44"/>
      <c r="F27" s="564"/>
      <c r="G27" s="564"/>
      <c r="H27" s="564"/>
      <c r="I27" s="564"/>
      <c r="J27" s="564"/>
      <c r="K27" s="564"/>
    </row>
    <row r="28" spans="5:11" ht="15">
      <c r="E28" s="44"/>
      <c r="F28" s="564">
        <f>SUM(F23:F25)</f>
        <v>209.34</v>
      </c>
      <c r="G28" s="564"/>
      <c r="H28" s="564"/>
      <c r="I28" s="564"/>
      <c r="J28" s="564">
        <f>SUM(J23:J25)</f>
        <v>831.70879999999988</v>
      </c>
      <c r="K28" s="564">
        <f>SUM(K23:K25)</f>
        <v>2102.6047100000001</v>
      </c>
    </row>
    <row r="29" spans="5:11" ht="15">
      <c r="E29" s="4"/>
      <c r="F29" s="4"/>
      <c r="G29" s="4"/>
      <c r="H29" s="4"/>
      <c r="I29" s="4"/>
      <c r="J29" s="4"/>
      <c r="K29" s="4"/>
    </row>
    <row r="30" spans="5:11" ht="15">
      <c r="E30" s="4"/>
      <c r="F30" s="4"/>
      <c r="G30" s="4"/>
      <c r="H30" s="4"/>
      <c r="I30" s="4" t="s">
        <v>447</v>
      </c>
      <c r="J30" s="45">
        <f>J28/F28</f>
        <v>3.9730046813795732</v>
      </c>
      <c r="K30" s="4"/>
    </row>
    <row r="31" spans="5:11" ht="15">
      <c r="E31" s="4"/>
      <c r="F31" s="4"/>
      <c r="G31" s="4"/>
      <c r="H31" s="4"/>
      <c r="I31" s="4" t="s">
        <v>448</v>
      </c>
      <c r="J31" s="45">
        <f>K28/F28</f>
        <v>10.043970144262921</v>
      </c>
      <c r="K31" s="4"/>
    </row>
  </sheetData>
  <mergeCells count="1">
    <mergeCell ref="K9:M9"/>
  </mergeCells>
  <pageMargins left="0.7" right="0.7" top="0.75" bottom="0.75" header="0.3" footer="0.3"/>
  <pageSetup paperSize="0" orientation="portrait" horizontalDpi="0" verticalDpi="0" copie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1B8AB-C053-409F-8277-0C516880678D}">
  <sheetPr codeName="Hoja16"/>
  <dimension ref="A1:M60"/>
  <sheetViews>
    <sheetView showGridLines="0" topLeftCell="B20" zoomScale="75" zoomScaleNormal="75" workbookViewId="0">
      <selection activeCell="A12" sqref="A12:H61"/>
    </sheetView>
  </sheetViews>
  <sheetFormatPr baseColWidth="10" defaultColWidth="11" defaultRowHeight="15"/>
  <cols>
    <col min="1" max="1" width="5.625" style="44" hidden="1" customWidth="1"/>
    <col min="2" max="2" width="15.25" style="4" customWidth="1"/>
    <col min="3" max="3" width="17.5" style="4" customWidth="1"/>
    <col min="4" max="4" width="26.375" style="4" customWidth="1"/>
    <col min="5" max="5" width="12.125" style="4" customWidth="1"/>
    <col min="6" max="6" width="9" style="4" customWidth="1"/>
    <col min="7" max="7" width="13.875" style="4" customWidth="1"/>
    <col min="8" max="8" width="7.875" style="4" customWidth="1"/>
    <col min="9" max="16384" width="11" style="4"/>
  </cols>
  <sheetData>
    <row r="1" spans="1:13" customFormat="1" ht="12.75">
      <c r="A1" s="518"/>
      <c r="B1" s="518"/>
      <c r="C1" s="518"/>
      <c r="D1" s="518"/>
      <c r="E1" s="518"/>
      <c r="F1" s="518"/>
      <c r="G1" s="518"/>
      <c r="H1" s="518"/>
      <c r="I1" s="518"/>
      <c r="J1" s="518"/>
      <c r="K1" s="518"/>
    </row>
    <row r="2" spans="1:13" customFormat="1" ht="12.75">
      <c r="A2" s="518"/>
      <c r="B2" s="518"/>
      <c r="C2" s="518"/>
      <c r="D2" s="518"/>
      <c r="E2" s="518"/>
      <c r="F2" s="518"/>
      <c r="G2" s="518"/>
      <c r="H2" s="518"/>
      <c r="I2" s="518"/>
      <c r="J2" s="518"/>
      <c r="K2" s="518"/>
    </row>
    <row r="3" spans="1:13" customFormat="1" ht="12.75">
      <c r="A3" s="518"/>
      <c r="B3" s="518"/>
      <c r="C3" s="518"/>
      <c r="D3" s="518"/>
      <c r="E3" s="518"/>
      <c r="F3" s="518"/>
      <c r="G3" s="518"/>
      <c r="H3" s="518"/>
      <c r="I3" s="518"/>
      <c r="J3" s="518"/>
      <c r="K3" s="518"/>
    </row>
    <row r="4" spans="1:13" customFormat="1" ht="12.75">
      <c r="A4" s="518"/>
      <c r="B4" s="518"/>
      <c r="C4" s="518"/>
      <c r="D4" s="518"/>
      <c r="E4" s="518"/>
      <c r="F4" s="518"/>
      <c r="G4" s="518"/>
      <c r="H4" s="518"/>
      <c r="I4" s="518"/>
      <c r="J4" s="518"/>
      <c r="K4" s="518"/>
    </row>
    <row r="5" spans="1:13" customFormat="1" ht="12.75">
      <c r="A5" s="518"/>
      <c r="B5" s="518"/>
      <c r="C5" s="518"/>
      <c r="D5" s="518"/>
      <c r="E5" s="518"/>
      <c r="F5" s="518"/>
      <c r="G5" s="518"/>
      <c r="H5" s="518"/>
      <c r="I5" s="518"/>
      <c r="J5" s="518"/>
      <c r="K5" s="518"/>
    </row>
    <row r="6" spans="1:13" customFormat="1" ht="12.75">
      <c r="A6" s="518"/>
      <c r="B6" s="518"/>
      <c r="C6" s="518"/>
      <c r="D6" s="518"/>
      <c r="E6" s="518"/>
      <c r="F6" s="518"/>
      <c r="G6" s="518"/>
      <c r="H6" s="518"/>
      <c r="I6" s="518"/>
      <c r="J6" s="518"/>
      <c r="K6" s="518"/>
    </row>
    <row r="7" spans="1:13" ht="15.75">
      <c r="A7" s="21" t="s">
        <v>273</v>
      </c>
      <c r="B7" s="4" t="str">
        <f>MOM.VOLTEO!A7</f>
        <v>PROPIETARIO   : ING. ROLANDO ORTIZ RAMOS</v>
      </c>
    </row>
    <row r="8" spans="1:13" ht="15.75">
      <c r="A8" s="21"/>
      <c r="B8" s="4" t="str">
        <f>MOM.VOLTEO!A8</f>
        <v xml:space="preserve">OBRA                   : </v>
      </c>
    </row>
    <row r="9" spans="1:13" ht="15.75">
      <c r="A9" s="21"/>
      <c r="B9" s="4" t="str">
        <f>MOM.VOLTEO!A9</f>
        <v>LOCALIZACION : 1ª PRIVADA 13 DE SEPTIEMBRE, COL. VICENTE SUAREZ</v>
      </c>
    </row>
    <row r="10" spans="1:13" ht="15.75">
      <c r="A10" s="21"/>
    </row>
    <row r="11" spans="1:13" ht="15.75" thickBot="1"/>
    <row r="12" spans="1:13">
      <c r="A12" s="212"/>
      <c r="B12" s="585"/>
      <c r="C12" s="209"/>
      <c r="D12" s="209"/>
      <c r="E12" s="209"/>
      <c r="F12" s="209"/>
      <c r="G12" s="209"/>
      <c r="H12" s="65"/>
    </row>
    <row r="13" spans="1:13" ht="18">
      <c r="A13" s="307"/>
      <c r="B13" s="586" t="s">
        <v>135</v>
      </c>
      <c r="C13" s="9"/>
      <c r="D13" s="9"/>
      <c r="E13" s="9"/>
      <c r="F13" s="9"/>
      <c r="G13" s="9"/>
      <c r="H13" s="210"/>
    </row>
    <row r="14" spans="1:13" ht="15.75" thickBot="1">
      <c r="A14" s="213"/>
      <c r="B14" s="587"/>
      <c r="C14" s="211"/>
      <c r="D14" s="211"/>
      <c r="E14" s="211"/>
      <c r="F14" s="211"/>
      <c r="G14" s="211"/>
      <c r="H14" s="66"/>
    </row>
    <row r="15" spans="1:13">
      <c r="B15" s="94"/>
      <c r="C15" s="94"/>
      <c r="D15" s="94"/>
      <c r="E15" s="94"/>
      <c r="F15" s="94"/>
      <c r="G15" s="94"/>
    </row>
    <row r="16" spans="1:13" ht="15.75" hidden="1">
      <c r="B16" s="1119" t="s">
        <v>91</v>
      </c>
      <c r="C16" s="1119"/>
      <c r="D16" s="1119"/>
      <c r="E16" s="26" t="s">
        <v>92</v>
      </c>
      <c r="F16" s="26"/>
      <c r="G16" s="26"/>
      <c r="H16" s="26"/>
      <c r="I16" s="26"/>
      <c r="J16" s="26"/>
      <c r="K16" s="26"/>
      <c r="L16" s="26"/>
      <c r="M16" s="26"/>
    </row>
    <row r="18" spans="1:8">
      <c r="A18" s="31"/>
      <c r="B18" s="84" t="s">
        <v>25</v>
      </c>
      <c r="C18" s="85"/>
      <c r="D18" s="24"/>
      <c r="E18" s="92"/>
      <c r="F18" s="85"/>
      <c r="G18" s="85"/>
      <c r="H18" s="24"/>
    </row>
    <row r="19" spans="1:8" ht="18">
      <c r="A19" s="36">
        <v>1</v>
      </c>
      <c r="B19" s="72" t="s">
        <v>26</v>
      </c>
      <c r="D19" s="27"/>
      <c r="E19" s="214">
        <v>10</v>
      </c>
      <c r="F19" s="4" t="s">
        <v>206</v>
      </c>
      <c r="H19" s="27"/>
    </row>
    <row r="20" spans="1:8" ht="18">
      <c r="A20" s="36">
        <v>2</v>
      </c>
      <c r="B20" s="72" t="s">
        <v>241</v>
      </c>
      <c r="D20" s="27"/>
      <c r="E20" s="581">
        <f>M.SECCION!K57</f>
        <v>689.41708157695132</v>
      </c>
      <c r="F20" s="79" t="s">
        <v>207</v>
      </c>
      <c r="H20" s="27"/>
    </row>
    <row r="21" spans="1:8" ht="18">
      <c r="A21" s="36">
        <v>3</v>
      </c>
      <c r="B21" s="72"/>
      <c r="D21" s="206" t="s">
        <v>242</v>
      </c>
      <c r="E21" s="581">
        <f>M.SECCION!K58</f>
        <v>308.32629213393784</v>
      </c>
      <c r="F21" s="79" t="s">
        <v>207</v>
      </c>
      <c r="H21" s="27"/>
    </row>
    <row r="22" spans="1:8">
      <c r="A22" s="36">
        <v>4</v>
      </c>
      <c r="B22" s="72" t="s">
        <v>243</v>
      </c>
      <c r="D22" s="27"/>
      <c r="E22" s="582">
        <v>3.9730046813795732</v>
      </c>
      <c r="F22" s="79" t="s">
        <v>27</v>
      </c>
      <c r="H22" s="27"/>
    </row>
    <row r="23" spans="1:8">
      <c r="A23" s="36">
        <v>5</v>
      </c>
      <c r="B23" s="72"/>
      <c r="D23" s="206" t="s">
        <v>244</v>
      </c>
      <c r="E23" s="582">
        <v>10.043970144262921</v>
      </c>
      <c r="F23" s="79" t="s">
        <v>27</v>
      </c>
      <c r="H23" s="27"/>
    </row>
    <row r="24" spans="1:8">
      <c r="A24" s="36">
        <v>6</v>
      </c>
      <c r="B24" s="72" t="s">
        <v>245</v>
      </c>
      <c r="D24" s="27"/>
      <c r="E24" s="581">
        <f>M.SECCION!H57</f>
        <v>3.9845380570856279</v>
      </c>
      <c r="F24" s="79" t="s">
        <v>27</v>
      </c>
      <c r="H24" s="27"/>
    </row>
    <row r="25" spans="1:8">
      <c r="A25" s="36">
        <v>7</v>
      </c>
      <c r="B25" s="72"/>
      <c r="D25" s="206" t="s">
        <v>246</v>
      </c>
      <c r="E25" s="581">
        <f>M.SECCION!H58</f>
        <v>9.4205701051577382</v>
      </c>
      <c r="F25" s="79" t="s">
        <v>27</v>
      </c>
      <c r="H25" s="27"/>
    </row>
    <row r="26" spans="1:8" ht="18">
      <c r="A26" s="36">
        <v>8</v>
      </c>
      <c r="B26" s="72" t="s">
        <v>247</v>
      </c>
      <c r="D26" s="27"/>
      <c r="E26" s="581">
        <f>M.SECCION!G53</f>
        <v>99.850000000000009</v>
      </c>
      <c r="F26" s="79" t="s">
        <v>208</v>
      </c>
      <c r="H26" s="27"/>
    </row>
    <row r="27" spans="1:8">
      <c r="A27" s="36"/>
      <c r="B27" s="72"/>
      <c r="D27" s="27"/>
      <c r="E27" s="36"/>
      <c r="F27" s="72"/>
      <c r="H27" s="27"/>
    </row>
    <row r="28" spans="1:8">
      <c r="A28" s="36"/>
      <c r="B28" s="72"/>
      <c r="D28" s="27"/>
      <c r="E28" s="36"/>
      <c r="F28" s="72"/>
      <c r="H28" s="27"/>
    </row>
    <row r="29" spans="1:8">
      <c r="A29" s="36"/>
      <c r="B29" s="72"/>
      <c r="C29" s="4" t="s">
        <v>28</v>
      </c>
      <c r="D29" s="27"/>
      <c r="E29" s="36"/>
      <c r="F29" s="72"/>
      <c r="H29" s="27"/>
    </row>
    <row r="30" spans="1:8">
      <c r="A30" s="36"/>
      <c r="B30" s="72"/>
      <c r="D30" s="27"/>
      <c r="E30" s="36"/>
      <c r="F30" s="72"/>
      <c r="H30" s="27"/>
    </row>
    <row r="31" spans="1:8">
      <c r="A31" s="36">
        <v>9</v>
      </c>
      <c r="B31" s="72" t="s">
        <v>25</v>
      </c>
      <c r="C31" s="138" t="s">
        <v>29</v>
      </c>
      <c r="D31" s="83"/>
      <c r="E31" s="582">
        <v>209.34</v>
      </c>
      <c r="F31" s="79" t="s">
        <v>30</v>
      </c>
      <c r="H31" s="27"/>
    </row>
    <row r="32" spans="1:8">
      <c r="A32" s="36">
        <v>10</v>
      </c>
      <c r="B32" s="72"/>
      <c r="C32" s="138" t="s">
        <v>31</v>
      </c>
      <c r="D32" s="83"/>
      <c r="E32" s="581">
        <f>ABS(E22-E24)</f>
        <v>1.1533375706054727E-2</v>
      </c>
      <c r="F32" s="79" t="s">
        <v>32</v>
      </c>
      <c r="H32" s="27"/>
    </row>
    <row r="33" spans="1:8">
      <c r="A33" s="36">
        <v>11</v>
      </c>
      <c r="B33" s="72"/>
      <c r="C33" s="138" t="s">
        <v>33</v>
      </c>
      <c r="D33" s="83"/>
      <c r="E33" s="581">
        <f>ABS(E23-E25)</f>
        <v>0.62340003910518327</v>
      </c>
      <c r="F33" s="79" t="s">
        <v>32</v>
      </c>
      <c r="H33" s="27"/>
    </row>
    <row r="34" spans="1:8">
      <c r="A34" s="36"/>
      <c r="B34" s="72"/>
      <c r="D34" s="27"/>
      <c r="E34" s="36"/>
      <c r="F34" s="72"/>
      <c r="H34" s="27"/>
    </row>
    <row r="35" spans="1:8">
      <c r="A35" s="36"/>
      <c r="B35" s="72"/>
      <c r="D35" s="27"/>
      <c r="E35" s="36"/>
      <c r="F35" s="72"/>
      <c r="H35" s="27"/>
    </row>
    <row r="36" spans="1:8" ht="18.75">
      <c r="A36" s="36">
        <v>12</v>
      </c>
      <c r="B36" s="80" t="s">
        <v>248</v>
      </c>
      <c r="C36" s="21"/>
      <c r="D36" s="40"/>
      <c r="E36" s="583">
        <f>$E$31/$E$26+$E$31*$E$33/$E$20+$E$31*$E$32/$E$21</f>
        <v>2.2936695407710039</v>
      </c>
      <c r="F36" s="25" t="s">
        <v>209</v>
      </c>
      <c r="G36" s="4" t="str">
        <f>IF($E$19&gt;E36,"AREA ADECUADA","AREA INSUFICIENTE")</f>
        <v>AREA ADECUADA</v>
      </c>
      <c r="H36" s="86"/>
    </row>
    <row r="37" spans="1:8" ht="18.75">
      <c r="A37" s="36">
        <v>13</v>
      </c>
      <c r="B37" s="80" t="s">
        <v>249</v>
      </c>
      <c r="C37" s="21"/>
      <c r="D37" s="40"/>
      <c r="E37" s="583">
        <f>$E$31/$E$26+$E$31*$E$33/$E$20-$E$31*$E$32/$E$21</f>
        <v>2.2780082304520213</v>
      </c>
      <c r="F37" s="25" t="s">
        <v>209</v>
      </c>
      <c r="G37" s="4" t="str">
        <f>IF($E$19&gt;E37,"AREA ADECUADA","AREA INSUFICIENTE")</f>
        <v>AREA ADECUADA</v>
      </c>
      <c r="H37" s="86"/>
    </row>
    <row r="38" spans="1:8" ht="18.75">
      <c r="A38" s="36">
        <v>13</v>
      </c>
      <c r="B38" s="80" t="s">
        <v>329</v>
      </c>
      <c r="C38" s="21"/>
      <c r="D38" s="40"/>
      <c r="E38" s="583">
        <f>$E$31/$E$26-$E$31*$E$33/$E$20+$E$31*$E$32/$E$21</f>
        <v>1.9150814039996564</v>
      </c>
      <c r="F38" s="25" t="s">
        <v>209</v>
      </c>
      <c r="G38" s="4" t="str">
        <f>IF($E$19&gt;E38,"AREA ADECUADA","AREA INSUFICIENTE")</f>
        <v>AREA ADECUADA</v>
      </c>
      <c r="H38" s="86"/>
    </row>
    <row r="39" spans="1:8" ht="18.75">
      <c r="A39" s="36">
        <v>13</v>
      </c>
      <c r="B39" s="80" t="s">
        <v>330</v>
      </c>
      <c r="C39" s="21"/>
      <c r="D39" s="40"/>
      <c r="E39" s="583">
        <f>$E$31/$E$26-$E$31*$E$33/$E$20-$E$31*$E$32/$E$21</f>
        <v>1.8994200936806733</v>
      </c>
      <c r="F39" s="25" t="s">
        <v>209</v>
      </c>
      <c r="G39" s="4" t="str">
        <f>IF($E$19&gt;E39,"AREA ADECUADA","AREA INSUFICIENTE")</f>
        <v>AREA ADECUADA</v>
      </c>
      <c r="H39" s="86"/>
    </row>
    <row r="40" spans="1:8">
      <c r="A40" s="36"/>
      <c r="B40" s="72"/>
      <c r="D40" s="27"/>
      <c r="E40" s="36"/>
      <c r="F40" s="72"/>
      <c r="H40" s="27"/>
    </row>
    <row r="41" spans="1:8">
      <c r="A41" s="36"/>
      <c r="B41" s="72"/>
      <c r="D41" s="27"/>
      <c r="E41" s="36"/>
      <c r="F41" s="72"/>
      <c r="H41" s="27"/>
    </row>
    <row r="42" spans="1:8">
      <c r="A42" s="36"/>
      <c r="B42" s="72"/>
      <c r="C42" s="4" t="s">
        <v>34</v>
      </c>
      <c r="D42" s="27"/>
      <c r="E42" s="584"/>
      <c r="F42" s="72"/>
      <c r="H42" s="27"/>
    </row>
    <row r="43" spans="1:8">
      <c r="A43" s="36"/>
      <c r="B43" s="72"/>
      <c r="D43" s="27"/>
      <c r="E43" s="36"/>
      <c r="F43" s="72"/>
      <c r="H43" s="27"/>
    </row>
    <row r="44" spans="1:8">
      <c r="A44" s="36">
        <v>14</v>
      </c>
      <c r="B44" s="72" t="s">
        <v>35</v>
      </c>
      <c r="C44" s="138" t="s">
        <v>29</v>
      </c>
      <c r="D44" s="83"/>
      <c r="E44" s="582">
        <v>209.34</v>
      </c>
      <c r="F44" s="79" t="s">
        <v>30</v>
      </c>
      <c r="H44" s="27"/>
    </row>
    <row r="45" spans="1:8">
      <c r="A45" s="36">
        <v>15</v>
      </c>
      <c r="B45" s="72"/>
      <c r="C45" s="138" t="s">
        <v>36</v>
      </c>
      <c r="D45" s="83"/>
      <c r="E45" s="581">
        <f>MOM.VOLTEO!L38</f>
        <v>170.03</v>
      </c>
      <c r="F45" s="79" t="s">
        <v>37</v>
      </c>
      <c r="H45" s="27"/>
    </row>
    <row r="46" spans="1:8">
      <c r="A46" s="36"/>
      <c r="B46" s="72"/>
      <c r="D46" s="27"/>
      <c r="E46" s="36"/>
      <c r="F46" s="72"/>
      <c r="H46" s="27"/>
    </row>
    <row r="47" spans="1:8" ht="18.75">
      <c r="A47" s="36">
        <v>16</v>
      </c>
      <c r="B47" s="80" t="s">
        <v>251</v>
      </c>
      <c r="C47" s="21"/>
      <c r="D47" s="40"/>
      <c r="E47" s="583">
        <f>$E$44/$E$26+$E$45/$E$20+$E$45/$E$21</f>
        <v>2.8946347032505377</v>
      </c>
      <c r="F47" s="25" t="s">
        <v>209</v>
      </c>
      <c r="G47" s="4" t="str">
        <f>IF(1.25*$E$19&gt;E47,"AREA ADECUADA","AREA INSUFICIENTE")</f>
        <v>AREA ADECUADA</v>
      </c>
      <c r="H47" s="86"/>
    </row>
    <row r="48" spans="1:8" ht="18.75">
      <c r="A48" s="36">
        <v>16</v>
      </c>
      <c r="B48" s="80" t="s">
        <v>252</v>
      </c>
      <c r="C48" s="21"/>
      <c r="D48" s="40"/>
      <c r="E48" s="583">
        <f>$E$44/$E$26+$E$45/$E$20-$E$45/$E$21</f>
        <v>1.7917122192598536</v>
      </c>
      <c r="F48" s="25" t="s">
        <v>209</v>
      </c>
      <c r="G48" s="4" t="str">
        <f>IF(1.25*$E$19&gt;E48,"AREA ADECUADA","AREA INSUFICIENTE")</f>
        <v>AREA ADECUADA</v>
      </c>
      <c r="H48" s="86"/>
    </row>
    <row r="49" spans="1:8" ht="18.75">
      <c r="A49" s="36">
        <v>16</v>
      </c>
      <c r="B49" s="80" t="s">
        <v>334</v>
      </c>
      <c r="C49" s="21"/>
      <c r="D49" s="40"/>
      <c r="E49" s="583">
        <f>$E$44/$E$26-$E$45/$E$20+$E$45/$E$21</f>
        <v>2.4013774151918241</v>
      </c>
      <c r="F49" s="25" t="s">
        <v>209</v>
      </c>
      <c r="G49" s="4" t="str">
        <f>IF(1.25*$E$19&gt;E49,"AREA ADECUADA","AREA INSUFICIENTE")</f>
        <v>AREA ADECUADA</v>
      </c>
      <c r="H49" s="86"/>
    </row>
    <row r="50" spans="1:8" ht="18.75">
      <c r="A50" s="36">
        <v>16</v>
      </c>
      <c r="B50" s="80" t="s">
        <v>335</v>
      </c>
      <c r="C50" s="21"/>
      <c r="D50" s="40"/>
      <c r="E50" s="583">
        <f>$E$44/$E$26-$E$45/$E$20-$E$45/$E$21</f>
        <v>1.29845493120114</v>
      </c>
      <c r="F50" s="25" t="s">
        <v>209</v>
      </c>
      <c r="G50" s="4" t="str">
        <f>IF(1.25*$E$19&gt;E50,"AREA ADECUADA","AREA INSUFICIENTE")</f>
        <v>AREA ADECUADA</v>
      </c>
      <c r="H50" s="86"/>
    </row>
    <row r="51" spans="1:8">
      <c r="A51" s="36"/>
      <c r="D51" s="27"/>
      <c r="E51" s="36"/>
      <c r="F51" s="72"/>
      <c r="H51" s="27"/>
    </row>
    <row r="52" spans="1:8">
      <c r="A52" s="36"/>
      <c r="D52" s="27"/>
      <c r="E52" s="36"/>
      <c r="F52" s="72"/>
      <c r="H52" s="27"/>
    </row>
    <row r="53" spans="1:8">
      <c r="A53" s="36"/>
      <c r="B53" s="72"/>
      <c r="D53" s="27"/>
      <c r="E53" s="36"/>
      <c r="F53" s="72"/>
      <c r="H53" s="27"/>
    </row>
    <row r="54" spans="1:8" ht="15.75" thickBot="1">
      <c r="A54" s="36"/>
      <c r="B54" s="72"/>
      <c r="D54" s="27"/>
      <c r="E54" s="36">
        <v>1.4</v>
      </c>
      <c r="F54" s="72"/>
      <c r="H54" s="27"/>
    </row>
    <row r="55" spans="1:8" ht="19.5" thickBot="1">
      <c r="A55" s="36">
        <v>18</v>
      </c>
      <c r="B55" s="72"/>
      <c r="C55" s="1171" t="s">
        <v>250</v>
      </c>
      <c r="D55" s="1172"/>
      <c r="E55" s="208">
        <f>IF(E36*E54&gt;1.1*E47,E54*E36,1.1*E47)</f>
        <v>3.2111373570794055</v>
      </c>
      <c r="F55" s="207" t="s">
        <v>209</v>
      </c>
      <c r="H55" s="27"/>
    </row>
    <row r="56" spans="1:8">
      <c r="A56" s="41"/>
      <c r="B56" s="81"/>
      <c r="C56" s="82"/>
      <c r="D56" s="30"/>
      <c r="E56" s="41"/>
      <c r="F56" s="81"/>
      <c r="G56" s="82"/>
      <c r="H56" s="30"/>
    </row>
    <row r="57" spans="1:8">
      <c r="A57" s="304"/>
      <c r="B57" s="85"/>
      <c r="C57" s="85"/>
      <c r="D57" s="85"/>
      <c r="E57" s="85"/>
      <c r="F57" s="85"/>
      <c r="G57" s="85"/>
      <c r="H57" s="24"/>
    </row>
    <row r="58" spans="1:8">
      <c r="A58" s="79"/>
      <c r="H58" s="27"/>
    </row>
    <row r="59" spans="1:8">
      <c r="A59" s="79"/>
      <c r="H59" s="27"/>
    </row>
    <row r="60" spans="1:8">
      <c r="A60" s="57"/>
      <c r="B60" s="82"/>
      <c r="C60" s="82"/>
      <c r="D60" s="82"/>
      <c r="E60" s="82"/>
      <c r="F60" s="82"/>
      <c r="G60" s="82"/>
      <c r="H60" s="30"/>
    </row>
  </sheetData>
  <mergeCells count="2">
    <mergeCell ref="B16:D16"/>
    <mergeCell ref="C55:D55"/>
  </mergeCells>
  <phoneticPr fontId="0" type="noConversion"/>
  <pageMargins left="0.59055118110236227" right="0.39370078740157483" top="0.39370078740157483" bottom="0.39370078740157483" header="0" footer="0"/>
  <pageSetup scale="70" orientation="portrait" horizontalDpi="300" verticalDpi="300" r:id="rId1"/>
  <headerFooter alignWithMargins="0">
    <oddFooter>&amp;L&amp;"Arial,Normal"TEL (FAX) 01 951 51 4 28 30&amp;C___________________________________________________________________________________________________________________________________
&amp;R&amp;"Arial,Normal"CED. PROF. 1718634</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88DBC-BAC8-4923-BFF3-556580EFEAF5}">
  <sheetPr codeName="Hoja17"/>
  <dimension ref="A1:U106"/>
  <sheetViews>
    <sheetView topLeftCell="A8" zoomScale="86" workbookViewId="0">
      <selection activeCell="B28" sqref="B28"/>
    </sheetView>
  </sheetViews>
  <sheetFormatPr baseColWidth="10" defaultColWidth="9.375" defaultRowHeight="15.75"/>
  <cols>
    <col min="1" max="1" width="13.375" style="118" customWidth="1"/>
    <col min="2" max="2" width="9.5" style="118" customWidth="1"/>
    <col min="3" max="3" width="7.75" style="118" customWidth="1"/>
    <col min="4" max="4" width="7.875" style="118" customWidth="1"/>
    <col min="5" max="5" width="10.75" style="118" customWidth="1"/>
    <col min="6" max="6" width="12.375" style="118" customWidth="1"/>
    <col min="7" max="7" width="8.625" style="118" customWidth="1"/>
    <col min="8" max="8" width="9.375" style="118" customWidth="1"/>
    <col min="9" max="9" width="6.125" style="118" customWidth="1"/>
    <col min="10" max="10" width="7" style="118" customWidth="1"/>
    <col min="11" max="11" width="6.125" style="118" customWidth="1"/>
    <col min="12" max="17" width="9.375" style="118" customWidth="1"/>
    <col min="18" max="18" width="8.125" style="118" customWidth="1"/>
    <col min="19" max="19" width="1.25" style="118" customWidth="1"/>
    <col min="20" max="20" width="2.75" style="118" customWidth="1"/>
    <col min="21" max="16384" width="9.375" style="118"/>
  </cols>
  <sheetData>
    <row r="1" spans="1:18" customFormat="1" ht="12.75">
      <c r="A1" s="518"/>
      <c r="B1" s="518"/>
      <c r="C1" s="518"/>
      <c r="D1" s="518"/>
      <c r="E1" s="518"/>
      <c r="F1" s="518"/>
      <c r="G1" s="518"/>
      <c r="H1" s="518"/>
      <c r="I1" s="518"/>
      <c r="J1" s="518"/>
      <c r="K1" s="518"/>
    </row>
    <row r="2" spans="1:18" customFormat="1" ht="12.75">
      <c r="A2" s="518"/>
      <c r="B2" s="518"/>
      <c r="C2" s="518"/>
      <c r="D2" s="518"/>
      <c r="E2" s="518"/>
      <c r="F2" s="518"/>
      <c r="G2" s="518"/>
      <c r="H2" s="518"/>
      <c r="I2" s="518"/>
      <c r="J2" s="518"/>
      <c r="K2" s="518"/>
    </row>
    <row r="3" spans="1:18" customFormat="1" ht="12.75">
      <c r="A3" s="518"/>
      <c r="B3" s="518"/>
      <c r="C3" s="518"/>
      <c r="D3" s="518"/>
      <c r="E3" s="518"/>
      <c r="F3" s="518"/>
      <c r="G3" s="518"/>
      <c r="H3" s="518"/>
      <c r="I3" s="518"/>
      <c r="J3" s="518"/>
      <c r="K3" s="518"/>
    </row>
    <row r="4" spans="1:18" customFormat="1" ht="12.75">
      <c r="A4" s="518"/>
      <c r="B4" s="518"/>
      <c r="C4" s="518"/>
      <c r="D4" s="518"/>
      <c r="E4" s="518"/>
      <c r="F4" s="518"/>
      <c r="G4" s="518"/>
      <c r="H4" s="518"/>
      <c r="I4" s="518"/>
      <c r="J4" s="518"/>
      <c r="K4" s="518"/>
    </row>
    <row r="5" spans="1:18" customFormat="1" ht="12.75">
      <c r="A5" s="518"/>
      <c r="B5" s="518"/>
      <c r="C5" s="518"/>
      <c r="D5" s="518"/>
      <c r="E5" s="518"/>
      <c r="F5" s="518"/>
      <c r="G5" s="518"/>
      <c r="H5" s="518"/>
      <c r="I5" s="518"/>
      <c r="J5" s="518"/>
      <c r="K5" s="518"/>
    </row>
    <row r="6" spans="1:18" customFormat="1" ht="12.75">
      <c r="A6" s="518"/>
      <c r="B6" s="518"/>
      <c r="C6" s="518"/>
      <c r="D6" s="518"/>
      <c r="E6" s="518"/>
      <c r="F6" s="518"/>
      <c r="G6" s="518"/>
      <c r="H6" s="518"/>
      <c r="I6" s="518"/>
      <c r="J6" s="518"/>
      <c r="K6" s="518"/>
    </row>
    <row r="7" spans="1:18">
      <c r="A7" s="4" t="str">
        <f>'CG. MPB'!A7</f>
        <v>PROPIETARIO   : ING. ROLANDO ORTIZ RAMOS</v>
      </c>
    </row>
    <row r="8" spans="1:18">
      <c r="A8" s="4" t="str">
        <f>'CG. MPB'!A8</f>
        <v xml:space="preserve">OBRA                   : </v>
      </c>
    </row>
    <row r="9" spans="1:18">
      <c r="A9" s="4" t="str">
        <f>'CG. MPB'!A9</f>
        <v>LOCALIZACION : 1ª PRIVADA 13 DE SEPTIEMBRE, COL. VICENTE SUAREZ</v>
      </c>
    </row>
    <row r="10" spans="1:18" hidden="1">
      <c r="A10" s="4">
        <f>'CG. MPB'!A10</f>
        <v>0</v>
      </c>
    </row>
    <row r="11" spans="1:18" hidden="1">
      <c r="A11" s="4" t="str">
        <f>'CG. MPB'!A11</f>
        <v>TABLA No. 1</v>
      </c>
    </row>
    <row r="12" spans="1:18" ht="16.5" thickBot="1">
      <c r="A12" s="117"/>
      <c r="B12" s="117"/>
      <c r="C12" s="117"/>
      <c r="D12" s="117"/>
      <c r="E12" s="117"/>
      <c r="F12" s="117"/>
      <c r="G12" s="117"/>
      <c r="H12" s="117"/>
    </row>
    <row r="13" spans="1:18" ht="19.5" thickTop="1">
      <c r="A13" s="270"/>
      <c r="B13" s="271"/>
      <c r="C13" s="271"/>
      <c r="D13" s="271"/>
      <c r="E13" s="271"/>
      <c r="F13" s="271"/>
      <c r="G13" s="271"/>
      <c r="H13" s="271"/>
      <c r="I13" s="271" t="s">
        <v>137</v>
      </c>
      <c r="J13" s="272">
        <v>250</v>
      </c>
      <c r="K13" s="271" t="s">
        <v>194</v>
      </c>
      <c r="L13" s="273"/>
      <c r="M13" s="273"/>
      <c r="N13" s="273"/>
      <c r="O13" s="273"/>
      <c r="P13" s="273"/>
      <c r="Q13" s="273"/>
      <c r="R13" s="274"/>
    </row>
    <row r="14" spans="1:18" ht="18.75">
      <c r="A14" s="1173" t="s">
        <v>331</v>
      </c>
      <c r="B14" s="1174"/>
      <c r="C14" s="1174"/>
      <c r="D14" s="1174"/>
      <c r="E14" s="1174"/>
      <c r="F14" s="1174"/>
      <c r="G14" s="1174"/>
      <c r="H14" s="117"/>
      <c r="I14" s="117" t="s">
        <v>138</v>
      </c>
      <c r="J14" s="161">
        <v>4200</v>
      </c>
      <c r="K14" s="117" t="s">
        <v>194</v>
      </c>
      <c r="R14" s="275"/>
    </row>
    <row r="15" spans="1:18" ht="18.75">
      <c r="A15" s="276"/>
      <c r="B15" s="117"/>
      <c r="C15" s="117"/>
      <c r="D15" s="117"/>
      <c r="E15" s="117"/>
      <c r="F15" s="117"/>
      <c r="G15" s="117"/>
      <c r="H15" s="117"/>
      <c r="I15" s="118" t="s">
        <v>197</v>
      </c>
      <c r="J15" s="133">
        <f>0.8*J13</f>
        <v>200</v>
      </c>
      <c r="K15" s="117" t="s">
        <v>194</v>
      </c>
      <c r="R15" s="275"/>
    </row>
    <row r="16" spans="1:18" ht="19.5" thickBot="1">
      <c r="A16" s="277"/>
      <c r="B16" s="278"/>
      <c r="C16" s="278"/>
      <c r="D16" s="278"/>
      <c r="E16" s="278"/>
      <c r="F16" s="278"/>
      <c r="G16" s="278"/>
      <c r="H16" s="278"/>
      <c r="I16" s="278" t="s">
        <v>161</v>
      </c>
      <c r="J16" s="279">
        <f>0.8*J13*0.85</f>
        <v>170</v>
      </c>
      <c r="K16" s="278" t="s">
        <v>194</v>
      </c>
      <c r="L16" s="280"/>
      <c r="M16" s="280"/>
      <c r="N16" s="280"/>
      <c r="O16" s="280"/>
      <c r="P16" s="280"/>
      <c r="Q16" s="280"/>
      <c r="R16" s="281"/>
    </row>
    <row r="17" spans="1:18" ht="16.5" thickTop="1">
      <c r="A17" s="117"/>
      <c r="B17" s="117"/>
      <c r="C17" s="117"/>
      <c r="D17" s="117"/>
      <c r="E17" s="117"/>
      <c r="F17" s="117"/>
      <c r="G17" s="117"/>
      <c r="H17" s="117"/>
      <c r="I17" s="117"/>
      <c r="J17" s="133"/>
      <c r="K17" s="117"/>
    </row>
    <row r="18" spans="1:18">
      <c r="A18" s="1119" t="s">
        <v>91</v>
      </c>
      <c r="B18" s="1119"/>
      <c r="C18" s="26" t="s">
        <v>92</v>
      </c>
      <c r="D18" s="26" t="s">
        <v>93</v>
      </c>
      <c r="E18" s="117"/>
      <c r="F18" s="117"/>
      <c r="G18" s="26" t="s">
        <v>94</v>
      </c>
      <c r="H18" s="26" t="s">
        <v>95</v>
      </c>
      <c r="I18" s="26" t="s">
        <v>96</v>
      </c>
      <c r="J18" s="26" t="s">
        <v>97</v>
      </c>
      <c r="K18" s="26" t="s">
        <v>98</v>
      </c>
      <c r="L18" s="117"/>
      <c r="M18" s="117"/>
      <c r="N18" s="117"/>
      <c r="O18" s="117"/>
      <c r="P18" s="117"/>
      <c r="Q18" s="117"/>
      <c r="R18" s="26" t="s">
        <v>99</v>
      </c>
    </row>
    <row r="19" spans="1:18">
      <c r="C19" s="117" t="s">
        <v>399</v>
      </c>
      <c r="D19" s="117"/>
      <c r="E19" s="117"/>
      <c r="F19" s="117"/>
      <c r="G19" s="117"/>
      <c r="H19" s="117"/>
      <c r="I19" s="117"/>
      <c r="J19" s="117"/>
      <c r="K19" s="117"/>
    </row>
    <row r="20" spans="1:18">
      <c r="A20" s="1175" t="s">
        <v>139</v>
      </c>
      <c r="B20" s="1176"/>
      <c r="C20" s="284"/>
      <c r="D20" s="284"/>
      <c r="E20" s="1175" t="s">
        <v>269</v>
      </c>
      <c r="F20" s="1179"/>
      <c r="G20" s="287"/>
      <c r="H20" s="254"/>
      <c r="I20" s="284"/>
      <c r="J20" s="254"/>
      <c r="K20" s="284"/>
      <c r="L20" s="254"/>
      <c r="M20" s="254"/>
      <c r="N20" s="254"/>
      <c r="O20" s="254"/>
      <c r="P20" s="254"/>
      <c r="Q20" s="254"/>
      <c r="R20" s="291" t="s">
        <v>234</v>
      </c>
    </row>
    <row r="21" spans="1:18" ht="18.75">
      <c r="A21" s="261"/>
      <c r="B21" s="120" t="s">
        <v>262</v>
      </c>
      <c r="C21" s="285" t="s">
        <v>210</v>
      </c>
      <c r="D21" s="285" t="s">
        <v>140</v>
      </c>
      <c r="E21" s="120" t="s">
        <v>270</v>
      </c>
      <c r="F21" s="120" t="s">
        <v>260</v>
      </c>
      <c r="G21" s="288" t="s">
        <v>128</v>
      </c>
      <c r="H21" s="120" t="s">
        <v>8</v>
      </c>
      <c r="I21" s="285" t="s">
        <v>10</v>
      </c>
      <c r="J21" s="120" t="s">
        <v>235</v>
      </c>
      <c r="K21" s="285" t="s">
        <v>18</v>
      </c>
      <c r="L21" s="117"/>
      <c r="M21" s="117"/>
      <c r="N21" s="117"/>
      <c r="O21" s="117"/>
      <c r="P21" s="117"/>
      <c r="Q21" s="117"/>
      <c r="R21" s="285" t="s">
        <v>232</v>
      </c>
    </row>
    <row r="22" spans="1:18" ht="18.75">
      <c r="A22" s="283"/>
      <c r="B22" s="267" t="s">
        <v>263</v>
      </c>
      <c r="C22" s="286" t="s">
        <v>211</v>
      </c>
      <c r="D22" s="286" t="s">
        <v>212</v>
      </c>
      <c r="E22" s="267"/>
      <c r="F22" s="267" t="s">
        <v>261</v>
      </c>
      <c r="G22" s="289"/>
      <c r="H22" s="267" t="s">
        <v>142</v>
      </c>
      <c r="I22" s="286"/>
      <c r="J22" s="267"/>
      <c r="K22" s="290"/>
      <c r="L22" s="267" t="s">
        <v>8</v>
      </c>
      <c r="M22" s="267" t="s">
        <v>80</v>
      </c>
      <c r="N22" s="267" t="s">
        <v>143</v>
      </c>
      <c r="O22" s="267" t="s">
        <v>144</v>
      </c>
      <c r="P22" s="267" t="s">
        <v>18</v>
      </c>
      <c r="Q22" s="267" t="s">
        <v>10</v>
      </c>
      <c r="R22" s="286" t="s">
        <v>233</v>
      </c>
    </row>
    <row r="23" spans="1:18">
      <c r="A23" s="117"/>
      <c r="B23" s="117"/>
      <c r="C23" s="117"/>
      <c r="D23" s="117"/>
      <c r="E23" s="117"/>
      <c r="F23" s="117"/>
      <c r="H23" s="117"/>
      <c r="I23" s="117"/>
      <c r="J23" s="117"/>
      <c r="K23" s="117"/>
      <c r="L23" s="117"/>
      <c r="M23" s="117"/>
      <c r="N23" s="117"/>
      <c r="O23" s="117"/>
      <c r="P23" s="117"/>
      <c r="Q23" s="117"/>
      <c r="R23" s="117"/>
    </row>
    <row r="24" spans="1:18">
      <c r="A24" s="250" t="s">
        <v>264</v>
      </c>
      <c r="B24" s="251"/>
      <c r="C24" s="293">
        <f>B24^2</f>
        <v>0</v>
      </c>
      <c r="D24" s="253">
        <f t="shared" ref="D24:D29" si="0">$B$28*$B$29</f>
        <v>3528</v>
      </c>
      <c r="E24" s="282" t="s">
        <v>145</v>
      </c>
      <c r="F24" s="345" t="s">
        <v>313</v>
      </c>
      <c r="G24" s="342">
        <v>328</v>
      </c>
      <c r="H24" s="256">
        <f t="shared" ref="H24:H29" si="1">G24*D24*C24*0.0001</f>
        <v>0</v>
      </c>
      <c r="I24" s="296">
        <f t="shared" ref="I24:I29" si="2">Q24</f>
        <v>0</v>
      </c>
      <c r="J24" s="255" t="str">
        <f t="shared" ref="J24:J29" si="3">$D$48</f>
        <v>3/8</v>
      </c>
      <c r="K24" s="299" t="e">
        <f t="shared" ref="K24:K29" si="4">IF(P24&gt;$J$55,$J$55,IF(P24&gt;$E$57,$E$57,IF($J$55&gt;$E$57,$E$57,P24)))</f>
        <v>#DIV/0!</v>
      </c>
      <c r="L24" s="256">
        <f t="shared" ref="L24:L29" si="5">ABS(H24)*100</f>
        <v>0</v>
      </c>
      <c r="M24" s="253">
        <f>PN</f>
        <v>-4</v>
      </c>
      <c r="N24" s="257">
        <f t="shared" ref="N24:N29" si="6">1-(1-(2*L24)/(90*M24*M24*_fc))^(1/2)</f>
        <v>0</v>
      </c>
      <c r="O24" s="257">
        <f t="shared" ref="O24:O29" si="7">N24*_fc/fy</f>
        <v>0</v>
      </c>
      <c r="P24" s="299" t="e">
        <f t="shared" ref="P24:P29" si="8">AS*100/Q24</f>
        <v>#DIV/0!</v>
      </c>
      <c r="Q24" s="252">
        <f t="shared" ref="Q24:Q29" si="9">O24*100*M24</f>
        <v>0</v>
      </c>
      <c r="R24" s="258" t="s">
        <v>230</v>
      </c>
    </row>
    <row r="25" spans="1:18">
      <c r="A25" s="259" t="s">
        <v>265</v>
      </c>
      <c r="B25" s="158"/>
      <c r="C25" s="294">
        <f>B24^2</f>
        <v>0</v>
      </c>
      <c r="D25" s="123">
        <f t="shared" si="0"/>
        <v>3528</v>
      </c>
      <c r="E25" s="302"/>
      <c r="F25" s="346" t="s">
        <v>314</v>
      </c>
      <c r="G25" s="343">
        <v>328</v>
      </c>
      <c r="H25" s="122">
        <f t="shared" si="1"/>
        <v>0</v>
      </c>
      <c r="I25" s="297">
        <f t="shared" si="2"/>
        <v>0</v>
      </c>
      <c r="J25" s="120" t="str">
        <f t="shared" si="3"/>
        <v>3/8</v>
      </c>
      <c r="K25" s="300" t="e">
        <f t="shared" si="4"/>
        <v>#DIV/0!</v>
      </c>
      <c r="L25" s="122">
        <f t="shared" si="5"/>
        <v>0</v>
      </c>
      <c r="M25" s="123">
        <f>PN</f>
        <v>-4</v>
      </c>
      <c r="N25" s="124">
        <f t="shared" si="6"/>
        <v>0</v>
      </c>
      <c r="O25" s="124">
        <f t="shared" si="7"/>
        <v>0</v>
      </c>
      <c r="P25" s="300" t="e">
        <f t="shared" si="8"/>
        <v>#DIV/0!</v>
      </c>
      <c r="Q25" s="125">
        <f t="shared" si="9"/>
        <v>0</v>
      </c>
      <c r="R25" s="309" t="e">
        <f>(B24*0.5-(PN/100))*(0.95-0.5*B26)*B28</f>
        <v>#DIV/0!</v>
      </c>
    </row>
    <row r="26" spans="1:18">
      <c r="A26" s="259" t="s">
        <v>146</v>
      </c>
      <c r="B26" s="127" t="e">
        <f>B24/B25</f>
        <v>#DIV/0!</v>
      </c>
      <c r="C26" s="294">
        <f>B24^2</f>
        <v>0</v>
      </c>
      <c r="D26" s="123">
        <f t="shared" si="0"/>
        <v>3528</v>
      </c>
      <c r="E26" s="302"/>
      <c r="F26" s="346" t="s">
        <v>315</v>
      </c>
      <c r="G26" s="343">
        <v>653</v>
      </c>
      <c r="H26" s="122">
        <f t="shared" si="1"/>
        <v>0</v>
      </c>
      <c r="I26" s="297">
        <f t="shared" si="2"/>
        <v>0</v>
      </c>
      <c r="J26" s="120" t="str">
        <f t="shared" si="3"/>
        <v>3/8</v>
      </c>
      <c r="K26" s="300" t="e">
        <f t="shared" si="4"/>
        <v>#DIV/0!</v>
      </c>
      <c r="L26" s="122">
        <f t="shared" si="5"/>
        <v>0</v>
      </c>
      <c r="M26" s="123">
        <f>PP</f>
        <v>-5</v>
      </c>
      <c r="N26" s="124">
        <f t="shared" si="6"/>
        <v>0</v>
      </c>
      <c r="O26" s="124">
        <f t="shared" si="7"/>
        <v>0</v>
      </c>
      <c r="P26" s="300" t="e">
        <f t="shared" si="8"/>
        <v>#DIV/0!</v>
      </c>
      <c r="Q26" s="125">
        <f t="shared" si="9"/>
        <v>0</v>
      </c>
      <c r="R26" s="260" t="s">
        <v>231</v>
      </c>
    </row>
    <row r="27" spans="1:18">
      <c r="A27" s="1177" t="s">
        <v>395</v>
      </c>
      <c r="B27" s="1178"/>
      <c r="C27" s="294">
        <f>B24^2</f>
        <v>0</v>
      </c>
      <c r="D27" s="123">
        <f t="shared" si="0"/>
        <v>3528</v>
      </c>
      <c r="E27" s="302" t="s">
        <v>147</v>
      </c>
      <c r="F27" s="346" t="s">
        <v>316</v>
      </c>
      <c r="G27" s="343">
        <v>570</v>
      </c>
      <c r="H27" s="122">
        <f t="shared" si="1"/>
        <v>0</v>
      </c>
      <c r="I27" s="297">
        <f t="shared" si="2"/>
        <v>0</v>
      </c>
      <c r="J27" s="120" t="str">
        <f t="shared" si="3"/>
        <v>3/8</v>
      </c>
      <c r="K27" s="300" t="e">
        <f t="shared" si="4"/>
        <v>#DIV/0!</v>
      </c>
      <c r="L27" s="122">
        <f t="shared" si="5"/>
        <v>0</v>
      </c>
      <c r="M27" s="123">
        <f>PN</f>
        <v>-4</v>
      </c>
      <c r="N27" s="124">
        <f t="shared" si="6"/>
        <v>0</v>
      </c>
      <c r="O27" s="124">
        <f t="shared" si="7"/>
        <v>0</v>
      </c>
      <c r="P27" s="300" t="e">
        <f t="shared" si="8"/>
        <v>#DIV/0!</v>
      </c>
      <c r="Q27" s="125">
        <f t="shared" si="9"/>
        <v>0</v>
      </c>
      <c r="R27" s="262">
        <f>0.5*0.8*100*PN*$J$15^0.5</f>
        <v>-2262.7416997969522</v>
      </c>
    </row>
    <row r="28" spans="1:18">
      <c r="A28" s="259" t="s">
        <v>148</v>
      </c>
      <c r="B28" s="159">
        <f>2832-312</f>
        <v>2520</v>
      </c>
      <c r="C28" s="294">
        <f>B24^2</f>
        <v>0</v>
      </c>
      <c r="D28" s="123">
        <f t="shared" si="0"/>
        <v>3528</v>
      </c>
      <c r="E28" s="302"/>
      <c r="F28" s="346" t="s">
        <v>317</v>
      </c>
      <c r="G28" s="343">
        <v>220</v>
      </c>
      <c r="H28" s="122">
        <f t="shared" si="1"/>
        <v>0</v>
      </c>
      <c r="I28" s="297">
        <f t="shared" si="2"/>
        <v>0</v>
      </c>
      <c r="J28" s="120" t="str">
        <f t="shared" si="3"/>
        <v>3/8</v>
      </c>
      <c r="K28" s="300" t="e">
        <f t="shared" si="4"/>
        <v>#DIV/0!</v>
      </c>
      <c r="L28" s="122">
        <f t="shared" si="5"/>
        <v>0</v>
      </c>
      <c r="M28" s="123">
        <f>PN</f>
        <v>-4</v>
      </c>
      <c r="N28" s="124">
        <f t="shared" si="6"/>
        <v>0</v>
      </c>
      <c r="O28" s="124">
        <f t="shared" si="7"/>
        <v>0</v>
      </c>
      <c r="P28" s="300" t="e">
        <f t="shared" si="8"/>
        <v>#DIV/0!</v>
      </c>
      <c r="Q28" s="125">
        <f t="shared" si="9"/>
        <v>0</v>
      </c>
      <c r="R28" s="260"/>
    </row>
    <row r="29" spans="1:18">
      <c r="A29" s="263" t="s">
        <v>149</v>
      </c>
      <c r="B29" s="264">
        <v>1.4</v>
      </c>
      <c r="C29" s="295">
        <f>B24^2</f>
        <v>0</v>
      </c>
      <c r="D29" s="266">
        <f t="shared" si="0"/>
        <v>3528</v>
      </c>
      <c r="E29" s="303"/>
      <c r="F29" s="347" t="s">
        <v>315</v>
      </c>
      <c r="G29" s="344">
        <v>430</v>
      </c>
      <c r="H29" s="268">
        <f t="shared" si="1"/>
        <v>0</v>
      </c>
      <c r="I29" s="298">
        <f t="shared" si="2"/>
        <v>0</v>
      </c>
      <c r="J29" s="267" t="str">
        <f t="shared" si="3"/>
        <v>3/8</v>
      </c>
      <c r="K29" s="301" t="e">
        <f t="shared" si="4"/>
        <v>#DIV/0!</v>
      </c>
      <c r="L29" s="268">
        <f t="shared" si="5"/>
        <v>0</v>
      </c>
      <c r="M29" s="266">
        <f>PP</f>
        <v>-5</v>
      </c>
      <c r="N29" s="269">
        <f t="shared" si="6"/>
        <v>0</v>
      </c>
      <c r="O29" s="269">
        <f t="shared" si="7"/>
        <v>0</v>
      </c>
      <c r="P29" s="301" t="e">
        <f t="shared" si="8"/>
        <v>#DIV/0!</v>
      </c>
      <c r="Q29" s="265">
        <f t="shared" si="9"/>
        <v>0</v>
      </c>
      <c r="R29" s="292" t="e">
        <f>IF(R27&gt;R25,"BIEN","MAL")</f>
        <v>#DIV/0!</v>
      </c>
    </row>
    <row r="30" spans="1:18">
      <c r="A30" s="120"/>
      <c r="B30" s="120"/>
      <c r="C30" s="125"/>
      <c r="D30" s="123"/>
      <c r="E30" s="117"/>
      <c r="F30" s="117"/>
      <c r="G30" s="157"/>
      <c r="H30" s="122"/>
      <c r="I30" s="117"/>
      <c r="J30" s="117"/>
      <c r="K30" s="123"/>
      <c r="L30" s="122"/>
      <c r="M30" s="123"/>
      <c r="N30" s="124"/>
      <c r="O30" s="124"/>
      <c r="P30" s="124"/>
      <c r="Q30" s="125"/>
      <c r="R30" s="117"/>
    </row>
    <row r="31" spans="1:18">
      <c r="A31" s="250" t="s">
        <v>264</v>
      </c>
      <c r="B31" s="251"/>
      <c r="C31" s="293">
        <f>B31^2</f>
        <v>0</v>
      </c>
      <c r="D31" s="253">
        <f t="shared" ref="D31:D36" si="10">$B$35*$B$36</f>
        <v>3528</v>
      </c>
      <c r="E31" s="282" t="s">
        <v>145</v>
      </c>
      <c r="F31" s="345" t="s">
        <v>313</v>
      </c>
      <c r="G31" s="342">
        <v>568</v>
      </c>
      <c r="H31" s="256">
        <f t="shared" ref="H31:H36" si="11">G31*D31*C31*0.0001</f>
        <v>0</v>
      </c>
      <c r="I31" s="296">
        <f t="shared" ref="I31:I36" si="12">Q31</f>
        <v>0</v>
      </c>
      <c r="J31" s="255" t="str">
        <f t="shared" ref="J31:J36" si="13">$D$48</f>
        <v>3/8</v>
      </c>
      <c r="K31" s="299" t="e">
        <f t="shared" ref="K31:K36" si="14">IF(P31&gt;$J$55,$J$55,IF(P31&gt;$E$57,$E$57,IF($J$55&gt;$E$57,$E$57,P31)))</f>
        <v>#DIV/0!</v>
      </c>
      <c r="L31" s="256">
        <f t="shared" ref="L31:L36" si="15">ABS(H31)*100</f>
        <v>0</v>
      </c>
      <c r="M31" s="253">
        <f>PN</f>
        <v>-4</v>
      </c>
      <c r="N31" s="257">
        <f t="shared" ref="N31:N36" si="16">1-(1-(2*L31)/(90*M31*M31*_fc))^(1/2)</f>
        <v>0</v>
      </c>
      <c r="O31" s="257">
        <f t="shared" ref="O31:O36" si="17">N31*_fc/fy</f>
        <v>0</v>
      </c>
      <c r="P31" s="299" t="e">
        <f t="shared" ref="P31:P36" si="18">AS*100/Q31</f>
        <v>#DIV/0!</v>
      </c>
      <c r="Q31" s="252">
        <f t="shared" ref="Q31:Q36" si="19">O31*100*M31</f>
        <v>0</v>
      </c>
      <c r="R31" s="258" t="s">
        <v>230</v>
      </c>
    </row>
    <row r="32" spans="1:18">
      <c r="A32" s="259" t="s">
        <v>265</v>
      </c>
      <c r="B32" s="158"/>
      <c r="C32" s="294">
        <f>B31^2</f>
        <v>0</v>
      </c>
      <c r="D32" s="123">
        <f t="shared" si="10"/>
        <v>3528</v>
      </c>
      <c r="E32" s="302"/>
      <c r="F32" s="346" t="s">
        <v>314</v>
      </c>
      <c r="G32" s="343">
        <v>568</v>
      </c>
      <c r="H32" s="122">
        <f t="shared" si="11"/>
        <v>0</v>
      </c>
      <c r="I32" s="297">
        <f t="shared" si="12"/>
        <v>0</v>
      </c>
      <c r="J32" s="120" t="str">
        <f t="shared" si="13"/>
        <v>3/8</v>
      </c>
      <c r="K32" s="300" t="e">
        <f t="shared" si="14"/>
        <v>#DIV/0!</v>
      </c>
      <c r="L32" s="122">
        <f t="shared" si="15"/>
        <v>0</v>
      </c>
      <c r="M32" s="123">
        <f>PN</f>
        <v>-4</v>
      </c>
      <c r="N32" s="124">
        <f t="shared" si="16"/>
        <v>0</v>
      </c>
      <c r="O32" s="124">
        <f t="shared" si="17"/>
        <v>0</v>
      </c>
      <c r="P32" s="300" t="e">
        <f t="shared" si="18"/>
        <v>#DIV/0!</v>
      </c>
      <c r="Q32" s="125">
        <f t="shared" si="19"/>
        <v>0</v>
      </c>
      <c r="R32" s="309" t="e">
        <f>(B31*0.5-(PN/100))*(0.95-0.5*B33)*B35</f>
        <v>#DIV/0!</v>
      </c>
    </row>
    <row r="33" spans="1:21">
      <c r="A33" s="259" t="s">
        <v>146</v>
      </c>
      <c r="B33" s="127" t="e">
        <f>B31/B32</f>
        <v>#DIV/0!</v>
      </c>
      <c r="C33" s="294">
        <f>B31^2</f>
        <v>0</v>
      </c>
      <c r="D33" s="123">
        <f t="shared" si="10"/>
        <v>3528</v>
      </c>
      <c r="E33" s="302"/>
      <c r="F33" s="346" t="s">
        <v>315</v>
      </c>
      <c r="G33" s="343">
        <v>329</v>
      </c>
      <c r="H33" s="122">
        <f t="shared" si="11"/>
        <v>0</v>
      </c>
      <c r="I33" s="297">
        <f t="shared" si="12"/>
        <v>0</v>
      </c>
      <c r="J33" s="120" t="str">
        <f t="shared" si="13"/>
        <v>3/8</v>
      </c>
      <c r="K33" s="300" t="e">
        <f t="shared" si="14"/>
        <v>#DIV/0!</v>
      </c>
      <c r="L33" s="122">
        <f t="shared" si="15"/>
        <v>0</v>
      </c>
      <c r="M33" s="123">
        <f>PP</f>
        <v>-5</v>
      </c>
      <c r="N33" s="124">
        <f t="shared" si="16"/>
        <v>0</v>
      </c>
      <c r="O33" s="124">
        <f t="shared" si="17"/>
        <v>0</v>
      </c>
      <c r="P33" s="300" t="e">
        <f t="shared" si="18"/>
        <v>#DIV/0!</v>
      </c>
      <c r="Q33" s="125">
        <f t="shared" si="19"/>
        <v>0</v>
      </c>
      <c r="R33" s="260" t="s">
        <v>231</v>
      </c>
    </row>
    <row r="34" spans="1:21">
      <c r="A34" s="1177" t="s">
        <v>396</v>
      </c>
      <c r="B34" s="1178"/>
      <c r="C34" s="294">
        <f>B31^2</f>
        <v>0</v>
      </c>
      <c r="D34" s="123">
        <f t="shared" si="10"/>
        <v>3528</v>
      </c>
      <c r="E34" s="302" t="s">
        <v>147</v>
      </c>
      <c r="F34" s="346" t="s">
        <v>316</v>
      </c>
      <c r="G34" s="343">
        <v>409</v>
      </c>
      <c r="H34" s="122">
        <f t="shared" si="11"/>
        <v>0</v>
      </c>
      <c r="I34" s="297">
        <f t="shared" si="12"/>
        <v>0</v>
      </c>
      <c r="J34" s="120" t="str">
        <f t="shared" si="13"/>
        <v>3/8</v>
      </c>
      <c r="K34" s="300" t="e">
        <f t="shared" si="14"/>
        <v>#DIV/0!</v>
      </c>
      <c r="L34" s="122">
        <f t="shared" si="15"/>
        <v>0</v>
      </c>
      <c r="M34" s="123">
        <f>PN</f>
        <v>-4</v>
      </c>
      <c r="N34" s="124">
        <f t="shared" si="16"/>
        <v>0</v>
      </c>
      <c r="O34" s="124">
        <f t="shared" si="17"/>
        <v>0</v>
      </c>
      <c r="P34" s="300" t="e">
        <f t="shared" si="18"/>
        <v>#DIV/0!</v>
      </c>
      <c r="Q34" s="125">
        <f t="shared" si="19"/>
        <v>0</v>
      </c>
      <c r="R34" s="262">
        <f>0.5*0.8*100*PN*$J$15^0.5</f>
        <v>-2262.7416997969522</v>
      </c>
    </row>
    <row r="35" spans="1:21">
      <c r="A35" s="259" t="s">
        <v>148</v>
      </c>
      <c r="B35" s="159">
        <f>2832-312</f>
        <v>2520</v>
      </c>
      <c r="C35" s="294">
        <f>B31^2</f>
        <v>0</v>
      </c>
      <c r="D35" s="123">
        <f t="shared" si="10"/>
        <v>3528</v>
      </c>
      <c r="E35" s="302"/>
      <c r="F35" s="346" t="s">
        <v>317</v>
      </c>
      <c r="G35" s="343">
        <v>258</v>
      </c>
      <c r="H35" s="122">
        <f t="shared" si="11"/>
        <v>0</v>
      </c>
      <c r="I35" s="297">
        <f t="shared" si="12"/>
        <v>0</v>
      </c>
      <c r="J35" s="120" t="str">
        <f t="shared" si="13"/>
        <v>3/8</v>
      </c>
      <c r="K35" s="300" t="e">
        <f t="shared" si="14"/>
        <v>#DIV/0!</v>
      </c>
      <c r="L35" s="122">
        <f t="shared" si="15"/>
        <v>0</v>
      </c>
      <c r="M35" s="123">
        <f>PN</f>
        <v>-4</v>
      </c>
      <c r="N35" s="124">
        <f t="shared" si="16"/>
        <v>0</v>
      </c>
      <c r="O35" s="124">
        <f t="shared" si="17"/>
        <v>0</v>
      </c>
      <c r="P35" s="300" t="e">
        <f t="shared" si="18"/>
        <v>#DIV/0!</v>
      </c>
      <c r="Q35" s="125">
        <f t="shared" si="19"/>
        <v>0</v>
      </c>
      <c r="R35" s="260"/>
    </row>
    <row r="36" spans="1:21">
      <c r="A36" s="263" t="s">
        <v>149</v>
      </c>
      <c r="B36" s="264">
        <v>1.4</v>
      </c>
      <c r="C36" s="295">
        <f>B31^2</f>
        <v>0</v>
      </c>
      <c r="D36" s="266">
        <f t="shared" si="10"/>
        <v>3528</v>
      </c>
      <c r="E36" s="303"/>
      <c r="F36" s="347" t="s">
        <v>315</v>
      </c>
      <c r="G36" s="344">
        <v>142</v>
      </c>
      <c r="H36" s="268">
        <f t="shared" si="11"/>
        <v>0</v>
      </c>
      <c r="I36" s="298">
        <f t="shared" si="12"/>
        <v>0</v>
      </c>
      <c r="J36" s="267" t="str">
        <f t="shared" si="13"/>
        <v>3/8</v>
      </c>
      <c r="K36" s="301" t="e">
        <f t="shared" si="14"/>
        <v>#DIV/0!</v>
      </c>
      <c r="L36" s="268">
        <f t="shared" si="15"/>
        <v>0</v>
      </c>
      <c r="M36" s="266">
        <f>PP</f>
        <v>-5</v>
      </c>
      <c r="N36" s="269">
        <f t="shared" si="16"/>
        <v>0</v>
      </c>
      <c r="O36" s="269">
        <f t="shared" si="17"/>
        <v>0</v>
      </c>
      <c r="P36" s="301" t="e">
        <f t="shared" si="18"/>
        <v>#DIV/0!</v>
      </c>
      <c r="Q36" s="265">
        <f t="shared" si="19"/>
        <v>0</v>
      </c>
      <c r="R36" s="292" t="e">
        <f>IF(R34&gt;R32,"BIEN","MAL")</f>
        <v>#DIV/0!</v>
      </c>
    </row>
    <row r="37" spans="1:21">
      <c r="A37" s="120"/>
      <c r="B37" s="120"/>
      <c r="C37" s="125"/>
      <c r="D37" s="123"/>
      <c r="E37" s="117"/>
      <c r="F37" s="120"/>
      <c r="G37" s="157"/>
      <c r="H37" s="122"/>
      <c r="I37" s="120"/>
      <c r="J37" s="121"/>
      <c r="K37" s="123"/>
      <c r="L37" s="122"/>
      <c r="M37" s="123"/>
      <c r="N37" s="124"/>
      <c r="O37" s="124"/>
      <c r="P37" s="124"/>
      <c r="Q37" s="125"/>
      <c r="R37" s="117"/>
    </row>
    <row r="38" spans="1:21">
      <c r="A38" s="250" t="s">
        <v>264</v>
      </c>
      <c r="B38" s="251"/>
      <c r="C38" s="293">
        <f>B38^2</f>
        <v>0</v>
      </c>
      <c r="D38" s="253">
        <f t="shared" ref="D38:D43" si="20">$B$42*$B$43</f>
        <v>3528</v>
      </c>
      <c r="E38" s="282" t="s">
        <v>145</v>
      </c>
      <c r="F38" s="345" t="s">
        <v>313</v>
      </c>
      <c r="G38" s="342">
        <v>471</v>
      </c>
      <c r="H38" s="256">
        <f t="shared" ref="H38:H43" si="21">G38*D38*C38*0.0001</f>
        <v>0</v>
      </c>
      <c r="I38" s="296">
        <f t="shared" ref="I38:I43" si="22">Q38</f>
        <v>0</v>
      </c>
      <c r="J38" s="255" t="str">
        <f t="shared" ref="J38:J43" si="23">$D$48</f>
        <v>3/8</v>
      </c>
      <c r="K38" s="299" t="e">
        <f t="shared" ref="K38:K43" si="24">IF(P38&gt;$J$55,$J$55,IF(P38&gt;$E$57,$E$57,IF($J$55&gt;$E$57,$E$57,P38)))</f>
        <v>#DIV/0!</v>
      </c>
      <c r="L38" s="256">
        <f t="shared" ref="L38:L43" si="25">ABS(H38)*100</f>
        <v>0</v>
      </c>
      <c r="M38" s="253">
        <f>PN</f>
        <v>-4</v>
      </c>
      <c r="N38" s="257">
        <f t="shared" ref="N38:N43" si="26">1-(1-(2*L38)/(90*M38*M38*_fc))^(1/2)</f>
        <v>0</v>
      </c>
      <c r="O38" s="257">
        <f t="shared" ref="O38:O43" si="27">N38*_fc/fy</f>
        <v>0</v>
      </c>
      <c r="P38" s="299" t="e">
        <f t="shared" ref="P38:P43" si="28">AS*100/Q38</f>
        <v>#DIV/0!</v>
      </c>
      <c r="Q38" s="252">
        <f t="shared" ref="Q38:Q43" si="29">O38*100*M38</f>
        <v>0</v>
      </c>
      <c r="R38" s="258" t="s">
        <v>230</v>
      </c>
    </row>
    <row r="39" spans="1:21">
      <c r="A39" s="259" t="s">
        <v>265</v>
      </c>
      <c r="B39" s="158"/>
      <c r="C39" s="294">
        <f>B38^2</f>
        <v>0</v>
      </c>
      <c r="D39" s="123">
        <f t="shared" si="20"/>
        <v>3528</v>
      </c>
      <c r="E39" s="302"/>
      <c r="F39" s="346" t="s">
        <v>314</v>
      </c>
      <c r="G39" s="343">
        <v>277</v>
      </c>
      <c r="H39" s="122">
        <f t="shared" si="21"/>
        <v>0</v>
      </c>
      <c r="I39" s="297">
        <f t="shared" si="22"/>
        <v>0</v>
      </c>
      <c r="J39" s="120" t="str">
        <f t="shared" si="23"/>
        <v>3/8</v>
      </c>
      <c r="K39" s="300" t="e">
        <f t="shared" si="24"/>
        <v>#DIV/0!</v>
      </c>
      <c r="L39" s="122">
        <f t="shared" si="25"/>
        <v>0</v>
      </c>
      <c r="M39" s="123">
        <f>PN</f>
        <v>-4</v>
      </c>
      <c r="N39" s="124">
        <f t="shared" si="26"/>
        <v>0</v>
      </c>
      <c r="O39" s="124">
        <f t="shared" si="27"/>
        <v>0</v>
      </c>
      <c r="P39" s="300" t="e">
        <f t="shared" si="28"/>
        <v>#DIV/0!</v>
      </c>
      <c r="Q39" s="125">
        <f t="shared" si="29"/>
        <v>0</v>
      </c>
      <c r="R39" s="309" t="e">
        <f>(B38*0.5-(PN/100))*(0.95-0.5*B40)*B42</f>
        <v>#DIV/0!</v>
      </c>
    </row>
    <row r="40" spans="1:21">
      <c r="A40" s="259" t="s">
        <v>146</v>
      </c>
      <c r="B40" s="127" t="e">
        <f>B38/B39</f>
        <v>#DIV/0!</v>
      </c>
      <c r="C40" s="294">
        <f>B38^2</f>
        <v>0</v>
      </c>
      <c r="D40" s="123">
        <f t="shared" si="20"/>
        <v>3528</v>
      </c>
      <c r="E40" s="302"/>
      <c r="F40" s="346" t="s">
        <v>315</v>
      </c>
      <c r="G40" s="343">
        <v>259</v>
      </c>
      <c r="H40" s="122">
        <f t="shared" si="21"/>
        <v>0</v>
      </c>
      <c r="I40" s="297">
        <f t="shared" si="22"/>
        <v>0</v>
      </c>
      <c r="J40" s="120" t="str">
        <f t="shared" si="23"/>
        <v>3/8</v>
      </c>
      <c r="K40" s="300" t="e">
        <f t="shared" si="24"/>
        <v>#DIV/0!</v>
      </c>
      <c r="L40" s="122">
        <f t="shared" si="25"/>
        <v>0</v>
      </c>
      <c r="M40" s="123">
        <f>PP</f>
        <v>-5</v>
      </c>
      <c r="N40" s="124">
        <f t="shared" si="26"/>
        <v>0</v>
      </c>
      <c r="O40" s="124">
        <f t="shared" si="27"/>
        <v>0</v>
      </c>
      <c r="P40" s="300" t="e">
        <f t="shared" si="28"/>
        <v>#DIV/0!</v>
      </c>
      <c r="Q40" s="125">
        <f t="shared" si="29"/>
        <v>0</v>
      </c>
      <c r="R40" s="260" t="s">
        <v>231</v>
      </c>
    </row>
    <row r="41" spans="1:21">
      <c r="A41" s="1177" t="s">
        <v>397</v>
      </c>
      <c r="B41" s="1178"/>
      <c r="C41" s="294">
        <f>B38^2</f>
        <v>0</v>
      </c>
      <c r="D41" s="123">
        <f t="shared" si="20"/>
        <v>3528</v>
      </c>
      <c r="E41" s="302" t="s">
        <v>147</v>
      </c>
      <c r="F41" s="346" t="s">
        <v>316</v>
      </c>
      <c r="G41" s="343">
        <v>429</v>
      </c>
      <c r="H41" s="122">
        <f t="shared" si="21"/>
        <v>0</v>
      </c>
      <c r="I41" s="297">
        <f t="shared" si="22"/>
        <v>0</v>
      </c>
      <c r="J41" s="120" t="str">
        <f t="shared" si="23"/>
        <v>3/8</v>
      </c>
      <c r="K41" s="300" t="e">
        <f t="shared" si="24"/>
        <v>#DIV/0!</v>
      </c>
      <c r="L41" s="122">
        <f t="shared" si="25"/>
        <v>0</v>
      </c>
      <c r="M41" s="123">
        <f>PN</f>
        <v>-4</v>
      </c>
      <c r="N41" s="124">
        <f t="shared" si="26"/>
        <v>0</v>
      </c>
      <c r="O41" s="124">
        <f t="shared" si="27"/>
        <v>0</v>
      </c>
      <c r="P41" s="300" t="e">
        <f t="shared" si="28"/>
        <v>#DIV/0!</v>
      </c>
      <c r="Q41" s="125">
        <f t="shared" si="29"/>
        <v>0</v>
      </c>
      <c r="R41" s="262">
        <f>0.5*0.8*100*PN*$J$15^0.5</f>
        <v>-2262.7416997969522</v>
      </c>
    </row>
    <row r="42" spans="1:21">
      <c r="A42" s="259" t="s">
        <v>148</v>
      </c>
      <c r="B42" s="159">
        <f>2832-312</f>
        <v>2520</v>
      </c>
      <c r="C42" s="294">
        <f>B38^2</f>
        <v>0</v>
      </c>
      <c r="D42" s="123">
        <f t="shared" si="20"/>
        <v>3528</v>
      </c>
      <c r="E42" s="302"/>
      <c r="F42" s="346" t="s">
        <v>317</v>
      </c>
      <c r="G42" s="343">
        <v>236</v>
      </c>
      <c r="H42" s="122">
        <f t="shared" si="21"/>
        <v>0</v>
      </c>
      <c r="I42" s="297">
        <f t="shared" si="22"/>
        <v>0</v>
      </c>
      <c r="J42" s="120" t="str">
        <f t="shared" si="23"/>
        <v>3/8</v>
      </c>
      <c r="K42" s="300" t="e">
        <f t="shared" si="24"/>
        <v>#DIV/0!</v>
      </c>
      <c r="L42" s="122">
        <f t="shared" si="25"/>
        <v>0</v>
      </c>
      <c r="M42" s="123">
        <f>PN</f>
        <v>-4</v>
      </c>
      <c r="N42" s="124">
        <f t="shared" si="26"/>
        <v>0</v>
      </c>
      <c r="O42" s="124">
        <f t="shared" si="27"/>
        <v>0</v>
      </c>
      <c r="P42" s="300" t="e">
        <f t="shared" si="28"/>
        <v>#DIV/0!</v>
      </c>
      <c r="Q42" s="125">
        <f t="shared" si="29"/>
        <v>0</v>
      </c>
      <c r="R42" s="260"/>
    </row>
    <row r="43" spans="1:21">
      <c r="A43" s="263" t="s">
        <v>149</v>
      </c>
      <c r="B43" s="264">
        <v>1.4</v>
      </c>
      <c r="C43" s="295">
        <f>B38^2</f>
        <v>0</v>
      </c>
      <c r="D43" s="266">
        <f t="shared" si="20"/>
        <v>3528</v>
      </c>
      <c r="E43" s="303"/>
      <c r="F43" s="347" t="s">
        <v>315</v>
      </c>
      <c r="G43" s="344">
        <v>142</v>
      </c>
      <c r="H43" s="268">
        <f t="shared" si="21"/>
        <v>0</v>
      </c>
      <c r="I43" s="298">
        <f t="shared" si="22"/>
        <v>0</v>
      </c>
      <c r="J43" s="267" t="str">
        <f t="shared" si="23"/>
        <v>3/8</v>
      </c>
      <c r="K43" s="301" t="e">
        <f t="shared" si="24"/>
        <v>#DIV/0!</v>
      </c>
      <c r="L43" s="268">
        <f t="shared" si="25"/>
        <v>0</v>
      </c>
      <c r="M43" s="266">
        <f>PP</f>
        <v>-5</v>
      </c>
      <c r="N43" s="269">
        <f t="shared" si="26"/>
        <v>0</v>
      </c>
      <c r="O43" s="269">
        <f t="shared" si="27"/>
        <v>0</v>
      </c>
      <c r="P43" s="301" t="e">
        <f t="shared" si="28"/>
        <v>#DIV/0!</v>
      </c>
      <c r="Q43" s="265">
        <f t="shared" si="29"/>
        <v>0</v>
      </c>
      <c r="R43" s="292" t="e">
        <f>IF(R41&gt;R39,"BIEN","MAL")</f>
        <v>#DIV/0!</v>
      </c>
    </row>
    <row r="44" spans="1:21">
      <c r="A44" s="120"/>
      <c r="B44" s="120"/>
      <c r="C44" s="125"/>
      <c r="D44" s="123"/>
      <c r="E44" s="117"/>
      <c r="F44" s="120"/>
      <c r="G44" s="126"/>
      <c r="H44" s="122"/>
      <c r="I44" s="120"/>
      <c r="J44" s="121"/>
      <c r="K44" s="123"/>
      <c r="L44" s="122"/>
      <c r="M44" s="123"/>
      <c r="N44" s="124"/>
      <c r="O44" s="124"/>
      <c r="P44" s="124"/>
      <c r="Q44" s="125"/>
      <c r="R44" s="117"/>
    </row>
    <row r="45" spans="1:21">
      <c r="A45" s="120"/>
      <c r="B45" s="120" t="s">
        <v>150</v>
      </c>
      <c r="C45" s="125">
        <f>P-4</f>
        <v>-4</v>
      </c>
      <c r="D45" s="117" t="s">
        <v>151</v>
      </c>
      <c r="E45" s="117"/>
      <c r="F45" s="117"/>
      <c r="G45" s="117"/>
      <c r="H45" s="128"/>
      <c r="I45" s="128"/>
      <c r="J45" s="128"/>
      <c r="K45" s="128"/>
      <c r="L45" s="129"/>
      <c r="M45" s="128"/>
      <c r="N45" s="128"/>
      <c r="O45" s="128"/>
      <c r="P45" s="128"/>
      <c r="Q45" s="128"/>
      <c r="R45" s="128"/>
      <c r="S45" s="128"/>
      <c r="T45" s="128"/>
      <c r="U45" s="128"/>
    </row>
    <row r="46" spans="1:21">
      <c r="A46" s="120"/>
      <c r="B46" s="120" t="s">
        <v>150</v>
      </c>
      <c r="C46" s="125">
        <f>P-5</f>
        <v>-5</v>
      </c>
      <c r="D46" s="117" t="s">
        <v>152</v>
      </c>
      <c r="E46" s="117"/>
      <c r="F46" s="117"/>
      <c r="G46" s="117"/>
      <c r="H46" s="128"/>
      <c r="I46" s="128"/>
      <c r="J46" s="128"/>
      <c r="K46" s="128"/>
      <c r="L46" s="129"/>
      <c r="M46" s="128"/>
      <c r="N46" s="128"/>
      <c r="O46" s="128"/>
      <c r="P46" s="128"/>
      <c r="Q46" s="128"/>
      <c r="R46" s="128"/>
      <c r="S46" s="128"/>
      <c r="T46" s="128"/>
    </row>
    <row r="47" spans="1:21">
      <c r="C47" s="128"/>
      <c r="D47" s="128" t="s">
        <v>153</v>
      </c>
      <c r="E47" s="128"/>
      <c r="F47" s="160"/>
      <c r="G47" s="129" t="s">
        <v>24</v>
      </c>
    </row>
    <row r="48" spans="1:21" ht="18.75">
      <c r="A48" s="120"/>
      <c r="B48" s="120"/>
      <c r="C48" s="128" t="s">
        <v>141</v>
      </c>
      <c r="D48" s="120" t="str">
        <f>IF(AS=0.71,"3/8","1/2")</f>
        <v>3/8</v>
      </c>
      <c r="E48" s="128" t="s">
        <v>136</v>
      </c>
      <c r="F48" s="159">
        <v>0.71</v>
      </c>
      <c r="G48" s="129" t="s">
        <v>266</v>
      </c>
      <c r="H48" s="129"/>
      <c r="I48" s="117"/>
      <c r="J48" s="117"/>
      <c r="K48" s="122"/>
      <c r="L48" s="122"/>
      <c r="M48" s="123"/>
      <c r="N48" s="124"/>
      <c r="O48" s="124"/>
      <c r="P48" s="124"/>
      <c r="Q48" s="125"/>
      <c r="R48" s="117"/>
    </row>
    <row r="49" spans="1:18">
      <c r="A49" s="129" t="s">
        <v>154</v>
      </c>
      <c r="B49" s="120"/>
      <c r="C49" s="120"/>
      <c r="D49" s="120"/>
      <c r="E49" s="120"/>
      <c r="F49" s="120"/>
      <c r="G49" s="120"/>
      <c r="H49" s="120"/>
      <c r="I49" s="120"/>
      <c r="J49" s="120"/>
      <c r="K49" s="120"/>
      <c r="L49" s="120"/>
      <c r="M49" s="123"/>
      <c r="N49" s="124"/>
      <c r="O49" s="124"/>
      <c r="P49" s="124"/>
      <c r="Q49" s="125"/>
      <c r="R49" s="117"/>
    </row>
    <row r="50" spans="1:18">
      <c r="A50" s="120"/>
      <c r="B50" s="120"/>
      <c r="C50" s="1180" t="s">
        <v>318</v>
      </c>
      <c r="D50" s="1180"/>
      <c r="E50" s="128" t="s">
        <v>195</v>
      </c>
      <c r="F50" s="123">
        <f>P</f>
        <v>0</v>
      </c>
      <c r="G50" s="129" t="s">
        <v>398</v>
      </c>
      <c r="H50" s="120"/>
      <c r="I50" s="120"/>
      <c r="J50" s="120"/>
      <c r="K50" s="120"/>
      <c r="L50" s="120"/>
      <c r="M50" s="123"/>
      <c r="N50" s="124"/>
      <c r="O50" s="124"/>
      <c r="P50" s="124"/>
      <c r="Q50" s="125"/>
      <c r="R50" s="117"/>
    </row>
    <row r="51" spans="1:18" ht="18.75">
      <c r="B51" s="129" t="s">
        <v>267</v>
      </c>
      <c r="C51" s="129"/>
      <c r="D51" s="129"/>
      <c r="E51" s="129" t="s">
        <v>268</v>
      </c>
      <c r="F51" s="130"/>
      <c r="G51" s="130"/>
      <c r="H51" s="155">
        <f>(660*P/(fy*(P+100)))*1.5</f>
        <v>0</v>
      </c>
      <c r="I51" s="129" t="s">
        <v>213</v>
      </c>
      <c r="J51" s="130"/>
      <c r="K51" s="120"/>
      <c r="L51" s="120"/>
    </row>
    <row r="52" spans="1:18">
      <c r="A52" s="120"/>
      <c r="B52" s="120"/>
      <c r="C52" s="1180" t="s">
        <v>155</v>
      </c>
      <c r="D52" s="1180"/>
      <c r="E52" s="123">
        <f>fy</f>
        <v>4200</v>
      </c>
      <c r="F52" s="123">
        <f>P</f>
        <v>0</v>
      </c>
      <c r="G52" s="129" t="s">
        <v>156</v>
      </c>
      <c r="H52" s="120"/>
      <c r="I52" s="120"/>
      <c r="J52" s="120"/>
      <c r="K52" s="120"/>
      <c r="L52" s="120"/>
      <c r="M52" s="123"/>
      <c r="N52" s="124"/>
      <c r="O52" s="124"/>
      <c r="P52" s="124"/>
      <c r="Q52" s="125"/>
      <c r="R52" s="117"/>
    </row>
    <row r="53" spans="1:18">
      <c r="A53" s="120"/>
      <c r="B53" s="120"/>
      <c r="C53" s="120"/>
      <c r="D53" s="120"/>
      <c r="E53" s="123"/>
      <c r="F53" s="123"/>
      <c r="G53" s="129"/>
      <c r="H53" s="120"/>
      <c r="I53" s="120"/>
      <c r="J53" s="120"/>
      <c r="K53" s="120"/>
      <c r="L53" s="120"/>
      <c r="M53" s="123"/>
      <c r="N53" s="124"/>
      <c r="O53" s="124"/>
      <c r="P53" s="124"/>
      <c r="Q53" s="125"/>
      <c r="R53" s="117"/>
    </row>
    <row r="54" spans="1:18">
      <c r="A54" s="120"/>
      <c r="B54" s="120"/>
      <c r="C54" s="120"/>
      <c r="D54" s="120"/>
      <c r="E54" s="120"/>
      <c r="F54" s="120"/>
      <c r="G54" s="120" t="s">
        <v>157</v>
      </c>
      <c r="H54" s="131">
        <f>AS</f>
        <v>0.71</v>
      </c>
      <c r="I54" s="120"/>
      <c r="J54" s="120"/>
      <c r="K54" s="120"/>
      <c r="L54" s="120"/>
      <c r="M54" s="123"/>
      <c r="N54" s="124"/>
      <c r="O54" s="124"/>
      <c r="P54" s="124"/>
      <c r="Q54" s="125"/>
      <c r="R54" s="117"/>
    </row>
    <row r="55" spans="1:18" ht="18.75">
      <c r="A55" s="128" t="s">
        <v>158</v>
      </c>
      <c r="B55" s="155">
        <f>H51</f>
        <v>0</v>
      </c>
      <c r="C55" s="155" t="s">
        <v>136</v>
      </c>
      <c r="D55" s="127">
        <f>100*H51</f>
        <v>0</v>
      </c>
      <c r="E55" s="129" t="s">
        <v>266</v>
      </c>
      <c r="F55" s="120" t="s">
        <v>159</v>
      </c>
      <c r="G55" s="130" t="s">
        <v>229</v>
      </c>
      <c r="H55" s="130"/>
      <c r="I55" s="120"/>
      <c r="J55" s="156" t="e">
        <f>100*AS/D55</f>
        <v>#DIV/0!</v>
      </c>
      <c r="K55" s="129" t="s">
        <v>23</v>
      </c>
      <c r="L55" s="120"/>
      <c r="M55" s="123"/>
      <c r="N55" s="124"/>
      <c r="O55" s="124"/>
      <c r="P55" s="124"/>
      <c r="Q55" s="125"/>
      <c r="R55" s="117"/>
    </row>
    <row r="56" spans="1:18">
      <c r="A56" s="120"/>
      <c r="B56" s="120"/>
      <c r="C56" s="120"/>
      <c r="D56" s="120"/>
      <c r="E56" s="120"/>
      <c r="F56" s="120"/>
      <c r="G56" s="125">
        <f>D55</f>
        <v>0</v>
      </c>
      <c r="H56" s="120"/>
      <c r="I56" s="120"/>
      <c r="J56" s="120"/>
      <c r="K56" s="120"/>
      <c r="L56" s="120"/>
      <c r="M56" s="123"/>
      <c r="N56" s="124"/>
      <c r="O56" s="124"/>
      <c r="P56" s="124"/>
      <c r="Q56" s="124"/>
      <c r="R56" s="117"/>
    </row>
    <row r="57" spans="1:18">
      <c r="A57" s="1180" t="s">
        <v>196</v>
      </c>
      <c r="B57" s="1180"/>
      <c r="C57" s="120" t="s">
        <v>160</v>
      </c>
      <c r="D57" s="156">
        <f>P</f>
        <v>0</v>
      </c>
      <c r="E57" s="123">
        <f>3.5*P</f>
        <v>0</v>
      </c>
      <c r="F57" s="129" t="s">
        <v>23</v>
      </c>
      <c r="G57" s="120"/>
      <c r="H57" s="120"/>
      <c r="I57" s="120"/>
      <c r="J57" s="120"/>
      <c r="K57" s="120"/>
      <c r="L57" s="120"/>
    </row>
    <row r="58" spans="1:18">
      <c r="A58" s="1180" t="s">
        <v>279</v>
      </c>
      <c r="B58" s="1180"/>
      <c r="C58" s="123">
        <v>50</v>
      </c>
      <c r="D58" s="129" t="s">
        <v>23</v>
      </c>
      <c r="E58" s="120"/>
      <c r="F58" s="120"/>
      <c r="G58" s="120"/>
      <c r="H58" s="120"/>
      <c r="I58" s="120"/>
      <c r="J58" s="120"/>
      <c r="K58" s="120"/>
      <c r="L58" s="120"/>
    </row>
    <row r="59" spans="1:18">
      <c r="B59" s="117"/>
      <c r="C59" s="117"/>
      <c r="D59" s="117"/>
      <c r="E59" s="117"/>
      <c r="F59" s="117"/>
      <c r="G59" s="128"/>
      <c r="H59" s="119"/>
      <c r="I59" s="117"/>
      <c r="J59" s="117"/>
      <c r="K59" s="117"/>
      <c r="L59" s="117"/>
    </row>
    <row r="60" spans="1:18">
      <c r="B60" s="117"/>
      <c r="C60" s="117"/>
      <c r="D60" s="117"/>
      <c r="E60" s="117"/>
      <c r="F60" s="117"/>
      <c r="G60" s="128"/>
      <c r="H60" s="119"/>
      <c r="I60" s="117"/>
      <c r="J60" s="117"/>
      <c r="K60" s="117"/>
      <c r="L60" s="117"/>
    </row>
    <row r="61" spans="1:18">
      <c r="B61" s="117"/>
      <c r="C61" s="117"/>
      <c r="D61" s="117"/>
      <c r="E61" s="117"/>
      <c r="F61" s="117"/>
      <c r="G61" s="117"/>
      <c r="H61" s="117"/>
      <c r="I61" s="117"/>
      <c r="J61" s="117"/>
      <c r="K61" s="117"/>
      <c r="L61" s="117"/>
    </row>
    <row r="62" spans="1:18">
      <c r="A62" s="121"/>
      <c r="B62" s="130"/>
      <c r="C62" s="130"/>
      <c r="D62" s="134"/>
      <c r="E62" s="117"/>
      <c r="F62" s="117"/>
      <c r="G62" s="117"/>
      <c r="H62" s="117"/>
      <c r="I62" s="117"/>
      <c r="J62" s="117"/>
      <c r="K62" s="117"/>
      <c r="L62" s="117"/>
    </row>
    <row r="63" spans="1:18">
      <c r="B63" s="117"/>
      <c r="C63" s="117"/>
      <c r="D63" s="117"/>
      <c r="E63" s="117"/>
      <c r="F63" s="117"/>
      <c r="G63" s="117"/>
      <c r="H63" s="117"/>
      <c r="I63" s="117"/>
      <c r="J63" s="117"/>
      <c r="K63" s="117"/>
      <c r="L63" s="117"/>
    </row>
    <row r="64" spans="1:18">
      <c r="B64" s="117"/>
      <c r="C64" s="117"/>
      <c r="D64" s="117"/>
      <c r="E64" s="117"/>
      <c r="F64" s="117"/>
      <c r="G64" s="117"/>
      <c r="H64" s="117"/>
      <c r="I64" s="117"/>
      <c r="J64" s="117"/>
      <c r="K64" s="117"/>
      <c r="L64" s="117"/>
    </row>
    <row r="65" spans="1:12">
      <c r="A65" s="129"/>
      <c r="B65" s="129"/>
      <c r="E65" s="119"/>
      <c r="F65" s="117"/>
      <c r="G65" s="117"/>
      <c r="H65" s="128"/>
      <c r="I65" s="132"/>
      <c r="J65" s="117"/>
      <c r="K65" s="132"/>
      <c r="L65" s="117"/>
    </row>
    <row r="66" spans="1:12">
      <c r="B66" s="117"/>
      <c r="C66" s="117"/>
      <c r="D66" s="117"/>
      <c r="E66" s="117"/>
      <c r="F66" s="117"/>
      <c r="G66" s="117"/>
      <c r="H66" s="117"/>
      <c r="I66" s="117"/>
      <c r="J66" s="117"/>
      <c r="K66" s="117"/>
      <c r="L66" s="117"/>
    </row>
    <row r="67" spans="1:12">
      <c r="B67" s="117"/>
      <c r="C67" s="117"/>
      <c r="D67" s="117"/>
      <c r="E67" s="117"/>
      <c r="F67" s="117"/>
      <c r="G67" s="117"/>
      <c r="H67" s="117"/>
      <c r="I67" s="117"/>
      <c r="J67" s="117"/>
      <c r="K67" s="117"/>
      <c r="L67" s="117"/>
    </row>
    <row r="68" spans="1:12">
      <c r="B68" s="117"/>
      <c r="C68" s="117"/>
      <c r="D68" s="117"/>
      <c r="E68" s="117"/>
      <c r="F68" s="117"/>
      <c r="G68" s="117"/>
      <c r="H68" s="117"/>
      <c r="I68" s="117"/>
      <c r="J68" s="117"/>
      <c r="K68" s="117"/>
      <c r="L68" s="117"/>
    </row>
    <row r="69" spans="1:12">
      <c r="B69" s="117"/>
      <c r="C69" s="117"/>
      <c r="D69" s="133"/>
      <c r="E69" s="117"/>
      <c r="F69" s="117"/>
      <c r="G69" s="117"/>
      <c r="H69" s="117"/>
      <c r="I69" s="117"/>
      <c r="J69" s="117"/>
      <c r="K69" s="117"/>
      <c r="L69" s="117"/>
    </row>
    <row r="70" spans="1:12">
      <c r="B70" s="117"/>
      <c r="C70" s="117"/>
      <c r="D70" s="117"/>
      <c r="E70" s="117"/>
      <c r="F70" s="117"/>
      <c r="G70" s="117"/>
      <c r="H70" s="117"/>
      <c r="I70" s="117"/>
      <c r="J70" s="117"/>
      <c r="K70" s="117"/>
      <c r="L70" s="117"/>
    </row>
    <row r="71" spans="1:12">
      <c r="B71" s="117"/>
      <c r="C71" s="117"/>
      <c r="D71" s="117"/>
      <c r="E71" s="117"/>
      <c r="F71" s="117"/>
      <c r="G71" s="117"/>
      <c r="H71" s="117"/>
      <c r="I71" s="117"/>
      <c r="J71" s="117"/>
      <c r="K71" s="117"/>
      <c r="L71" s="117"/>
    </row>
    <row r="72" spans="1:12">
      <c r="B72" s="117"/>
      <c r="C72" s="117"/>
      <c r="D72" s="117"/>
      <c r="E72" s="117"/>
      <c r="F72" s="117"/>
      <c r="G72" s="117"/>
      <c r="H72" s="117"/>
      <c r="I72" s="117"/>
      <c r="J72" s="117"/>
      <c r="K72" s="117"/>
      <c r="L72" s="117"/>
    </row>
    <row r="73" spans="1:12">
      <c r="B73" s="117"/>
      <c r="C73" s="117"/>
      <c r="D73" s="117"/>
      <c r="E73" s="117"/>
      <c r="F73" s="117"/>
      <c r="G73" s="117"/>
      <c r="H73" s="117"/>
      <c r="I73" s="117"/>
      <c r="J73" s="117"/>
      <c r="K73" s="117"/>
      <c r="L73" s="117"/>
    </row>
    <row r="74" spans="1:12">
      <c r="B74" s="117"/>
      <c r="C74" s="117"/>
      <c r="D74" s="117"/>
      <c r="E74" s="117"/>
      <c r="F74" s="117"/>
      <c r="G74" s="117"/>
      <c r="H74" s="117"/>
      <c r="I74" s="117"/>
      <c r="J74" s="117"/>
      <c r="K74" s="117"/>
      <c r="L74" s="117"/>
    </row>
    <row r="75" spans="1:12">
      <c r="B75" s="117"/>
      <c r="C75" s="117"/>
      <c r="D75" s="117"/>
      <c r="E75" s="117"/>
      <c r="F75" s="117"/>
      <c r="G75" s="117"/>
      <c r="H75" s="117"/>
      <c r="I75" s="117"/>
      <c r="J75" s="117"/>
      <c r="K75" s="117"/>
      <c r="L75" s="117"/>
    </row>
    <row r="76" spans="1:12">
      <c r="B76" s="117"/>
      <c r="C76" s="117"/>
      <c r="D76" s="117"/>
      <c r="E76" s="117"/>
      <c r="F76" s="117"/>
      <c r="G76" s="117"/>
      <c r="H76" s="117"/>
      <c r="I76" s="117"/>
      <c r="J76" s="117"/>
      <c r="K76" s="117"/>
      <c r="L76" s="117"/>
    </row>
    <row r="103" spans="12:18">
      <c r="L103" s="117"/>
      <c r="M103" s="117"/>
      <c r="N103" s="117"/>
      <c r="O103" s="117"/>
      <c r="P103" s="117"/>
      <c r="Q103" s="117"/>
      <c r="R103" s="117"/>
    </row>
    <row r="104" spans="12:18">
      <c r="L104" s="117"/>
      <c r="M104" s="117"/>
      <c r="N104" s="117"/>
      <c r="O104" s="117"/>
      <c r="P104" s="117"/>
      <c r="Q104" s="117"/>
      <c r="R104" s="117"/>
    </row>
    <row r="105" spans="12:18">
      <c r="L105" s="117"/>
      <c r="M105" s="117"/>
      <c r="N105" s="117"/>
      <c r="O105" s="117"/>
      <c r="P105" s="117"/>
      <c r="Q105" s="117"/>
      <c r="R105" s="117"/>
    </row>
    <row r="106" spans="12:18">
      <c r="L106" s="117"/>
      <c r="M106" s="117"/>
      <c r="N106" s="117"/>
      <c r="O106" s="117"/>
      <c r="P106" s="117"/>
      <c r="Q106" s="117"/>
      <c r="R106" s="117"/>
    </row>
  </sheetData>
  <mergeCells count="11">
    <mergeCell ref="A58:B58"/>
    <mergeCell ref="A34:B34"/>
    <mergeCell ref="A41:B41"/>
    <mergeCell ref="A57:B57"/>
    <mergeCell ref="C50:D50"/>
    <mergeCell ref="C52:D52"/>
    <mergeCell ref="A14:G14"/>
    <mergeCell ref="A18:B18"/>
    <mergeCell ref="A20:B20"/>
    <mergeCell ref="A27:B27"/>
    <mergeCell ref="E20:F20"/>
  </mergeCells>
  <phoneticPr fontId="0" type="noConversion"/>
  <pageMargins left="0.59055118110236227" right="0.39370078740157483" top="0.39370078740157483" bottom="0.39370078740157483" header="0" footer="0"/>
  <pageSetup scale="55" orientation="portrait" horizontalDpi="300" verticalDpi="300" r:id="rId1"/>
  <headerFooter alignWithMargins="0">
    <oddFooter>&amp;L&amp;"Arial,Normal"TEL (FAX) 01 951 51 4 28 30&amp;C_________________________________________________________________________________________________________________________________________________________________
.&amp;R&amp;"Arial,Normal"CED. PROF. 1718634</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52316-F8DA-4F75-A959-421465E94F79}">
  <sheetPr codeName="Hoja18"/>
  <dimension ref="A1:AH64"/>
  <sheetViews>
    <sheetView topLeftCell="A24" zoomScaleNormal="100" workbookViewId="0">
      <selection activeCell="B20" sqref="B20"/>
    </sheetView>
  </sheetViews>
  <sheetFormatPr baseColWidth="10" defaultColWidth="10" defaultRowHeight="15"/>
  <cols>
    <col min="1" max="1" width="13.625" style="398" customWidth="1"/>
    <col min="2" max="3" width="10" style="398" customWidth="1"/>
    <col min="4" max="4" width="8.625" style="398" customWidth="1"/>
    <col min="5" max="16384" width="10" style="398"/>
  </cols>
  <sheetData>
    <row r="1" spans="1:11" customFormat="1" ht="12.75">
      <c r="A1" s="518"/>
      <c r="B1" s="518"/>
      <c r="C1" s="518"/>
      <c r="D1" s="518"/>
      <c r="E1" s="518"/>
      <c r="F1" s="518"/>
      <c r="G1" s="518"/>
      <c r="H1" s="518"/>
      <c r="I1" s="518"/>
      <c r="J1" s="518"/>
      <c r="K1" s="518"/>
    </row>
    <row r="2" spans="1:11" customFormat="1" ht="12.75">
      <c r="A2" s="518"/>
      <c r="B2" s="518"/>
      <c r="C2" s="518"/>
      <c r="D2" s="518"/>
      <c r="E2" s="518"/>
      <c r="F2" s="518"/>
      <c r="G2" s="518"/>
      <c r="H2" s="518"/>
      <c r="I2" s="518"/>
      <c r="J2" s="518"/>
      <c r="K2" s="518"/>
    </row>
    <row r="3" spans="1:11" customFormat="1" ht="12.75">
      <c r="A3" s="518"/>
      <c r="B3" s="518"/>
      <c r="C3" s="518"/>
      <c r="D3" s="518"/>
      <c r="E3" s="518"/>
      <c r="F3" s="518"/>
      <c r="G3" s="518"/>
      <c r="H3" s="518"/>
      <c r="I3" s="518"/>
      <c r="J3" s="518"/>
      <c r="K3" s="518"/>
    </row>
    <row r="4" spans="1:11" customFormat="1" ht="12.75">
      <c r="A4" s="518"/>
      <c r="B4" s="518"/>
      <c r="C4" s="518"/>
      <c r="D4" s="518"/>
      <c r="E4" s="518"/>
      <c r="F4" s="518"/>
      <c r="G4" s="518"/>
      <c r="H4" s="518"/>
      <c r="I4" s="518"/>
      <c r="J4" s="518"/>
      <c r="K4" s="518"/>
    </row>
    <row r="5" spans="1:11" customFormat="1" ht="12.75">
      <c r="A5" s="518"/>
      <c r="B5" s="518"/>
      <c r="C5" s="518"/>
      <c r="D5" s="518"/>
      <c r="E5" s="518"/>
      <c r="F5" s="518"/>
      <c r="G5" s="518"/>
      <c r="H5" s="518"/>
      <c r="I5" s="518"/>
      <c r="J5" s="518"/>
      <c r="K5" s="518"/>
    </row>
    <row r="6" spans="1:11" customFormat="1" ht="12.75">
      <c r="A6" s="518"/>
      <c r="B6" s="518"/>
      <c r="C6" s="518"/>
      <c r="D6" s="518"/>
      <c r="E6" s="518"/>
      <c r="F6" s="518"/>
      <c r="G6" s="518"/>
      <c r="H6" s="518"/>
      <c r="I6" s="518"/>
      <c r="J6" s="518"/>
      <c r="K6" s="518"/>
    </row>
    <row r="7" spans="1:11">
      <c r="A7" s="4" t="str">
        <f>'CG. MPB'!A7</f>
        <v>PROPIETARIO   : ING. ROLANDO ORTIZ RAMOS</v>
      </c>
    </row>
    <row r="8" spans="1:11">
      <c r="A8" s="4" t="str">
        <f>'CG. MPB'!A8</f>
        <v xml:space="preserve">OBRA                   : </v>
      </c>
    </row>
    <row r="9" spans="1:11">
      <c r="A9" s="4" t="str">
        <f>'CG. MPB'!A9</f>
        <v>LOCALIZACION : 1ª PRIVADA 13 DE SEPTIEMBRE, COL. VICENTE SUAREZ</v>
      </c>
    </row>
    <row r="10" spans="1:11" hidden="1">
      <c r="A10" s="4">
        <f>'CG. MPB'!A10</f>
        <v>0</v>
      </c>
    </row>
    <row r="11" spans="1:11" hidden="1">
      <c r="A11" s="4" t="str">
        <f>'CG. MPB'!A11</f>
        <v>TABLA No. 1</v>
      </c>
    </row>
    <row r="12" spans="1:11" ht="15.75" thickBot="1"/>
    <row r="13" spans="1:11" ht="15.75" thickTop="1">
      <c r="A13" s="399"/>
      <c r="B13" s="400"/>
      <c r="C13" s="400"/>
      <c r="D13" s="400"/>
      <c r="E13" s="400"/>
      <c r="F13" s="400"/>
      <c r="G13" s="400"/>
      <c r="H13" s="401"/>
    </row>
    <row r="14" spans="1:11" ht="20.25">
      <c r="A14" s="402" t="s">
        <v>323</v>
      </c>
      <c r="B14" s="403"/>
      <c r="C14" s="403"/>
      <c r="D14" s="403"/>
      <c r="E14" s="403"/>
      <c r="F14" s="403"/>
      <c r="G14" s="403"/>
      <c r="H14" s="404"/>
    </row>
    <row r="15" spans="1:11" ht="15.75" thickBot="1">
      <c r="A15" s="405"/>
      <c r="B15" s="406"/>
      <c r="C15" s="406"/>
      <c r="D15" s="406"/>
      <c r="E15" s="406"/>
      <c r="F15" s="406"/>
      <c r="G15" s="406"/>
      <c r="H15" s="407"/>
    </row>
    <row r="16" spans="1:11" ht="15.75" thickTop="1"/>
    <row r="17" spans="1:34">
      <c r="A17" s="398" t="s">
        <v>35</v>
      </c>
    </row>
    <row r="18" spans="1:34">
      <c r="A18" s="408" t="s">
        <v>282</v>
      </c>
      <c r="B18" s="515">
        <v>1.3</v>
      </c>
    </row>
    <row r="19" spans="1:34" ht="18">
      <c r="A19" s="408" t="s">
        <v>283</v>
      </c>
      <c r="B19" s="515">
        <v>1.1000000000000001</v>
      </c>
      <c r="D19" s="408" t="s">
        <v>126</v>
      </c>
      <c r="E19" s="516">
        <v>250</v>
      </c>
      <c r="F19" s="398" t="s">
        <v>326</v>
      </c>
      <c r="AF19" s="408" t="s">
        <v>284</v>
      </c>
      <c r="AG19" s="398">
        <f>E19*0.8</f>
        <v>200</v>
      </c>
      <c r="AH19" s="398" t="s">
        <v>326</v>
      </c>
    </row>
    <row r="20" spans="1:34" ht="18">
      <c r="A20" s="408" t="s">
        <v>285</v>
      </c>
      <c r="B20" s="515">
        <v>0.68200000000000005</v>
      </c>
      <c r="C20" s="398" t="s">
        <v>286</v>
      </c>
      <c r="D20" s="408" t="s">
        <v>287</v>
      </c>
      <c r="E20" s="398">
        <f>E19*0.85</f>
        <v>212.5</v>
      </c>
      <c r="F20" s="398" t="s">
        <v>326</v>
      </c>
    </row>
    <row r="21" spans="1:34" ht="18">
      <c r="A21" s="408" t="s">
        <v>324</v>
      </c>
      <c r="B21" s="515">
        <v>1.2210000000000001</v>
      </c>
      <c r="C21" s="398" t="s">
        <v>286</v>
      </c>
      <c r="D21" s="408" t="s">
        <v>289</v>
      </c>
      <c r="E21" s="516">
        <v>4200</v>
      </c>
      <c r="F21" s="398" t="s">
        <v>326</v>
      </c>
    </row>
    <row r="22" spans="1:34">
      <c r="A22" s="408" t="s">
        <v>290</v>
      </c>
      <c r="B22" s="515">
        <v>1.08</v>
      </c>
      <c r="C22" s="398" t="s">
        <v>27</v>
      </c>
      <c r="D22" s="408"/>
      <c r="E22" s="409"/>
    </row>
    <row r="23" spans="1:34">
      <c r="A23" s="408" t="s">
        <v>386</v>
      </c>
      <c r="B23" s="515">
        <v>0.15</v>
      </c>
      <c r="C23" s="398" t="s">
        <v>27</v>
      </c>
      <c r="D23" s="408" t="s">
        <v>293</v>
      </c>
      <c r="E23" s="516">
        <v>0.02</v>
      </c>
      <c r="F23" s="398" t="s">
        <v>27</v>
      </c>
    </row>
    <row r="24" spans="1:34">
      <c r="A24" s="408" t="s">
        <v>294</v>
      </c>
      <c r="B24" s="515">
        <v>0.12</v>
      </c>
      <c r="C24" s="398" t="s">
        <v>27</v>
      </c>
      <c r="D24" s="411"/>
    </row>
    <row r="33" spans="1:7">
      <c r="A33" s="412">
        <f>B24-E23</f>
        <v>9.9999999999999992E-2</v>
      </c>
      <c r="F33" s="397">
        <f>E23</f>
        <v>0.02</v>
      </c>
    </row>
    <row r="34" spans="1:7">
      <c r="E34" s="398">
        <f>B24</f>
        <v>0.12</v>
      </c>
      <c r="G34" s="411"/>
    </row>
    <row r="35" spans="1:7">
      <c r="A35" s="397">
        <f>E23</f>
        <v>0.02</v>
      </c>
      <c r="G35" s="397"/>
    </row>
    <row r="36" spans="1:7">
      <c r="B36" s="411">
        <f>B22</f>
        <v>1.08</v>
      </c>
      <c r="D36" s="411">
        <f>B23</f>
        <v>0.15</v>
      </c>
      <c r="E36" s="411"/>
    </row>
    <row r="37" spans="1:7">
      <c r="C37" s="490">
        <f>B22+B23</f>
        <v>1.23</v>
      </c>
      <c r="D37" s="411"/>
    </row>
    <row r="44" spans="1:7">
      <c r="B44" s="398" t="s">
        <v>387</v>
      </c>
    </row>
    <row r="45" spans="1:7">
      <c r="B45" s="398" t="s">
        <v>388</v>
      </c>
      <c r="D45" s="398">
        <f>B21*1000*(B22*100)^3/(3*(100*(B24*100)^3/12)*IF(E19&gt;=250,14000*E19^0.5,8000*E19^0.5))</f>
        <v>0.16084410318941808</v>
      </c>
      <c r="E45" s="398">
        <f>B20*10*(B22*100)^4/(8*(100*(B24*100)^3/12)*IF(E19&gt;=250,14000*E19^0.5,8000*E19^0.5))</f>
        <v>3.6385544424200784E-2</v>
      </c>
      <c r="F45" s="409">
        <f>D45+E45</f>
        <v>0.19722964761361886</v>
      </c>
    </row>
    <row r="46" spans="1:7">
      <c r="B46" s="398" t="s">
        <v>389</v>
      </c>
      <c r="D46" s="398">
        <f>(0.3+B22*100/480)*2</f>
        <v>1.05</v>
      </c>
      <c r="G46" s="489" t="str">
        <f>IF(D46&gt;F45,"BIEN","MAL")</f>
        <v>BIEN</v>
      </c>
    </row>
    <row r="48" spans="1:7">
      <c r="B48" s="398" t="s">
        <v>295</v>
      </c>
    </row>
    <row r="49" spans="2:8">
      <c r="B49" s="413" t="s">
        <v>133</v>
      </c>
      <c r="C49" s="413" t="s">
        <v>296</v>
      </c>
      <c r="D49" s="413" t="s">
        <v>143</v>
      </c>
      <c r="E49" s="413" t="s">
        <v>144</v>
      </c>
      <c r="F49" s="413" t="s">
        <v>10</v>
      </c>
      <c r="G49" s="414" t="s">
        <v>297</v>
      </c>
      <c r="H49" s="414" t="s">
        <v>298</v>
      </c>
    </row>
    <row r="51" spans="2:8">
      <c r="B51" s="415">
        <f>(B20*(B36)^2/2)+(B21*(B22)^2/2)</f>
        <v>1.1098296000000003</v>
      </c>
      <c r="C51" s="416">
        <f>B51*B18*100000</f>
        <v>144277.84800000006</v>
      </c>
      <c r="D51" s="417">
        <f>1-(1-(2*C51)/(90*(A33*100)^2*E20))^0.5</f>
        <v>7.8522271182920989E-2</v>
      </c>
      <c r="E51" s="517">
        <f>IF(D51*E20/E21&gt;0.003,D51*E20/E21,0.003)</f>
        <v>3.9728530062787407E-3</v>
      </c>
      <c r="F51" s="410">
        <f>E51*A33*10000</f>
        <v>3.9728530062787404</v>
      </c>
      <c r="G51" s="418">
        <f>ROUND(71/F51,0)</f>
        <v>18</v>
      </c>
      <c r="H51" s="419">
        <f>ROUND(127/F51,0)</f>
        <v>32</v>
      </c>
    </row>
    <row r="52" spans="2:8">
      <c r="B52" s="415"/>
      <c r="C52" s="415"/>
      <c r="D52" s="417"/>
      <c r="E52" s="410"/>
      <c r="F52" s="410"/>
      <c r="G52" s="418"/>
      <c r="H52" s="419"/>
    </row>
    <row r="53" spans="2:8">
      <c r="B53" s="420" t="s">
        <v>299</v>
      </c>
      <c r="C53" s="420"/>
      <c r="D53" s="421"/>
      <c r="E53" s="410"/>
      <c r="F53" s="410">
        <f>66000*A33*100*1.5/(E21*(A33*100+100))</f>
        <v>2.1428571428571423</v>
      </c>
      <c r="G53" s="418">
        <f>ROUND(71/F53,0)</f>
        <v>33</v>
      </c>
      <c r="H53" s="419">
        <f>ROUND(127/F53,0)</f>
        <v>59</v>
      </c>
    </row>
    <row r="54" spans="2:8">
      <c r="B54" s="415"/>
      <c r="C54" s="415"/>
      <c r="D54" s="417"/>
      <c r="E54" s="410"/>
      <c r="F54" s="410"/>
      <c r="G54" s="418"/>
      <c r="H54" s="419"/>
    </row>
    <row r="56" spans="2:8">
      <c r="B56" s="398" t="s">
        <v>300</v>
      </c>
    </row>
    <row r="57" spans="2:8">
      <c r="B57" s="413" t="s">
        <v>301</v>
      </c>
      <c r="C57" s="413" t="s">
        <v>7</v>
      </c>
      <c r="D57" s="413" t="s">
        <v>302</v>
      </c>
      <c r="E57" s="413" t="s">
        <v>303</v>
      </c>
      <c r="F57" s="413" t="s">
        <v>304</v>
      </c>
      <c r="G57" s="413" t="s">
        <v>305</v>
      </c>
    </row>
    <row r="59" spans="2:8">
      <c r="B59" s="416">
        <f>(B36-A33)*B20+B21</f>
        <v>1.8893600000000002</v>
      </c>
      <c r="C59" s="416">
        <f>B18*B59*1000</f>
        <v>2456.1680000000006</v>
      </c>
      <c r="D59" s="416">
        <f>IF(E51&lt;0.01,80*(A33*100)*(0.2+30*E51)*E20^0.5,0.5*80*A33*100*E20^0.5)</f>
        <v>3722.3116438322927</v>
      </c>
      <c r="E59" s="416">
        <f>1.5*80*A33*100*E20^0.5</f>
        <v>17492.855684535898</v>
      </c>
      <c r="F59" s="422" t="str">
        <f>IF(E59&gt;C59,"OK","MAL")</f>
        <v>OK</v>
      </c>
      <c r="G59" s="423" t="str">
        <f>IF(D59&gt;C59,"BIEN","MAL")</f>
        <v>BIEN</v>
      </c>
    </row>
    <row r="61" spans="2:8">
      <c r="B61" s="398" t="s">
        <v>306</v>
      </c>
    </row>
    <row r="62" spans="2:8">
      <c r="B62" s="413" t="s">
        <v>301</v>
      </c>
      <c r="C62" s="413" t="s">
        <v>7</v>
      </c>
      <c r="D62" s="413" t="s">
        <v>307</v>
      </c>
      <c r="E62" s="413" t="s">
        <v>302</v>
      </c>
      <c r="F62" s="413" t="s">
        <v>305</v>
      </c>
      <c r="G62" s="424"/>
    </row>
    <row r="64" spans="2:8">
      <c r="B64" s="416">
        <f>(B36-A33)*B20+B21</f>
        <v>1.8893600000000002</v>
      </c>
      <c r="C64" s="416">
        <f>B18*B59*1000</f>
        <v>2456.1680000000006</v>
      </c>
      <c r="D64" s="416">
        <f>C64/(100*A33*100)</f>
        <v>2.4561680000000008</v>
      </c>
      <c r="E64" s="416">
        <f>0.7*E20^0.5</f>
        <v>10.204165815979275</v>
      </c>
      <c r="F64" s="419" t="str">
        <f>IF(E64&gt;D64,"BIEN","MAL")</f>
        <v>BIEN</v>
      </c>
    </row>
  </sheetData>
  <phoneticPr fontId="5" type="noConversion"/>
  <pageMargins left="0.59055118110236227" right="0.39370078740157483" top="0.39370078740157483" bottom="0.39370078740157483" header="0" footer="0"/>
  <pageSetup scale="70" orientation="portrait" horizontalDpi="240" verticalDpi="216" r:id="rId1"/>
  <headerFooter alignWithMargins="0">
    <oddFooter>&amp;L&amp;"Arial,Normal"TEL (FAX) 01 951 51 4 28 30&amp;C___________________________________________________________________________________________________________________________________
.&amp;R&amp;"Arial,Normal"CED. PROF. 1718634</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5902A-91F6-4D7F-A1D3-5954E1E52789}">
  <sheetPr codeName="Hoja19"/>
  <dimension ref="A1:K64"/>
  <sheetViews>
    <sheetView topLeftCell="A21" zoomScaleNormal="100" workbookViewId="0">
      <selection activeCell="B21" sqref="B21"/>
    </sheetView>
  </sheetViews>
  <sheetFormatPr baseColWidth="10" defaultColWidth="10" defaultRowHeight="15"/>
  <cols>
    <col min="1" max="1" width="13.625" style="398" customWidth="1"/>
    <col min="2" max="3" width="10" style="398" customWidth="1"/>
    <col min="4" max="4" width="8.625" style="398" customWidth="1"/>
    <col min="5" max="16384" width="10" style="398"/>
  </cols>
  <sheetData>
    <row r="1" spans="1:11" customFormat="1" ht="12.75">
      <c r="A1" s="518"/>
      <c r="B1" s="518"/>
      <c r="C1" s="518"/>
      <c r="D1" s="518"/>
      <c r="E1" s="518"/>
      <c r="F1" s="518"/>
      <c r="G1" s="518"/>
      <c r="H1" s="518"/>
      <c r="I1" s="518"/>
      <c r="J1" s="518"/>
      <c r="K1" s="518"/>
    </row>
    <row r="2" spans="1:11" customFormat="1" ht="12.75">
      <c r="A2" s="518"/>
      <c r="B2" s="518"/>
      <c r="C2" s="518"/>
      <c r="D2" s="518"/>
      <c r="E2" s="518"/>
      <c r="F2" s="518"/>
      <c r="G2" s="518"/>
      <c r="H2" s="518"/>
      <c r="I2" s="518"/>
      <c r="J2" s="518"/>
      <c r="K2" s="518"/>
    </row>
    <row r="3" spans="1:11" customFormat="1" ht="12.75">
      <c r="A3" s="518"/>
      <c r="B3" s="518"/>
      <c r="C3" s="518"/>
      <c r="D3" s="518"/>
      <c r="E3" s="518"/>
      <c r="F3" s="518"/>
      <c r="G3" s="518"/>
      <c r="H3" s="518"/>
      <c r="I3" s="518"/>
      <c r="J3" s="518"/>
      <c r="K3" s="518"/>
    </row>
    <row r="4" spans="1:11" customFormat="1" ht="12.75">
      <c r="A4" s="518"/>
      <c r="B4" s="518"/>
      <c r="C4" s="518"/>
      <c r="D4" s="518"/>
      <c r="E4" s="518"/>
      <c r="F4" s="518"/>
      <c r="G4" s="518"/>
      <c r="H4" s="518"/>
      <c r="I4" s="518"/>
      <c r="J4" s="518"/>
      <c r="K4" s="518"/>
    </row>
    <row r="5" spans="1:11" customFormat="1" ht="12.75">
      <c r="A5" s="518"/>
      <c r="B5" s="518"/>
      <c r="C5" s="518"/>
      <c r="D5" s="518"/>
      <c r="E5" s="518"/>
      <c r="F5" s="518"/>
      <c r="G5" s="518"/>
      <c r="H5" s="518"/>
      <c r="I5" s="518"/>
      <c r="J5" s="518"/>
      <c r="K5" s="518"/>
    </row>
    <row r="6" spans="1:11" customFormat="1" ht="12.75">
      <c r="A6" s="518"/>
      <c r="B6" s="518"/>
      <c r="C6" s="518"/>
      <c r="D6" s="518"/>
      <c r="E6" s="518"/>
      <c r="F6" s="518"/>
      <c r="G6" s="518"/>
      <c r="H6" s="518"/>
      <c r="I6" s="518"/>
      <c r="J6" s="518"/>
      <c r="K6" s="518"/>
    </row>
    <row r="7" spans="1:11">
      <c r="A7" s="4" t="str">
        <f>'CG. MPB'!A7</f>
        <v>PROPIETARIO   : ING. ROLANDO ORTIZ RAMOS</v>
      </c>
    </row>
    <row r="8" spans="1:11">
      <c r="A8" s="4" t="str">
        <f>'CG. MPB'!A8</f>
        <v xml:space="preserve">OBRA                   : </v>
      </c>
    </row>
    <row r="9" spans="1:11">
      <c r="A9" s="4" t="str">
        <f>'CG. MPB'!A9</f>
        <v>LOCALIZACION : 1ª PRIVADA 13 DE SEPTIEMBRE, COL. VICENTE SUAREZ</v>
      </c>
    </row>
    <row r="10" spans="1:11" hidden="1">
      <c r="A10" s="4">
        <f>'CG. MPB'!A10</f>
        <v>0</v>
      </c>
    </row>
    <row r="11" spans="1:11" hidden="1">
      <c r="A11" s="4" t="str">
        <f>'CG. MPB'!A11</f>
        <v>TABLA No. 1</v>
      </c>
    </row>
    <row r="12" spans="1:11" ht="15.75" thickBot="1"/>
    <row r="13" spans="1:11" ht="15.75" thickTop="1">
      <c r="A13" s="399"/>
      <c r="B13" s="400"/>
      <c r="C13" s="400"/>
      <c r="D13" s="400"/>
      <c r="E13" s="400"/>
      <c r="F13" s="400"/>
      <c r="G13" s="400"/>
      <c r="H13" s="401"/>
    </row>
    <row r="14" spans="1:11" ht="20.25">
      <c r="A14" s="402" t="s">
        <v>323</v>
      </c>
      <c r="B14" s="403"/>
      <c r="C14" s="403"/>
      <c r="D14" s="403"/>
      <c r="E14" s="403"/>
      <c r="F14" s="403"/>
      <c r="G14" s="403"/>
      <c r="H14" s="404"/>
    </row>
    <row r="15" spans="1:11" ht="15.75" thickBot="1">
      <c r="A15" s="405"/>
      <c r="B15" s="406"/>
      <c r="C15" s="406"/>
      <c r="D15" s="406"/>
      <c r="E15" s="406"/>
      <c r="F15" s="406"/>
      <c r="G15" s="406"/>
      <c r="H15" s="407"/>
    </row>
    <row r="16" spans="1:11" ht="15.75" thickTop="1"/>
    <row r="17" spans="1:6">
      <c r="A17" s="398" t="s">
        <v>35</v>
      </c>
    </row>
    <row r="18" spans="1:6" ht="18">
      <c r="A18" s="408" t="s">
        <v>282</v>
      </c>
      <c r="B18" s="515">
        <v>1.3</v>
      </c>
      <c r="D18" s="408" t="s">
        <v>126</v>
      </c>
      <c r="E18" s="516">
        <v>250</v>
      </c>
      <c r="F18" s="398" t="s">
        <v>326</v>
      </c>
    </row>
    <row r="19" spans="1:6" ht="18">
      <c r="A19" s="408" t="s">
        <v>283</v>
      </c>
      <c r="B19" s="515">
        <v>1.1000000000000001</v>
      </c>
      <c r="D19" s="408" t="s">
        <v>284</v>
      </c>
      <c r="E19" s="398">
        <f>E18*0.85</f>
        <v>212.5</v>
      </c>
      <c r="F19" s="398" t="s">
        <v>326</v>
      </c>
    </row>
    <row r="20" spans="1:6" ht="18">
      <c r="A20" s="408" t="s">
        <v>285</v>
      </c>
      <c r="B20" s="515">
        <v>0.68200000000000005</v>
      </c>
      <c r="C20" s="398" t="s">
        <v>286</v>
      </c>
      <c r="D20" s="408" t="s">
        <v>287</v>
      </c>
      <c r="E20" s="398">
        <f>E19</f>
        <v>212.5</v>
      </c>
      <c r="F20" s="398" t="s">
        <v>326</v>
      </c>
    </row>
    <row r="21" spans="1:6" ht="18">
      <c r="A21" s="408" t="s">
        <v>324</v>
      </c>
      <c r="B21" s="515">
        <v>1.18</v>
      </c>
      <c r="C21" s="398" t="s">
        <v>325</v>
      </c>
      <c r="D21" s="408" t="s">
        <v>289</v>
      </c>
      <c r="E21" s="516">
        <v>4200</v>
      </c>
      <c r="F21" s="398" t="s">
        <v>326</v>
      </c>
    </row>
    <row r="22" spans="1:6">
      <c r="A22" s="408" t="s">
        <v>290</v>
      </c>
      <c r="B22" s="515">
        <v>1.08</v>
      </c>
      <c r="C22" s="398" t="s">
        <v>27</v>
      </c>
      <c r="D22" s="408"/>
      <c r="E22" s="409"/>
    </row>
    <row r="23" spans="1:6">
      <c r="A23" s="408" t="s">
        <v>386</v>
      </c>
      <c r="B23" s="515">
        <v>0.15</v>
      </c>
      <c r="C23" s="398" t="s">
        <v>27</v>
      </c>
      <c r="D23" s="408" t="s">
        <v>293</v>
      </c>
      <c r="E23" s="516">
        <v>0.02</v>
      </c>
      <c r="F23" s="398" t="s">
        <v>27</v>
      </c>
    </row>
    <row r="24" spans="1:6">
      <c r="A24" s="408" t="s">
        <v>294</v>
      </c>
      <c r="B24" s="515">
        <v>0.12</v>
      </c>
      <c r="C24" s="398" t="s">
        <v>27</v>
      </c>
      <c r="D24" s="411"/>
    </row>
    <row r="33" spans="1:7">
      <c r="A33" s="412">
        <f>B24-E23</f>
        <v>9.9999999999999992E-2</v>
      </c>
      <c r="F33" s="397">
        <f>E23</f>
        <v>0.02</v>
      </c>
    </row>
    <row r="34" spans="1:7">
      <c r="E34" s="398">
        <f>B24</f>
        <v>0.12</v>
      </c>
      <c r="G34" s="411"/>
    </row>
    <row r="35" spans="1:7">
      <c r="A35" s="397">
        <f>E23</f>
        <v>0.02</v>
      </c>
      <c r="G35" s="397"/>
    </row>
    <row r="36" spans="1:7">
      <c r="B36" s="411">
        <f>B22</f>
        <v>1.08</v>
      </c>
      <c r="D36" s="411">
        <f>B23</f>
        <v>0.15</v>
      </c>
      <c r="E36" s="411"/>
    </row>
    <row r="37" spans="1:7">
      <c r="C37" s="490">
        <f>B22+B23</f>
        <v>1.23</v>
      </c>
      <c r="D37" s="411"/>
    </row>
    <row r="44" spans="1:7">
      <c r="B44" s="398" t="s">
        <v>387</v>
      </c>
    </row>
    <row r="45" spans="1:7">
      <c r="B45" s="398" t="s">
        <v>388</v>
      </c>
      <c r="D45" s="398">
        <f>B21*1000*(B22*100)^3/(3*(100*(B24*100)^3/12)*IF(E18&gt;=250,14000*E18^0.5,8000*E18^0.5))</f>
        <v>0.15544311364743105</v>
      </c>
      <c r="E45" s="398">
        <f>B20*10*(B22*100)^4/(8*(100*(B24*100)^3/12)*IF(E18&gt;=250,14000*E18^0.5,8000*E18^0.5))</f>
        <v>3.6385544424200784E-2</v>
      </c>
      <c r="F45" s="409">
        <f>D45+E45</f>
        <v>0.19182865807163182</v>
      </c>
    </row>
    <row r="46" spans="1:7">
      <c r="B46" s="398" t="s">
        <v>389</v>
      </c>
      <c r="D46" s="398">
        <f>(0.3+B22*100/480)*2</f>
        <v>1.05</v>
      </c>
      <c r="G46" s="489" t="str">
        <f>IF(D46&gt;F45,"BIEN","MAL")</f>
        <v>BIEN</v>
      </c>
    </row>
    <row r="48" spans="1:7">
      <c r="B48" s="398" t="s">
        <v>295</v>
      </c>
    </row>
    <row r="49" spans="2:8">
      <c r="B49" s="413" t="s">
        <v>133</v>
      </c>
      <c r="C49" s="413" t="s">
        <v>296</v>
      </c>
      <c r="D49" s="413" t="s">
        <v>143</v>
      </c>
      <c r="E49" s="413" t="s">
        <v>144</v>
      </c>
      <c r="F49" s="413" t="s">
        <v>10</v>
      </c>
      <c r="G49" s="414" t="s">
        <v>297</v>
      </c>
      <c r="H49" s="414" t="s">
        <v>298</v>
      </c>
    </row>
    <row r="51" spans="2:8">
      <c r="B51" s="415">
        <f>B20*(B36)^2/2+B21*B22</f>
        <v>1.6721424</v>
      </c>
      <c r="C51" s="416">
        <f>B51*B18*100000</f>
        <v>217378.51200000002</v>
      </c>
      <c r="D51" s="417">
        <f>1-(1-(2*C51)/(90*(A33*100)^2*E20))^0.5</f>
        <v>0.12098005376308274</v>
      </c>
      <c r="E51" s="517">
        <f>IF(D51*E20/E21&gt;0.003,D51*E20/E21,0.003)</f>
        <v>6.1210146249178763E-3</v>
      </c>
      <c r="F51" s="410">
        <f>E51*A33*10000</f>
        <v>6.1210146249178754</v>
      </c>
      <c r="G51" s="418">
        <f>ROUND(71/F51,0)</f>
        <v>12</v>
      </c>
      <c r="H51" s="419">
        <f>ROUND(127/F51,0)</f>
        <v>21</v>
      </c>
    </row>
    <row r="52" spans="2:8">
      <c r="B52" s="415"/>
      <c r="C52" s="415"/>
      <c r="D52" s="417"/>
      <c r="E52" s="410"/>
      <c r="F52" s="410"/>
      <c r="G52" s="418"/>
      <c r="H52" s="419"/>
    </row>
    <row r="53" spans="2:8">
      <c r="B53" s="420" t="s">
        <v>299</v>
      </c>
      <c r="C53" s="420"/>
      <c r="D53" s="421"/>
      <c r="E53" s="410"/>
      <c r="F53" s="410">
        <f>66000*A33*100*1.5/(E21*(A33*100+100))</f>
        <v>2.1428571428571423</v>
      </c>
      <c r="G53" s="418">
        <f>ROUND(71/F53,0)</f>
        <v>33</v>
      </c>
      <c r="H53" s="419">
        <f>ROUND(127/F53,0)</f>
        <v>59</v>
      </c>
    </row>
    <row r="54" spans="2:8">
      <c r="B54" s="415"/>
      <c r="C54" s="415"/>
      <c r="D54" s="417"/>
      <c r="E54" s="410"/>
      <c r="F54" s="410"/>
      <c r="G54" s="418"/>
      <c r="H54" s="419"/>
    </row>
    <row r="56" spans="2:8">
      <c r="B56" s="398" t="s">
        <v>300</v>
      </c>
    </row>
    <row r="57" spans="2:8">
      <c r="B57" s="413" t="s">
        <v>301</v>
      </c>
      <c r="C57" s="413" t="s">
        <v>7</v>
      </c>
      <c r="D57" s="413" t="s">
        <v>302</v>
      </c>
      <c r="E57" s="413" t="s">
        <v>303</v>
      </c>
      <c r="F57" s="413" t="s">
        <v>304</v>
      </c>
      <c r="G57" s="413" t="s">
        <v>305</v>
      </c>
    </row>
    <row r="59" spans="2:8">
      <c r="B59" s="416">
        <f>(B36-A33)*B20+B21</f>
        <v>1.84836</v>
      </c>
      <c r="C59" s="416">
        <f>B18*B59*1000</f>
        <v>2402.8680000000004</v>
      </c>
      <c r="D59" s="416">
        <f>IF(E51&lt;0.01,80*(A33*100)*(0.2+30*E51)*E19^0.5,0.5*80*A33*100*E19^0.5)</f>
        <v>4473.8612674705619</v>
      </c>
      <c r="E59" s="416">
        <f>1.5*80*A33*100*E19^0.5</f>
        <v>17492.855684535898</v>
      </c>
      <c r="F59" s="422" t="str">
        <f>IF(E59&gt;C59,"OK","MAL")</f>
        <v>OK</v>
      </c>
      <c r="G59" s="423" t="str">
        <f>IF(D59&gt;C59,"BIEN","MAL")</f>
        <v>BIEN</v>
      </c>
    </row>
    <row r="61" spans="2:8">
      <c r="B61" s="398" t="s">
        <v>306</v>
      </c>
    </row>
    <row r="62" spans="2:8">
      <c r="B62" s="413" t="s">
        <v>301</v>
      </c>
      <c r="C62" s="413" t="s">
        <v>7</v>
      </c>
      <c r="D62" s="413" t="s">
        <v>307</v>
      </c>
      <c r="E62" s="413" t="s">
        <v>302</v>
      </c>
      <c r="F62" s="413" t="s">
        <v>305</v>
      </c>
      <c r="G62" s="424"/>
    </row>
    <row r="64" spans="2:8">
      <c r="B64" s="416">
        <f>(B36-A33)*B20+B21</f>
        <v>1.84836</v>
      </c>
      <c r="C64" s="416">
        <f>B18*B59*1000</f>
        <v>2402.8680000000004</v>
      </c>
      <c r="D64" s="416">
        <f>C64/(100*A33*100)</f>
        <v>2.4028680000000002</v>
      </c>
      <c r="E64" s="416">
        <f>0.7*E19^0.5</f>
        <v>10.204165815979275</v>
      </c>
      <c r="F64" s="419" t="str">
        <f>IF(E64&gt;D64,"BIEN","MAL")</f>
        <v>BIEN</v>
      </c>
    </row>
  </sheetData>
  <pageMargins left="0.59055118110236227" right="0.39370078740157483" top="0.39370078740157483" bottom="0.39370078740157483" header="0" footer="0"/>
  <pageSetup scale="70" orientation="portrait" horizontalDpi="240" verticalDpi="216" r:id="rId1"/>
  <headerFooter alignWithMargins="0">
    <oddFooter>&amp;L&amp;"Arial,Normal"TEL (FAX) 01 951 51 4 28 30&amp;C___________________________________________________________________________________________________________________________________
.&amp;R&amp;"Arial,Normal"CED. PROF. 1718634</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963A5-EA62-478D-80E6-546D6B0FE3B7}">
  <sheetPr codeName="Hoja20"/>
  <dimension ref="A1:AR33"/>
  <sheetViews>
    <sheetView zoomScale="75" zoomScaleNormal="75" workbookViewId="0">
      <selection activeCell="N35" sqref="N35"/>
    </sheetView>
  </sheetViews>
  <sheetFormatPr baseColWidth="10" defaultColWidth="10" defaultRowHeight="15"/>
  <cols>
    <col min="1" max="1" width="5.125" style="163" customWidth="1"/>
    <col min="2" max="2" width="4.375" style="163" customWidth="1"/>
    <col min="3" max="3" width="1.75" style="163" bestFit="1" customWidth="1"/>
    <col min="4" max="4" width="5.375" style="163" customWidth="1"/>
    <col min="5" max="5" width="3.625" style="163" customWidth="1"/>
    <col min="6" max="6" width="7.25" style="163" customWidth="1"/>
    <col min="7" max="7" width="5.625" style="163" customWidth="1"/>
    <col min="8" max="8" width="8.875" style="163" customWidth="1"/>
    <col min="9" max="9" width="5.875" style="163" customWidth="1"/>
    <col min="10" max="10" width="4.625" style="163" customWidth="1"/>
    <col min="11" max="11" width="7.25" style="163" customWidth="1"/>
    <col min="12" max="14" width="7.875" style="163" customWidth="1"/>
    <col min="15" max="15" width="8.625" style="163" customWidth="1"/>
    <col min="16" max="16" width="10.875" style="163" customWidth="1"/>
    <col min="17" max="17" width="8.125" style="188" customWidth="1"/>
    <col min="18" max="18" width="5.75" style="163" customWidth="1"/>
    <col min="19" max="19" width="5" style="163" customWidth="1"/>
    <col min="20" max="20" width="6.125" style="163" customWidth="1"/>
    <col min="21" max="21" width="7.25" style="163" customWidth="1"/>
    <col min="22" max="22" width="6.625" style="163" customWidth="1"/>
    <col min="23" max="23" width="6.125" style="163" customWidth="1"/>
    <col min="24" max="24" width="7.75" style="163" customWidth="1"/>
    <col min="25" max="25" width="8.125" style="163" customWidth="1"/>
    <col min="26" max="26" width="7.125" style="163" customWidth="1"/>
    <col min="27" max="27" width="8.375" style="163" customWidth="1"/>
    <col min="28" max="28" width="11" style="163" customWidth="1"/>
    <col min="29" max="29" width="6" style="163" customWidth="1"/>
    <col min="30" max="30" width="5.375" style="163" customWidth="1"/>
    <col min="31" max="31" width="6.625" style="163" customWidth="1"/>
    <col min="32" max="32" width="5.5" style="163" customWidth="1"/>
    <col min="33" max="33" width="10" style="163" customWidth="1"/>
    <col min="34" max="34" width="10.5" style="163" customWidth="1"/>
    <col min="35" max="16384" width="10" style="163"/>
  </cols>
  <sheetData>
    <row r="1" spans="1:44" customFormat="1" ht="12.75">
      <c r="A1" s="518"/>
      <c r="B1" s="518"/>
      <c r="C1" s="518"/>
      <c r="D1" s="518"/>
      <c r="E1" s="518"/>
      <c r="F1" s="518"/>
      <c r="G1" s="518"/>
      <c r="H1" s="518"/>
      <c r="I1" s="518"/>
      <c r="J1" s="518"/>
      <c r="K1" s="518"/>
    </row>
    <row r="2" spans="1:44" customFormat="1" ht="12.75">
      <c r="A2" s="518"/>
      <c r="B2" s="518"/>
      <c r="C2" s="518"/>
      <c r="D2" s="518"/>
      <c r="E2" s="518"/>
      <c r="F2" s="518"/>
      <c r="G2" s="518"/>
      <c r="H2" s="518"/>
      <c r="I2" s="518"/>
      <c r="J2" s="518"/>
      <c r="K2" s="518"/>
    </row>
    <row r="3" spans="1:44" customFormat="1" ht="12.75">
      <c r="A3" s="518"/>
      <c r="B3" s="518"/>
      <c r="C3" s="518"/>
      <c r="D3" s="518"/>
      <c r="E3" s="518"/>
      <c r="F3" s="518"/>
      <c r="G3" s="518"/>
      <c r="H3" s="518"/>
      <c r="I3" s="518"/>
      <c r="J3" s="518"/>
      <c r="K3" s="518"/>
    </row>
    <row r="4" spans="1:44" customFormat="1" ht="12.75">
      <c r="A4" s="518"/>
      <c r="B4" s="518"/>
      <c r="C4" s="518"/>
      <c r="D4" s="518"/>
      <c r="E4" s="518"/>
      <c r="F4" s="518"/>
      <c r="G4" s="518"/>
      <c r="H4" s="518"/>
      <c r="I4" s="518"/>
      <c r="J4" s="518"/>
      <c r="K4" s="518"/>
    </row>
    <row r="5" spans="1:44" customFormat="1" ht="12.75">
      <c r="A5" s="518"/>
      <c r="B5" s="518"/>
      <c r="C5" s="518"/>
      <c r="D5" s="518"/>
      <c r="E5" s="518"/>
      <c r="F5" s="518"/>
      <c r="G5" s="518"/>
      <c r="H5" s="518"/>
      <c r="I5" s="518"/>
      <c r="J5" s="518"/>
      <c r="K5" s="518"/>
    </row>
    <row r="6" spans="1:44" customFormat="1" ht="12.75">
      <c r="A6" s="518"/>
      <c r="B6" s="518"/>
      <c r="C6" s="518"/>
      <c r="D6" s="518"/>
      <c r="E6" s="518"/>
      <c r="F6" s="518"/>
      <c r="G6" s="518"/>
      <c r="H6" s="518"/>
      <c r="I6" s="518"/>
      <c r="J6" s="518"/>
      <c r="K6" s="518"/>
    </row>
    <row r="7" spans="1:44">
      <c r="A7" s="4" t="str">
        <f>'CG. MPB'!A7</f>
        <v>PROPIETARIO   : ING. ROLANDO ORTIZ RAMOS</v>
      </c>
    </row>
    <row r="8" spans="1:44">
      <c r="A8" s="4" t="str">
        <f>'CG. MPB'!A8</f>
        <v xml:space="preserve">OBRA                   : </v>
      </c>
    </row>
    <row r="9" spans="1:44">
      <c r="A9" s="4" t="str">
        <f>'CG. MPB'!A9</f>
        <v>LOCALIZACION : 1ª PRIVADA 13 DE SEPTIEMBRE, COL. VICENTE SUAREZ</v>
      </c>
    </row>
    <row r="10" spans="1:44" hidden="1">
      <c r="A10" s="4">
        <f>'CG. MPB'!A10</f>
        <v>0</v>
      </c>
    </row>
    <row r="11" spans="1:44" hidden="1">
      <c r="A11" s="4" t="str">
        <f>'CG. MPB'!A11</f>
        <v>TABLA No. 1</v>
      </c>
    </row>
    <row r="13" spans="1:44" ht="15.75">
      <c r="A13" s="162" t="s">
        <v>254</v>
      </c>
    </row>
    <row r="15" spans="1:44" ht="15.75" hidden="1">
      <c r="A15" s="164" t="s">
        <v>91</v>
      </c>
      <c r="B15" s="1181" t="s">
        <v>92</v>
      </c>
      <c r="C15" s="1181"/>
      <c r="D15" s="1181"/>
      <c r="E15" s="164" t="s">
        <v>93</v>
      </c>
      <c r="F15" s="164" t="s">
        <v>94</v>
      </c>
      <c r="G15" s="164" t="s">
        <v>95</v>
      </c>
      <c r="H15" s="164" t="s">
        <v>96</v>
      </c>
      <c r="I15" s="164" t="s">
        <v>97</v>
      </c>
      <c r="J15" s="164" t="s">
        <v>98</v>
      </c>
      <c r="K15" s="164" t="s">
        <v>99</v>
      </c>
      <c r="L15" s="164" t="s">
        <v>100</v>
      </c>
      <c r="M15" s="164"/>
      <c r="N15" s="164"/>
      <c r="O15" s="164" t="s">
        <v>101</v>
      </c>
      <c r="P15" s="164" t="s">
        <v>102</v>
      </c>
      <c r="Q15" s="142" t="s">
        <v>103</v>
      </c>
      <c r="R15" s="348" t="s">
        <v>170</v>
      </c>
      <c r="S15" s="348" t="s">
        <v>171</v>
      </c>
      <c r="T15" s="348" t="s">
        <v>172</v>
      </c>
      <c r="U15" s="348" t="s">
        <v>173</v>
      </c>
      <c r="V15" s="348" t="s">
        <v>174</v>
      </c>
      <c r="W15" s="348" t="s">
        <v>175</v>
      </c>
      <c r="X15" s="164" t="s">
        <v>104</v>
      </c>
      <c r="Y15" s="164" t="s">
        <v>105</v>
      </c>
      <c r="Z15" s="164" t="s">
        <v>106</v>
      </c>
      <c r="AA15" s="164" t="s">
        <v>107</v>
      </c>
      <c r="AB15" s="164" t="s">
        <v>168</v>
      </c>
      <c r="AC15" s="164" t="s">
        <v>169</v>
      </c>
      <c r="AD15" s="164" t="s">
        <v>170</v>
      </c>
      <c r="AE15" s="164" t="s">
        <v>171</v>
      </c>
      <c r="AF15" s="162"/>
      <c r="AG15" s="162"/>
      <c r="AH15" s="162" t="s">
        <v>401</v>
      </c>
      <c r="AI15" s="162"/>
      <c r="AJ15" s="162"/>
      <c r="AK15" s="162"/>
      <c r="AL15" s="162"/>
      <c r="AM15" s="162"/>
      <c r="AN15" s="162"/>
      <c r="AO15" s="162"/>
      <c r="AP15" s="162"/>
      <c r="AQ15" s="162"/>
      <c r="AR15" s="162"/>
    </row>
    <row r="16" spans="1:44">
      <c r="A16" s="165"/>
      <c r="B16" s="166"/>
      <c r="C16" s="166"/>
      <c r="D16" s="166"/>
      <c r="E16" s="165"/>
      <c r="F16" s="166"/>
      <c r="G16" s="165"/>
      <c r="H16" s="166"/>
      <c r="I16" s="165"/>
      <c r="J16" s="166"/>
      <c r="K16" s="165"/>
      <c r="L16" s="166"/>
      <c r="M16" s="166"/>
      <c r="N16" s="166"/>
      <c r="O16" s="165"/>
      <c r="P16" s="166"/>
      <c r="Q16" s="143"/>
      <c r="R16" s="166"/>
      <c r="S16" s="166"/>
      <c r="T16" s="166"/>
      <c r="U16" s="166"/>
      <c r="V16" s="166"/>
      <c r="W16" s="166"/>
      <c r="X16" s="166"/>
      <c r="Y16" s="166"/>
      <c r="Z16" s="166"/>
      <c r="AA16" s="166"/>
      <c r="AB16" s="166"/>
      <c r="AC16" s="166"/>
      <c r="AD16" s="166"/>
      <c r="AE16" s="166"/>
    </row>
    <row r="17" spans="1:39" ht="21" customHeight="1">
      <c r="A17" s="167"/>
      <c r="B17" s="168" t="s">
        <v>129</v>
      </c>
      <c r="C17" s="169"/>
      <c r="D17" s="170"/>
      <c r="E17" s="166" t="s">
        <v>176</v>
      </c>
      <c r="F17" s="171" t="s">
        <v>27</v>
      </c>
      <c r="G17" s="166" t="s">
        <v>162</v>
      </c>
      <c r="H17" s="171" t="s">
        <v>8</v>
      </c>
      <c r="I17" s="166" t="s">
        <v>163</v>
      </c>
      <c r="J17" s="171" t="s">
        <v>164</v>
      </c>
      <c r="K17" s="166" t="s">
        <v>10</v>
      </c>
      <c r="L17" s="171" t="s">
        <v>144</v>
      </c>
      <c r="M17" s="173" t="s">
        <v>393</v>
      </c>
      <c r="N17" s="171" t="s">
        <v>394</v>
      </c>
      <c r="O17" s="166" t="s">
        <v>143</v>
      </c>
      <c r="P17" s="171" t="s">
        <v>165</v>
      </c>
      <c r="Q17" s="200" t="s">
        <v>239</v>
      </c>
      <c r="R17" s="166" t="s">
        <v>163</v>
      </c>
      <c r="S17" s="166" t="s">
        <v>10</v>
      </c>
      <c r="T17" s="166" t="s">
        <v>144</v>
      </c>
      <c r="U17" s="166" t="s">
        <v>143</v>
      </c>
      <c r="V17" s="166" t="s">
        <v>27</v>
      </c>
      <c r="X17" s="173" t="s">
        <v>45</v>
      </c>
      <c r="Y17" s="171" t="s">
        <v>7</v>
      </c>
      <c r="Z17" s="174" t="s">
        <v>236</v>
      </c>
      <c r="AA17" s="171" t="s">
        <v>236</v>
      </c>
      <c r="AB17" s="174" t="s">
        <v>121</v>
      </c>
      <c r="AC17" s="173" t="s">
        <v>163</v>
      </c>
      <c r="AD17" s="171" t="s">
        <v>10</v>
      </c>
      <c r="AE17" s="176" t="s">
        <v>18</v>
      </c>
      <c r="AH17" s="166" t="s">
        <v>5</v>
      </c>
      <c r="AI17" s="166" t="s">
        <v>390</v>
      </c>
      <c r="AJ17" s="166" t="s">
        <v>391</v>
      </c>
      <c r="AK17" s="163" t="s">
        <v>392</v>
      </c>
      <c r="AL17" s="166" t="s">
        <v>391</v>
      </c>
      <c r="AM17" s="163" t="s">
        <v>391</v>
      </c>
    </row>
    <row r="18" spans="1:39">
      <c r="A18" s="177"/>
      <c r="B18" s="178"/>
      <c r="C18" s="179"/>
      <c r="D18" s="180"/>
      <c r="E18" s="177"/>
      <c r="F18" s="181" t="s">
        <v>166</v>
      </c>
      <c r="G18" s="177"/>
      <c r="H18" s="181" t="s">
        <v>167</v>
      </c>
      <c r="I18" s="177"/>
      <c r="J18" s="177"/>
      <c r="K18" s="177"/>
      <c r="L18" s="177"/>
      <c r="M18" s="178"/>
      <c r="N18" s="177"/>
      <c r="O18" s="180"/>
      <c r="P18" s="177"/>
      <c r="Q18" s="199"/>
      <c r="X18" s="178"/>
      <c r="Y18" s="177"/>
      <c r="Z18" s="179"/>
      <c r="AA18" s="181" t="s">
        <v>238</v>
      </c>
      <c r="AB18" s="179"/>
      <c r="AC18" s="178"/>
      <c r="AD18" s="177"/>
      <c r="AE18" s="180"/>
      <c r="AH18" s="166" t="s">
        <v>23</v>
      </c>
      <c r="AI18" s="166" t="s">
        <v>322</v>
      </c>
      <c r="AJ18" s="166" t="s">
        <v>23</v>
      </c>
      <c r="AK18" s="163" t="s">
        <v>122</v>
      </c>
      <c r="AL18" s="166" t="s">
        <v>23</v>
      </c>
      <c r="AM18" s="163" t="s">
        <v>112</v>
      </c>
    </row>
    <row r="19" spans="1:39" ht="21" customHeight="1">
      <c r="A19" s="215"/>
      <c r="B19" s="166"/>
      <c r="C19" s="183"/>
      <c r="D19" s="184"/>
      <c r="F19" s="172"/>
      <c r="H19" s="172"/>
      <c r="J19" s="172"/>
      <c r="K19" s="185"/>
      <c r="L19" s="186"/>
      <c r="M19" s="187"/>
      <c r="N19" s="187"/>
      <c r="O19" s="187"/>
      <c r="P19" s="172"/>
      <c r="Q19" s="200"/>
      <c r="S19" s="188"/>
      <c r="T19" s="189"/>
      <c r="U19" s="189"/>
      <c r="X19" s="190"/>
      <c r="Y19" s="167"/>
      <c r="AA19" s="167"/>
      <c r="AC19" s="190"/>
      <c r="AD19" s="167"/>
      <c r="AE19" s="191"/>
    </row>
    <row r="20" spans="1:39" ht="21" customHeight="1">
      <c r="A20" s="216" t="s">
        <v>333</v>
      </c>
      <c r="B20" s="166"/>
      <c r="D20" s="191"/>
      <c r="F20" s="167"/>
      <c r="H20" s="167"/>
      <c r="J20" s="167"/>
      <c r="K20" s="185"/>
      <c r="L20" s="193"/>
      <c r="M20" s="187"/>
      <c r="N20" s="187"/>
      <c r="O20" s="187"/>
      <c r="P20" s="167"/>
      <c r="Q20" s="201"/>
      <c r="S20" s="188"/>
      <c r="T20" s="189"/>
      <c r="U20" s="189"/>
      <c r="X20" s="190"/>
      <c r="Y20" s="167"/>
      <c r="AA20" s="167"/>
      <c r="AB20" s="166"/>
      <c r="AC20" s="190"/>
      <c r="AD20" s="167"/>
      <c r="AE20" s="191"/>
    </row>
    <row r="21" spans="1:39">
      <c r="A21" s="217" t="s">
        <v>400</v>
      </c>
      <c r="B21" s="497">
        <v>20</v>
      </c>
      <c r="C21" s="163" t="s">
        <v>62</v>
      </c>
      <c r="D21" s="498">
        <v>45</v>
      </c>
      <c r="E21" s="494">
        <v>4</v>
      </c>
      <c r="F21" s="492">
        <v>5333</v>
      </c>
      <c r="G21" s="495">
        <v>1.4</v>
      </c>
      <c r="H21" s="167">
        <f>F21*G21*100</f>
        <v>746620</v>
      </c>
      <c r="I21" s="495">
        <v>4200</v>
      </c>
      <c r="J21" s="499">
        <v>200</v>
      </c>
      <c r="K21" s="500">
        <f>1.27*4+0.71</f>
        <v>5.79</v>
      </c>
      <c r="L21" s="193">
        <f>K21/((B21-2)*(D21-E21))</f>
        <v>7.8455284552845523E-3</v>
      </c>
      <c r="M21" s="491">
        <f>0.7*J21^0.5/I21</f>
        <v>2.3570226039551583E-3</v>
      </c>
      <c r="N21" s="491">
        <f>0.7*(0.85*0.8*J21/I21)*6000*0.85/(I21+6000)</f>
        <v>1.1333333333333332E-2</v>
      </c>
      <c r="O21" s="187">
        <f>L21*I21/(0.8*J21*0.85)</f>
        <v>0.24228837876614057</v>
      </c>
      <c r="P21" s="202">
        <f>0.9*K21*I21*(D21-E21)*(1-(0.5*O21))</f>
        <v>788627.37573529419</v>
      </c>
      <c r="Q21" s="202">
        <f>IF((H21-P21)&lt;0,0,H21-P21)</f>
        <v>0</v>
      </c>
      <c r="R21" s="163">
        <v>4200</v>
      </c>
      <c r="S21" s="188">
        <f>0.71*1</f>
        <v>0.71</v>
      </c>
      <c r="T21" s="189">
        <f>S21/((B21-2)*(D21-E21))</f>
        <v>9.6205962059620596E-4</v>
      </c>
      <c r="U21" s="189">
        <f>T21*R21/(0.8*0.85*J21)</f>
        <v>2.9710664753706362E-2</v>
      </c>
      <c r="V21" s="163">
        <f>IF(Q21=0,0,0.9*S21*R21*(D21-E21)*(1-(0.5*U21)))</f>
        <v>0</v>
      </c>
      <c r="W21" s="163" t="str">
        <f>IF(V21&gt;=Q21,"BIEN","MAL")</f>
        <v>BIEN</v>
      </c>
      <c r="X21" s="493">
        <v>7486</v>
      </c>
      <c r="Y21" s="167">
        <f>X21*G21</f>
        <v>10480.4</v>
      </c>
      <c r="Z21" s="163">
        <f>IF(L21&lt;0.015,0.8*(B21-2)*(D21-E21)*(0.2+(20*L21))*(0.8*J21)^0.5,0.5*0.8*(B21-2)*(D21-E21)*(0.8*J21)^0.5)</f>
        <v>2665.4205942027238</v>
      </c>
      <c r="AA21" s="167">
        <f>1.5*0.8*(B21-2)*(D21-E21)*(J21*0.8)^0.5</f>
        <v>11202.052383380467</v>
      </c>
      <c r="AB21" s="501" t="str">
        <f>IF(AND(AA21&gt;Y21,AA21&gt;Z21),"BIEN","MAL")</f>
        <v>BIEN</v>
      </c>
      <c r="AC21" s="502">
        <v>4200</v>
      </c>
      <c r="AD21" s="499">
        <v>0.71</v>
      </c>
      <c r="AE21" s="194">
        <f>0.8*AD21*2*AC21*(D21-E21)/(Y21-Z21)</f>
        <v>25.031313563652713</v>
      </c>
      <c r="AH21" s="492">
        <v>300</v>
      </c>
      <c r="AI21" s="493">
        <v>100</v>
      </c>
      <c r="AJ21" s="163">
        <f>AI21*AH21^4/((384*B21*D21^3/12)*(IF(J21&gt;=250,14000*J21^0.5,8000*J21^0.5)))</f>
        <v>0.12276159395599782</v>
      </c>
      <c r="AK21" s="495">
        <v>100</v>
      </c>
      <c r="AL21" s="163">
        <f>AK21*AH21^3/(192*(B21*D21^3/12)*IF(J21&gt;=250,14000*J21^0.5,8000*J21^0.5))</f>
        <v>8.1841062637331877E-4</v>
      </c>
      <c r="AM21" s="496">
        <f>AJ21+AL21</f>
        <v>0.12358000458237114</v>
      </c>
    </row>
    <row r="22" spans="1:39">
      <c r="A22" s="217" t="s">
        <v>400</v>
      </c>
      <c r="B22" s="497">
        <v>15</v>
      </c>
      <c r="C22" s="163" t="s">
        <v>62</v>
      </c>
      <c r="D22" s="498">
        <v>30</v>
      </c>
      <c r="E22" s="494">
        <v>4</v>
      </c>
      <c r="F22" s="492">
        <v>517</v>
      </c>
      <c r="G22" s="495">
        <v>1.4</v>
      </c>
      <c r="H22" s="167">
        <f>F22*G22*100</f>
        <v>72380</v>
      </c>
      <c r="I22" s="495">
        <v>4200</v>
      </c>
      <c r="J22" s="499">
        <v>200</v>
      </c>
      <c r="K22" s="500">
        <f>0.71*2</f>
        <v>1.42</v>
      </c>
      <c r="L22" s="193">
        <f>K22/((B22-2)*(D22-E22))</f>
        <v>4.2011834319526627E-3</v>
      </c>
      <c r="M22" s="491">
        <f>0.7*J22^0.5/I22</f>
        <v>2.3570226039551583E-3</v>
      </c>
      <c r="N22" s="491">
        <f>0.7*(0.85*0.8*J22/I22)*6000*0.85/(I22+6000)</f>
        <v>1.1333333333333332E-2</v>
      </c>
      <c r="O22" s="187">
        <f>L22*I22/(0.8*J22*0.85)</f>
        <v>0.12974242951618517</v>
      </c>
      <c r="P22" s="202">
        <f>0.9*K22*I22*(D22-E22)*(1-(0.5*O22))</f>
        <v>130504.32895927603</v>
      </c>
      <c r="Q22" s="202">
        <f>IF((H22-P22)&lt;0,0,H22-P22)</f>
        <v>0</v>
      </c>
      <c r="R22" s="163">
        <v>4200</v>
      </c>
      <c r="S22" s="188">
        <f>0.71*1</f>
        <v>0.71</v>
      </c>
      <c r="T22" s="189">
        <f>S22/((B22-2)*(D22-E22))</f>
        <v>2.1005917159763314E-3</v>
      </c>
      <c r="U22" s="189">
        <f>T22*R22/(0.8*0.85*J22)</f>
        <v>6.4871214758092585E-2</v>
      </c>
      <c r="V22" s="163">
        <f>IF(Q22=0,0,0.9*S22*R22*(D22-E22)*(1-(0.5*U22)))</f>
        <v>0</v>
      </c>
      <c r="W22" s="163" t="str">
        <f>IF(V22&gt;=Q22,"BIEN","MAL")</f>
        <v>BIEN</v>
      </c>
      <c r="X22" s="493">
        <v>1724</v>
      </c>
      <c r="Y22" s="167">
        <f>X22*G22</f>
        <v>2413.6</v>
      </c>
      <c r="Z22" s="163">
        <f>IF(L22&lt;0.015,0.8*(B22-2)*(D22-E22)*(0.2+(20*L22))*(0.8*J22)^0.5,0.5*0.8*(B22-2)*(D22-E22)*(0.8*J22)^0.5)</f>
        <v>971.45169720372633</v>
      </c>
      <c r="AA22" s="167">
        <f>1.5*0.8*(B22-2)*(D22-E22)*(J22*0.8)^0.5</f>
        <v>5130.4792758571793</v>
      </c>
      <c r="AB22" s="501" t="str">
        <f>IF(AND(AA22&gt;Y22,AA22&gt;Z22),"BIEN","MAL")</f>
        <v>BIEN</v>
      </c>
      <c r="AC22" s="502">
        <v>2530</v>
      </c>
      <c r="AD22" s="499">
        <v>0.32</v>
      </c>
      <c r="AE22" s="194">
        <f>0.8*AD22*2*AC22*(D22-E22)/(Y22-Z22)</f>
        <v>23.353603741513226</v>
      </c>
      <c r="AH22" s="492">
        <v>750</v>
      </c>
      <c r="AI22" s="493">
        <v>8</v>
      </c>
      <c r="AJ22" s="163">
        <f>AI22*AH22^4/((384*B22*D22^3/12)*(IF(J22&gt;=250,14000*J22^0.5,8000*J22^0.5)))</f>
        <v>1.7263349150062195</v>
      </c>
      <c r="AK22" s="495">
        <v>1500</v>
      </c>
      <c r="AL22" s="163">
        <f>AK22*AH22^3/(192*(B22*D22^3/12)*IF(J22&gt;=250,14000*J22^0.5,8000*J22^0.5))</f>
        <v>0.86316745750310975</v>
      </c>
      <c r="AM22" s="496">
        <f>AJ22+AL22</f>
        <v>2.5895023725093291</v>
      </c>
    </row>
    <row r="23" spans="1:39">
      <c r="A23" s="217"/>
      <c r="B23" s="497"/>
      <c r="D23" s="498"/>
      <c r="E23" s="494"/>
      <c r="F23" s="492"/>
      <c r="G23" s="495"/>
      <c r="H23" s="167"/>
      <c r="I23" s="495"/>
      <c r="J23" s="499"/>
      <c r="K23" s="500"/>
      <c r="L23" s="193"/>
      <c r="M23" s="491"/>
      <c r="N23" s="491"/>
      <c r="O23" s="187"/>
      <c r="P23" s="202"/>
      <c r="Q23" s="202"/>
      <c r="S23" s="188"/>
      <c r="T23" s="189"/>
      <c r="U23" s="189"/>
      <c r="X23" s="493"/>
      <c r="Y23" s="167"/>
      <c r="AA23" s="167"/>
      <c r="AB23" s="501"/>
      <c r="AC23" s="502"/>
      <c r="AD23" s="499"/>
      <c r="AE23" s="194"/>
      <c r="AH23" s="494"/>
      <c r="AI23" s="494"/>
      <c r="AK23" s="495"/>
      <c r="AM23" s="496"/>
    </row>
    <row r="24" spans="1:39">
      <c r="A24" s="217"/>
      <c r="B24" s="497"/>
      <c r="D24" s="498"/>
      <c r="E24" s="494"/>
      <c r="F24" s="492"/>
      <c r="G24" s="495"/>
      <c r="H24" s="167"/>
      <c r="I24" s="495"/>
      <c r="J24" s="499"/>
      <c r="K24" s="500"/>
      <c r="L24" s="193"/>
      <c r="M24" s="491"/>
      <c r="N24" s="491"/>
      <c r="O24" s="187"/>
      <c r="P24" s="202"/>
      <c r="Q24" s="202"/>
      <c r="S24" s="188"/>
      <c r="T24" s="189"/>
      <c r="U24" s="189"/>
      <c r="X24" s="493"/>
      <c r="Y24" s="167"/>
      <c r="AA24" s="167"/>
      <c r="AB24" s="501"/>
      <c r="AC24" s="502"/>
      <c r="AD24" s="499"/>
      <c r="AE24" s="194"/>
      <c r="AH24" s="494"/>
      <c r="AI24" s="494"/>
      <c r="AK24" s="495"/>
      <c r="AM24" s="496"/>
    </row>
    <row r="25" spans="1:39">
      <c r="A25" s="217"/>
      <c r="B25" s="497"/>
      <c r="D25" s="498"/>
      <c r="E25" s="494"/>
      <c r="F25" s="492"/>
      <c r="G25" s="495"/>
      <c r="H25" s="167"/>
      <c r="I25" s="495"/>
      <c r="J25" s="499"/>
      <c r="K25" s="500"/>
      <c r="L25" s="193"/>
      <c r="M25" s="491"/>
      <c r="N25" s="491"/>
      <c r="O25" s="187"/>
      <c r="P25" s="202"/>
      <c r="Q25" s="202"/>
      <c r="S25" s="188"/>
      <c r="T25" s="189"/>
      <c r="U25" s="189"/>
      <c r="X25" s="493"/>
      <c r="Y25" s="167"/>
      <c r="AA25" s="167"/>
      <c r="AB25" s="501"/>
      <c r="AC25" s="502"/>
      <c r="AD25" s="499"/>
      <c r="AE25" s="194"/>
      <c r="AH25" s="494"/>
      <c r="AI25" s="494"/>
      <c r="AK25" s="495"/>
      <c r="AM25" s="496"/>
    </row>
    <row r="26" spans="1:39">
      <c r="A26" s="217"/>
      <c r="B26" s="497"/>
      <c r="D26" s="498"/>
      <c r="E26" s="494"/>
      <c r="F26" s="492"/>
      <c r="G26" s="495"/>
      <c r="H26" s="167"/>
      <c r="I26" s="495"/>
      <c r="J26" s="499"/>
      <c r="K26" s="500"/>
      <c r="L26" s="193"/>
      <c r="M26" s="491"/>
      <c r="N26" s="491"/>
      <c r="O26" s="187"/>
      <c r="P26" s="202"/>
      <c r="Q26" s="202"/>
      <c r="S26" s="188"/>
      <c r="T26" s="189"/>
      <c r="U26" s="189"/>
      <c r="X26" s="493"/>
      <c r="Y26" s="167"/>
      <c r="AA26" s="167"/>
      <c r="AB26" s="501"/>
      <c r="AC26" s="502"/>
      <c r="AD26" s="499"/>
      <c r="AE26" s="194"/>
    </row>
    <row r="27" spans="1:39">
      <c r="A27" s="217" t="s">
        <v>327</v>
      </c>
      <c r="B27" s="497">
        <v>15</v>
      </c>
      <c r="C27" s="163" t="s">
        <v>62</v>
      </c>
      <c r="D27" s="498">
        <v>30</v>
      </c>
      <c r="E27" s="494">
        <v>3</v>
      </c>
      <c r="F27" s="492">
        <v>2500</v>
      </c>
      <c r="G27" s="495">
        <v>1.4</v>
      </c>
      <c r="H27" s="167">
        <f>F27*G27*100</f>
        <v>350000</v>
      </c>
      <c r="I27" s="495">
        <v>4200</v>
      </c>
      <c r="J27" s="499">
        <v>200</v>
      </c>
      <c r="K27" s="500">
        <f>0.71*6</f>
        <v>4.26</v>
      </c>
      <c r="L27" s="193">
        <f>K27/((B27-2)*(D27-E27))</f>
        <v>1.2136752136752136E-2</v>
      </c>
      <c r="M27" s="491">
        <f>0.7*J27^0.5/I27</f>
        <v>2.3570226039551583E-3</v>
      </c>
      <c r="N27" s="491">
        <f>0.7*(0.85*0.8*J27/I27)*6000*0.85/(I27+6000)</f>
        <v>1.1333333333333332E-2</v>
      </c>
      <c r="O27" s="187">
        <f>L27*I27/(0.8*J27*0.85)</f>
        <v>0.37481146304675717</v>
      </c>
      <c r="P27" s="202">
        <f>0.9*K27*I27*(D27-E27)*(1-(0.5*O27))</f>
        <v>353296.16063348419</v>
      </c>
      <c r="Q27" s="202">
        <f>IF((H27-P27)&lt;0,0,H27-P27)</f>
        <v>0</v>
      </c>
      <c r="R27" s="163">
        <v>4200</v>
      </c>
      <c r="S27" s="188">
        <f>0.71*1</f>
        <v>0.71</v>
      </c>
      <c r="T27" s="189">
        <f>S27/((B27-2)*(D27-E27))</f>
        <v>2.0227920227920229E-3</v>
      </c>
      <c r="U27" s="189">
        <f>T27*R27/(0.8*0.85*J27)</f>
        <v>6.2468577174459528E-2</v>
      </c>
      <c r="V27" s="163">
        <f>IF(Q27=0,0,0.9*S27*R27*(D27-E27)*(1-(0.5*U27)))</f>
        <v>0</v>
      </c>
      <c r="W27" s="163" t="str">
        <f>IF(V27&gt;=Q27,"BIEN","MAL")</f>
        <v>BIEN</v>
      </c>
      <c r="X27" s="493">
        <v>3510</v>
      </c>
      <c r="Y27" s="167">
        <f>X27*G27</f>
        <v>4914</v>
      </c>
      <c r="Z27" s="163">
        <f>IF(L27&lt;0.015,0.8*(B27-2)*(D27-E27)*(0.2+(20*L27))*(0.8*J27)^0.5,0.5*0.8*(B27-2)*(D27-E27)*(0.8*J27)^0.5)</f>
        <v>1572.5374348485316</v>
      </c>
      <c r="AA27" s="167">
        <f>1.5*0.8*(B27-2)*(D27-E27)*(J27*0.8)^0.5</f>
        <v>5327.8054018516868</v>
      </c>
      <c r="AB27" s="501" t="str">
        <f>IF(AND(AA27&gt;Y27,AA27&gt;Z27),"BIEN","MAL")</f>
        <v>BIEN</v>
      </c>
      <c r="AC27" s="502">
        <v>2530</v>
      </c>
      <c r="AD27" s="499">
        <v>0.32</v>
      </c>
      <c r="AE27" s="194">
        <f>0.8*AD27*2*AC27*(D27-E27)/(Y27-Z27)</f>
        <v>10.466889668241606</v>
      </c>
      <c r="AH27" s="492">
        <v>350</v>
      </c>
      <c r="AI27" s="493">
        <v>5</v>
      </c>
      <c r="AJ27" s="163">
        <f>AI27*AH27^4/((384*B27*D27^3/12)*(IF(J27&gt;=250,14000*J27^0.5,8000*J27^0.5)))</f>
        <v>5.1171976925060897E-2</v>
      </c>
      <c r="AK27" s="495">
        <v>100</v>
      </c>
      <c r="AL27" s="163">
        <f>AK27*AH27^3/(192*(B27*D27^3/12)*IF(J27&gt;=250,14000*J27^0.5,8000*J27^0.5))</f>
        <v>5.8482259342926739E-3</v>
      </c>
      <c r="AM27" s="496">
        <f>AJ27+AL27</f>
        <v>5.7020202859353573E-2</v>
      </c>
    </row>
    <row r="28" spans="1:39">
      <c r="A28" s="217" t="s">
        <v>327</v>
      </c>
      <c r="B28" s="497">
        <v>15</v>
      </c>
      <c r="C28" s="163" t="s">
        <v>62</v>
      </c>
      <c r="D28" s="498">
        <v>30</v>
      </c>
      <c r="E28" s="494">
        <v>3</v>
      </c>
      <c r="F28" s="492">
        <v>797</v>
      </c>
      <c r="G28" s="495">
        <v>1.4</v>
      </c>
      <c r="H28" s="167">
        <f>F28*G28*100</f>
        <v>111580</v>
      </c>
      <c r="I28" s="495">
        <v>4200</v>
      </c>
      <c r="J28" s="499">
        <v>200</v>
      </c>
      <c r="K28" s="500">
        <f>0.71*2</f>
        <v>1.42</v>
      </c>
      <c r="L28" s="193">
        <f>K28/((B28-2)*(D28-E28))</f>
        <v>4.0455840455840457E-3</v>
      </c>
      <c r="M28" s="491">
        <f>0.7*J28^0.5/I28</f>
        <v>2.3570226039551583E-3</v>
      </c>
      <c r="N28" s="491">
        <f>0.7*(0.85*0.8*J28/I28)*6000*0.85/(I28+6000)</f>
        <v>1.1333333333333332E-2</v>
      </c>
      <c r="O28" s="187">
        <f>L28*I28/(0.8*J28*0.85)</f>
        <v>0.12493715434891906</v>
      </c>
      <c r="P28" s="202">
        <f>0.9*K28*I28*(D28-E28)*(1-(0.5*O28))</f>
        <v>135871.92895927603</v>
      </c>
      <c r="Q28" s="202">
        <f>IF((H28-P28)&lt;0,0,H28-P28)</f>
        <v>0</v>
      </c>
      <c r="R28" s="163">
        <v>4200</v>
      </c>
      <c r="S28" s="188">
        <f>0.71*1</f>
        <v>0.71</v>
      </c>
      <c r="T28" s="189">
        <f>S28/((B28-2)*(D28-E28))</f>
        <v>2.0227920227920229E-3</v>
      </c>
      <c r="U28" s="189">
        <f>T28*R28/(0.8*0.85*J28)</f>
        <v>6.2468577174459528E-2</v>
      </c>
      <c r="V28" s="163">
        <f>IF(Q28=0,0,0.9*S28*R28*(D28-E28)*(1-(0.5*U28)))</f>
        <v>0</v>
      </c>
      <c r="W28" s="163" t="str">
        <f>IF(V28&gt;=Q28,"BIEN","MAL")</f>
        <v>BIEN</v>
      </c>
      <c r="X28" s="493">
        <v>1744</v>
      </c>
      <c r="Y28" s="167">
        <f>X28*G28</f>
        <v>2441.6</v>
      </c>
      <c r="Z28" s="163">
        <f>IF(L28&lt;0.015,0.8*(B28-2)*(D28-E28)*(0.2+(20*L28))*(0.8*J28)^0.5,0.5*0.8*(B28-2)*(D28-E28)*(0.8*J28)^0.5)</f>
        <v>997.76184733632726</v>
      </c>
      <c r="AA28" s="167">
        <f>1.5*0.8*(B28-2)*(D28-E28)*(J28*0.8)^0.5</f>
        <v>5327.8054018516868</v>
      </c>
      <c r="AB28" s="501" t="str">
        <f>IF(AND(AA28&gt;Y28,AA28&gt;Z28),"BIEN","MAL")</f>
        <v>BIEN</v>
      </c>
      <c r="AC28" s="502">
        <v>2530</v>
      </c>
      <c r="AD28" s="499">
        <v>0.32</v>
      </c>
      <c r="AE28" s="194">
        <f>0.8*AD28*2*AC28*(D28-E28)/(Y28-Z28)</f>
        <v>24.22343524824905</v>
      </c>
      <c r="AH28" s="492">
        <v>350</v>
      </c>
      <c r="AI28" s="493">
        <v>5</v>
      </c>
      <c r="AJ28" s="163">
        <f>AI28*AH28^4/((384*B28*D28^3/12)*(IF(J28&gt;=250,14000*J28^0.5,8000*J28^0.5)))</f>
        <v>5.1171976925060897E-2</v>
      </c>
      <c r="AK28" s="495">
        <v>100</v>
      </c>
      <c r="AL28" s="163">
        <f>AK28*AH28^3/(192*(B28*D28^3/12)*IF(J28&gt;=250,14000*J28^0.5,8000*J28^0.5))</f>
        <v>5.8482259342926739E-3</v>
      </c>
      <c r="AM28" s="496">
        <f>AJ28+AL28</f>
        <v>5.7020202859353573E-2</v>
      </c>
    </row>
    <row r="29" spans="1:39">
      <c r="A29" s="217" t="s">
        <v>327</v>
      </c>
      <c r="B29" s="497">
        <v>15</v>
      </c>
      <c r="C29" s="163" t="s">
        <v>62</v>
      </c>
      <c r="D29" s="498">
        <v>30</v>
      </c>
      <c r="E29" s="494">
        <v>3</v>
      </c>
      <c r="F29" s="492">
        <v>1039</v>
      </c>
      <c r="G29" s="495">
        <v>1.4</v>
      </c>
      <c r="H29" s="167">
        <f>F29*G29*100</f>
        <v>145460</v>
      </c>
      <c r="I29" s="495">
        <v>4200</v>
      </c>
      <c r="J29" s="499">
        <v>200</v>
      </c>
      <c r="K29" s="500">
        <f>0.71*3</f>
        <v>2.13</v>
      </c>
      <c r="L29" s="193">
        <f>K29/((B29-2)*(D29-E29))</f>
        <v>6.0683760683760682E-3</v>
      </c>
      <c r="M29" s="491">
        <f>0.7*J29^0.5/I29</f>
        <v>2.3570226039551583E-3</v>
      </c>
      <c r="N29" s="491">
        <f>0.7*(0.85*0.8*J29/I29)*6000*0.85/(I29+6000)</f>
        <v>1.1333333333333332E-2</v>
      </c>
      <c r="O29" s="187">
        <f>L29*I29/(0.8*J29*0.85)</f>
        <v>0.18740573152337858</v>
      </c>
      <c r="P29" s="202">
        <f>0.9*K29*I29*(D29-E29)*(1-(0.5*O29))</f>
        <v>197017.94015837106</v>
      </c>
      <c r="Q29" s="202">
        <f>IF((H29-P29)&lt;0,0,H29-P29)</f>
        <v>0</v>
      </c>
      <c r="R29" s="163">
        <v>4200</v>
      </c>
      <c r="S29" s="188">
        <f>0.71*1</f>
        <v>0.71</v>
      </c>
      <c r="T29" s="189">
        <f>S29/((B29-2)*(D29-E29))</f>
        <v>2.0227920227920229E-3</v>
      </c>
      <c r="U29" s="189">
        <f>T29*R29/(0.8*0.85*J29)</f>
        <v>6.2468577174459528E-2</v>
      </c>
      <c r="V29" s="163">
        <f>IF(Q29=0,0,0.9*S29*R29*(D29-E29)*(1-(0.5*U29)))</f>
        <v>0</v>
      </c>
      <c r="W29" s="163" t="str">
        <f>IF(V29&gt;=Q29,"BIEN","MAL")</f>
        <v>BIEN</v>
      </c>
      <c r="X29" s="493">
        <v>2077</v>
      </c>
      <c r="Y29" s="167">
        <f>X29*G29</f>
        <v>2907.7999999999997</v>
      </c>
      <c r="Z29" s="163">
        <f>IF(L29&lt;0.015,0.8*(B29-2)*(D29-E29)*(0.2+(20*L29))*(0.8*J29)^0.5,0.5*0.8*(B29-2)*(D29-E29)*(0.8*J29)^0.5)</f>
        <v>1141.4557442143785</v>
      </c>
      <c r="AA29" s="167">
        <f>1.5*0.8*(B29-2)*(D29-E29)*(J29*0.8)^0.5</f>
        <v>5327.8054018516868</v>
      </c>
      <c r="AB29" s="501" t="str">
        <f>IF(AND(AA29&gt;Y29,AA29&gt;Z29),"BIEN","MAL")</f>
        <v>BIEN</v>
      </c>
      <c r="AC29" s="502">
        <v>2530</v>
      </c>
      <c r="AD29" s="499">
        <v>0.32</v>
      </c>
      <c r="AE29" s="194">
        <f>0.8*AD29*2*AC29*(D29-E29)/(Y29-Z29)</f>
        <v>19.800624869948813</v>
      </c>
      <c r="AH29" s="492">
        <v>350</v>
      </c>
      <c r="AI29" s="493">
        <v>5</v>
      </c>
      <c r="AJ29" s="163">
        <f>AI29*AH29^4/((384*B29*D29^3/12)*(IF(J29&gt;=250,14000*J29^0.5,8000*J29^0.5)))</f>
        <v>5.1171976925060897E-2</v>
      </c>
      <c r="AK29" s="495">
        <v>100</v>
      </c>
      <c r="AL29" s="163">
        <f>AK29*AH29^3/(192*(B29*D29^3/12)*IF(J29&gt;=250,14000*J29^0.5,8000*J29^0.5))</f>
        <v>5.8482259342926739E-3</v>
      </c>
      <c r="AM29" s="496">
        <f>AJ29+AL29</f>
        <v>5.7020202859353573E-2</v>
      </c>
    </row>
    <row r="30" spans="1:39">
      <c r="A30" s="217" t="s">
        <v>327</v>
      </c>
      <c r="B30" s="497">
        <v>16</v>
      </c>
      <c r="C30" s="163" t="s">
        <v>62</v>
      </c>
      <c r="D30" s="498">
        <v>40</v>
      </c>
      <c r="E30" s="494">
        <v>3</v>
      </c>
      <c r="F30" s="492">
        <v>4000</v>
      </c>
      <c r="G30" s="495">
        <v>1.4</v>
      </c>
      <c r="H30" s="167">
        <f>F30*G30*100</f>
        <v>560000</v>
      </c>
      <c r="I30" s="495">
        <v>4200</v>
      </c>
      <c r="J30" s="499">
        <v>200</v>
      </c>
      <c r="K30" s="500">
        <f>0.71*7</f>
        <v>4.97</v>
      </c>
      <c r="L30" s="193">
        <f>K30/((B30-2)*(D30-E30))</f>
        <v>9.5945945945945937E-3</v>
      </c>
      <c r="M30" s="491">
        <f>0.7*J30^0.5/I30</f>
        <v>2.3570226039551583E-3</v>
      </c>
      <c r="N30" s="491">
        <f>0.7*(0.85*0.8*J30/I30)*6000*0.85/(I30+6000)</f>
        <v>1.1333333333333332E-2</v>
      </c>
      <c r="O30" s="187">
        <f>L30*I30/(0.8*J30*0.85)</f>
        <v>0.29630365659777419</v>
      </c>
      <c r="P30" s="202">
        <f>0.9*K30*I30*(D30-E30)*(1-(0.5*O30))</f>
        <v>592123.24191176472</v>
      </c>
      <c r="Q30" s="202">
        <f>IF((H30-P30)&lt;0,0,H30-P30)</f>
        <v>0</v>
      </c>
      <c r="R30" s="163">
        <v>4200</v>
      </c>
      <c r="S30" s="188">
        <f>0.71*1</f>
        <v>0.71</v>
      </c>
      <c r="T30" s="189">
        <f>S30/((B30-2)*(D30-E30))</f>
        <v>1.3706563706563707E-3</v>
      </c>
      <c r="U30" s="189">
        <f>T30*R30/(0.8*0.85*J30)</f>
        <v>4.2329093799682034E-2</v>
      </c>
      <c r="V30" s="163">
        <f>IF(Q30=0,0,0.9*S30*R30*(D30-E30)*(1-(0.5*U30)))</f>
        <v>0</v>
      </c>
      <c r="W30" s="163" t="str">
        <f>IF(V30&gt;=Q30,"BIEN","MAL")</f>
        <v>BIEN</v>
      </c>
      <c r="X30" s="493">
        <v>5466</v>
      </c>
      <c r="Y30" s="167">
        <f>X30*G30</f>
        <v>7652.4</v>
      </c>
      <c r="Z30" s="163">
        <f>IF(L30&lt;0.015,0.8*(B30-2)*(D30-E30)*(0.2+(20*L30))*(0.8*J30)^0.5,0.5*0.8*(B30-2)*(D30-E30)*(0.8*J30)^0.5)</f>
        <v>2054.2155680453793</v>
      </c>
      <c r="AA30" s="167">
        <f>1.5*0.8*(B30-2)*(D30-E30)*(J30*0.8)^0.5</f>
        <v>7862.6871742426601</v>
      </c>
      <c r="AB30" s="501" t="str">
        <f>IF(AND(AA30&gt;Y30,AA30&gt;Z30),"BIEN","MAL")</f>
        <v>BIEN</v>
      </c>
      <c r="AC30" s="502">
        <v>2530</v>
      </c>
      <c r="AD30" s="499">
        <v>0.32</v>
      </c>
      <c r="AE30" s="194">
        <f>0.8*AD30*2*AC30*(D30-E30)/(Y30-Z30)</f>
        <v>8.56140425213996</v>
      </c>
      <c r="AH30" s="492">
        <v>350</v>
      </c>
      <c r="AI30" s="493">
        <v>5</v>
      </c>
      <c r="AJ30" s="163">
        <f>AI30*AH30^4/((384*B30*D30^3/12)*(IF(J30&gt;=250,14000*J30^0.5,8000*J30^0.5)))</f>
        <v>2.0238916654931313E-2</v>
      </c>
      <c r="AK30" s="495">
        <v>100</v>
      </c>
      <c r="AL30" s="163">
        <f>AK30*AH30^3/(192*(B30*D30^3/12)*IF(J30&gt;=250,14000*J30^0.5,8000*J30^0.5))</f>
        <v>2.3130190462778643E-3</v>
      </c>
      <c r="AM30" s="496">
        <f>AJ30+AL30</f>
        <v>2.2551935701209176E-2</v>
      </c>
    </row>
    <row r="31" spans="1:39">
      <c r="A31" s="217"/>
      <c r="B31" s="166"/>
      <c r="D31" s="191"/>
      <c r="E31" s="1"/>
      <c r="F31" s="2"/>
      <c r="G31" s="495"/>
      <c r="H31" s="167"/>
      <c r="I31" s="495"/>
      <c r="J31" s="499"/>
      <c r="K31" s="188"/>
      <c r="L31" s="193"/>
      <c r="M31" s="187"/>
      <c r="N31" s="187"/>
      <c r="O31" s="187"/>
      <c r="P31" s="202"/>
      <c r="Q31" s="202"/>
      <c r="S31" s="188"/>
      <c r="T31" s="189"/>
      <c r="U31" s="189"/>
      <c r="X31" s="3"/>
      <c r="Y31" s="167"/>
      <c r="AA31" s="167"/>
      <c r="AB31" s="166"/>
      <c r="AC31" s="190"/>
      <c r="AD31" s="167"/>
      <c r="AE31" s="194"/>
    </row>
    <row r="32" spans="1:39">
      <c r="G32" s="495"/>
      <c r="K32" s="188"/>
      <c r="L32" s="189"/>
      <c r="M32" s="189"/>
      <c r="N32" s="189"/>
      <c r="O32" s="189"/>
      <c r="Q32" s="143"/>
    </row>
    <row r="33" spans="11:17">
      <c r="K33" s="188"/>
      <c r="L33" s="189"/>
      <c r="M33" s="189"/>
      <c r="N33" s="189"/>
      <c r="O33" s="189"/>
      <c r="Q33" s="143"/>
    </row>
  </sheetData>
  <mergeCells count="1">
    <mergeCell ref="B15:D15"/>
  </mergeCells>
  <phoneticPr fontId="0" type="noConversion"/>
  <pageMargins left="0.59055118110236227" right="0.39370078740157483" top="0.39370078740157483" bottom="0.39370078740157483" header="0" footer="0"/>
  <pageSetup scale="70" orientation="landscape" horizontalDpi="300" verticalDpi="300" r:id="rId1"/>
  <headerFooter alignWithMargins="0">
    <oddFooter>&amp;L&amp;"Arial,Normal"TEL (FAX) 01 951 51 4 28 30&amp;C____________________________________________________________________________________________________________________________________________________________________________
.&amp;R&amp;"Arial,Normal"CED. PROF. 1718634</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86B32-50EA-41EF-9381-9F0344F44D8D}">
  <sheetPr codeName="Hoja21"/>
  <dimension ref="A1:AT56"/>
  <sheetViews>
    <sheetView zoomScale="75" zoomScaleNormal="75" workbookViewId="0">
      <selection activeCell="Q23" sqref="Q23"/>
    </sheetView>
  </sheetViews>
  <sheetFormatPr baseColWidth="10" defaultColWidth="10" defaultRowHeight="15"/>
  <cols>
    <col min="1" max="1" width="6.625" style="163" customWidth="1"/>
    <col min="2" max="2" width="4.375" style="163" customWidth="1"/>
    <col min="3" max="3" width="1.75" style="163" bestFit="1" customWidth="1"/>
    <col min="4" max="4" width="3.625" style="163" customWidth="1"/>
    <col min="5" max="5" width="2.375" style="163" customWidth="1"/>
    <col min="6" max="6" width="6.5" style="163" customWidth="1"/>
    <col min="7" max="7" width="4.75" style="163" customWidth="1"/>
    <col min="8" max="8" width="7.875" style="163" customWidth="1"/>
    <col min="9" max="9" width="5.875" style="163" customWidth="1"/>
    <col min="10" max="10" width="4.625" style="163" customWidth="1"/>
    <col min="11" max="11" width="5" style="163" customWidth="1"/>
    <col min="12" max="14" width="7.375" style="163" customWidth="1"/>
    <col min="15" max="15" width="8" style="163" customWidth="1"/>
    <col min="16" max="16" width="7.375" style="163" customWidth="1"/>
    <col min="17" max="17" width="7" style="188" customWidth="1"/>
    <col min="18" max="18" width="5.75" style="163" customWidth="1"/>
    <col min="19" max="19" width="5" style="163" customWidth="1"/>
    <col min="20" max="20" width="6.125" style="163" customWidth="1"/>
    <col min="21" max="22" width="7" style="163" customWidth="1"/>
    <col min="23" max="23" width="7.5" style="163" customWidth="1"/>
    <col min="24" max="24" width="6.25" style="163" customWidth="1"/>
    <col min="25" max="25" width="7" style="163" customWidth="1"/>
    <col min="26" max="26" width="5.875" style="163" customWidth="1"/>
    <col min="27" max="27" width="5.25" style="163" customWidth="1"/>
    <col min="28" max="28" width="5" style="163" customWidth="1"/>
    <col min="29" max="29" width="5.375" style="163" customWidth="1"/>
    <col min="30" max="30" width="5.875" style="163" customWidth="1"/>
    <col min="31" max="31" width="6" style="163" customWidth="1"/>
    <col min="32" max="33" width="5.5" style="163" customWidth="1"/>
    <col min="34" max="34" width="6.25" style="163" customWidth="1"/>
    <col min="35" max="35" width="3.875" style="163" customWidth="1"/>
    <col min="36" max="36" width="8.25" style="163" customWidth="1"/>
    <col min="37" max="16384" width="10" style="163"/>
  </cols>
  <sheetData>
    <row r="1" spans="1:46" customFormat="1" ht="12.75">
      <c r="A1" s="518"/>
      <c r="B1" s="518"/>
      <c r="C1" s="518"/>
      <c r="D1" s="518"/>
      <c r="E1" s="518"/>
      <c r="F1" s="518"/>
      <c r="G1" s="518"/>
      <c r="H1" s="518"/>
      <c r="I1" s="518"/>
      <c r="J1" s="518"/>
      <c r="K1" s="518"/>
    </row>
    <row r="2" spans="1:46" customFormat="1" ht="12.75">
      <c r="A2" s="518"/>
      <c r="B2" s="518"/>
      <c r="C2" s="518"/>
      <c r="D2" s="518"/>
      <c r="E2" s="518"/>
      <c r="F2" s="518"/>
      <c r="G2" s="518"/>
      <c r="H2" s="518"/>
      <c r="I2" s="518"/>
      <c r="J2" s="518"/>
      <c r="K2" s="518"/>
    </row>
    <row r="3" spans="1:46" customFormat="1" ht="12.75">
      <c r="A3" s="518"/>
      <c r="B3" s="518"/>
      <c r="C3" s="518"/>
      <c r="D3" s="518"/>
      <c r="E3" s="518"/>
      <c r="F3" s="518"/>
      <c r="G3" s="518"/>
      <c r="H3" s="518"/>
      <c r="I3" s="518"/>
      <c r="J3" s="518"/>
      <c r="K3" s="518"/>
    </row>
    <row r="4" spans="1:46" customFormat="1" ht="12.75">
      <c r="A4" s="518"/>
      <c r="B4" s="518"/>
      <c r="C4" s="518"/>
      <c r="D4" s="518"/>
      <c r="E4" s="518"/>
      <c r="F4" s="518"/>
      <c r="G4" s="518"/>
      <c r="H4" s="518"/>
      <c r="I4" s="518"/>
      <c r="J4" s="518"/>
      <c r="K4" s="518"/>
    </row>
    <row r="5" spans="1:46" customFormat="1" ht="12.75">
      <c r="A5" s="518"/>
      <c r="B5" s="518"/>
      <c r="C5" s="518"/>
      <c r="D5" s="518"/>
      <c r="E5" s="518"/>
      <c r="F5" s="518"/>
      <c r="G5" s="518"/>
      <c r="H5" s="518"/>
      <c r="I5" s="518"/>
      <c r="J5" s="518"/>
      <c r="K5" s="518"/>
    </row>
    <row r="6" spans="1:46" customFormat="1" ht="12.75">
      <c r="A6" s="518"/>
      <c r="B6" s="518"/>
      <c r="C6" s="518"/>
      <c r="D6" s="518"/>
      <c r="E6" s="518"/>
      <c r="F6" s="518"/>
      <c r="G6" s="518"/>
      <c r="H6" s="518"/>
      <c r="I6" s="518"/>
      <c r="J6" s="518"/>
      <c r="K6" s="518"/>
    </row>
    <row r="7" spans="1:46">
      <c r="A7" s="4" t="str">
        <f>'CG. MPB'!A7</f>
        <v>PROPIETARIO   : ING. ROLANDO ORTIZ RAMOS</v>
      </c>
    </row>
    <row r="8" spans="1:46">
      <c r="A8" s="4" t="str">
        <f>'CG. MPB'!A8</f>
        <v xml:space="preserve">OBRA                   : </v>
      </c>
    </row>
    <row r="9" spans="1:46">
      <c r="A9" s="4" t="str">
        <f>'CG. MPB'!A9</f>
        <v>LOCALIZACION : 1ª PRIVADA 13 DE SEPTIEMBRE, COL. VICENTE SUAREZ</v>
      </c>
    </row>
    <row r="10" spans="1:46" hidden="1">
      <c r="A10" s="4">
        <f>'CG. MPB'!A10</f>
        <v>0</v>
      </c>
    </row>
    <row r="11" spans="1:46" hidden="1">
      <c r="A11" s="4" t="str">
        <f>'CG. MPB'!A11</f>
        <v>TABLA No. 1</v>
      </c>
    </row>
    <row r="13" spans="1:46" ht="18">
      <c r="A13" s="308" t="s">
        <v>183</v>
      </c>
    </row>
    <row r="15" spans="1:46" ht="15.75">
      <c r="A15" s="164" t="s">
        <v>91</v>
      </c>
      <c r="B15" s="1181" t="s">
        <v>92</v>
      </c>
      <c r="C15" s="1181"/>
      <c r="D15" s="1181"/>
      <c r="E15" s="164" t="s">
        <v>93</v>
      </c>
      <c r="F15" s="164" t="s">
        <v>94</v>
      </c>
      <c r="G15" s="164" t="s">
        <v>95</v>
      </c>
      <c r="H15" s="164" t="s">
        <v>96</v>
      </c>
      <c r="I15" s="164" t="s">
        <v>97</v>
      </c>
      <c r="J15" s="164" t="s">
        <v>98</v>
      </c>
      <c r="K15" s="164" t="s">
        <v>99</v>
      </c>
      <c r="L15" s="164" t="s">
        <v>100</v>
      </c>
      <c r="M15" s="164"/>
      <c r="N15" s="164"/>
      <c r="O15" s="164" t="s">
        <v>101</v>
      </c>
      <c r="P15" s="164" t="s">
        <v>102</v>
      </c>
      <c r="Q15" s="142" t="s">
        <v>103</v>
      </c>
      <c r="R15" s="164" t="s">
        <v>104</v>
      </c>
      <c r="S15" s="164" t="s">
        <v>105</v>
      </c>
      <c r="T15" s="164" t="s">
        <v>106</v>
      </c>
      <c r="U15" s="164"/>
      <c r="V15" s="164"/>
      <c r="W15" s="164"/>
      <c r="X15" s="164" t="s">
        <v>107</v>
      </c>
      <c r="Y15" s="164" t="s">
        <v>168</v>
      </c>
      <c r="Z15" s="164" t="s">
        <v>169</v>
      </c>
      <c r="AA15" s="164" t="s">
        <v>170</v>
      </c>
      <c r="AB15" s="164" t="s">
        <v>171</v>
      </c>
      <c r="AC15" s="164" t="s">
        <v>172</v>
      </c>
      <c r="AD15" s="164" t="s">
        <v>173</v>
      </c>
      <c r="AE15" s="164" t="s">
        <v>174</v>
      </c>
      <c r="AF15" s="164" t="s">
        <v>175</v>
      </c>
      <c r="AG15" s="164" t="s">
        <v>255</v>
      </c>
      <c r="AH15" s="164" t="s">
        <v>256</v>
      </c>
      <c r="AI15" s="162"/>
      <c r="AJ15" s="162"/>
      <c r="AK15" s="162"/>
      <c r="AL15" s="162"/>
      <c r="AM15" s="162"/>
      <c r="AN15" s="162"/>
      <c r="AO15" s="162"/>
      <c r="AP15" s="162"/>
      <c r="AQ15" s="162"/>
      <c r="AR15" s="162"/>
      <c r="AS15" s="162"/>
      <c r="AT15" s="162"/>
    </row>
    <row r="16" spans="1:46">
      <c r="A16" s="165"/>
      <c r="B16" s="166"/>
      <c r="C16" s="166"/>
      <c r="D16" s="166"/>
      <c r="E16" s="165"/>
      <c r="F16" s="166"/>
      <c r="G16" s="165"/>
      <c r="H16" s="166"/>
      <c r="I16" s="165"/>
      <c r="J16" s="166"/>
      <c r="K16" s="165"/>
      <c r="L16" s="166"/>
      <c r="M16" s="165"/>
      <c r="N16" s="165"/>
      <c r="O16" s="165"/>
      <c r="P16" s="166"/>
      <c r="Q16" s="143"/>
      <c r="R16" s="166"/>
      <c r="S16" s="166"/>
      <c r="T16" s="166"/>
      <c r="U16" s="166"/>
      <c r="V16" s="166"/>
      <c r="W16" s="166"/>
      <c r="X16" s="166"/>
      <c r="Y16" s="166"/>
      <c r="Z16" s="166"/>
      <c r="AA16" s="166"/>
      <c r="AB16" s="166"/>
      <c r="AC16" s="166"/>
      <c r="AD16" s="166"/>
      <c r="AE16" s="166"/>
      <c r="AF16" s="166"/>
      <c r="AG16" s="166"/>
      <c r="AH16" s="166"/>
    </row>
    <row r="17" spans="1:44" ht="21" customHeight="1">
      <c r="A17" s="167"/>
      <c r="B17" s="168" t="s">
        <v>129</v>
      </c>
      <c r="C17" s="169"/>
      <c r="D17" s="170"/>
      <c r="E17" s="166" t="s">
        <v>176</v>
      </c>
      <c r="F17" s="171" t="s">
        <v>27</v>
      </c>
      <c r="G17" s="166" t="s">
        <v>162</v>
      </c>
      <c r="H17" s="171" t="s">
        <v>8</v>
      </c>
      <c r="I17" s="166" t="s">
        <v>163</v>
      </c>
      <c r="J17" s="171" t="s">
        <v>164</v>
      </c>
      <c r="K17" s="166" t="s">
        <v>10</v>
      </c>
      <c r="L17" s="171" t="s">
        <v>144</v>
      </c>
      <c r="M17" s="173" t="s">
        <v>393</v>
      </c>
      <c r="N17" s="171" t="s">
        <v>394</v>
      </c>
      <c r="O17" s="166" t="s">
        <v>143</v>
      </c>
      <c r="P17" s="171" t="s">
        <v>165</v>
      </c>
      <c r="Q17" s="200" t="s">
        <v>239</v>
      </c>
      <c r="R17" s="1182" t="s">
        <v>280</v>
      </c>
      <c r="S17" s="1183"/>
      <c r="T17" s="1183"/>
      <c r="U17" s="1183"/>
      <c r="V17" s="1183"/>
      <c r="W17" s="1183"/>
      <c r="X17" s="1183"/>
      <c r="Y17" s="1183"/>
      <c r="Z17" s="1184"/>
      <c r="AA17" s="173" t="s">
        <v>45</v>
      </c>
      <c r="AB17" s="171" t="s">
        <v>7</v>
      </c>
      <c r="AC17" s="174" t="s">
        <v>236</v>
      </c>
      <c r="AD17" s="174" t="s">
        <v>236</v>
      </c>
      <c r="AE17" s="174"/>
      <c r="AF17" s="175" t="s">
        <v>163</v>
      </c>
      <c r="AG17" s="172" t="s">
        <v>10</v>
      </c>
      <c r="AH17" s="176" t="s">
        <v>18</v>
      </c>
      <c r="AM17" s="166" t="s">
        <v>5</v>
      </c>
      <c r="AN17" s="166" t="s">
        <v>390</v>
      </c>
      <c r="AO17" s="166" t="s">
        <v>391</v>
      </c>
      <c r="AP17" s="163" t="s">
        <v>392</v>
      </c>
      <c r="AQ17" s="166" t="s">
        <v>391</v>
      </c>
      <c r="AR17" s="163" t="s">
        <v>391</v>
      </c>
    </row>
    <row r="18" spans="1:44">
      <c r="A18" s="167"/>
      <c r="B18" s="1185" t="s">
        <v>274</v>
      </c>
      <c r="C18" s="1186"/>
      <c r="D18" s="1187"/>
      <c r="E18" s="167"/>
      <c r="F18" s="217" t="s">
        <v>166</v>
      </c>
      <c r="G18" s="167"/>
      <c r="H18" s="217" t="s">
        <v>167</v>
      </c>
      <c r="I18" s="167"/>
      <c r="J18" s="167"/>
      <c r="K18" s="167"/>
      <c r="L18" s="167"/>
      <c r="M18" s="178"/>
      <c r="N18" s="177"/>
      <c r="O18" s="167"/>
      <c r="P18" s="167"/>
      <c r="Q18" s="201"/>
      <c r="R18" s="171" t="s">
        <v>163</v>
      </c>
      <c r="S18" s="171" t="s">
        <v>10</v>
      </c>
      <c r="T18" s="171" t="s">
        <v>144</v>
      </c>
      <c r="U18" s="171"/>
      <c r="V18" s="171"/>
      <c r="W18" s="171"/>
      <c r="X18" s="171" t="s">
        <v>143</v>
      </c>
      <c r="Y18" s="171" t="s">
        <v>27</v>
      </c>
      <c r="Z18" s="305"/>
      <c r="AA18" s="190"/>
      <c r="AB18" s="167"/>
      <c r="AD18" s="163" t="s">
        <v>238</v>
      </c>
      <c r="AF18" s="190"/>
      <c r="AG18" s="167"/>
      <c r="AH18" s="191"/>
      <c r="AM18" s="166" t="s">
        <v>23</v>
      </c>
      <c r="AN18" s="166" t="s">
        <v>322</v>
      </c>
      <c r="AO18" s="166" t="s">
        <v>23</v>
      </c>
      <c r="AP18" s="163" t="s">
        <v>122</v>
      </c>
      <c r="AQ18" s="166" t="s">
        <v>23</v>
      </c>
      <c r="AR18" s="163" t="s">
        <v>112</v>
      </c>
    </row>
    <row r="19" spans="1:44" ht="21" customHeight="1">
      <c r="A19" s="220" t="s">
        <v>77</v>
      </c>
      <c r="B19" s="173"/>
      <c r="C19" s="183"/>
      <c r="D19" s="184"/>
      <c r="E19" s="183"/>
      <c r="F19" s="172"/>
      <c r="G19" s="183"/>
      <c r="H19" s="172"/>
      <c r="I19" s="183"/>
      <c r="J19" s="172"/>
      <c r="K19" s="221"/>
      <c r="L19" s="186"/>
      <c r="M19" s="222"/>
      <c r="N19" s="222"/>
      <c r="O19" s="222"/>
      <c r="P19" s="172"/>
      <c r="Q19" s="223"/>
      <c r="R19" s="172"/>
      <c r="S19" s="223"/>
      <c r="T19" s="227"/>
      <c r="U19" s="224"/>
      <c r="V19" s="224"/>
      <c r="W19" s="224"/>
      <c r="X19" s="224"/>
      <c r="Y19" s="172"/>
      <c r="Z19" s="183"/>
      <c r="AA19" s="172"/>
      <c r="AB19" s="183"/>
      <c r="AC19" s="172"/>
      <c r="AD19" s="183"/>
      <c r="AE19" s="172"/>
      <c r="AF19" s="183"/>
      <c r="AG19" s="172"/>
      <c r="AH19" s="172"/>
    </row>
    <row r="20" spans="1:44" ht="21" customHeight="1">
      <c r="A20" s="182" t="s">
        <v>240</v>
      </c>
      <c r="B20" s="192"/>
      <c r="D20" s="191"/>
      <c r="F20" s="167"/>
      <c r="H20" s="167"/>
      <c r="J20" s="167"/>
      <c r="K20" s="185"/>
      <c r="L20" s="193"/>
      <c r="M20" s="187"/>
      <c r="N20" s="187"/>
      <c r="O20" s="187"/>
      <c r="P20" s="167"/>
      <c r="R20" s="167"/>
      <c r="S20" s="188"/>
      <c r="T20" s="197"/>
      <c r="U20" s="189"/>
      <c r="V20" s="189"/>
      <c r="W20" s="189"/>
      <c r="X20" s="189"/>
      <c r="Y20" s="167"/>
      <c r="AA20" s="167"/>
      <c r="AC20" s="167"/>
      <c r="AE20" s="167"/>
      <c r="AG20" s="167"/>
      <c r="AH20" s="167"/>
    </row>
    <row r="21" spans="1:44">
      <c r="A21" s="192" t="s">
        <v>177</v>
      </c>
      <c r="B21" s="503">
        <v>10</v>
      </c>
      <c r="C21" s="163" t="s">
        <v>62</v>
      </c>
      <c r="D21" s="498">
        <v>16</v>
      </c>
      <c r="E21" s="495">
        <v>2</v>
      </c>
      <c r="F21" s="499">
        <v>261</v>
      </c>
      <c r="G21" s="495">
        <v>1.4</v>
      </c>
      <c r="H21" s="167">
        <f t="shared" ref="H21:H32" si="0">F21*G21*100</f>
        <v>36540</v>
      </c>
      <c r="I21" s="495">
        <v>6000</v>
      </c>
      <c r="J21" s="499">
        <v>200</v>
      </c>
      <c r="K21" s="504">
        <f t="shared" ref="K21:K32" si="1">0.17795*2</f>
        <v>0.35589999999999999</v>
      </c>
      <c r="L21" s="193">
        <f t="shared" ref="L21:L32" si="2">K21/((B21-2)*(D21-E21))</f>
        <v>3.1776785714285713E-3</v>
      </c>
      <c r="M21" s="491">
        <f>0.7*J21^0.5/I21</f>
        <v>1.6499158227686109E-3</v>
      </c>
      <c r="N21" s="491">
        <f>0.7*(0.85*0.8*J21/4200)*6000*0.85/(4200+6000)*4200/I21</f>
        <v>7.9333333333333322E-3</v>
      </c>
      <c r="O21" s="187">
        <f t="shared" ref="O21:O32" si="3">L21*I21/(0.8*J21*0.85)</f>
        <v>0.14019170168067224</v>
      </c>
      <c r="P21" s="167">
        <f t="shared" ref="P21:P32" si="4">0.9*K21*I21*(D21-E21)*(1-(0.5*O21))</f>
        <v>25020.038233455882</v>
      </c>
      <c r="Q21" s="219">
        <f t="shared" ref="Q21:Q32" si="5">IF((H21-P21)&lt;0,0,H21-P21)</f>
        <v>11519.961766544118</v>
      </c>
      <c r="R21" s="499">
        <v>4200</v>
      </c>
      <c r="S21" s="500">
        <f>0.71*1</f>
        <v>0.71</v>
      </c>
      <c r="T21" s="197">
        <f>S21/((B21-2)*(D21-E21))</f>
        <v>6.339285714285714E-3</v>
      </c>
      <c r="U21" s="491">
        <f>(0.7*J21^0.5/4200)*4200/R21</f>
        <v>2.3570226039551583E-3</v>
      </c>
      <c r="V21" s="197">
        <f>(S21*R21/4200+K21*I21/4200)/((B21-2)*(D21-E21))</f>
        <v>1.0878826530612245E-2</v>
      </c>
      <c r="W21" s="491">
        <f>0.7*(0.85*0.8*J21/4200)*6000*0.85/(4200+6000)*4200/R21</f>
        <v>1.1333333333333332E-2</v>
      </c>
      <c r="X21" s="189">
        <f t="shared" ref="X21:X32" si="6">T21*R21/(0.8*0.85*J21)</f>
        <v>0.19577205882352941</v>
      </c>
      <c r="Y21" s="167">
        <f t="shared" ref="Y21:Y32" si="7">IF(Q21=0,0,0.9*S21*R21*(D21-E21)*(1-(0.5*X21)))</f>
        <v>33895.308639705887</v>
      </c>
      <c r="Z21" s="496" t="str">
        <f t="shared" ref="Z21:Z32" si="8">IF(Y21&gt;=Q21,"BIEN","MAL")</f>
        <v>BIEN</v>
      </c>
      <c r="AA21" s="499">
        <v>366</v>
      </c>
      <c r="AB21" s="163">
        <f t="shared" ref="AB21:AB32" si="9">AA21*G21</f>
        <v>512.4</v>
      </c>
      <c r="AC21" s="167">
        <f>IF(L21&lt;0.015,0.8*(B21-2)*(D21-E21)*(0.2+(20*L21))*(0.8*J21)^0.5,0.5*0.8*(B21-2)*(D21-E21)*(0.8*J21)^0.5)</f>
        <v>298.70115831312074</v>
      </c>
      <c r="AD21" s="163">
        <f>1.5*0.8*(B21-2)*(D21-E21)*(J21*0.8)^0.5</f>
        <v>1700.0404701065213</v>
      </c>
      <c r="AE21" s="505" t="str">
        <f>IF(AND(AD21&gt;AB21,AD21&gt;AC21),"BIEN","MAL")</f>
        <v>BIEN</v>
      </c>
      <c r="AF21" s="495">
        <v>5000</v>
      </c>
      <c r="AG21" s="499">
        <v>0.13</v>
      </c>
      <c r="AH21" s="228">
        <f t="shared" ref="AH21:AH32" si="10">0.8*AG21*2*AF21*(D21-E21)/(AB21-AC21)</f>
        <v>68.133265885146628</v>
      </c>
      <c r="AM21" s="495">
        <v>300</v>
      </c>
      <c r="AN21" s="495">
        <v>3</v>
      </c>
      <c r="AO21" s="163">
        <f>AN21*AM21^4/((384*B21*D21^3/12)*(IF(J21&gt;=250,14000*J21^0.5,8000*J21^0.5)))</f>
        <v>0.16386694701035598</v>
      </c>
      <c r="AP21" s="495">
        <v>100</v>
      </c>
      <c r="AQ21" s="163">
        <f>AP21*AM21^3/(192*(B21*D21^3/12)*IF(J21&gt;=250,14000*J21^0.5,8000*J21^0.5))</f>
        <v>3.6414877113412437E-2</v>
      </c>
      <c r="AR21" s="496">
        <f>AO21+AQ21</f>
        <v>0.20028182412376841</v>
      </c>
    </row>
    <row r="22" spans="1:44">
      <c r="A22" s="192" t="s">
        <v>178</v>
      </c>
      <c r="B22" s="503">
        <v>10</v>
      </c>
      <c r="C22" s="163" t="s">
        <v>62</v>
      </c>
      <c r="D22" s="498">
        <v>13</v>
      </c>
      <c r="E22" s="495">
        <v>2</v>
      </c>
      <c r="F22" s="499">
        <v>138</v>
      </c>
      <c r="G22" s="495">
        <v>1.4</v>
      </c>
      <c r="H22" s="167">
        <f t="shared" si="0"/>
        <v>19320</v>
      </c>
      <c r="I22" s="495">
        <v>6000</v>
      </c>
      <c r="J22" s="499">
        <v>200</v>
      </c>
      <c r="K22" s="504">
        <f t="shared" si="1"/>
        <v>0.35589999999999999</v>
      </c>
      <c r="L22" s="193">
        <f t="shared" si="2"/>
        <v>4.0443181818181819E-3</v>
      </c>
      <c r="M22" s="491">
        <f>0.7*J22^0.5/I22</f>
        <v>1.6499158227686109E-3</v>
      </c>
      <c r="N22" s="491">
        <f>0.7*(0.85*0.8*J22/4200)*6000*0.85/(4200+6000)*4200/I22</f>
        <v>7.9333333333333322E-3</v>
      </c>
      <c r="O22" s="187">
        <f t="shared" si="3"/>
        <v>0.17842580213903744</v>
      </c>
      <c r="P22" s="167">
        <f t="shared" si="4"/>
        <v>19254.45823345588</v>
      </c>
      <c r="Q22" s="219">
        <f t="shared" si="5"/>
        <v>65.541766544120037</v>
      </c>
      <c r="R22" s="499">
        <v>4200</v>
      </c>
      <c r="S22" s="500">
        <f>0.71*1</f>
        <v>0.71</v>
      </c>
      <c r="T22" s="197">
        <f>S22/((B22-2)*(D22-E22))</f>
        <v>8.0681818181818181E-3</v>
      </c>
      <c r="U22" s="491">
        <f>(0.7*J22^0.5/4200)*4200/R22</f>
        <v>2.3570226039551583E-3</v>
      </c>
      <c r="V22" s="197">
        <f>(S22*R22/4200+K22*I22/4200)/((B22-2)*(D22-E22))</f>
        <v>1.384577922077922E-2</v>
      </c>
      <c r="W22" s="491">
        <f>0.7*(0.85*0.8*J22/4200)*6000*0.85/(4200+6000)*4200/R22</f>
        <v>1.1333333333333332E-2</v>
      </c>
      <c r="X22" s="189">
        <f t="shared" si="6"/>
        <v>0.24916443850267378</v>
      </c>
      <c r="Y22" s="167">
        <f t="shared" si="7"/>
        <v>25843.908639705885</v>
      </c>
      <c r="Z22" s="496" t="str">
        <f t="shared" si="8"/>
        <v>BIEN</v>
      </c>
      <c r="AA22" s="499">
        <v>266</v>
      </c>
      <c r="AB22" s="163">
        <f t="shared" si="9"/>
        <v>372.4</v>
      </c>
      <c r="AC22" s="167">
        <f>IF(L22&lt;0.015,0.8*(B22-2)*(D22-E22)*(0.2+(20*L22))*(0.8*J22)^0.5,0.5*0.8*(B22-2)*(D22-E22)*(0.8*J22)^0.5)</f>
        <v>250.12857345293446</v>
      </c>
      <c r="AD22" s="163">
        <f>1.5*0.8*(B22-2)*(D22-E22)*(J22*0.8)^0.5</f>
        <v>1335.7460836551238</v>
      </c>
      <c r="AE22" s="505" t="str">
        <f>IF(AND(AD22&gt;AB22,AD22&gt;AC22),"BIEN","MAL")</f>
        <v>BIEN</v>
      </c>
      <c r="AF22" s="495">
        <v>5000</v>
      </c>
      <c r="AG22" s="499">
        <v>0.13</v>
      </c>
      <c r="AH22" s="228">
        <f t="shared" si="10"/>
        <v>93.562333597182985</v>
      </c>
      <c r="AM22" s="495">
        <v>300</v>
      </c>
      <c r="AN22" s="495">
        <v>3</v>
      </c>
      <c r="AO22" s="163">
        <f>AN22*AM22^4/((384*B22*D22^3/12)*(IF(J22&gt;=250,14000*J22^0.5,8000*J22^0.5)))</f>
        <v>0.30550706188184712</v>
      </c>
      <c r="AP22" s="495">
        <v>100</v>
      </c>
      <c r="AQ22" s="163">
        <f>AP22*AM22^3/(192*(B22*D22^3/12)*IF(J22&gt;=250,14000*J22^0.5,8000*J22^0.5))</f>
        <v>6.7890458195966022E-2</v>
      </c>
      <c r="AR22" s="496">
        <f>AO22+AQ22</f>
        <v>0.37339752007781313</v>
      </c>
    </row>
    <row r="23" spans="1:44">
      <c r="A23" s="192" t="s">
        <v>179</v>
      </c>
      <c r="B23" s="503">
        <v>10</v>
      </c>
      <c r="C23" s="163" t="s">
        <v>62</v>
      </c>
      <c r="D23" s="498">
        <v>13</v>
      </c>
      <c r="E23" s="495">
        <v>2</v>
      </c>
      <c r="F23" s="499">
        <v>108</v>
      </c>
      <c r="G23" s="495">
        <v>1.4</v>
      </c>
      <c r="H23" s="167">
        <f t="shared" si="0"/>
        <v>15119.999999999998</v>
      </c>
      <c r="I23" s="495">
        <v>6000</v>
      </c>
      <c r="J23" s="499">
        <v>200</v>
      </c>
      <c r="K23" s="504">
        <f t="shared" si="1"/>
        <v>0.35589999999999999</v>
      </c>
      <c r="L23" s="193">
        <f t="shared" si="2"/>
        <v>4.0443181818181819E-3</v>
      </c>
      <c r="M23" s="491">
        <f>0.7*J23^0.5/I23</f>
        <v>1.6499158227686109E-3</v>
      </c>
      <c r="N23" s="491">
        <f>0.7*(0.85*0.8*J23/4200)*6000*0.85/(4200+6000)*4200/I23</f>
        <v>7.9333333333333322E-3</v>
      </c>
      <c r="O23" s="187">
        <f t="shared" si="3"/>
        <v>0.17842580213903744</v>
      </c>
      <c r="P23" s="167">
        <f t="shared" si="4"/>
        <v>19254.45823345588</v>
      </c>
      <c r="Q23" s="219">
        <f t="shared" si="5"/>
        <v>0</v>
      </c>
      <c r="R23" s="499">
        <v>4200</v>
      </c>
      <c r="S23" s="500">
        <v>0</v>
      </c>
      <c r="T23" s="197">
        <f>S23/((B23-2)*(D23-E23))</f>
        <v>0</v>
      </c>
      <c r="U23" s="491">
        <f>(0.7*J23^0.5/4200)*4200/R23</f>
        <v>2.3570226039551583E-3</v>
      </c>
      <c r="V23" s="197">
        <f>(S23*R23/4200+K23*I23/4200)/((B23-2)*(D23-E23))</f>
        <v>5.7775974025974031E-3</v>
      </c>
      <c r="W23" s="491">
        <f>0.7*(0.85*0.8*J23/4200)*6000*0.85/(4200+6000)*4200/R23</f>
        <v>1.1333333333333332E-2</v>
      </c>
      <c r="X23" s="189">
        <f t="shared" si="6"/>
        <v>0</v>
      </c>
      <c r="Y23" s="167">
        <f t="shared" si="7"/>
        <v>0</v>
      </c>
      <c r="Z23" s="496" t="str">
        <f t="shared" si="8"/>
        <v>BIEN</v>
      </c>
      <c r="AA23" s="499">
        <v>235</v>
      </c>
      <c r="AB23" s="163">
        <f t="shared" si="9"/>
        <v>329</v>
      </c>
      <c r="AC23" s="167">
        <f>IF(L23&lt;0.015,0.8*(B23-2)*(D23-E23)*(0.2+(20*L23))*(0.8*J23)^0.5,0.5*0.8*(B23-2)*(D23-E23)*(0.8*J23)^0.5)</f>
        <v>250.12857345293446</v>
      </c>
      <c r="AD23" s="163">
        <f>1.5*0.8*(B23-2)*(D23-E23)*(J23*0.8)^0.5</f>
        <v>1335.7460836551238</v>
      </c>
      <c r="AE23" s="505" t="str">
        <f>IF(AND(AD23&gt;AB23,AD23&gt;AC23),"BIEN","MAL")</f>
        <v>BIEN</v>
      </c>
      <c r="AF23" s="495">
        <v>5000</v>
      </c>
      <c r="AG23" s="499">
        <v>0.13</v>
      </c>
      <c r="AH23" s="228">
        <f t="shared" si="10"/>
        <v>145.0461910077577</v>
      </c>
      <c r="AM23" s="495">
        <v>300</v>
      </c>
      <c r="AN23" s="495">
        <v>3</v>
      </c>
      <c r="AO23" s="163">
        <f>AN23*AM23^4/((384*B23*D23^3/12)*(IF(J23&gt;=250,14000*J23^0.5,8000*J23^0.5)))</f>
        <v>0.30550706188184712</v>
      </c>
      <c r="AP23" s="495">
        <v>100</v>
      </c>
      <c r="AQ23" s="163">
        <f>AP23*AM23^3/(192*(B23*D23^3/12)*IF(J23&gt;=250,14000*J23^0.5,8000*J23^0.5))</f>
        <v>6.7890458195966022E-2</v>
      </c>
      <c r="AR23" s="496">
        <f>AO23+AQ23</f>
        <v>0.37339752007781313</v>
      </c>
    </row>
    <row r="24" spans="1:44" ht="15.75">
      <c r="A24" s="182" t="s">
        <v>269</v>
      </c>
      <c r="B24" s="192"/>
      <c r="D24" s="191"/>
      <c r="F24" s="167"/>
      <c r="H24" s="167"/>
      <c r="J24" s="167"/>
      <c r="K24" s="185"/>
      <c r="L24" s="193"/>
      <c r="M24" s="187"/>
      <c r="N24" s="187"/>
      <c r="O24" s="187"/>
      <c r="P24" s="167"/>
      <c r="Q24" s="219"/>
      <c r="R24" s="167"/>
      <c r="S24" s="188"/>
      <c r="T24" s="197"/>
      <c r="U24" s="189"/>
      <c r="V24" s="189"/>
      <c r="W24" s="189"/>
      <c r="X24" s="189"/>
      <c r="Y24" s="167"/>
      <c r="AA24" s="167"/>
      <c r="AC24" s="167"/>
      <c r="AE24" s="167"/>
      <c r="AG24" s="167"/>
      <c r="AH24" s="228"/>
    </row>
    <row r="25" spans="1:44">
      <c r="A25" s="192" t="s">
        <v>237</v>
      </c>
      <c r="B25" s="503">
        <v>100</v>
      </c>
      <c r="C25" s="163" t="s">
        <v>62</v>
      </c>
      <c r="D25" s="498">
        <v>4</v>
      </c>
      <c r="E25" s="495">
        <v>2</v>
      </c>
      <c r="F25" s="506">
        <v>22.48</v>
      </c>
      <c r="G25" s="495">
        <v>1.4</v>
      </c>
      <c r="H25" s="167">
        <f>F25*G25*100</f>
        <v>3147.2</v>
      </c>
      <c r="I25" s="495">
        <v>5000</v>
      </c>
      <c r="J25" s="499">
        <v>200</v>
      </c>
      <c r="K25" s="500">
        <v>1.23</v>
      </c>
      <c r="L25" s="193">
        <f>K25/((B25-2)*(D25-E25))</f>
        <v>6.2755102040816324E-3</v>
      </c>
      <c r="M25" s="491">
        <f>0.7*J25^0.5/I25</f>
        <v>1.9798989873223332E-3</v>
      </c>
      <c r="N25" s="491">
        <f>0.7*(0.85*0.8*J25/4200)*6000*0.85/(4200+6000)*4200/I25</f>
        <v>9.5199999999999989E-3</v>
      </c>
      <c r="O25" s="187">
        <f>L25*I25/(0.8*J25*0.85)</f>
        <v>0.2307172869147659</v>
      </c>
      <c r="P25" s="167">
        <f>0.9*K25*I25*(D25-E25)*(1-(0.5*O25))</f>
        <v>9792.9798169267706</v>
      </c>
      <c r="Q25" s="219">
        <f>IF((H25-P25)&lt;0,0,H25-P25)</f>
        <v>0</v>
      </c>
      <c r="R25" s="167"/>
      <c r="S25" s="188"/>
      <c r="T25" s="197"/>
      <c r="U25" s="189"/>
      <c r="V25" s="189"/>
      <c r="W25" s="189"/>
      <c r="X25" s="189"/>
      <c r="Y25" s="167"/>
      <c r="Z25" s="496" t="str">
        <f>IF(P25&gt;=H25,"BIEN","MAL")</f>
        <v>BIEN</v>
      </c>
      <c r="AA25" s="499">
        <v>122.5</v>
      </c>
      <c r="AB25" s="163">
        <f>AA25*G25</f>
        <v>171.5</v>
      </c>
      <c r="AC25" s="167">
        <f>IF(L25&lt;0.015,0.8*(B25-2)*(D25-E25)*(0.2+(20*L25))*(0.8*J25)^0.5,0.5*0.8*(B25-2)*(D25-E25)*(0.8*J25)^0.5)</f>
        <v>645.61060709997639</v>
      </c>
      <c r="AD25" s="163">
        <f>1.5*0.8*(B25-2)*(D25-E25)*(J25*0.8)^0.5</f>
        <v>2975.0708226864122</v>
      </c>
      <c r="AE25" s="167" t="str">
        <f>IF(AND(AD25&gt;AB25,AD25&gt;AC25),"BIEN","MAL")</f>
        <v>BIEN</v>
      </c>
      <c r="AG25" s="167"/>
      <c r="AH25" s="228"/>
    </row>
    <row r="26" spans="1:44">
      <c r="A26" s="192" t="s">
        <v>192</v>
      </c>
      <c r="B26" s="503">
        <v>100</v>
      </c>
      <c r="C26" s="163" t="s">
        <v>62</v>
      </c>
      <c r="D26" s="498">
        <v>4</v>
      </c>
      <c r="E26" s="495">
        <v>2</v>
      </c>
      <c r="F26" s="506">
        <v>15</v>
      </c>
      <c r="G26" s="495">
        <v>1.4</v>
      </c>
      <c r="H26" s="167">
        <f>F26*G26*100</f>
        <v>2100</v>
      </c>
      <c r="I26" s="495">
        <v>5000</v>
      </c>
      <c r="J26" s="499">
        <v>200</v>
      </c>
      <c r="K26" s="500">
        <v>1.23</v>
      </c>
      <c r="L26" s="193">
        <f>K26/((B26-2)*(D26-E26))</f>
        <v>6.2755102040816324E-3</v>
      </c>
      <c r="M26" s="491">
        <f>0.7*J26^0.5/I26</f>
        <v>1.9798989873223332E-3</v>
      </c>
      <c r="N26" s="491">
        <f>0.7*(0.85*0.8*J26/4200)*6000*0.85/(4200+6000)*4200/I26</f>
        <v>9.5199999999999989E-3</v>
      </c>
      <c r="O26" s="187">
        <f>L26*I26/(0.8*J26*0.85)</f>
        <v>0.2307172869147659</v>
      </c>
      <c r="P26" s="167">
        <f>0.9*K26*I26*(D26-E26)*(1-(0.5*O26))</f>
        <v>9792.9798169267706</v>
      </c>
      <c r="Q26" s="219">
        <f>IF((H26-P26)&lt;0,0,H26-P26)</f>
        <v>0</v>
      </c>
      <c r="R26" s="167"/>
      <c r="S26" s="188"/>
      <c r="T26" s="197"/>
      <c r="U26" s="189"/>
      <c r="V26" s="189"/>
      <c r="W26" s="189"/>
      <c r="X26" s="189"/>
      <c r="Y26" s="167"/>
      <c r="Z26" s="496" t="str">
        <f>IF(P26&gt;=H26,"BIEN","MAL")</f>
        <v>BIEN</v>
      </c>
      <c r="AA26" s="499">
        <v>122.5</v>
      </c>
      <c r="AB26" s="163">
        <f>AA26*G26</f>
        <v>171.5</v>
      </c>
      <c r="AC26" s="167">
        <f>IF(L26&lt;0.015,0.8*(B26-2)*(D26-E26)*(0.2+(20*L26))*(0.8*J26)^0.5,0.5*0.8*(B26-2)*(D26-E26)*(0.8*J26)^0.5)</f>
        <v>645.61060709997639</v>
      </c>
      <c r="AD26" s="163">
        <f>1.5*0.8*(B26-2)*(D26-E26)*(J26*0.8)^0.5</f>
        <v>2975.0708226864122</v>
      </c>
      <c r="AE26" s="167" t="str">
        <f>IF(AND(AD26&gt;AB26,AD26&gt;AC26),"BIEN","MAL")</f>
        <v>BIEN</v>
      </c>
      <c r="AG26" s="167"/>
      <c r="AH26" s="228"/>
    </row>
    <row r="27" spans="1:44">
      <c r="A27" s="192"/>
      <c r="B27" s="192"/>
      <c r="D27" s="191"/>
      <c r="F27" s="167"/>
      <c r="H27" s="167"/>
      <c r="J27" s="167"/>
      <c r="K27" s="188"/>
      <c r="L27" s="193"/>
      <c r="M27" s="187"/>
      <c r="N27" s="187"/>
      <c r="O27" s="187"/>
      <c r="P27" s="167"/>
      <c r="Q27" s="219"/>
      <c r="R27" s="167"/>
      <c r="S27" s="188"/>
      <c r="T27" s="197"/>
      <c r="U27" s="189"/>
      <c r="V27" s="189"/>
      <c r="W27" s="189"/>
      <c r="X27" s="189"/>
      <c r="Y27" s="167"/>
      <c r="AA27" s="167"/>
      <c r="AC27" s="167"/>
      <c r="AE27" s="167"/>
      <c r="AG27" s="167"/>
      <c r="AH27" s="228"/>
    </row>
    <row r="28" spans="1:44" ht="21" customHeight="1">
      <c r="A28" s="182" t="s">
        <v>89</v>
      </c>
      <c r="B28" s="192"/>
      <c r="D28" s="191"/>
      <c r="F28" s="167"/>
      <c r="H28" s="167"/>
      <c r="J28" s="167"/>
      <c r="K28" s="185"/>
      <c r="L28" s="193"/>
      <c r="M28" s="187"/>
      <c r="N28" s="187"/>
      <c r="O28" s="187"/>
      <c r="P28" s="167"/>
      <c r="Q28" s="219"/>
      <c r="R28" s="167"/>
      <c r="S28" s="188"/>
      <c r="T28" s="197"/>
      <c r="U28" s="189"/>
      <c r="V28" s="189"/>
      <c r="W28" s="189"/>
      <c r="X28" s="189"/>
      <c r="Y28" s="167"/>
      <c r="AA28" s="167"/>
      <c r="AC28" s="167"/>
      <c r="AE28" s="167"/>
      <c r="AG28" s="167"/>
      <c r="AH28" s="228"/>
    </row>
    <row r="29" spans="1:44" ht="21" customHeight="1">
      <c r="A29" s="182" t="s">
        <v>240</v>
      </c>
      <c r="B29" s="192"/>
      <c r="D29" s="191"/>
      <c r="F29" s="167"/>
      <c r="H29" s="167"/>
      <c r="J29" s="167"/>
      <c r="K29" s="185"/>
      <c r="L29" s="193"/>
      <c r="M29" s="187"/>
      <c r="N29" s="187"/>
      <c r="O29" s="187"/>
      <c r="P29" s="167"/>
      <c r="Q29" s="219"/>
      <c r="R29" s="167"/>
      <c r="S29" s="188"/>
      <c r="T29" s="197"/>
      <c r="U29" s="189"/>
      <c r="V29" s="189"/>
      <c r="W29" s="189"/>
      <c r="X29" s="189"/>
      <c r="Y29" s="167"/>
      <c r="AA29" s="167"/>
      <c r="AC29" s="167"/>
      <c r="AE29" s="167"/>
      <c r="AG29" s="167"/>
      <c r="AH29" s="228"/>
    </row>
    <row r="30" spans="1:44">
      <c r="A30" s="192" t="s">
        <v>180</v>
      </c>
      <c r="B30" s="503">
        <v>10</v>
      </c>
      <c r="C30" s="163" t="s">
        <v>62</v>
      </c>
      <c r="D30" s="498">
        <v>13</v>
      </c>
      <c r="E30" s="495">
        <v>2</v>
      </c>
      <c r="F30" s="499">
        <v>169</v>
      </c>
      <c r="G30" s="495">
        <v>1.4</v>
      </c>
      <c r="H30" s="167">
        <f t="shared" si="0"/>
        <v>23660</v>
      </c>
      <c r="I30" s="495">
        <v>6000</v>
      </c>
      <c r="J30" s="499">
        <v>200</v>
      </c>
      <c r="K30" s="504">
        <f t="shared" si="1"/>
        <v>0.35589999999999999</v>
      </c>
      <c r="L30" s="193">
        <f t="shared" si="2"/>
        <v>4.0443181818181819E-3</v>
      </c>
      <c r="M30" s="491">
        <f>0.7*J30^0.5/I30</f>
        <v>1.6499158227686109E-3</v>
      </c>
      <c r="N30" s="491">
        <f t="shared" ref="N30:N35" si="11">0.7*(0.85*0.8*J30/4200)*6000*0.85/(4200+6000)*4200/I30</f>
        <v>7.9333333333333322E-3</v>
      </c>
      <c r="O30" s="187">
        <f t="shared" si="3"/>
        <v>0.17842580213903744</v>
      </c>
      <c r="P30" s="167">
        <f t="shared" si="4"/>
        <v>19254.45823345588</v>
      </c>
      <c r="Q30" s="219">
        <f t="shared" si="5"/>
        <v>4405.54176654412</v>
      </c>
      <c r="R30" s="499">
        <v>4200</v>
      </c>
      <c r="S30" s="500">
        <f>0.71*1</f>
        <v>0.71</v>
      </c>
      <c r="T30" s="197">
        <f>S30/((B30-2)*(D30-E30))</f>
        <v>8.0681818181818181E-3</v>
      </c>
      <c r="U30" s="491">
        <f>(0.7*J30^0.5/4200)*4200/R30</f>
        <v>2.3570226039551583E-3</v>
      </c>
      <c r="V30" s="197">
        <f>(S30*R30/4200+K30*I30/4200)/((B30-2)*(D30-E30))</f>
        <v>1.384577922077922E-2</v>
      </c>
      <c r="W30" s="491">
        <f>0.7*(0.85*0.8*J30/4200)*6000*0.85/(4200+6000)*4200/R30</f>
        <v>1.1333333333333332E-2</v>
      </c>
      <c r="X30" s="189">
        <f t="shared" si="6"/>
        <v>0.24916443850267378</v>
      </c>
      <c r="Y30" s="167">
        <f t="shared" si="7"/>
        <v>25843.908639705885</v>
      </c>
      <c r="Z30" s="496" t="str">
        <f t="shared" si="8"/>
        <v>BIEN</v>
      </c>
      <c r="AA30" s="499">
        <v>237</v>
      </c>
      <c r="AB30" s="163">
        <f t="shared" si="9"/>
        <v>331.79999999999995</v>
      </c>
      <c r="AC30" s="167">
        <f t="shared" ref="AC30:AC35" si="12">IF(L30&lt;0.015,0.8*(B30-2)*(D30-E30)*(0.2+(20*L30))*(0.8*J30)^0.5,0.5*0.8*(B30-2)*(D30-E30)*(0.8*J30)^0.5)</f>
        <v>250.12857345293446</v>
      </c>
      <c r="AD30" s="163">
        <f>1.5*0.8*(B30-2)*(D30-E30)*(J30*0.8)^0.5</f>
        <v>1335.7460836551238</v>
      </c>
      <c r="AE30" s="505" t="str">
        <f>IF(AND(AD30&gt;AB30,AD30&gt;AC30),"BIEN","MAL")</f>
        <v>BIEN</v>
      </c>
      <c r="AF30" s="495">
        <v>5000</v>
      </c>
      <c r="AG30" s="499">
        <v>0.13</v>
      </c>
      <c r="AH30" s="228">
        <f t="shared" si="10"/>
        <v>140.07346857603096</v>
      </c>
      <c r="AM30" s="495">
        <v>300</v>
      </c>
      <c r="AN30" s="495">
        <v>3</v>
      </c>
      <c r="AO30" s="163">
        <f>AN30*AM30^4/((384*B30*D30^3/12)*(IF(J30&gt;=250,14000*J30^0.5,8000*J30^0.5)))</f>
        <v>0.30550706188184712</v>
      </c>
      <c r="AP30" s="495">
        <v>100</v>
      </c>
      <c r="AQ30" s="163">
        <f>AP30*AM30^3/(192*(B30*D30^3/12)*IF(J30&gt;=250,14000*J30^0.5,8000*J30^0.5))</f>
        <v>6.7890458195966022E-2</v>
      </c>
      <c r="AR30" s="496">
        <f>AO30+AQ30</f>
        <v>0.37339752007781313</v>
      </c>
    </row>
    <row r="31" spans="1:44">
      <c r="A31" s="192" t="s">
        <v>181</v>
      </c>
      <c r="B31" s="503">
        <v>10</v>
      </c>
      <c r="C31" s="163" t="s">
        <v>62</v>
      </c>
      <c r="D31" s="498">
        <v>13</v>
      </c>
      <c r="E31" s="495">
        <v>2</v>
      </c>
      <c r="F31" s="499">
        <v>70</v>
      </c>
      <c r="G31" s="495">
        <v>1.4</v>
      </c>
      <c r="H31" s="167">
        <f t="shared" si="0"/>
        <v>9800</v>
      </c>
      <c r="I31" s="495">
        <v>6000</v>
      </c>
      <c r="J31" s="499">
        <v>200</v>
      </c>
      <c r="K31" s="504">
        <f t="shared" si="1"/>
        <v>0.35589999999999999</v>
      </c>
      <c r="L31" s="193">
        <f t="shared" si="2"/>
        <v>4.0443181818181819E-3</v>
      </c>
      <c r="M31" s="491">
        <f>0.7*J31^0.5/I31</f>
        <v>1.6499158227686109E-3</v>
      </c>
      <c r="N31" s="491">
        <f t="shared" si="11"/>
        <v>7.9333333333333322E-3</v>
      </c>
      <c r="O31" s="187">
        <f t="shared" si="3"/>
        <v>0.17842580213903744</v>
      </c>
      <c r="P31" s="167">
        <f t="shared" si="4"/>
        <v>19254.45823345588</v>
      </c>
      <c r="Q31" s="219">
        <f t="shared" si="5"/>
        <v>0</v>
      </c>
      <c r="R31" s="499">
        <v>4200</v>
      </c>
      <c r="S31" s="500">
        <f>0.71*0</f>
        <v>0</v>
      </c>
      <c r="T31" s="197">
        <f>S31/((B31-2)*(D31-E31))</f>
        <v>0</v>
      </c>
      <c r="U31" s="491">
        <f>(0.7*J31^0.5/4200)*4200/R31</f>
        <v>2.3570226039551583E-3</v>
      </c>
      <c r="V31" s="197">
        <f>(S31*R31/4200+K31*I31/4200)/((B31-2)*(D31-E31))</f>
        <v>5.7775974025974031E-3</v>
      </c>
      <c r="W31" s="491">
        <f>0.7*(0.85*0.8*J31/4200)*6000*0.85/(4200+6000)*4200/R31</f>
        <v>1.1333333333333332E-2</v>
      </c>
      <c r="X31" s="189">
        <f t="shared" si="6"/>
        <v>0</v>
      </c>
      <c r="Y31" s="167">
        <f t="shared" si="7"/>
        <v>0</v>
      </c>
      <c r="Z31" s="496" t="str">
        <f t="shared" si="8"/>
        <v>BIEN</v>
      </c>
      <c r="AA31" s="499">
        <v>152</v>
      </c>
      <c r="AB31" s="163">
        <f t="shared" si="9"/>
        <v>212.79999999999998</v>
      </c>
      <c r="AC31" s="167">
        <f t="shared" si="12"/>
        <v>250.12857345293446</v>
      </c>
      <c r="AD31" s="163">
        <f>1.5*0.8*(B31-2)*(D31-E31)*(J31*0.8)^0.5</f>
        <v>1335.7460836551238</v>
      </c>
      <c r="AE31" s="505" t="str">
        <f>IF(AND(AD31&gt;AB31,AD31&gt;AC31),"BIEN","MAL")</f>
        <v>BIEN</v>
      </c>
      <c r="AF31" s="495">
        <v>5000</v>
      </c>
      <c r="AG31" s="499">
        <v>0.13</v>
      </c>
      <c r="AH31" s="228">
        <f t="shared" si="10"/>
        <v>-306.46764507151767</v>
      </c>
      <c r="AM31" s="495">
        <v>300</v>
      </c>
      <c r="AN31" s="495">
        <v>3</v>
      </c>
      <c r="AO31" s="163">
        <f>AN31*AM31^4/((384*B31*D31^3/12)*(IF(J31&gt;=250,14000*J31^0.5,8000*J31^0.5)))</f>
        <v>0.30550706188184712</v>
      </c>
      <c r="AP31" s="495">
        <v>100</v>
      </c>
      <c r="AQ31" s="163">
        <f>AP31*AM31^3/(192*(B31*D31^3/12)*IF(J31&gt;=250,14000*J31^0.5,8000*J31^0.5))</f>
        <v>6.7890458195966022E-2</v>
      </c>
      <c r="AR31" s="496">
        <f>AO31+AQ31</f>
        <v>0.37339752007781313</v>
      </c>
    </row>
    <row r="32" spans="1:44">
      <c r="A32" s="192" t="s">
        <v>182</v>
      </c>
      <c r="B32" s="503">
        <v>10</v>
      </c>
      <c r="C32" s="163" t="s">
        <v>62</v>
      </c>
      <c r="D32" s="498">
        <v>13</v>
      </c>
      <c r="E32" s="495">
        <v>2</v>
      </c>
      <c r="F32" s="499">
        <v>89</v>
      </c>
      <c r="G32" s="495">
        <v>1.4</v>
      </c>
      <c r="H32" s="167">
        <f t="shared" si="0"/>
        <v>12460</v>
      </c>
      <c r="I32" s="495">
        <v>6000</v>
      </c>
      <c r="J32" s="499">
        <v>200</v>
      </c>
      <c r="K32" s="504">
        <f t="shared" si="1"/>
        <v>0.35589999999999999</v>
      </c>
      <c r="L32" s="193">
        <f t="shared" si="2"/>
        <v>4.0443181818181819E-3</v>
      </c>
      <c r="M32" s="491">
        <f>0.7*J32^0.5/I32</f>
        <v>1.6499158227686109E-3</v>
      </c>
      <c r="N32" s="491">
        <f t="shared" si="11"/>
        <v>7.9333333333333322E-3</v>
      </c>
      <c r="O32" s="187">
        <f t="shared" si="3"/>
        <v>0.17842580213903744</v>
      </c>
      <c r="P32" s="167">
        <f t="shared" si="4"/>
        <v>19254.45823345588</v>
      </c>
      <c r="Q32" s="219">
        <f t="shared" si="5"/>
        <v>0</v>
      </c>
      <c r="R32" s="499">
        <v>4200</v>
      </c>
      <c r="S32" s="500">
        <f>0.71*0</f>
        <v>0</v>
      </c>
      <c r="T32" s="197">
        <f>S32/((B32-2)*(D32-E32))</f>
        <v>0</v>
      </c>
      <c r="U32" s="491">
        <f>(0.7*J32^0.5/4200)*4200/R32</f>
        <v>2.3570226039551583E-3</v>
      </c>
      <c r="V32" s="197">
        <f>(S32*R32/4200+K32*I32/4200)/((B32-2)*(D32-E32))</f>
        <v>5.7775974025974031E-3</v>
      </c>
      <c r="W32" s="491">
        <f>0.7*(0.85*0.8*J32/4200)*6000*0.85/(4200+6000)*4200/R32</f>
        <v>1.1333333333333332E-2</v>
      </c>
      <c r="X32" s="189">
        <f t="shared" si="6"/>
        <v>0</v>
      </c>
      <c r="Y32" s="167">
        <f t="shared" si="7"/>
        <v>0</v>
      </c>
      <c r="Z32" s="496" t="str">
        <f t="shared" si="8"/>
        <v>BIEN</v>
      </c>
      <c r="AA32" s="499">
        <v>172</v>
      </c>
      <c r="AB32" s="163">
        <f t="shared" si="9"/>
        <v>240.79999999999998</v>
      </c>
      <c r="AC32" s="167">
        <f t="shared" si="12"/>
        <v>250.12857345293446</v>
      </c>
      <c r="AD32" s="163">
        <f>1.5*0.8*(B32-2)*(D32-E32)*(J32*0.8)^0.5</f>
        <v>1335.7460836551238</v>
      </c>
      <c r="AE32" s="505" t="str">
        <f>IF(AND(AD32&gt;AB32,AD32&gt;AC32),"BIEN","MAL")</f>
        <v>BIEN</v>
      </c>
      <c r="AF32" s="495">
        <v>5000</v>
      </c>
      <c r="AG32" s="499">
        <v>0.13</v>
      </c>
      <c r="AH32" s="228">
        <f t="shared" si="10"/>
        <v>-1226.3397032481246</v>
      </c>
      <c r="AM32" s="495">
        <v>300</v>
      </c>
      <c r="AN32" s="495">
        <v>3</v>
      </c>
      <c r="AO32" s="163">
        <f>AN32*AM32^4/((384*B32*D32^3/12)*(IF(J32&gt;=250,14000*J32^0.5,8000*J32^0.5)))</f>
        <v>0.30550706188184712</v>
      </c>
      <c r="AP32" s="495">
        <v>100</v>
      </c>
      <c r="AQ32" s="163">
        <f>AP32*AM32^3/(192*(B32*D32^3/12)*IF(J32&gt;=250,14000*J32^0.5,8000*J32^0.5))</f>
        <v>6.7890458195966022E-2</v>
      </c>
      <c r="AR32" s="496">
        <f>AO32+AQ32</f>
        <v>0.37339752007781313</v>
      </c>
    </row>
    <row r="33" spans="1:34" ht="15.75">
      <c r="A33" s="182" t="s">
        <v>269</v>
      </c>
      <c r="B33" s="192"/>
      <c r="D33" s="191"/>
      <c r="F33" s="167"/>
      <c r="H33" s="167"/>
      <c r="J33" s="167"/>
      <c r="K33" s="185"/>
      <c r="L33" s="193"/>
      <c r="M33" s="187"/>
      <c r="N33" s="187"/>
      <c r="O33" s="187"/>
      <c r="P33" s="167"/>
      <c r="R33" s="167"/>
      <c r="S33" s="188"/>
      <c r="T33" s="197"/>
      <c r="U33" s="189"/>
      <c r="V33" s="189"/>
      <c r="W33" s="189"/>
      <c r="X33" s="189"/>
      <c r="Y33" s="167"/>
      <c r="AA33" s="167"/>
      <c r="AC33" s="167"/>
      <c r="AE33" s="167"/>
      <c r="AG33" s="167"/>
      <c r="AH33" s="228"/>
    </row>
    <row r="34" spans="1:34">
      <c r="A34" s="192" t="s">
        <v>237</v>
      </c>
      <c r="B34" s="503">
        <v>100</v>
      </c>
      <c r="C34" s="163" t="s">
        <v>62</v>
      </c>
      <c r="D34" s="498">
        <v>4</v>
      </c>
      <c r="E34" s="495">
        <v>2</v>
      </c>
      <c r="F34" s="499">
        <v>14.52</v>
      </c>
      <c r="G34" s="495">
        <v>1.4</v>
      </c>
      <c r="H34" s="167">
        <f>F34*G34*100</f>
        <v>2032.8</v>
      </c>
      <c r="I34" s="495">
        <v>5000</v>
      </c>
      <c r="J34" s="499">
        <v>200</v>
      </c>
      <c r="K34" s="500">
        <v>1.23</v>
      </c>
      <c r="L34" s="193">
        <f>K34/((B34-2)*(D34-E34))</f>
        <v>6.2755102040816324E-3</v>
      </c>
      <c r="M34" s="491">
        <f>0.7*J34^0.5/I34</f>
        <v>1.9798989873223332E-3</v>
      </c>
      <c r="N34" s="491">
        <f t="shared" si="11"/>
        <v>9.5199999999999989E-3</v>
      </c>
      <c r="O34" s="187">
        <f>L34*I34/(0.8*J34*0.85)</f>
        <v>0.2307172869147659</v>
      </c>
      <c r="P34" s="167">
        <f>0.9*K34*I34*(D34-E34)*(1-(0.5*O34))</f>
        <v>9792.9798169267706</v>
      </c>
      <c r="Q34" s="188">
        <f>IF((H34-P34)&lt;0,0,H34-P34)</f>
        <v>0</v>
      </c>
      <c r="R34" s="167"/>
      <c r="S34" s="188"/>
      <c r="T34" s="197"/>
      <c r="U34" s="189"/>
      <c r="V34" s="189"/>
      <c r="W34" s="189"/>
      <c r="X34" s="189"/>
      <c r="Y34" s="167"/>
      <c r="Z34" s="496" t="str">
        <f>IF(P34&gt;=H34,"BIEN","MAL")</f>
        <v>BIEN</v>
      </c>
      <c r="AA34" s="499">
        <v>125</v>
      </c>
      <c r="AB34" s="163">
        <f>AA34*G34</f>
        <v>175</v>
      </c>
      <c r="AC34" s="167">
        <f t="shared" si="12"/>
        <v>645.61060709997639</v>
      </c>
      <c r="AD34" s="163">
        <f>1.5*0.8*(B34-2)*(D34-E34)*(J34*0.8)^0.5</f>
        <v>2975.0708226864122</v>
      </c>
      <c r="AE34" s="505" t="str">
        <f>IF(AND(AD34&gt;AB34,AD34&gt;AC34),"BIEN","MAL")</f>
        <v>BIEN</v>
      </c>
      <c r="AG34" s="167"/>
      <c r="AH34" s="228"/>
    </row>
    <row r="35" spans="1:34">
      <c r="A35" s="195" t="s">
        <v>192</v>
      </c>
      <c r="B35" s="512">
        <v>100</v>
      </c>
      <c r="C35" s="179" t="s">
        <v>62</v>
      </c>
      <c r="D35" s="511">
        <v>4</v>
      </c>
      <c r="E35" s="509">
        <v>2</v>
      </c>
      <c r="F35" s="508">
        <v>10</v>
      </c>
      <c r="G35" s="509">
        <v>1.4</v>
      </c>
      <c r="H35" s="177">
        <f>F35*G35*100</f>
        <v>1400</v>
      </c>
      <c r="I35" s="509">
        <v>5000</v>
      </c>
      <c r="J35" s="508">
        <v>200</v>
      </c>
      <c r="K35" s="510">
        <v>1.23</v>
      </c>
      <c r="L35" s="196">
        <f>K35/((B35-2)*(D35-E35))</f>
        <v>6.2755102040816324E-3</v>
      </c>
      <c r="M35" s="513">
        <f>0.7*J35^0.5/I35</f>
        <v>1.9798989873223332E-3</v>
      </c>
      <c r="N35" s="514">
        <f t="shared" si="11"/>
        <v>9.5199999999999989E-3</v>
      </c>
      <c r="O35" s="226">
        <f>L35*I35/(0.8*J35*0.85)</f>
        <v>0.2307172869147659</v>
      </c>
      <c r="P35" s="177">
        <f>0.9*K35*I35*(D35-E35)*(1-(0.5*O35))</f>
        <v>9792.9798169267706</v>
      </c>
      <c r="Q35" s="225">
        <f>IF((H35-P35)&lt;0,0,H35-P35)</f>
        <v>0</v>
      </c>
      <c r="R35" s="177"/>
      <c r="S35" s="225"/>
      <c r="T35" s="198"/>
      <c r="U35" s="218"/>
      <c r="V35" s="218"/>
      <c r="W35" s="218"/>
      <c r="X35" s="218"/>
      <c r="Y35" s="177"/>
      <c r="Z35" s="507" t="str">
        <f>IF(P35&gt;=H35,"BIEN","MAL")</f>
        <v>BIEN</v>
      </c>
      <c r="AA35" s="508">
        <v>125</v>
      </c>
      <c r="AB35" s="179">
        <f>AA35*G35</f>
        <v>175</v>
      </c>
      <c r="AC35" s="177">
        <f t="shared" si="12"/>
        <v>645.61060709997639</v>
      </c>
      <c r="AD35" s="179">
        <f>1.5*0.8*(B35-2)*(D35-E35)*(J35*0.8)^0.5</f>
        <v>2975.0708226864122</v>
      </c>
      <c r="AE35" s="507" t="str">
        <f>IF(AND(AD35&gt;AB35,AD35&gt;AC35),"BIEN","MAL")</f>
        <v>BIEN</v>
      </c>
      <c r="AF35" s="179"/>
      <c r="AG35" s="177"/>
      <c r="AH35" s="229"/>
    </row>
    <row r="44" spans="1:34" hidden="1"/>
    <row r="45" spans="1:34" hidden="1"/>
    <row r="46" spans="1:34" hidden="1"/>
    <row r="53" hidden="1"/>
    <row r="54" hidden="1"/>
    <row r="55" hidden="1"/>
    <row r="56" hidden="1"/>
  </sheetData>
  <mergeCells count="3">
    <mergeCell ref="B15:D15"/>
    <mergeCell ref="R17:Z17"/>
    <mergeCell ref="B18:D18"/>
  </mergeCells>
  <phoneticPr fontId="0" type="noConversion"/>
  <printOptions horizontalCentered="1"/>
  <pageMargins left="0.59055118110236227" right="0.39370078740157483" top="0.39370078740157483" bottom="0.59055118110236227" header="0" footer="0"/>
  <pageSetup scale="70" orientation="landscape" horizontalDpi="300" verticalDpi="300" r:id="rId1"/>
  <headerFooter alignWithMargins="0">
    <oddFooter>&amp;L&amp;"Arial,Normal"TEL (FAX) 01 951 51 4 28 30&amp;C____________________________________________________________________________________________________________________________________________________________________________
.&amp;R&amp;"Arial,Normal"CED. PROF. 1718634</oddFooter>
  </headerFooter>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91700-ACFD-44F6-A290-138F745C2808}">
  <sheetPr codeName="Hoja22">
    <pageSetUpPr fitToPage="1"/>
  </sheetPr>
  <dimension ref="A1:R70"/>
  <sheetViews>
    <sheetView showGridLines="0" topLeftCell="A19" zoomScale="101" workbookViewId="0">
      <selection activeCell="D16" sqref="D16"/>
    </sheetView>
  </sheetViews>
  <sheetFormatPr baseColWidth="10" defaultColWidth="11" defaultRowHeight="15"/>
  <cols>
    <col min="1" max="1" width="11" style="135"/>
    <col min="2" max="2" width="12.125" style="135" customWidth="1"/>
    <col min="3" max="3" width="6.375" style="135" customWidth="1"/>
    <col min="4" max="4" width="7.75" style="135" customWidth="1"/>
    <col min="5" max="5" width="8.75" style="135" customWidth="1"/>
    <col min="6" max="6" width="6.625" style="135" customWidth="1"/>
    <col min="7" max="7" width="4.75" style="135" customWidth="1"/>
    <col min="8" max="10" width="9.625" style="135" customWidth="1"/>
    <col min="11" max="11" width="7.5" style="135" customWidth="1"/>
    <col min="12" max="12" width="6.875" style="135" customWidth="1"/>
    <col min="13" max="14" width="8.875" style="135" customWidth="1"/>
    <col min="15" max="16384" width="11" style="135"/>
  </cols>
  <sheetData>
    <row r="1" spans="1:18" customFormat="1" ht="12.75">
      <c r="A1" s="518"/>
      <c r="B1" s="518"/>
      <c r="C1" s="518"/>
      <c r="D1" s="518"/>
      <c r="E1" s="518"/>
      <c r="F1" s="518"/>
      <c r="G1" s="518"/>
      <c r="H1" s="518"/>
      <c r="I1" s="518"/>
      <c r="J1" s="518"/>
      <c r="K1" s="518"/>
    </row>
    <row r="2" spans="1:18" customFormat="1" ht="12.75">
      <c r="A2" s="518"/>
      <c r="B2" s="518"/>
      <c r="C2" s="518"/>
      <c r="D2" s="518"/>
      <c r="E2" s="518"/>
      <c r="F2" s="518"/>
      <c r="G2" s="518"/>
      <c r="H2" s="518"/>
      <c r="I2" s="518"/>
      <c r="J2" s="518"/>
      <c r="K2" s="518"/>
    </row>
    <row r="3" spans="1:18" customFormat="1" ht="12.75">
      <c r="A3" s="518"/>
      <c r="B3" s="518"/>
      <c r="C3" s="518"/>
      <c r="D3" s="518"/>
      <c r="E3" s="518"/>
      <c r="F3" s="518"/>
      <c r="G3" s="518"/>
      <c r="H3" s="518"/>
      <c r="I3" s="518"/>
      <c r="J3" s="518"/>
      <c r="K3" s="518"/>
    </row>
    <row r="4" spans="1:18" customFormat="1" ht="12.75">
      <c r="A4" s="518"/>
      <c r="B4" s="518"/>
      <c r="C4" s="518"/>
      <c r="D4" s="518"/>
      <c r="E4" s="518"/>
      <c r="F4" s="518"/>
      <c r="G4" s="518"/>
      <c r="H4" s="518"/>
      <c r="I4" s="518"/>
      <c r="J4" s="518"/>
      <c r="K4" s="518"/>
    </row>
    <row r="5" spans="1:18" customFormat="1" ht="12.75">
      <c r="A5" s="518"/>
      <c r="B5" s="518"/>
      <c r="C5" s="518"/>
      <c r="D5" s="518"/>
      <c r="E5" s="518"/>
      <c r="F5" s="518"/>
      <c r="G5" s="518"/>
      <c r="H5" s="518"/>
      <c r="I5" s="518"/>
      <c r="J5" s="518"/>
      <c r="K5" s="518"/>
    </row>
    <row r="6" spans="1:18" customFormat="1" ht="12.75">
      <c r="A6" s="518"/>
      <c r="B6" s="518"/>
      <c r="C6" s="518"/>
      <c r="D6" s="518"/>
      <c r="E6" s="518"/>
      <c r="F6" s="518"/>
      <c r="G6" s="518"/>
      <c r="H6" s="518"/>
      <c r="I6" s="518"/>
      <c r="J6" s="518"/>
      <c r="K6" s="518"/>
    </row>
    <row r="9" spans="1:18" ht="15.75" thickBot="1"/>
    <row r="10" spans="1:18" ht="20.25">
      <c r="A10" s="1201" t="s">
        <v>368</v>
      </c>
      <c r="B10" s="1202"/>
      <c r="C10" s="1202"/>
      <c r="D10" s="1202"/>
      <c r="E10" s="1202"/>
      <c r="F10" s="1202"/>
      <c r="G10" s="1202"/>
      <c r="H10" s="1202"/>
      <c r="I10" s="1202"/>
      <c r="J10" s="1202"/>
      <c r="K10" s="1202"/>
      <c r="L10" s="1202"/>
      <c r="M10" s="1202"/>
      <c r="N10" s="1203"/>
    </row>
    <row r="11" spans="1:18">
      <c r="A11" s="777"/>
      <c r="N11" s="778"/>
    </row>
    <row r="12" spans="1:18">
      <c r="A12" s="777"/>
      <c r="F12" s="1208" t="s">
        <v>129</v>
      </c>
      <c r="G12" s="1209"/>
      <c r="H12" s="1191" t="s">
        <v>364</v>
      </c>
      <c r="I12" s="1192"/>
      <c r="J12" s="1193"/>
      <c r="K12" s="1191" t="s">
        <v>450</v>
      </c>
      <c r="L12" s="1192"/>
      <c r="M12" s="1192"/>
      <c r="N12" s="1204"/>
    </row>
    <row r="13" spans="1:18">
      <c r="A13" s="777"/>
      <c r="F13" s="1147"/>
      <c r="G13" s="1148"/>
      <c r="H13" s="1206" t="s">
        <v>10</v>
      </c>
      <c r="I13" s="1206" t="s">
        <v>449</v>
      </c>
      <c r="J13" s="452"/>
      <c r="K13" s="1206" t="s">
        <v>362</v>
      </c>
      <c r="L13" s="1206" t="s">
        <v>18</v>
      </c>
      <c r="M13" s="1206" t="s">
        <v>10</v>
      </c>
      <c r="N13" s="779" t="s">
        <v>363</v>
      </c>
      <c r="O13" s="139"/>
      <c r="P13" s="139"/>
    </row>
    <row r="14" spans="1:18">
      <c r="A14" s="777"/>
      <c r="F14" s="570" t="s">
        <v>360</v>
      </c>
      <c r="G14" s="570" t="s">
        <v>55</v>
      </c>
      <c r="H14" s="1207"/>
      <c r="I14" s="1207"/>
      <c r="J14" s="452" t="s">
        <v>367</v>
      </c>
      <c r="K14" s="1207"/>
      <c r="L14" s="1207"/>
      <c r="M14" s="1207"/>
      <c r="N14" s="780" t="s">
        <v>358</v>
      </c>
      <c r="O14" s="139"/>
      <c r="P14" s="139"/>
    </row>
    <row r="15" spans="1:18" ht="18.75">
      <c r="A15" s="777"/>
      <c r="D15" s="447">
        <v>150</v>
      </c>
      <c r="E15" s="432" t="s">
        <v>312</v>
      </c>
      <c r="F15" s="566">
        <v>30</v>
      </c>
      <c r="G15" s="566">
        <v>15</v>
      </c>
      <c r="H15" s="572">
        <f>(0.2*$D$15/$D$16)*F15*G15</f>
        <v>2.25</v>
      </c>
      <c r="I15" s="567">
        <f>ROUNDUP(H15/0.71,0)</f>
        <v>4</v>
      </c>
      <c r="J15" s="568">
        <v>4</v>
      </c>
      <c r="K15" s="569">
        <v>5000</v>
      </c>
      <c r="L15" s="570">
        <f>IF(F15*1.5&gt;20,20,F15*1.5)</f>
        <v>20</v>
      </c>
      <c r="M15" s="571">
        <f>1000*L15/($K$15*G15)</f>
        <v>0.26666666666666666</v>
      </c>
      <c r="N15" s="781" t="str">
        <f>IF(M15&gt;2*0.32,"MAL","BIEN")</f>
        <v>BIEN</v>
      </c>
      <c r="O15" s="144"/>
      <c r="P15" s="144">
        <f>0.32*4</f>
        <v>1.28</v>
      </c>
      <c r="Q15" s="135">
        <f>0.71*1</f>
        <v>0.71</v>
      </c>
      <c r="R15" s="135">
        <f>P15+Q15</f>
        <v>1.99</v>
      </c>
    </row>
    <row r="16" spans="1:18" ht="18.75">
      <c r="A16" s="782"/>
      <c r="D16" s="447">
        <v>6000</v>
      </c>
      <c r="E16" s="432" t="s">
        <v>312</v>
      </c>
      <c r="F16" s="566">
        <v>30</v>
      </c>
      <c r="G16" s="566">
        <v>15</v>
      </c>
      <c r="H16" s="572">
        <f>(0.2*$D$15/$D$16)*F16*G16</f>
        <v>2.25</v>
      </c>
      <c r="I16" s="567">
        <f>ROUNDUP(H16/0.71,0)</f>
        <v>4</v>
      </c>
      <c r="J16" s="568">
        <v>4</v>
      </c>
      <c r="K16" s="569"/>
      <c r="L16" s="570">
        <f>IF(F16*1.5&gt;20,20,F16*1.5)</f>
        <v>20</v>
      </c>
      <c r="M16" s="571">
        <f>1000*L16/($K$15*G16)</f>
        <v>0.26666666666666666</v>
      </c>
      <c r="N16" s="781" t="str">
        <f>IF(M16&gt;2*0.32,"MAL","BIEN")</f>
        <v>BIEN</v>
      </c>
      <c r="O16" s="144"/>
      <c r="P16" s="144">
        <f>0.32*4</f>
        <v>1.28</v>
      </c>
      <c r="Q16" s="135">
        <f>0.71*1</f>
        <v>0.71</v>
      </c>
      <c r="R16" s="135">
        <f>P16+Q16</f>
        <v>1.99</v>
      </c>
    </row>
    <row r="17" spans="1:18" ht="15.75">
      <c r="A17" s="782"/>
      <c r="D17" s="432"/>
      <c r="F17" s="566">
        <v>30</v>
      </c>
      <c r="G17" s="566">
        <v>15</v>
      </c>
      <c r="H17" s="572">
        <f>(0.2*$D$15/$D$16)*F17*G17</f>
        <v>2.25</v>
      </c>
      <c r="I17" s="567">
        <f>ROUNDUP(H17/0.71,0)</f>
        <v>4</v>
      </c>
      <c r="J17" s="568">
        <v>4</v>
      </c>
      <c r="K17" s="569"/>
      <c r="L17" s="570">
        <f>IF(F17*1.5&gt;20,20,F17*1.5)</f>
        <v>20</v>
      </c>
      <c r="M17" s="571">
        <f>1000*L17/($K$15*G17)</f>
        <v>0.26666666666666666</v>
      </c>
      <c r="N17" s="781" t="str">
        <f>IF(M17&gt;2*0.32,"MAL","BIEN")</f>
        <v>BIEN</v>
      </c>
      <c r="O17" s="144"/>
      <c r="P17" s="144">
        <f>0.32*4</f>
        <v>1.28</v>
      </c>
      <c r="Q17" s="135">
        <f>0.71*1</f>
        <v>0.71</v>
      </c>
      <c r="R17" s="135">
        <f>P17+Q17</f>
        <v>1.99</v>
      </c>
    </row>
    <row r="18" spans="1:18">
      <c r="A18" s="783" t="s">
        <v>343</v>
      </c>
      <c r="D18" s="432"/>
      <c r="F18" s="139"/>
      <c r="G18" s="139"/>
      <c r="H18" s="145"/>
      <c r="I18" s="145"/>
      <c r="J18" s="145"/>
      <c r="L18" s="139"/>
      <c r="M18" s="442"/>
      <c r="N18" s="784"/>
      <c r="O18" s="144"/>
      <c r="P18" s="144">
        <f>0.32*4</f>
        <v>1.28</v>
      </c>
      <c r="Q18" s="135">
        <f>0.71*1</f>
        <v>0.71</v>
      </c>
      <c r="R18" s="135">
        <f>P18+Q18</f>
        <v>1.99</v>
      </c>
    </row>
    <row r="19" spans="1:18" ht="18">
      <c r="A19" s="1205" t="s">
        <v>365</v>
      </c>
      <c r="B19" s="1197"/>
      <c r="D19" s="432"/>
      <c r="N19" s="778"/>
      <c r="O19" s="144"/>
      <c r="P19" s="144">
        <f>0.32*4</f>
        <v>1.28</v>
      </c>
      <c r="Q19" s="135">
        <f>0.71*1</f>
        <v>0.71</v>
      </c>
      <c r="R19" s="135">
        <f>P19+Q19</f>
        <v>1.99</v>
      </c>
    </row>
    <row r="20" spans="1:18" ht="15.75" thickBot="1">
      <c r="A20" s="782"/>
      <c r="D20" s="432"/>
      <c r="F20" s="786"/>
      <c r="G20" s="786"/>
      <c r="H20" s="786"/>
      <c r="I20" s="786"/>
      <c r="J20" s="786"/>
      <c r="K20" s="786"/>
      <c r="L20" s="786"/>
      <c r="M20" s="786"/>
      <c r="N20" s="787"/>
      <c r="O20" s="144"/>
      <c r="P20" s="144"/>
    </row>
    <row r="21" spans="1:18">
      <c r="A21" s="783" t="s">
        <v>342</v>
      </c>
      <c r="D21" s="432"/>
      <c r="O21" s="144"/>
      <c r="P21" s="144"/>
    </row>
    <row r="22" spans="1:18" ht="21" thickBot="1">
      <c r="A22" s="1198" t="s">
        <v>366</v>
      </c>
      <c r="B22" s="1199"/>
      <c r="C22" s="1200"/>
      <c r="D22" s="785"/>
      <c r="E22" s="786"/>
      <c r="F22" s="743"/>
      <c r="G22" s="743"/>
      <c r="H22" s="743"/>
      <c r="I22" s="743"/>
      <c r="J22" s="743"/>
      <c r="K22" s="743"/>
      <c r="L22" s="743"/>
      <c r="M22" s="743"/>
      <c r="N22" s="744"/>
      <c r="O22" s="144"/>
      <c r="P22" s="144"/>
    </row>
    <row r="23" spans="1:18" ht="20.25">
      <c r="A23" s="433"/>
      <c r="D23" s="432"/>
      <c r="F23" s="740"/>
      <c r="G23" s="740"/>
      <c r="H23" s="740"/>
      <c r="I23" s="740"/>
      <c r="J23" s="740"/>
      <c r="K23" s="740"/>
      <c r="L23" s="740"/>
      <c r="M23" s="740"/>
      <c r="N23" s="741"/>
      <c r="O23" s="144"/>
      <c r="P23" s="144"/>
    </row>
    <row r="24" spans="1:18">
      <c r="A24" s="433"/>
      <c r="D24" s="432"/>
      <c r="O24" s="144"/>
      <c r="P24" s="144"/>
    </row>
    <row r="25" spans="1:18">
      <c r="A25" s="433"/>
      <c r="D25" s="432"/>
      <c r="F25" s="249"/>
      <c r="G25" s="446"/>
      <c r="H25" s="1191" t="s">
        <v>364</v>
      </c>
      <c r="I25" s="1192"/>
      <c r="J25" s="1193"/>
      <c r="K25" s="1191" t="s">
        <v>361</v>
      </c>
      <c r="L25" s="1192"/>
      <c r="M25" s="1192"/>
      <c r="N25" s="1193"/>
      <c r="O25" s="144"/>
      <c r="P25" s="144"/>
    </row>
    <row r="26" spans="1:18">
      <c r="A26" s="433"/>
      <c r="D26" s="432"/>
      <c r="F26" s="1194" t="s">
        <v>129</v>
      </c>
      <c r="G26" s="1195"/>
      <c r="H26" s="141" t="s">
        <v>10</v>
      </c>
      <c r="I26" s="242" t="s">
        <v>332</v>
      </c>
      <c r="J26" s="452" t="s">
        <v>332</v>
      </c>
      <c r="K26" s="249" t="s">
        <v>362</v>
      </c>
      <c r="L26" s="243" t="s">
        <v>18</v>
      </c>
      <c r="M26" s="243" t="s">
        <v>10</v>
      </c>
      <c r="N26" s="437" t="s">
        <v>363</v>
      </c>
      <c r="O26" s="144"/>
      <c r="P26" s="144"/>
    </row>
    <row r="27" spans="1:18">
      <c r="A27" s="432"/>
      <c r="D27" s="432"/>
      <c r="F27" s="240" t="s">
        <v>360</v>
      </c>
      <c r="G27" s="439" t="s">
        <v>55</v>
      </c>
      <c r="H27" s="240"/>
      <c r="I27" s="242"/>
      <c r="J27" s="452" t="s">
        <v>367</v>
      </c>
      <c r="K27" s="241"/>
      <c r="L27" s="244"/>
      <c r="M27" s="244"/>
      <c r="N27" s="439" t="s">
        <v>358</v>
      </c>
    </row>
    <row r="28" spans="1:18" ht="15.75">
      <c r="F28" s="247">
        <v>10</v>
      </c>
      <c r="G28" s="247">
        <v>10</v>
      </c>
      <c r="H28" s="449">
        <f>(0.2*$D$15/$D$16)*F28^2</f>
        <v>0.5</v>
      </c>
      <c r="I28" s="449">
        <f>ROUNDUP(H28/0.71,0)</f>
        <v>1</v>
      </c>
      <c r="J28" s="453">
        <f>IF(I28&gt;3,I28,3)</f>
        <v>3</v>
      </c>
      <c r="K28" s="153">
        <v>2530</v>
      </c>
      <c r="L28" s="436">
        <f>IF(F28*1.5&gt;20,20,F28*1.5)</f>
        <v>15</v>
      </c>
      <c r="M28" s="440">
        <f>1000*L28/($K$15*G28)</f>
        <v>0.3</v>
      </c>
      <c r="N28" s="441" t="str">
        <f>IF(M28&gt;2*0.32,"MAL","BIEN")</f>
        <v>BIEN</v>
      </c>
    </row>
    <row r="29" spans="1:18" ht="15.75">
      <c r="A29" s="435"/>
      <c r="F29" s="448">
        <v>10</v>
      </c>
      <c r="G29" s="448">
        <v>15</v>
      </c>
      <c r="H29" s="450">
        <f t="shared" ref="H29:H38" si="0">(0.2*$D$15/$D$16)*F29^2</f>
        <v>0.5</v>
      </c>
      <c r="I29" s="450">
        <f t="shared" ref="I29:I38" si="1">ROUNDUP(H29/0.71,0)</f>
        <v>1</v>
      </c>
      <c r="J29" s="454">
        <f t="shared" ref="J29:J38" si="2">IF(I29&gt;3,I29,3)</f>
        <v>3</v>
      </c>
      <c r="L29" s="139">
        <f t="shared" ref="L29:L38" si="3">IF(F29*1.5&gt;20,20,F29*1.5)</f>
        <v>15</v>
      </c>
      <c r="M29" s="442">
        <f t="shared" ref="M29:M38" si="4">1000*L29/($K$15*G29)</f>
        <v>0.2</v>
      </c>
      <c r="N29" s="443" t="str">
        <f t="shared" ref="N29:N38" si="5">IF(M29&gt;2*0.32,"MAL","BIEN")</f>
        <v>BIEN</v>
      </c>
    </row>
    <row r="30" spans="1:18" ht="20.25">
      <c r="A30" s="742" t="s">
        <v>370</v>
      </c>
      <c r="B30" s="743"/>
      <c r="C30" s="743"/>
      <c r="D30" s="743"/>
      <c r="E30" s="743"/>
      <c r="F30" s="448">
        <v>10</v>
      </c>
      <c r="G30" s="448">
        <v>20</v>
      </c>
      <c r="H30" s="450">
        <f t="shared" si="0"/>
        <v>0.5</v>
      </c>
      <c r="I30" s="450">
        <f t="shared" si="1"/>
        <v>1</v>
      </c>
      <c r="J30" s="454">
        <f t="shared" si="2"/>
        <v>3</v>
      </c>
      <c r="L30" s="139">
        <f t="shared" si="3"/>
        <v>15</v>
      </c>
      <c r="M30" s="442">
        <f t="shared" si="4"/>
        <v>0.15</v>
      </c>
      <c r="N30" s="443" t="str">
        <f t="shared" si="5"/>
        <v>BIEN</v>
      </c>
    </row>
    <row r="31" spans="1:18" ht="20.25">
      <c r="A31" s="739" t="s">
        <v>369</v>
      </c>
      <c r="B31" s="740"/>
      <c r="C31" s="740"/>
      <c r="D31" s="740"/>
      <c r="E31" s="740"/>
      <c r="F31" s="448">
        <v>10</v>
      </c>
      <c r="G31" s="448">
        <v>25</v>
      </c>
      <c r="H31" s="450">
        <f t="shared" si="0"/>
        <v>0.5</v>
      </c>
      <c r="I31" s="450">
        <f t="shared" si="1"/>
        <v>1</v>
      </c>
      <c r="J31" s="454">
        <f t="shared" si="2"/>
        <v>3</v>
      </c>
      <c r="L31" s="139">
        <f t="shared" si="3"/>
        <v>15</v>
      </c>
      <c r="M31" s="442">
        <f t="shared" si="4"/>
        <v>0.12</v>
      </c>
      <c r="N31" s="443" t="str">
        <f t="shared" si="5"/>
        <v>BIEN</v>
      </c>
    </row>
    <row r="32" spans="1:18" ht="15.75">
      <c r="F32" s="448">
        <v>12</v>
      </c>
      <c r="G32" s="448">
        <v>10</v>
      </c>
      <c r="H32" s="450">
        <f t="shared" si="0"/>
        <v>0.72</v>
      </c>
      <c r="I32" s="450">
        <f t="shared" si="1"/>
        <v>2</v>
      </c>
      <c r="J32" s="454">
        <f t="shared" si="2"/>
        <v>3</v>
      </c>
      <c r="L32" s="139">
        <f t="shared" si="3"/>
        <v>18</v>
      </c>
      <c r="M32" s="442">
        <f t="shared" si="4"/>
        <v>0.36</v>
      </c>
      <c r="N32" s="443" t="str">
        <f t="shared" si="5"/>
        <v>BIEN</v>
      </c>
    </row>
    <row r="33" spans="1:14" ht="15.75">
      <c r="F33" s="448">
        <v>12</v>
      </c>
      <c r="G33" s="448">
        <v>15</v>
      </c>
      <c r="H33" s="450">
        <f t="shared" si="0"/>
        <v>0.72</v>
      </c>
      <c r="I33" s="450">
        <f t="shared" si="1"/>
        <v>2</v>
      </c>
      <c r="J33" s="454">
        <f t="shared" si="2"/>
        <v>3</v>
      </c>
      <c r="L33" s="139">
        <f t="shared" si="3"/>
        <v>18</v>
      </c>
      <c r="M33" s="442">
        <f t="shared" si="4"/>
        <v>0.24</v>
      </c>
      <c r="N33" s="443" t="str">
        <f t="shared" si="5"/>
        <v>BIEN</v>
      </c>
    </row>
    <row r="34" spans="1:14" ht="15.75">
      <c r="F34" s="448">
        <v>12</v>
      </c>
      <c r="G34" s="448">
        <v>20</v>
      </c>
      <c r="H34" s="450">
        <f t="shared" si="0"/>
        <v>0.72</v>
      </c>
      <c r="I34" s="450">
        <f t="shared" si="1"/>
        <v>2</v>
      </c>
      <c r="J34" s="454">
        <f t="shared" si="2"/>
        <v>3</v>
      </c>
      <c r="L34" s="139">
        <f t="shared" si="3"/>
        <v>18</v>
      </c>
      <c r="M34" s="442">
        <f t="shared" si="4"/>
        <v>0.18</v>
      </c>
      <c r="N34" s="443" t="str">
        <f t="shared" si="5"/>
        <v>BIEN</v>
      </c>
    </row>
    <row r="35" spans="1:14" ht="15.75">
      <c r="F35" s="448">
        <v>12</v>
      </c>
      <c r="G35" s="448">
        <v>25</v>
      </c>
      <c r="H35" s="450">
        <f t="shared" si="0"/>
        <v>0.72</v>
      </c>
      <c r="I35" s="450">
        <f t="shared" si="1"/>
        <v>2</v>
      </c>
      <c r="J35" s="454">
        <f t="shared" si="2"/>
        <v>3</v>
      </c>
      <c r="L35" s="139">
        <f t="shared" si="3"/>
        <v>18</v>
      </c>
      <c r="M35" s="442">
        <f t="shared" si="4"/>
        <v>0.14399999999999999</v>
      </c>
      <c r="N35" s="443" t="str">
        <f t="shared" si="5"/>
        <v>BIEN</v>
      </c>
    </row>
    <row r="36" spans="1:14" ht="18.75">
      <c r="D36" s="447">
        <v>200</v>
      </c>
      <c r="E36" s="432" t="s">
        <v>312</v>
      </c>
      <c r="F36" s="448">
        <v>14</v>
      </c>
      <c r="G36" s="448">
        <v>10</v>
      </c>
      <c r="H36" s="450">
        <f t="shared" si="0"/>
        <v>0.98</v>
      </c>
      <c r="I36" s="450">
        <f t="shared" si="1"/>
        <v>2</v>
      </c>
      <c r="J36" s="454">
        <f t="shared" si="2"/>
        <v>3</v>
      </c>
      <c r="L36" s="139">
        <f t="shared" si="3"/>
        <v>20</v>
      </c>
      <c r="M36" s="442">
        <f t="shared" si="4"/>
        <v>0.4</v>
      </c>
      <c r="N36" s="443" t="str">
        <f t="shared" si="5"/>
        <v>BIEN</v>
      </c>
    </row>
    <row r="37" spans="1:14" ht="18.75">
      <c r="A37" s="432"/>
      <c r="D37" s="447">
        <v>4200</v>
      </c>
      <c r="E37" s="432" t="s">
        <v>312</v>
      </c>
      <c r="F37" s="448">
        <v>14</v>
      </c>
      <c r="G37" s="448">
        <v>15</v>
      </c>
      <c r="H37" s="450">
        <f t="shared" si="0"/>
        <v>0.98</v>
      </c>
      <c r="I37" s="450">
        <f t="shared" si="1"/>
        <v>2</v>
      </c>
      <c r="J37" s="454">
        <f t="shared" si="2"/>
        <v>3</v>
      </c>
      <c r="L37" s="139">
        <f t="shared" si="3"/>
        <v>20</v>
      </c>
      <c r="M37" s="442">
        <f t="shared" si="4"/>
        <v>0.26666666666666666</v>
      </c>
      <c r="N37" s="443" t="str">
        <f t="shared" si="5"/>
        <v>BIEN</v>
      </c>
    </row>
    <row r="38" spans="1:14" ht="15.75">
      <c r="A38" s="432"/>
      <c r="D38" s="432"/>
      <c r="F38" s="245">
        <v>14</v>
      </c>
      <c r="G38" s="245">
        <v>20</v>
      </c>
      <c r="H38" s="451">
        <f t="shared" si="0"/>
        <v>0.98</v>
      </c>
      <c r="I38" s="451">
        <f t="shared" si="1"/>
        <v>2</v>
      </c>
      <c r="J38" s="455">
        <f t="shared" si="2"/>
        <v>3</v>
      </c>
      <c r="K38" s="154"/>
      <c r="L38" s="438">
        <f t="shared" si="3"/>
        <v>20</v>
      </c>
      <c r="M38" s="444">
        <f t="shared" si="4"/>
        <v>0.2</v>
      </c>
      <c r="N38" s="445" t="str">
        <f t="shared" si="5"/>
        <v>BIEN</v>
      </c>
    </row>
    <row r="39" spans="1:14">
      <c r="A39" s="433" t="s">
        <v>343</v>
      </c>
      <c r="D39" s="432"/>
    </row>
    <row r="40" spans="1:14" ht="18">
      <c r="A40" s="1196" t="s">
        <v>365</v>
      </c>
      <c r="B40" s="1197"/>
      <c r="D40" s="432"/>
    </row>
    <row r="41" spans="1:14">
      <c r="A41" s="432"/>
      <c r="D41" s="432"/>
    </row>
    <row r="42" spans="1:14">
      <c r="A42" s="433" t="s">
        <v>342</v>
      </c>
      <c r="D42" s="432"/>
    </row>
    <row r="43" spans="1:14">
      <c r="A43" s="1188" t="s">
        <v>366</v>
      </c>
      <c r="B43" s="1189"/>
      <c r="C43" s="1190"/>
      <c r="D43" s="432"/>
    </row>
    <row r="44" spans="1:14">
      <c r="A44" s="433"/>
      <c r="D44" s="432"/>
    </row>
    <row r="45" spans="1:14">
      <c r="A45" s="433"/>
      <c r="D45" s="432"/>
    </row>
    <row r="46" spans="1:14">
      <c r="A46" s="433"/>
      <c r="D46" s="432"/>
    </row>
    <row r="48" spans="1:14">
      <c r="B48" s="139"/>
      <c r="C48" s="139"/>
    </row>
    <row r="52" spans="2:4" ht="15.75">
      <c r="B52" s="434"/>
    </row>
    <row r="57" spans="2:4" ht="15.75">
      <c r="D57" s="434"/>
    </row>
    <row r="60" spans="2:4" ht="15.75">
      <c r="D60" s="434"/>
    </row>
    <row r="63" spans="2:4" ht="15.75">
      <c r="D63" s="434"/>
    </row>
    <row r="70" spans="2:2">
      <c r="B70" s="139"/>
    </row>
  </sheetData>
  <mergeCells count="16">
    <mergeCell ref="A22:C22"/>
    <mergeCell ref="A10:N10"/>
    <mergeCell ref="K12:N12"/>
    <mergeCell ref="H12:J12"/>
    <mergeCell ref="A19:B19"/>
    <mergeCell ref="K13:K14"/>
    <mergeCell ref="L13:L14"/>
    <mergeCell ref="M13:M14"/>
    <mergeCell ref="H13:H14"/>
    <mergeCell ref="I13:I14"/>
    <mergeCell ref="F12:G13"/>
    <mergeCell ref="A43:C43"/>
    <mergeCell ref="H25:J25"/>
    <mergeCell ref="K25:N25"/>
    <mergeCell ref="F26:G26"/>
    <mergeCell ref="A40:B40"/>
  </mergeCells>
  <phoneticPr fontId="0" type="noConversion"/>
  <printOptions horizontalCentered="1"/>
  <pageMargins left="0.59055118110236227" right="0.39370078740157483" top="0.39370078740157483" bottom="0.39370078740157483" header="0" footer="0"/>
  <pageSetup scale="64" orientation="portrait" horizontalDpi="4294967292" verticalDpi="300" r:id="rId1"/>
  <headerFooter alignWithMargins="0">
    <oddFooter>&amp;L&amp;"Arial,Normal"TEL (FAX) 01 951 51 4 28 30&amp;C___________________________________________________________________________________________________________________________________
.&amp;R&amp;"Arial,Normal"CED. PROF. 1718634</oddFooter>
  </headerFooter>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B7D0C-9615-438E-8A83-758BF8496CA0}">
  <sheetPr codeName="Hoja23"/>
  <dimension ref="A1:K61"/>
  <sheetViews>
    <sheetView showGridLines="0" zoomScale="75" workbookViewId="0">
      <selection activeCell="A19" sqref="A19:B19"/>
    </sheetView>
  </sheetViews>
  <sheetFormatPr baseColWidth="10" defaultColWidth="10" defaultRowHeight="14.25"/>
  <cols>
    <col min="1" max="1" width="13.625" style="311" customWidth="1"/>
    <col min="2" max="2" width="10.25" style="311" bestFit="1" customWidth="1"/>
    <col min="3" max="3" width="10.625" style="311" bestFit="1" customWidth="1"/>
    <col min="4" max="4" width="11.625" style="311" customWidth="1"/>
    <col min="5" max="5" width="10.125" style="311" bestFit="1" customWidth="1"/>
    <col min="6" max="16384" width="10" style="311"/>
  </cols>
  <sheetData>
    <row r="1" spans="1:11" customFormat="1" ht="12.75">
      <c r="A1" s="518"/>
      <c r="B1" s="518"/>
      <c r="C1" s="518"/>
      <c r="D1" s="518"/>
      <c r="E1" s="518"/>
      <c r="F1" s="518"/>
      <c r="G1" s="518"/>
      <c r="H1" s="518"/>
      <c r="I1" s="518"/>
      <c r="J1" s="518"/>
      <c r="K1" s="518"/>
    </row>
    <row r="2" spans="1:11" customFormat="1" ht="12.75">
      <c r="A2" s="518"/>
      <c r="B2" s="518"/>
      <c r="C2" s="518"/>
      <c r="D2" s="518"/>
      <c r="E2" s="518"/>
      <c r="F2" s="518"/>
      <c r="G2" s="518"/>
      <c r="H2" s="518"/>
      <c r="I2" s="518"/>
      <c r="J2" s="518"/>
      <c r="K2" s="518"/>
    </row>
    <row r="3" spans="1:11" customFormat="1" ht="12.75">
      <c r="A3" s="518"/>
      <c r="B3" s="518"/>
      <c r="C3" s="518"/>
      <c r="D3" s="518"/>
      <c r="E3" s="518"/>
      <c r="F3" s="518"/>
      <c r="G3" s="518"/>
      <c r="H3" s="518"/>
      <c r="I3" s="518"/>
      <c r="J3" s="518"/>
      <c r="K3" s="518"/>
    </row>
    <row r="4" spans="1:11" customFormat="1" ht="12.75">
      <c r="A4" s="518"/>
      <c r="B4" s="518"/>
      <c r="C4" s="518"/>
      <c r="D4" s="518"/>
      <c r="E4" s="518"/>
      <c r="F4" s="518"/>
      <c r="G4" s="518"/>
      <c r="H4" s="518"/>
      <c r="I4" s="518"/>
      <c r="J4" s="518"/>
      <c r="K4" s="518"/>
    </row>
    <row r="5" spans="1:11" customFormat="1" ht="12.75">
      <c r="A5" s="518"/>
      <c r="B5" s="518"/>
      <c r="C5" s="518"/>
      <c r="D5" s="518"/>
      <c r="E5" s="518"/>
      <c r="F5" s="518"/>
      <c r="G5" s="518"/>
      <c r="H5" s="518"/>
      <c r="I5" s="518"/>
      <c r="J5" s="518"/>
      <c r="K5" s="518"/>
    </row>
    <row r="6" spans="1:11" customFormat="1" ht="12.75">
      <c r="A6" s="518"/>
      <c r="B6" s="518"/>
      <c r="C6" s="518"/>
      <c r="D6" s="518"/>
      <c r="E6" s="518"/>
      <c r="F6" s="518"/>
      <c r="G6" s="518"/>
      <c r="H6" s="518"/>
      <c r="I6" s="518"/>
      <c r="J6" s="518"/>
      <c r="K6" s="518"/>
    </row>
    <row r="7" spans="1:11" ht="15">
      <c r="A7" s="4" t="str">
        <f>'CG. MPB'!A7</f>
        <v>PROPIETARIO   : ING. ROLANDO ORTIZ RAMOS</v>
      </c>
    </row>
    <row r="8" spans="1:11" ht="15">
      <c r="A8" s="4" t="str">
        <f>'CG. MPB'!A8</f>
        <v xml:space="preserve">OBRA                   : </v>
      </c>
    </row>
    <row r="9" spans="1:11" ht="15">
      <c r="A9" s="4" t="str">
        <f>'CG. MPB'!A9</f>
        <v>LOCALIZACION : 1ª PRIVADA 13 DE SEPTIEMBRE, COL. VICENTE SUAREZ</v>
      </c>
    </row>
    <row r="10" spans="1:11" ht="15">
      <c r="A10" s="4"/>
    </row>
    <row r="11" spans="1:11" ht="15.75" thickBot="1">
      <c r="A11" s="4"/>
    </row>
    <row r="12" spans="1:11" ht="15" thickTop="1">
      <c r="A12" s="312"/>
      <c r="B12" s="313"/>
      <c r="C12" s="313"/>
      <c r="D12" s="313"/>
      <c r="E12" s="313"/>
      <c r="F12" s="313"/>
      <c r="G12" s="313"/>
      <c r="H12" s="314"/>
    </row>
    <row r="13" spans="1:11" ht="20.25">
      <c r="A13" s="341" t="s">
        <v>402</v>
      </c>
      <c r="B13" s="315"/>
      <c r="C13" s="315"/>
      <c r="D13" s="315"/>
      <c r="E13" s="315"/>
      <c r="F13" s="315"/>
      <c r="G13" s="315"/>
      <c r="H13" s="316"/>
    </row>
    <row r="14" spans="1:11" ht="15" thickBot="1">
      <c r="A14" s="317"/>
      <c r="B14" s="318"/>
      <c r="C14" s="318"/>
      <c r="D14" s="318"/>
      <c r="E14" s="318"/>
      <c r="F14" s="318"/>
      <c r="G14" s="318"/>
      <c r="H14" s="319"/>
    </row>
    <row r="15" spans="1:11" ht="15" thickTop="1"/>
    <row r="16" spans="1:11">
      <c r="A16" s="311" t="s">
        <v>35</v>
      </c>
    </row>
    <row r="17" spans="1:6" ht="16.5">
      <c r="A17" s="320" t="s">
        <v>282</v>
      </c>
      <c r="B17" s="321">
        <v>1.4</v>
      </c>
      <c r="D17" s="320" t="s">
        <v>126</v>
      </c>
      <c r="E17" s="322">
        <v>250</v>
      </c>
      <c r="F17" s="311" t="s">
        <v>308</v>
      </c>
    </row>
    <row r="18" spans="1:6" ht="16.5">
      <c r="A18" s="320" t="s">
        <v>283</v>
      </c>
      <c r="B18" s="321">
        <v>1.1000000000000001</v>
      </c>
      <c r="D18" s="320" t="s">
        <v>284</v>
      </c>
      <c r="E18" s="311">
        <f>E17*0.8</f>
        <v>200</v>
      </c>
      <c r="F18" s="311" t="s">
        <v>308</v>
      </c>
    </row>
    <row r="19" spans="1:6" ht="16.5">
      <c r="A19" s="320" t="s">
        <v>285</v>
      </c>
      <c r="B19" s="323">
        <f>IF('REV.ESFUERZOS'!E36*B17&gt;'REV.ESFUERZOS'!E47*B18,'REV.ESFUERZOS'!E36,'REV.ESFUERZOS'!E47)</f>
        <v>2.2936695407710039</v>
      </c>
      <c r="C19" s="311" t="s">
        <v>286</v>
      </c>
      <c r="D19" s="320" t="s">
        <v>287</v>
      </c>
      <c r="E19" s="311">
        <f>E18*0.85</f>
        <v>170</v>
      </c>
      <c r="F19" s="311" t="s">
        <v>308</v>
      </c>
    </row>
    <row r="20" spans="1:6" ht="16.5">
      <c r="A20" s="320" t="s">
        <v>288</v>
      </c>
      <c r="B20" s="323">
        <f>'REV.ESFUERZOS'!E19</f>
        <v>10</v>
      </c>
      <c r="C20" s="311" t="s">
        <v>309</v>
      </c>
      <c r="D20" s="320" t="s">
        <v>289</v>
      </c>
      <c r="E20" s="322">
        <v>4200</v>
      </c>
      <c r="F20" s="311" t="s">
        <v>308</v>
      </c>
    </row>
    <row r="21" spans="1:6">
      <c r="A21" s="320" t="s">
        <v>290</v>
      </c>
      <c r="B21" s="321">
        <v>1</v>
      </c>
      <c r="C21" s="311" t="s">
        <v>27</v>
      </c>
      <c r="D21" s="320" t="s">
        <v>291</v>
      </c>
      <c r="E21" s="322">
        <v>0.85</v>
      </c>
      <c r="F21" s="311" t="s">
        <v>27</v>
      </c>
    </row>
    <row r="22" spans="1:6">
      <c r="A22" s="320" t="s">
        <v>292</v>
      </c>
      <c r="B22" s="321">
        <v>0.2</v>
      </c>
      <c r="C22" s="311" t="s">
        <v>27</v>
      </c>
      <c r="D22" s="320" t="s">
        <v>293</v>
      </c>
      <c r="E22" s="322">
        <v>0.05</v>
      </c>
      <c r="F22" s="311" t="s">
        <v>27</v>
      </c>
    </row>
    <row r="23" spans="1:6" ht="16.5">
      <c r="A23" s="320" t="s">
        <v>294</v>
      </c>
      <c r="B23" s="321">
        <v>0.15</v>
      </c>
      <c r="C23" s="311" t="s">
        <v>27</v>
      </c>
      <c r="D23" s="324" t="s">
        <v>310</v>
      </c>
      <c r="E23" s="322">
        <v>1.8</v>
      </c>
      <c r="F23" s="311" t="s">
        <v>311</v>
      </c>
    </row>
    <row r="31" spans="1:6">
      <c r="A31" s="325">
        <f>E21</f>
        <v>0.85</v>
      </c>
    </row>
    <row r="39" spans="1:9">
      <c r="A39" s="326">
        <f>B23-E22</f>
        <v>9.9999999999999992E-2</v>
      </c>
    </row>
    <row r="40" spans="1:9">
      <c r="E40" s="335">
        <f>B23</f>
        <v>0.15</v>
      </c>
      <c r="G40" s="324"/>
      <c r="I40" s="323"/>
    </row>
    <row r="41" spans="1:9">
      <c r="A41" s="325">
        <f>E22</f>
        <v>0.05</v>
      </c>
      <c r="G41" s="325"/>
    </row>
    <row r="42" spans="1:9">
      <c r="B42" s="349">
        <f>(B21-B22)</f>
        <v>0.8</v>
      </c>
      <c r="D42" s="327">
        <f>B22</f>
        <v>0.2</v>
      </c>
      <c r="E42" s="324"/>
    </row>
    <row r="43" spans="1:9">
      <c r="D43" s="327">
        <f>B21</f>
        <v>1</v>
      </c>
    </row>
    <row r="45" spans="1:9">
      <c r="B45" s="311" t="s">
        <v>295</v>
      </c>
    </row>
    <row r="46" spans="1:9">
      <c r="B46" s="328" t="s">
        <v>133</v>
      </c>
      <c r="C46" s="328" t="s">
        <v>296</v>
      </c>
      <c r="D46" s="328" t="s">
        <v>143</v>
      </c>
      <c r="E46" s="328" t="s">
        <v>144</v>
      </c>
      <c r="F46" s="328" t="s">
        <v>10</v>
      </c>
      <c r="G46" s="329" t="s">
        <v>297</v>
      </c>
      <c r="H46" s="329" t="s">
        <v>298</v>
      </c>
    </row>
    <row r="48" spans="1:9" ht="15">
      <c r="B48" s="330">
        <f>(B19-E21*E23)*(B42)^2/2</f>
        <v>0.24437425304672131</v>
      </c>
      <c r="C48" s="331">
        <f>IF('REV.ESFUERZOS'!E36*B17&gt;'REV.ESFUERZOS'!E47*B18,B17,B18)*B48*100000</f>
        <v>34212.395426540985</v>
      </c>
      <c r="D48" s="332">
        <f>1-(1-(2*C48)/(90*(A39*100)^2*E19))^0.5</f>
        <v>2.2616802643349199E-2</v>
      </c>
      <c r="E48" s="323">
        <f>IF(D48*E19/E20&gt;0.003,D48*E19/E20,0.003)</f>
        <v>3.0000000000000001E-3</v>
      </c>
      <c r="F48" s="323">
        <f>E48*A39*10000</f>
        <v>2.9999999999999996</v>
      </c>
      <c r="G48" s="333">
        <f>ROUND(71/F48,0)</f>
        <v>24</v>
      </c>
      <c r="H48" s="334">
        <f>ROUND(127/F48,0)</f>
        <v>42</v>
      </c>
    </row>
    <row r="49" spans="2:8" ht="15">
      <c r="B49" s="330"/>
      <c r="C49" s="330"/>
      <c r="D49" s="332"/>
      <c r="E49" s="323"/>
      <c r="F49" s="323"/>
      <c r="G49" s="333"/>
      <c r="H49" s="334"/>
    </row>
    <row r="50" spans="2:8" ht="15">
      <c r="B50" s="335" t="s">
        <v>299</v>
      </c>
      <c r="C50" s="335"/>
      <c r="D50" s="336"/>
      <c r="E50" s="323"/>
      <c r="F50" s="323">
        <f>66000*A39*100*1.5/(E20*(A39*100+100))</f>
        <v>2.1428571428571423</v>
      </c>
      <c r="G50" s="333">
        <f>ROUND(71/F50,0)</f>
        <v>33</v>
      </c>
      <c r="H50" s="334">
        <f>ROUND(127/F50,0)</f>
        <v>59</v>
      </c>
    </row>
    <row r="51" spans="2:8" ht="15">
      <c r="B51" s="330"/>
      <c r="C51" s="330"/>
      <c r="D51" s="332"/>
      <c r="E51" s="323"/>
      <c r="F51" s="323"/>
      <c r="G51" s="333"/>
      <c r="H51" s="334"/>
    </row>
    <row r="53" spans="2:8">
      <c r="B53" s="311" t="s">
        <v>300</v>
      </c>
    </row>
    <row r="54" spans="2:8">
      <c r="B54" s="328" t="s">
        <v>301</v>
      </c>
      <c r="C54" s="328" t="s">
        <v>7</v>
      </c>
      <c r="D54" s="328" t="s">
        <v>302</v>
      </c>
      <c r="E54" s="328" t="s">
        <v>303</v>
      </c>
      <c r="F54" s="328" t="s">
        <v>304</v>
      </c>
      <c r="G54" s="328" t="s">
        <v>305</v>
      </c>
    </row>
    <row r="56" spans="2:8" ht="15">
      <c r="B56" s="337">
        <f>(B42-A39)*(B19-E21*E23)</f>
        <v>0.5345686785397028</v>
      </c>
      <c r="C56" s="337">
        <f>IF('REV.ESFUERZOS'!E36*B17&gt;'REV.ESFUERZOS'!E47*B18,B17,B18)*B56*1000</f>
        <v>748.39614995558395</v>
      </c>
      <c r="D56" s="337">
        <f>IF(E48&lt;0.015,80*(A39*100)*(0.2+20*E48)*E18^0.5,0.5*80*A39*100*E18^0.5)</f>
        <v>2941.5642097360378</v>
      </c>
      <c r="E56" s="331">
        <f>1.5*80*A39*100*E18^0.5</f>
        <v>16970.562748477139</v>
      </c>
      <c r="F56" s="338" t="str">
        <f>IF(E56&gt;C56,"OK","MAL")</f>
        <v>OK</v>
      </c>
      <c r="G56" s="339" t="str">
        <f>IF(D56&gt;C56,"BIEN","MAL")</f>
        <v>BIEN</v>
      </c>
    </row>
    <row r="58" spans="2:8">
      <c r="B58" s="311" t="s">
        <v>306</v>
      </c>
    </row>
    <row r="59" spans="2:8">
      <c r="B59" s="328" t="s">
        <v>301</v>
      </c>
      <c r="C59" s="328" t="s">
        <v>7</v>
      </c>
      <c r="D59" s="328" t="s">
        <v>307</v>
      </c>
      <c r="E59" s="328" t="s">
        <v>302</v>
      </c>
      <c r="F59" s="328" t="s">
        <v>305</v>
      </c>
      <c r="G59" s="340"/>
    </row>
    <row r="61" spans="2:8" ht="15">
      <c r="B61" s="337">
        <f>(B42-A39)*(B19-E21*E23)</f>
        <v>0.5345686785397028</v>
      </c>
      <c r="C61" s="337">
        <f>IF('REV.ESFUERZOS'!E36*B17&gt;'REV.ESFUERZOS'!E47*B18,B17,B18)*B56*1000</f>
        <v>748.39614995558395</v>
      </c>
      <c r="D61" s="337">
        <f>C61/(100*A39*100)</f>
        <v>0.7483961499555839</v>
      </c>
      <c r="E61" s="337">
        <f>0.7*E18^0.5</f>
        <v>9.8994949366116654</v>
      </c>
      <c r="F61" s="334" t="str">
        <f>IF(E61&gt;D61,"BIEN","MAL")</f>
        <v>BIEN</v>
      </c>
    </row>
  </sheetData>
  <phoneticPr fontId="5" type="noConversion"/>
  <pageMargins left="0.59055118110236227" right="0.39370078740157483" top="0.39370078740157483" bottom="0.39370078740157483" header="0" footer="0"/>
  <pageSetup scale="70" orientation="portrait" horizontalDpi="300" verticalDpi="300" r:id="rId1"/>
  <headerFooter alignWithMargins="0">
    <oddFooter>&amp;L&amp;"Arial,Normal"TEL (FAX) 01 951 51 4 28 30&amp;C___________________________________________________________________________________________________________________________________
.&amp;R&amp;"Arial,Normal"CED. PROF. 1718634</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2FA18-D6D4-4A3C-BB00-1C500AE43B5A}">
  <sheetPr codeName="Hoja24"/>
  <dimension ref="A1:K61"/>
  <sheetViews>
    <sheetView showGridLines="0" topLeftCell="A10" zoomScale="75" workbookViewId="0">
      <selection activeCell="B19" sqref="B19"/>
    </sheetView>
  </sheetViews>
  <sheetFormatPr baseColWidth="10" defaultColWidth="10" defaultRowHeight="14.25"/>
  <cols>
    <col min="1" max="1" width="13.625" style="352" customWidth="1"/>
    <col min="2" max="2" width="10.25" style="352" bestFit="1" customWidth="1"/>
    <col min="3" max="3" width="10.625" style="352" bestFit="1" customWidth="1"/>
    <col min="4" max="4" width="11.625" style="352" customWidth="1"/>
    <col min="5" max="5" width="10.125" style="352" bestFit="1" customWidth="1"/>
    <col min="6" max="16384" width="10" style="352"/>
  </cols>
  <sheetData>
    <row r="1" spans="1:11" customFormat="1" ht="12.75">
      <c r="A1" s="518"/>
      <c r="B1" s="518"/>
      <c r="C1" s="518"/>
      <c r="D1" s="518"/>
      <c r="E1" s="518"/>
      <c r="F1" s="518"/>
      <c r="G1" s="518"/>
      <c r="H1" s="518"/>
      <c r="I1" s="518"/>
      <c r="J1" s="518"/>
      <c r="K1" s="518"/>
    </row>
    <row r="2" spans="1:11" customFormat="1" ht="12.75">
      <c r="A2" s="518"/>
      <c r="B2" s="518"/>
      <c r="C2" s="518"/>
      <c r="D2" s="518"/>
      <c r="E2" s="518"/>
      <c r="F2" s="518"/>
      <c r="G2" s="518"/>
      <c r="H2" s="518"/>
      <c r="I2" s="518"/>
      <c r="J2" s="518"/>
      <c r="K2" s="518"/>
    </row>
    <row r="3" spans="1:11" customFormat="1" ht="12.75">
      <c r="A3" s="518"/>
      <c r="B3" s="518"/>
      <c r="C3" s="518"/>
      <c r="D3" s="518"/>
      <c r="E3" s="518"/>
      <c r="F3" s="518"/>
      <c r="G3" s="518"/>
      <c r="H3" s="518"/>
      <c r="I3" s="518"/>
      <c r="J3" s="518"/>
      <c r="K3" s="518"/>
    </row>
    <row r="4" spans="1:11" customFormat="1" ht="12.75">
      <c r="A4" s="518"/>
      <c r="B4" s="518"/>
      <c r="C4" s="518"/>
      <c r="D4" s="518"/>
      <c r="E4" s="518"/>
      <c r="F4" s="518"/>
      <c r="G4" s="518"/>
      <c r="H4" s="518"/>
      <c r="I4" s="518"/>
      <c r="J4" s="518"/>
      <c r="K4" s="518"/>
    </row>
    <row r="5" spans="1:11" customFormat="1" ht="12.75">
      <c r="A5" s="518"/>
      <c r="B5" s="518"/>
      <c r="C5" s="518"/>
      <c r="D5" s="518"/>
      <c r="E5" s="518"/>
      <c r="F5" s="518"/>
      <c r="G5" s="518"/>
      <c r="H5" s="518"/>
      <c r="I5" s="518"/>
      <c r="J5" s="518"/>
      <c r="K5" s="518"/>
    </row>
    <row r="6" spans="1:11" customFormat="1" ht="12.75">
      <c r="A6" s="518"/>
      <c r="B6" s="518"/>
      <c r="C6" s="518"/>
      <c r="D6" s="518"/>
      <c r="E6" s="518"/>
      <c r="F6" s="518"/>
      <c r="G6" s="518"/>
      <c r="H6" s="518"/>
      <c r="I6" s="518"/>
      <c r="J6" s="518"/>
      <c r="K6" s="518"/>
    </row>
    <row r="7" spans="1:11" ht="15">
      <c r="A7" s="4" t="str">
        <f>'CG. MPB'!A7</f>
        <v>PROPIETARIO   : ING. ROLANDO ORTIZ RAMOS</v>
      </c>
    </row>
    <row r="8" spans="1:11" ht="15">
      <c r="A8" s="4" t="str">
        <f>'CG. MPB'!A8</f>
        <v xml:space="preserve">OBRA                   : </v>
      </c>
    </row>
    <row r="9" spans="1:11" ht="15">
      <c r="A9" s="4" t="str">
        <f>'CG. MPB'!A9</f>
        <v>LOCALIZACION : 1ª PRIVADA 13 DE SEPTIEMBRE, COL. VICENTE SUAREZ</v>
      </c>
    </row>
    <row r="11" spans="1:11" ht="15" thickBot="1"/>
    <row r="12" spans="1:11" ht="15" thickTop="1">
      <c r="A12" s="353"/>
      <c r="B12" s="354"/>
      <c r="C12" s="354"/>
      <c r="D12" s="354"/>
      <c r="E12" s="354"/>
      <c r="F12" s="354"/>
      <c r="G12" s="354"/>
      <c r="H12" s="355"/>
    </row>
    <row r="13" spans="1:11" ht="20.25">
      <c r="A13" s="356" t="s">
        <v>281</v>
      </c>
      <c r="B13" s="357"/>
      <c r="C13" s="357"/>
      <c r="D13" s="357"/>
      <c r="E13" s="357"/>
      <c r="F13" s="357"/>
      <c r="G13" s="357"/>
      <c r="H13" s="358"/>
    </row>
    <row r="14" spans="1:11" ht="15" thickBot="1">
      <c r="A14" s="359"/>
      <c r="B14" s="360"/>
      <c r="C14" s="360"/>
      <c r="D14" s="360"/>
      <c r="E14" s="360"/>
      <c r="F14" s="360"/>
      <c r="G14" s="360"/>
      <c r="H14" s="361"/>
    </row>
    <row r="15" spans="1:11" ht="15" thickTop="1"/>
    <row r="16" spans="1:11">
      <c r="A16" s="352" t="s">
        <v>35</v>
      </c>
    </row>
    <row r="17" spans="1:6" ht="16.5">
      <c r="A17" s="362" t="s">
        <v>282</v>
      </c>
      <c r="B17" s="363">
        <v>1.4</v>
      </c>
      <c r="D17" s="362" t="s">
        <v>126</v>
      </c>
      <c r="E17" s="364">
        <v>250</v>
      </c>
      <c r="F17" s="352" t="s">
        <v>319</v>
      </c>
    </row>
    <row r="18" spans="1:6" ht="16.5">
      <c r="A18" s="362" t="s">
        <v>283</v>
      </c>
      <c r="B18" s="363">
        <v>1.1000000000000001</v>
      </c>
      <c r="D18" s="362" t="s">
        <v>284</v>
      </c>
      <c r="E18" s="352">
        <f>E17*0.8</f>
        <v>200</v>
      </c>
      <c r="F18" s="352" t="s">
        <v>319</v>
      </c>
    </row>
    <row r="19" spans="1:6" ht="16.5">
      <c r="A19" s="362" t="s">
        <v>285</v>
      </c>
      <c r="B19" s="365">
        <f>IF('REV.ESFUERZOS'!E36*B17&gt;'REV.ESFUERZOS'!E47*B18,'REV.ESFUERZOS'!E36,'REV.ESFUERZOS'!E47)</f>
        <v>2.2936695407710039</v>
      </c>
      <c r="C19" s="352" t="s">
        <v>286</v>
      </c>
      <c r="D19" s="362" t="s">
        <v>287</v>
      </c>
      <c r="E19" s="352">
        <f>E18*0.85</f>
        <v>170</v>
      </c>
      <c r="F19" s="352" t="s">
        <v>319</v>
      </c>
    </row>
    <row r="20" spans="1:6" ht="16.5">
      <c r="A20" s="362" t="s">
        <v>288</v>
      </c>
      <c r="B20" s="365">
        <f>'REV.ESFUERZOS'!E19</f>
        <v>10</v>
      </c>
      <c r="C20" s="352" t="s">
        <v>320</v>
      </c>
      <c r="D20" s="362" t="s">
        <v>289</v>
      </c>
      <c r="E20" s="364">
        <v>4200</v>
      </c>
      <c r="F20" s="352" t="s">
        <v>319</v>
      </c>
    </row>
    <row r="21" spans="1:6">
      <c r="A21" s="362" t="s">
        <v>290</v>
      </c>
      <c r="B21" s="363">
        <v>1</v>
      </c>
      <c r="C21" s="352" t="s">
        <v>27</v>
      </c>
      <c r="D21" s="362" t="s">
        <v>291</v>
      </c>
      <c r="E21" s="364">
        <v>0.85</v>
      </c>
      <c r="F21" s="352" t="s">
        <v>27</v>
      </c>
    </row>
    <row r="22" spans="1:6">
      <c r="A22" s="362" t="s">
        <v>292</v>
      </c>
      <c r="B22" s="363">
        <v>0.2</v>
      </c>
      <c r="C22" s="352" t="s">
        <v>27</v>
      </c>
      <c r="D22" s="362" t="s">
        <v>293</v>
      </c>
      <c r="E22" s="364">
        <v>0.05</v>
      </c>
      <c r="F22" s="352" t="s">
        <v>27</v>
      </c>
    </row>
    <row r="23" spans="1:6" ht="16.5">
      <c r="A23" s="362" t="s">
        <v>294</v>
      </c>
      <c r="B23" s="363">
        <v>0.15</v>
      </c>
      <c r="C23" s="352" t="s">
        <v>27</v>
      </c>
      <c r="D23" s="366" t="s">
        <v>310</v>
      </c>
      <c r="E23" s="364">
        <v>1.8</v>
      </c>
      <c r="F23" s="352" t="s">
        <v>321</v>
      </c>
    </row>
    <row r="31" spans="1:6">
      <c r="A31" s="367">
        <f>E21</f>
        <v>0.85</v>
      </c>
    </row>
    <row r="39" spans="1:9">
      <c r="A39" s="368">
        <f>B23-E22</f>
        <v>9.9999999999999992E-2</v>
      </c>
    </row>
    <row r="40" spans="1:9">
      <c r="G40" s="366">
        <f>B23</f>
        <v>0.15</v>
      </c>
      <c r="I40" s="365"/>
    </row>
    <row r="41" spans="1:9">
      <c r="A41" s="367">
        <f>E22</f>
        <v>0.05</v>
      </c>
      <c r="G41" s="367"/>
    </row>
    <row r="42" spans="1:9">
      <c r="B42" s="366">
        <f>(B21-B22)/2</f>
        <v>0.4</v>
      </c>
      <c r="D42" s="369">
        <f>B22</f>
        <v>0.2</v>
      </c>
      <c r="E42" s="366">
        <f>(B21-B22)/2</f>
        <v>0.4</v>
      </c>
    </row>
    <row r="43" spans="1:9">
      <c r="D43" s="369">
        <f>B21</f>
        <v>1</v>
      </c>
    </row>
    <row r="45" spans="1:9">
      <c r="B45" s="352" t="s">
        <v>295</v>
      </c>
    </row>
    <row r="46" spans="1:9">
      <c r="B46" s="370" t="s">
        <v>133</v>
      </c>
      <c r="C46" s="370" t="s">
        <v>296</v>
      </c>
      <c r="D46" s="370" t="s">
        <v>143</v>
      </c>
      <c r="E46" s="370" t="s">
        <v>144</v>
      </c>
      <c r="F46" s="370" t="s">
        <v>10</v>
      </c>
      <c r="G46" s="371" t="s">
        <v>297</v>
      </c>
      <c r="H46" s="371" t="s">
        <v>298</v>
      </c>
    </row>
    <row r="48" spans="1:9" ht="15">
      <c r="B48" s="372">
        <f>(B19-E21*E23)*(B42)^2/2</f>
        <v>6.1093563261680327E-2</v>
      </c>
      <c r="C48" s="373">
        <f>IF('REV.ESFUERZOS'!E36*B17&gt;'REV.ESFUERZOS'!E47*B18,B17,B18)*B48*100000</f>
        <v>8553.0988566352462</v>
      </c>
      <c r="D48" s="374">
        <f>1-(1-(2*C48)/(90*(A39*100)^2*E19))^0.5</f>
        <v>5.6059741637737304E-3</v>
      </c>
      <c r="E48" s="365">
        <f>IF(D48*E19/E20&gt;0.003,D48*E19/E20,0.003)</f>
        <v>3.0000000000000001E-3</v>
      </c>
      <c r="F48" s="365">
        <f>E48*A39*10000</f>
        <v>2.9999999999999996</v>
      </c>
      <c r="G48" s="375">
        <f>ROUND(71/F48,0)</f>
        <v>24</v>
      </c>
      <c r="H48" s="376">
        <f>ROUND(127/F48,0)</f>
        <v>42</v>
      </c>
    </row>
    <row r="49" spans="2:8" ht="15">
      <c r="B49" s="372"/>
      <c r="C49" s="372"/>
      <c r="D49" s="374"/>
      <c r="E49" s="365"/>
      <c r="F49" s="365"/>
      <c r="G49" s="375"/>
      <c r="H49" s="376"/>
    </row>
    <row r="50" spans="2:8" ht="15">
      <c r="B50" s="377" t="s">
        <v>299</v>
      </c>
      <c r="C50" s="377"/>
      <c r="D50" s="378"/>
      <c r="E50" s="365"/>
      <c r="F50" s="365">
        <f>66000*A39*100*1.5/(E20*(A39*100+100))</f>
        <v>2.1428571428571423</v>
      </c>
      <c r="G50" s="375">
        <f>ROUND(71/F50,0)</f>
        <v>33</v>
      </c>
      <c r="H50" s="376">
        <f>ROUND(127/F50,0)</f>
        <v>59</v>
      </c>
    </row>
    <row r="51" spans="2:8" ht="15">
      <c r="B51" s="372"/>
      <c r="C51" s="372"/>
      <c r="D51" s="374"/>
      <c r="E51" s="365"/>
      <c r="F51" s="365"/>
      <c r="G51" s="375"/>
      <c r="H51" s="376"/>
    </row>
    <row r="53" spans="2:8">
      <c r="B53" s="352" t="s">
        <v>300</v>
      </c>
    </row>
    <row r="54" spans="2:8">
      <c r="B54" s="370" t="s">
        <v>301</v>
      </c>
      <c r="C54" s="370" t="s">
        <v>7</v>
      </c>
      <c r="D54" s="370" t="s">
        <v>302</v>
      </c>
      <c r="E54" s="370" t="s">
        <v>303</v>
      </c>
      <c r="F54" s="370" t="s">
        <v>304</v>
      </c>
      <c r="G54" s="370" t="s">
        <v>305</v>
      </c>
    </row>
    <row r="56" spans="2:8" ht="15">
      <c r="B56" s="379">
        <f>(B42-A39)*(B19-E21*E23)</f>
        <v>0.22910086223130122</v>
      </c>
      <c r="C56" s="379">
        <f>IF('REV.ESFUERZOS'!E36*B17&gt;'REV.ESFUERZOS'!E47*B18,B17,B18)*B56*1000</f>
        <v>320.74120712382171</v>
      </c>
      <c r="D56" s="379">
        <f>IF(E48&lt;0.015,80*(A39*100)*(0.2+20*E48)*E18^0.5,0.5*80*A39*100*E18^0.5)</f>
        <v>2941.5642097360378</v>
      </c>
      <c r="E56" s="373">
        <f>1.5*80*A39*100*E18^0.5</f>
        <v>16970.562748477139</v>
      </c>
      <c r="F56" s="380" t="str">
        <f>IF(E56&gt;C56,"OK","MAL")</f>
        <v>OK</v>
      </c>
      <c r="G56" s="381" t="str">
        <f>IF(D56&gt;C56,"BIEN","MAL")</f>
        <v>BIEN</v>
      </c>
    </row>
    <row r="58" spans="2:8">
      <c r="B58" s="352" t="s">
        <v>306</v>
      </c>
    </row>
    <row r="59" spans="2:8">
      <c r="B59" s="370" t="s">
        <v>301</v>
      </c>
      <c r="C59" s="370" t="s">
        <v>7</v>
      </c>
      <c r="D59" s="370" t="s">
        <v>307</v>
      </c>
      <c r="E59" s="370" t="s">
        <v>302</v>
      </c>
      <c r="F59" s="370" t="s">
        <v>305</v>
      </c>
      <c r="G59" s="382"/>
    </row>
    <row r="61" spans="2:8" ht="15">
      <c r="B61" s="379">
        <f>(B42-A39)*(B19-E21*E23)</f>
        <v>0.22910086223130122</v>
      </c>
      <c r="C61" s="379">
        <f>IF('REV.ESFUERZOS'!E36*B17&gt;'REV.ESFUERZOS'!E47*B18,B17,B18)*B56*1000</f>
        <v>320.74120712382171</v>
      </c>
      <c r="D61" s="379">
        <f>C61/(100*A39*100)</f>
        <v>0.3207412071238217</v>
      </c>
      <c r="E61" s="379">
        <f>0.7*E18^0.5</f>
        <v>9.8994949366116654</v>
      </c>
      <c r="F61" s="376" t="str">
        <f>IF(E61&gt;D61,"BIEN","MAL")</f>
        <v>BIEN</v>
      </c>
    </row>
  </sheetData>
  <phoneticPr fontId="5" type="noConversion"/>
  <pageMargins left="0.59055118110236227" right="0.39370078740157483" top="0.39370078740157483" bottom="0.39370078740157483" header="0" footer="0"/>
  <pageSetup scale="70" orientation="portrait" horizontalDpi="300" verticalDpi="300" r:id="rId1"/>
  <headerFooter alignWithMargins="0">
    <oddFooter>&amp;L&amp;"Arial,Normal"TEL (FAX) 01 951 51 4 28 30&amp;C___________________________________________________________________________________________________________________________________
.&amp;R&amp;"Arial,Normal"CED. PROF. 1718634</oddFoot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9A672-8AA3-4C3E-87C4-C5ADB8B820CE}">
  <sheetPr codeName="Hoja7">
    <tabColor rgb="FF7030A0"/>
  </sheetPr>
  <dimension ref="A1:O62"/>
  <sheetViews>
    <sheetView showGridLines="0" tabSelected="1" zoomScale="130" zoomScaleNormal="130" workbookViewId="0">
      <selection activeCell="E23" sqref="E23:F23"/>
    </sheetView>
  </sheetViews>
  <sheetFormatPr baseColWidth="10" defaultColWidth="11" defaultRowHeight="12.75"/>
  <cols>
    <col min="1" max="26" width="20.625" style="972" customWidth="1"/>
    <col min="27" max="16384" width="11" style="972"/>
  </cols>
  <sheetData>
    <row r="1" spans="1:15" ht="13.5" thickBot="1">
      <c r="A1" s="1005" t="s">
        <v>488</v>
      </c>
      <c r="B1" s="1005" t="s">
        <v>489</v>
      </c>
      <c r="C1" s="1005" t="s">
        <v>490</v>
      </c>
      <c r="E1" s="1005" t="s">
        <v>494</v>
      </c>
      <c r="F1" s="1005" t="s">
        <v>495</v>
      </c>
      <c r="G1" s="1005" t="s">
        <v>496</v>
      </c>
      <c r="I1" s="1005" t="s">
        <v>523</v>
      </c>
      <c r="J1" s="1005" t="s">
        <v>524</v>
      </c>
      <c r="K1" s="1005" t="s">
        <v>525</v>
      </c>
      <c r="M1" s="1005" t="s">
        <v>527</v>
      </c>
      <c r="N1" s="1005" t="s">
        <v>528</v>
      </c>
      <c r="O1" s="1005" t="s">
        <v>529</v>
      </c>
    </row>
    <row r="2" spans="1:15">
      <c r="A2" s="1006" t="s">
        <v>470</v>
      </c>
      <c r="B2" s="1007">
        <v>2.800000011160714</v>
      </c>
      <c r="C2" s="1007">
        <v>2.8</v>
      </c>
      <c r="E2" s="1006" t="s">
        <v>470</v>
      </c>
      <c r="F2" s="1007">
        <v>0.91999999999999993</v>
      </c>
      <c r="G2" s="1007">
        <v>2.8</v>
      </c>
      <c r="I2" s="1006" t="s">
        <v>470</v>
      </c>
      <c r="J2" s="1007">
        <v>0.91999999999999993</v>
      </c>
      <c r="K2" s="1007">
        <v>2.7999999999999989</v>
      </c>
      <c r="M2" s="1006" t="s">
        <v>470</v>
      </c>
      <c r="N2" s="1007">
        <v>2.3250000000000002</v>
      </c>
      <c r="O2" s="1007">
        <v>2.8000000000000007</v>
      </c>
    </row>
    <row r="3" spans="1:15">
      <c r="A3" s="1008" t="s">
        <v>471</v>
      </c>
      <c r="B3" s="1009">
        <v>2.8000000111607148</v>
      </c>
      <c r="C3" s="1009">
        <v>2.8</v>
      </c>
      <c r="E3" s="1008" t="s">
        <v>471</v>
      </c>
      <c r="F3" s="1009">
        <v>1.1999999999999993</v>
      </c>
      <c r="G3" s="1009">
        <v>2.8</v>
      </c>
      <c r="I3" s="1008" t="s">
        <v>471</v>
      </c>
      <c r="J3" s="1009">
        <v>1.1999999999999993</v>
      </c>
      <c r="K3" s="1009">
        <v>2.7999999999999989</v>
      </c>
      <c r="M3" s="1008" t="s">
        <v>471</v>
      </c>
      <c r="N3" s="1009">
        <v>2.3250000000000002</v>
      </c>
      <c r="O3" s="1009">
        <v>2.8000000000000007</v>
      </c>
    </row>
    <row r="4" spans="1:15">
      <c r="A4" s="1006" t="s">
        <v>472</v>
      </c>
      <c r="B4" s="1007">
        <v>2.4250000000000007</v>
      </c>
      <c r="C4" s="1007">
        <v>2.8</v>
      </c>
      <c r="E4" s="1006" t="s">
        <v>472</v>
      </c>
      <c r="F4" s="1007">
        <v>1.1449999999999996</v>
      </c>
      <c r="G4" s="1007">
        <v>2.8</v>
      </c>
      <c r="I4" s="1006" t="s">
        <v>472</v>
      </c>
      <c r="J4" s="1007">
        <v>1.1449999999999996</v>
      </c>
      <c r="K4" s="1007">
        <v>2.7999999999999989</v>
      </c>
      <c r="M4" s="1006" t="s">
        <v>472</v>
      </c>
      <c r="N4" s="1007">
        <v>2.4250000000000007</v>
      </c>
      <c r="O4" s="1007">
        <v>2.8000000000000007</v>
      </c>
    </row>
    <row r="5" spans="1:15">
      <c r="A5" s="1008" t="s">
        <v>473</v>
      </c>
      <c r="B5" s="1009">
        <v>2.75</v>
      </c>
      <c r="C5" s="1009">
        <v>2.8</v>
      </c>
      <c r="E5" s="1008" t="s">
        <v>473</v>
      </c>
      <c r="F5" s="1009">
        <v>1.8530000674581746</v>
      </c>
      <c r="G5" s="1009">
        <v>2.8</v>
      </c>
      <c r="I5" s="1008" t="s">
        <v>473</v>
      </c>
      <c r="J5" s="1009">
        <v>1.8530000674581746</v>
      </c>
      <c r="K5" s="1009">
        <v>2.7999999999999989</v>
      </c>
      <c r="M5" s="1008" t="s">
        <v>473</v>
      </c>
      <c r="N5" s="1009">
        <v>2.75</v>
      </c>
      <c r="O5" s="1009">
        <v>2.8000000000000007</v>
      </c>
    </row>
    <row r="6" spans="1:15">
      <c r="A6" s="1006" t="s">
        <v>474</v>
      </c>
      <c r="B6" s="1007">
        <v>2.8000000446428568</v>
      </c>
      <c r="C6" s="1007">
        <v>2.8</v>
      </c>
      <c r="E6" s="1006" t="s">
        <v>474</v>
      </c>
      <c r="F6" s="1007">
        <v>0.82500015151513695</v>
      </c>
      <c r="G6" s="1007">
        <v>2.8</v>
      </c>
      <c r="I6" s="1006" t="s">
        <v>474</v>
      </c>
      <c r="J6" s="1007">
        <v>2.8000000111607148</v>
      </c>
      <c r="K6" s="1007">
        <v>2.7999999999999989</v>
      </c>
      <c r="M6" s="1006" t="s">
        <v>474</v>
      </c>
      <c r="N6" s="1007">
        <v>2.3250000134408602</v>
      </c>
      <c r="O6" s="1007">
        <v>2.8000000000000007</v>
      </c>
    </row>
    <row r="7" spans="1:15">
      <c r="A7" s="1008" t="s">
        <v>475</v>
      </c>
      <c r="B7" s="1009">
        <v>2.5750001941747493</v>
      </c>
      <c r="C7" s="1009">
        <v>2.8</v>
      </c>
      <c r="E7" s="1008" t="s">
        <v>475</v>
      </c>
      <c r="F7" s="1009">
        <v>3.0250000000000004</v>
      </c>
      <c r="G7" s="1009">
        <v>2.8</v>
      </c>
      <c r="I7" s="1008" t="s">
        <v>475</v>
      </c>
      <c r="J7" s="1009">
        <v>2.800000011160714</v>
      </c>
      <c r="K7" s="1009">
        <v>2.7999999999999989</v>
      </c>
      <c r="M7" s="1008" t="s">
        <v>475</v>
      </c>
      <c r="N7" s="1009">
        <v>2.1500000581395344</v>
      </c>
      <c r="O7" s="1009">
        <v>2.8000000000000007</v>
      </c>
    </row>
    <row r="8" spans="1:15">
      <c r="A8" s="1006" t="s">
        <v>483</v>
      </c>
      <c r="B8" s="1007">
        <v>2.8000000446428577</v>
      </c>
      <c r="C8" s="1007">
        <v>2.8</v>
      </c>
      <c r="E8" s="1006" t="s">
        <v>483</v>
      </c>
      <c r="F8" s="1007">
        <v>2.75</v>
      </c>
      <c r="G8" s="1007">
        <v>2.8</v>
      </c>
      <c r="I8" s="1006" t="s">
        <v>483</v>
      </c>
      <c r="J8" s="1007">
        <v>0.82500015151513695</v>
      </c>
      <c r="K8" s="1007">
        <v>2.7999999999999989</v>
      </c>
      <c r="M8" s="1006" t="s">
        <v>483</v>
      </c>
      <c r="N8" s="1007">
        <v>2.5750000485436884</v>
      </c>
      <c r="O8" s="1007">
        <v>2.8000000000000007</v>
      </c>
    </row>
    <row r="9" spans="1:15">
      <c r="E9" s="1008" t="s">
        <v>484</v>
      </c>
      <c r="F9" s="1009">
        <v>0.80000562498022487</v>
      </c>
      <c r="G9" s="1009">
        <v>2.8</v>
      </c>
      <c r="I9" s="1008" t="s">
        <v>484</v>
      </c>
      <c r="J9" s="1009">
        <v>3.0250000000000004</v>
      </c>
      <c r="K9" s="1009">
        <v>2.7999999999999989</v>
      </c>
      <c r="M9" s="1008" t="s">
        <v>484</v>
      </c>
      <c r="N9" s="1009">
        <v>2.3250000134408602</v>
      </c>
      <c r="O9" s="1009">
        <v>2.8000000000000007</v>
      </c>
    </row>
    <row r="10" spans="1:15">
      <c r="E10" s="1006" t="s">
        <v>485</v>
      </c>
      <c r="F10" s="1007">
        <v>2.75</v>
      </c>
      <c r="G10" s="1007">
        <v>2.8</v>
      </c>
      <c r="I10" s="1006" t="s">
        <v>485</v>
      </c>
      <c r="J10" s="1007">
        <v>2.75</v>
      </c>
      <c r="K10" s="1007">
        <v>2.7999999999999989</v>
      </c>
    </row>
    <row r="11" spans="1:15">
      <c r="E11" s="1008" t="s">
        <v>511</v>
      </c>
      <c r="F11" s="1009">
        <v>1.853</v>
      </c>
      <c r="G11" s="1009">
        <v>2.8</v>
      </c>
      <c r="I11" s="1008" t="s">
        <v>511</v>
      </c>
      <c r="J11" s="1009">
        <v>2.75</v>
      </c>
      <c r="K11" s="1009">
        <v>2.7999999999999989</v>
      </c>
    </row>
    <row r="12" spans="1:15">
      <c r="E12" s="1006" t="s">
        <v>512</v>
      </c>
      <c r="F12" s="1007">
        <v>2.4250000000000007</v>
      </c>
      <c r="G12" s="1007">
        <v>2.8</v>
      </c>
      <c r="I12" s="1006" t="s">
        <v>512</v>
      </c>
      <c r="J12" s="1007">
        <v>3.45</v>
      </c>
      <c r="K12" s="1007">
        <v>2.7999999999999989</v>
      </c>
    </row>
    <row r="13" spans="1:15">
      <c r="E13" s="1008" t="s">
        <v>513</v>
      </c>
      <c r="F13" s="1009">
        <v>2.75</v>
      </c>
      <c r="G13" s="1009">
        <v>2.8</v>
      </c>
      <c r="I13" s="1008" t="s">
        <v>513</v>
      </c>
      <c r="J13" s="1009">
        <v>3.45</v>
      </c>
      <c r="K13" s="1009">
        <v>2.7999999999999989</v>
      </c>
    </row>
    <row r="14" spans="1:15">
      <c r="E14" s="1006" t="s">
        <v>514</v>
      </c>
      <c r="F14" s="1007">
        <v>3.7470000333600222</v>
      </c>
      <c r="G14" s="1007">
        <v>2.8</v>
      </c>
      <c r="I14" s="1006" t="s">
        <v>514</v>
      </c>
      <c r="J14" s="1007">
        <v>2.4250000000000007</v>
      </c>
      <c r="K14" s="1007">
        <v>2.7999999999999989</v>
      </c>
    </row>
    <row r="15" spans="1:15">
      <c r="E15" s="1008" t="s">
        <v>515</v>
      </c>
      <c r="F15" s="1009">
        <v>2.5750000485436884</v>
      </c>
      <c r="G15" s="1009">
        <v>2.8</v>
      </c>
      <c r="I15" s="1008" t="s">
        <v>515</v>
      </c>
      <c r="J15" s="1009">
        <v>2.75</v>
      </c>
      <c r="K15" s="1009">
        <v>2.7999999999999989</v>
      </c>
    </row>
    <row r="16" spans="1:15">
      <c r="I16" s="1006" t="s">
        <v>516</v>
      </c>
      <c r="J16" s="1007">
        <v>2.1500000581395344</v>
      </c>
      <c r="K16" s="1007">
        <v>2.7999999999999989</v>
      </c>
    </row>
    <row r="17" spans="9:11">
      <c r="I17" s="1008" t="s">
        <v>517</v>
      </c>
      <c r="J17" s="1009">
        <v>2.5750000485436884</v>
      </c>
      <c r="K17" s="1009">
        <v>2.7999999999999989</v>
      </c>
    </row>
    <row r="52" spans="1:15" ht="13.5" thickBot="1"/>
    <row r="53" spans="1:15" ht="13.5" thickBot="1">
      <c r="A53" s="1005" t="s">
        <v>493</v>
      </c>
      <c r="B53" s="1005" t="s">
        <v>489</v>
      </c>
      <c r="C53" s="1005" t="s">
        <v>490</v>
      </c>
      <c r="E53" s="1005" t="s">
        <v>497</v>
      </c>
      <c r="F53" s="1005" t="s">
        <v>495</v>
      </c>
      <c r="G53" s="1005" t="s">
        <v>496</v>
      </c>
      <c r="I53" s="1005" t="s">
        <v>526</v>
      </c>
      <c r="J53" s="1005" t="s">
        <v>524</v>
      </c>
      <c r="K53" s="1005" t="s">
        <v>525</v>
      </c>
      <c r="M53" s="1005" t="s">
        <v>530</v>
      </c>
      <c r="N53" s="1005" t="s">
        <v>528</v>
      </c>
      <c r="O53" s="1005" t="s">
        <v>529</v>
      </c>
    </row>
    <row r="54" spans="1:15">
      <c r="A54" s="1006" t="s">
        <v>476</v>
      </c>
      <c r="B54" s="1007">
        <v>1.0254999999999994</v>
      </c>
      <c r="C54" s="1007">
        <v>2.8</v>
      </c>
      <c r="E54" s="1006" t="s">
        <v>476</v>
      </c>
      <c r="F54" s="1007">
        <v>1.0254999999999994</v>
      </c>
      <c r="G54" s="1007">
        <v>2.8</v>
      </c>
      <c r="I54" s="1006" t="s">
        <v>476</v>
      </c>
      <c r="J54" s="1007">
        <v>1.0254999999999994</v>
      </c>
      <c r="K54" s="1007">
        <v>2.7999999999999989</v>
      </c>
      <c r="M54" s="1006" t="s">
        <v>476</v>
      </c>
      <c r="N54" s="1007">
        <v>2.6510000000000007</v>
      </c>
      <c r="O54" s="1007">
        <v>2.8000000000000007</v>
      </c>
    </row>
    <row r="55" spans="1:15">
      <c r="A55" s="1008" t="s">
        <v>477</v>
      </c>
      <c r="B55" s="1009">
        <v>1.4535000000000009</v>
      </c>
      <c r="C55" s="1009">
        <v>2.8</v>
      </c>
      <c r="E55" s="1008" t="s">
        <v>477</v>
      </c>
      <c r="F55" s="1009">
        <v>1.3035000000000005</v>
      </c>
      <c r="G55" s="1009">
        <v>2.8</v>
      </c>
      <c r="I55" s="1008" t="s">
        <v>477</v>
      </c>
      <c r="J55" s="1009">
        <v>0.79749999999999854</v>
      </c>
      <c r="K55" s="1009">
        <v>2.7999999999999989</v>
      </c>
      <c r="M55" s="1008" t="s">
        <v>477</v>
      </c>
      <c r="N55" s="1009">
        <v>3.9535</v>
      </c>
      <c r="O55" s="1009">
        <v>2.8000000000000007</v>
      </c>
    </row>
    <row r="56" spans="1:15">
      <c r="A56" s="1006" t="s">
        <v>478</v>
      </c>
      <c r="B56" s="1007">
        <v>2.5379999999999994</v>
      </c>
      <c r="C56" s="1007">
        <v>2.8</v>
      </c>
      <c r="E56" s="1006" t="s">
        <v>478</v>
      </c>
      <c r="F56" s="1007">
        <v>2.6469999999999994</v>
      </c>
      <c r="G56" s="1007">
        <v>2.8</v>
      </c>
      <c r="I56" s="1006" t="s">
        <v>478</v>
      </c>
      <c r="J56" s="1007">
        <v>0.65050000000000097</v>
      </c>
      <c r="K56" s="1007">
        <v>2.7999999999999989</v>
      </c>
      <c r="M56" s="1006" t="s">
        <v>478</v>
      </c>
      <c r="N56" s="1007">
        <v>3.09</v>
      </c>
      <c r="O56" s="1007">
        <v>2.8000000000000007</v>
      </c>
    </row>
    <row r="57" spans="1:15">
      <c r="A57" s="1008" t="s">
        <v>479</v>
      </c>
      <c r="B57" s="1009">
        <v>2.5380000000000003</v>
      </c>
      <c r="C57" s="1009">
        <v>2.8</v>
      </c>
      <c r="E57" s="1008" t="s">
        <v>479</v>
      </c>
      <c r="F57" s="1009">
        <v>3.8499999999999996</v>
      </c>
      <c r="G57" s="1009">
        <v>2.8</v>
      </c>
      <c r="I57" s="1008" t="s">
        <v>479</v>
      </c>
      <c r="J57" s="1009">
        <v>0.99949999999999939</v>
      </c>
      <c r="K57" s="1009">
        <v>2.7999999999999989</v>
      </c>
    </row>
    <row r="58" spans="1:15">
      <c r="A58" s="1006" t="s">
        <v>480</v>
      </c>
      <c r="B58" s="1007">
        <v>3.8505000000000003</v>
      </c>
      <c r="C58" s="1007">
        <v>2.8</v>
      </c>
      <c r="E58" s="1006" t="s">
        <v>480</v>
      </c>
      <c r="F58" s="1007">
        <v>0.59200000000000053</v>
      </c>
      <c r="G58" s="1007">
        <v>2.8</v>
      </c>
      <c r="I58" s="1006" t="s">
        <v>480</v>
      </c>
      <c r="J58" s="1007">
        <v>2.7</v>
      </c>
      <c r="K58" s="1007">
        <v>2.7999999999999989</v>
      </c>
    </row>
    <row r="59" spans="1:15">
      <c r="E59" s="1008" t="s">
        <v>481</v>
      </c>
      <c r="F59" s="1009">
        <v>1.0254999999999994</v>
      </c>
      <c r="G59" s="1009">
        <v>2.8</v>
      </c>
      <c r="I59" s="1008" t="s">
        <v>481</v>
      </c>
      <c r="J59" s="1009">
        <v>3.8499999999999996</v>
      </c>
      <c r="K59" s="1009">
        <v>2.7999999999999989</v>
      </c>
    </row>
    <row r="60" spans="1:15">
      <c r="E60" s="1006" t="s">
        <v>482</v>
      </c>
      <c r="F60" s="1007">
        <v>3.415</v>
      </c>
      <c r="G60" s="1007">
        <v>2.8</v>
      </c>
      <c r="I60" s="1006" t="s">
        <v>482</v>
      </c>
      <c r="J60" s="1007">
        <v>0.59200000000000053</v>
      </c>
      <c r="K60" s="1007">
        <v>2.7999999999999989</v>
      </c>
    </row>
    <row r="61" spans="1:15">
      <c r="I61" s="1008" t="s">
        <v>486</v>
      </c>
      <c r="J61" s="1009">
        <v>1.0254999999999994</v>
      </c>
      <c r="K61" s="1009">
        <v>2.7999999999999989</v>
      </c>
    </row>
    <row r="62" spans="1:15">
      <c r="I62" s="1006" t="s">
        <v>487</v>
      </c>
      <c r="J62" s="1007">
        <v>3.415</v>
      </c>
      <c r="K62" s="1007">
        <v>2.7999999999999989</v>
      </c>
    </row>
  </sheetData>
  <pageMargins left="0.7" right="0.7" top="0.75" bottom="0.75" header="0.3" footer="0.3"/>
  <pageSetup paperSize="123"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46561" r:id="rId4" name="Button 1">
              <controlPr defaultSize="0" print="0" autoFill="0" autoPict="0" macro="[0]!Extract_WallLengths_SumByPier">
                <anchor moveWithCells="1" sizeWithCells="1">
                  <from>
                    <xdr:col>3</xdr:col>
                    <xdr:colOff>9525</xdr:colOff>
                    <xdr:row>4</xdr:row>
                    <xdr:rowOff>133350</xdr:rowOff>
                  </from>
                  <to>
                    <xdr:col>4</xdr:col>
                    <xdr:colOff>9525</xdr:colOff>
                    <xdr:row>8</xdr:row>
                    <xdr:rowOff>47625</xdr:rowOff>
                  </to>
                </anchor>
              </controlPr>
            </control>
          </mc:Choice>
        </mc:AlternateContent>
        <mc:AlternateContent xmlns:mc="http://schemas.openxmlformats.org/markup-compatibility/2006">
          <mc:Choice Requires="x14">
            <control shapeId="1346562" r:id="rId5" name="Button 2">
              <controlPr defaultSize="0" print="0" autoFill="0" autoPict="0" macro="[0]!Módulo51.NombrarPier_Consolidado">
                <anchor moveWithCells="1" sizeWithCells="1">
                  <from>
                    <xdr:col>3</xdr:col>
                    <xdr:colOff>19050</xdr:colOff>
                    <xdr:row>0</xdr:row>
                    <xdr:rowOff>0</xdr:rowOff>
                  </from>
                  <to>
                    <xdr:col>3</xdr:col>
                    <xdr:colOff>1552575</xdr:colOff>
                    <xdr:row>4</xdr:row>
                    <xdr:rowOff>95250</xdr:rowOff>
                  </to>
                </anchor>
              </controlPr>
            </control>
          </mc:Choice>
        </mc:AlternateContent>
        <mc:AlternateContent xmlns:mc="http://schemas.openxmlformats.org/markup-compatibility/2006">
          <mc:Choice Requires="x14">
            <control shapeId="1346563" r:id="rId6" name="Button 3">
              <controlPr defaultSize="0" print="0" autoFill="0" autoPict="0" macro="[0]!ExportarElemMecanicosB">
                <anchor moveWithCells="1" sizeWithCells="1">
                  <from>
                    <xdr:col>3</xdr:col>
                    <xdr:colOff>19050</xdr:colOff>
                    <xdr:row>8</xdr:row>
                    <xdr:rowOff>66675</xdr:rowOff>
                  </from>
                  <to>
                    <xdr:col>4</xdr:col>
                    <xdr:colOff>0</xdr:colOff>
                    <xdr:row>13</xdr:row>
                    <xdr:rowOff>95250</xdr:rowOff>
                  </to>
                </anchor>
              </controlPr>
            </control>
          </mc:Choice>
        </mc:AlternateContent>
        <mc:AlternateContent xmlns:mc="http://schemas.openxmlformats.org/markup-compatibility/2006">
          <mc:Choice Requires="x14">
            <control shapeId="1346564" r:id="rId7" name="Button 4">
              <controlPr defaultSize="0" print="0" autoFill="0" autoPict="0" macro="[0]!ExportarElemMecanicosA">
                <anchor moveWithCells="1" sizeWithCells="1">
                  <from>
                    <xdr:col>3</xdr:col>
                    <xdr:colOff>9525</xdr:colOff>
                    <xdr:row>13</xdr:row>
                    <xdr:rowOff>133350</xdr:rowOff>
                  </from>
                  <to>
                    <xdr:col>4</xdr:col>
                    <xdr:colOff>0</xdr:colOff>
                    <xdr:row>18</xdr:row>
                    <xdr:rowOff>114300</xdr:rowOff>
                  </to>
                </anchor>
              </controlPr>
            </control>
          </mc:Choice>
        </mc:AlternateContent>
        <mc:AlternateContent xmlns:mc="http://schemas.openxmlformats.org/markup-compatibility/2006">
          <mc:Choice Requires="x14">
            <control shapeId="1346565" r:id="rId8" name="Button 5">
              <controlPr defaultSize="0" print="0" autoFill="0" autoPict="0" macro="[0]!ExportarElemMecanicosESTB">
                <anchor moveWithCells="1" sizeWithCells="1">
                  <from>
                    <xdr:col>2</xdr:col>
                    <xdr:colOff>1571625</xdr:colOff>
                    <xdr:row>18</xdr:row>
                    <xdr:rowOff>142875</xdr:rowOff>
                  </from>
                  <to>
                    <xdr:col>4</xdr:col>
                    <xdr:colOff>0</xdr:colOff>
                    <xdr:row>24</xdr:row>
                    <xdr:rowOff>9525</xdr:rowOff>
                  </to>
                </anchor>
              </controlPr>
            </control>
          </mc:Choice>
        </mc:AlternateContent>
        <mc:AlternateContent xmlns:mc="http://schemas.openxmlformats.org/markup-compatibility/2006">
          <mc:Choice Requires="x14">
            <control shapeId="1346566" r:id="rId9" name="Button 6">
              <controlPr defaultSize="0" print="0" autoFill="0" autoPict="0" macro="[0]!ExportarElemMecanicosESTA">
                <anchor moveWithCells="1" sizeWithCells="1">
                  <from>
                    <xdr:col>2</xdr:col>
                    <xdr:colOff>1562100</xdr:colOff>
                    <xdr:row>24</xdr:row>
                    <xdr:rowOff>28575</xdr:rowOff>
                  </from>
                  <to>
                    <xdr:col>4</xdr:col>
                    <xdr:colOff>0</xdr:colOff>
                    <xdr:row>29</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47992-0436-45DA-92B2-46E853D7C25C}">
  <sheetPr codeName="Hoja8">
    <tabColor rgb="FF7030A0"/>
  </sheetPr>
  <dimension ref="B1:AK409"/>
  <sheetViews>
    <sheetView showGridLines="0" zoomScaleNormal="100" workbookViewId="0">
      <pane xSplit="1" ySplit="1" topLeftCell="B2" activePane="bottomRight" state="frozen"/>
      <selection pane="topRight" activeCell="B1" sqref="B1"/>
      <selection pane="bottomLeft" activeCell="A6" sqref="A6"/>
      <selection pane="bottomRight" activeCell="B6" sqref="B6"/>
    </sheetView>
  </sheetViews>
  <sheetFormatPr baseColWidth="10" defaultRowHeight="12"/>
  <cols>
    <col min="1" max="1" width="3.625" customWidth="1"/>
    <col min="2" max="2" width="7.625" customWidth="1"/>
    <col min="3" max="3" width="16.625" customWidth="1"/>
    <col min="4" max="4" width="12.625" customWidth="1"/>
    <col min="5" max="5" width="16.625" customWidth="1"/>
    <col min="6" max="6" width="12.625" customWidth="1"/>
    <col min="7" max="7" width="16.625" customWidth="1"/>
    <col min="8" max="8" width="14.625" customWidth="1"/>
    <col min="9" max="9" width="22.625" customWidth="1"/>
    <col min="10" max="10" width="12.625" customWidth="1"/>
    <col min="11" max="11" width="7.625" customWidth="1"/>
    <col min="12" max="12" width="16.625" customWidth="1"/>
    <col min="13" max="13" width="12.625" customWidth="1"/>
    <col min="14" max="14" width="16.625" customWidth="1"/>
    <col min="15" max="15" width="12.625" customWidth="1"/>
    <col min="16" max="16" width="16.625" customWidth="1"/>
    <col min="17" max="17" width="14.625" customWidth="1"/>
    <col min="18" max="18" width="22.625" customWidth="1"/>
    <col min="19" max="19" width="12.625" customWidth="1"/>
    <col min="20" max="20" width="7.625" customWidth="1"/>
    <col min="21" max="21" width="16.625" customWidth="1"/>
    <col min="22" max="22" width="12.625" customWidth="1"/>
    <col min="23" max="23" width="16.625" customWidth="1"/>
    <col min="24" max="24" width="12.625" customWidth="1"/>
    <col min="25" max="25" width="16.625" customWidth="1"/>
    <col min="26" max="26" width="14.625" customWidth="1"/>
    <col min="27" max="27" width="22.625" customWidth="1"/>
    <col min="28" max="28" width="12.625" customWidth="1"/>
    <col min="29" max="29" width="7.625" customWidth="1"/>
    <col min="30" max="30" width="16.625" customWidth="1"/>
    <col min="31" max="31" width="12.625" customWidth="1"/>
    <col min="32" max="32" width="16.625" customWidth="1"/>
    <col min="33" max="33" width="12.625" customWidth="1"/>
    <col min="34" max="34" width="16.625" customWidth="1"/>
    <col min="35" max="35" width="14.625" customWidth="1"/>
    <col min="36" max="36" width="22.625" customWidth="1"/>
    <col min="37" max="37" width="12.625" customWidth="1"/>
    <col min="38" max="38" width="7.625" customWidth="1"/>
    <col min="39" max="39" width="16.625" customWidth="1"/>
    <col min="40" max="40" width="12.625" customWidth="1"/>
    <col min="41" max="41" width="16.625" customWidth="1"/>
    <col min="42" max="42" width="12.625" customWidth="1"/>
    <col min="43" max="43" width="16.625" customWidth="1"/>
    <col min="44" max="44" width="14.625" customWidth="1"/>
    <col min="45" max="45" width="22.625" customWidth="1"/>
    <col min="46" max="46" width="12.625" customWidth="1"/>
  </cols>
  <sheetData>
    <row r="1" spans="2:37" ht="21.95" customHeight="1">
      <c r="B1" s="1210" t="s">
        <v>531</v>
      </c>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row>
    <row r="2" spans="2:37" ht="12.75">
      <c r="B2" s="1211" t="s">
        <v>518</v>
      </c>
      <c r="C2" s="1211"/>
      <c r="D2" s="1211"/>
      <c r="E2" s="1211"/>
      <c r="F2" s="1211"/>
      <c r="G2" s="1211"/>
      <c r="H2" s="1211"/>
      <c r="I2" s="1211"/>
      <c r="J2" s="1211"/>
      <c r="K2" s="1211"/>
      <c r="L2" s="1211"/>
      <c r="M2" s="1211"/>
      <c r="N2" s="1211"/>
      <c r="O2" s="1211"/>
      <c r="P2" s="1211"/>
      <c r="Q2" s="1211"/>
      <c r="R2" s="1211"/>
      <c r="S2" s="1211"/>
      <c r="T2" s="1211"/>
      <c r="U2" s="1211"/>
      <c r="V2" s="1211"/>
      <c r="W2" s="1211"/>
      <c r="X2" s="1211"/>
      <c r="Y2" s="1211"/>
      <c r="Z2" s="1211"/>
      <c r="AA2" s="1211"/>
      <c r="AB2" s="1211"/>
      <c r="AC2" s="1211"/>
      <c r="AD2" s="1211"/>
      <c r="AE2" s="1211"/>
      <c r="AF2" s="1211"/>
      <c r="AG2" s="1211"/>
      <c r="AH2" s="1211"/>
      <c r="AI2" s="1211"/>
      <c r="AJ2" s="1211"/>
      <c r="AK2" s="1211"/>
    </row>
    <row r="3" spans="2:37" ht="5.0999999999999996" customHeight="1"/>
    <row r="4" spans="2:37" ht="20.100000000000001" customHeight="1">
      <c r="B4" s="1220" t="s">
        <v>519</v>
      </c>
      <c r="C4" s="1221"/>
      <c r="D4" s="1221"/>
      <c r="E4" s="1221"/>
      <c r="F4" s="1221"/>
      <c r="G4" s="1221"/>
      <c r="H4" s="1221"/>
      <c r="I4" s="1221"/>
      <c r="J4" s="1222"/>
      <c r="K4" s="1223" t="s">
        <v>520</v>
      </c>
      <c r="L4" s="1224"/>
      <c r="M4" s="1224"/>
      <c r="N4" s="1224"/>
      <c r="O4" s="1224"/>
      <c r="P4" s="1224"/>
      <c r="Q4" s="1224"/>
      <c r="R4" s="1224"/>
      <c r="S4" s="1225"/>
      <c r="T4" s="1212" t="s">
        <v>521</v>
      </c>
      <c r="U4" s="1213"/>
      <c r="V4" s="1213"/>
      <c r="W4" s="1213"/>
      <c r="X4" s="1213"/>
      <c r="Y4" s="1213"/>
      <c r="Z4" s="1213"/>
      <c r="AA4" s="1213"/>
      <c r="AB4" s="1214"/>
      <c r="AC4" s="1216" t="s">
        <v>522</v>
      </c>
      <c r="AD4" s="1217"/>
      <c r="AE4" s="1217"/>
      <c r="AF4" s="1217"/>
      <c r="AG4" s="1217"/>
      <c r="AH4" s="1217"/>
      <c r="AI4" s="1217"/>
      <c r="AJ4" s="1217"/>
      <c r="AK4" s="1218"/>
    </row>
    <row r="5" spans="2:37" ht="27.95" customHeight="1">
      <c r="B5" s="1010" t="s">
        <v>469</v>
      </c>
      <c r="C5" s="1011" t="s">
        <v>498</v>
      </c>
      <c r="D5" s="1011" t="s">
        <v>501</v>
      </c>
      <c r="E5" s="1011" t="s">
        <v>499</v>
      </c>
      <c r="F5" s="1011" t="s">
        <v>502</v>
      </c>
      <c r="G5" s="1011" t="s">
        <v>500</v>
      </c>
      <c r="H5" s="1011" t="s">
        <v>505</v>
      </c>
      <c r="I5" s="1011" t="s">
        <v>504</v>
      </c>
      <c r="J5" s="1012" t="s">
        <v>507</v>
      </c>
      <c r="K5" s="1013" t="s">
        <v>469</v>
      </c>
      <c r="L5" s="1014" t="s">
        <v>498</v>
      </c>
      <c r="M5" s="1014" t="s">
        <v>501</v>
      </c>
      <c r="N5" s="1014" t="s">
        <v>499</v>
      </c>
      <c r="O5" s="1014" t="s">
        <v>502</v>
      </c>
      <c r="P5" s="1014" t="s">
        <v>500</v>
      </c>
      <c r="Q5" s="1014" t="s">
        <v>505</v>
      </c>
      <c r="R5" s="1014" t="s">
        <v>504</v>
      </c>
      <c r="S5" s="1071" t="s">
        <v>507</v>
      </c>
      <c r="T5" s="1073" t="s">
        <v>469</v>
      </c>
      <c r="U5" s="1074" t="s">
        <v>498</v>
      </c>
      <c r="V5" s="1074" t="s">
        <v>501</v>
      </c>
      <c r="W5" s="1074" t="s">
        <v>499</v>
      </c>
      <c r="X5" s="1074" t="s">
        <v>502</v>
      </c>
      <c r="Y5" s="1074" t="s">
        <v>500</v>
      </c>
      <c r="Z5" s="1074" t="s">
        <v>505</v>
      </c>
      <c r="AA5" s="1074" t="s">
        <v>504</v>
      </c>
      <c r="AB5" s="1086" t="s">
        <v>507</v>
      </c>
      <c r="AC5" s="1088" t="s">
        <v>469</v>
      </c>
      <c r="AD5" s="1089" t="s">
        <v>498</v>
      </c>
      <c r="AE5" s="1089" t="s">
        <v>501</v>
      </c>
      <c r="AF5" s="1089" t="s">
        <v>499</v>
      </c>
      <c r="AG5" s="1089" t="s">
        <v>502</v>
      </c>
      <c r="AH5" s="1089" t="s">
        <v>500</v>
      </c>
      <c r="AI5" s="1089" t="s">
        <v>505</v>
      </c>
      <c r="AJ5" s="1089" t="s">
        <v>504</v>
      </c>
      <c r="AK5" s="1090" t="s">
        <v>507</v>
      </c>
    </row>
    <row r="6" spans="2:37" ht="15" customHeight="1">
      <c r="B6" s="1017" t="s">
        <v>470</v>
      </c>
      <c r="C6" s="1030" t="s">
        <v>491</v>
      </c>
      <c r="D6" s="1031">
        <v>-10761.308055968209</v>
      </c>
      <c r="E6" s="1030" t="s">
        <v>491</v>
      </c>
      <c r="F6" s="1031">
        <v>2947.6165987666109</v>
      </c>
      <c r="G6" s="1030" t="s">
        <v>492</v>
      </c>
      <c r="H6" s="1031">
        <v>-185616.69412206762</v>
      </c>
      <c r="I6" s="1037" t="s">
        <v>186</v>
      </c>
      <c r="J6" s="1040">
        <v>15</v>
      </c>
      <c r="K6" s="1015" t="s">
        <v>470</v>
      </c>
      <c r="L6" s="1030" t="s">
        <v>510</v>
      </c>
      <c r="M6" s="1031">
        <v>-1173.0409558278564</v>
      </c>
      <c r="N6" s="1030" t="s">
        <v>492</v>
      </c>
      <c r="O6" s="1031">
        <v>1928.687967517654</v>
      </c>
      <c r="P6" s="1030" t="s">
        <v>492</v>
      </c>
      <c r="Q6" s="1031">
        <v>-71784.708921557889</v>
      </c>
      <c r="R6" s="1037" t="s">
        <v>186</v>
      </c>
      <c r="S6" s="1040">
        <v>15</v>
      </c>
      <c r="T6" s="1075" t="s">
        <v>470</v>
      </c>
      <c r="U6" s="1030" t="s">
        <v>492</v>
      </c>
      <c r="V6" s="1031">
        <v>-849.56778257103747</v>
      </c>
      <c r="W6" s="1030" t="s">
        <v>492</v>
      </c>
      <c r="X6" s="1031">
        <v>-1551.8925609323853</v>
      </c>
      <c r="Y6" s="1030" t="s">
        <v>492</v>
      </c>
      <c r="Z6" s="1031">
        <v>-50546.529319981855</v>
      </c>
      <c r="AA6" s="1037" t="s">
        <v>186</v>
      </c>
      <c r="AB6" s="1040">
        <v>15</v>
      </c>
      <c r="AC6" s="1091" t="s">
        <v>470</v>
      </c>
      <c r="AD6" s="1030" t="s">
        <v>492</v>
      </c>
      <c r="AE6" s="1031">
        <v>-6530.4591297637089</v>
      </c>
      <c r="AF6" s="1030" t="s">
        <v>492</v>
      </c>
      <c r="AG6" s="1031">
        <v>4202.5848873167834</v>
      </c>
      <c r="AH6" s="1030" t="s">
        <v>510</v>
      </c>
      <c r="AI6" s="1031">
        <v>366550.35259989888</v>
      </c>
      <c r="AJ6" s="1037" t="s">
        <v>186</v>
      </c>
      <c r="AK6" s="1092">
        <v>15</v>
      </c>
    </row>
    <row r="7" spans="2:37" ht="15" customHeight="1">
      <c r="B7" s="1018" t="s">
        <v>471</v>
      </c>
      <c r="C7" s="1032" t="s">
        <v>492</v>
      </c>
      <c r="D7" s="1033">
        <v>-29694.593508974976</v>
      </c>
      <c r="E7" s="1032" t="s">
        <v>491</v>
      </c>
      <c r="F7" s="1033">
        <v>9197.2868609491579</v>
      </c>
      <c r="G7" s="1032" t="s">
        <v>492</v>
      </c>
      <c r="H7" s="1033">
        <v>1368151.0354278174</v>
      </c>
      <c r="I7" s="1038" t="s">
        <v>185</v>
      </c>
      <c r="J7" s="1041">
        <v>15</v>
      </c>
      <c r="K7" s="1016" t="s">
        <v>471</v>
      </c>
      <c r="L7" s="1032" t="s">
        <v>491</v>
      </c>
      <c r="M7" s="1033">
        <v>-15495.328307269898</v>
      </c>
      <c r="N7" s="1032" t="s">
        <v>492</v>
      </c>
      <c r="O7" s="1033">
        <v>17038.037517748609</v>
      </c>
      <c r="P7" s="1032" t="s">
        <v>492</v>
      </c>
      <c r="Q7" s="1033">
        <v>-2606270.8584905076</v>
      </c>
      <c r="R7" s="1038" t="s">
        <v>185</v>
      </c>
      <c r="S7" s="1041">
        <v>15</v>
      </c>
      <c r="T7" s="1076" t="s">
        <v>471</v>
      </c>
      <c r="U7" s="1032" t="s">
        <v>510</v>
      </c>
      <c r="V7" s="1033">
        <v>-11545.418312938718</v>
      </c>
      <c r="W7" s="1032" t="s">
        <v>492</v>
      </c>
      <c r="X7" s="1033">
        <v>-10014.209476943517</v>
      </c>
      <c r="Y7" s="1032" t="s">
        <v>492</v>
      </c>
      <c r="Z7" s="1033">
        <v>868003.17894894793</v>
      </c>
      <c r="AA7" s="1038" t="s">
        <v>185</v>
      </c>
      <c r="AB7" s="1041">
        <v>15</v>
      </c>
      <c r="AC7" s="1093" t="s">
        <v>471</v>
      </c>
      <c r="AD7" s="1032" t="s">
        <v>492</v>
      </c>
      <c r="AE7" s="1033">
        <v>-1612.2160480459909</v>
      </c>
      <c r="AF7" s="1032" t="s">
        <v>492</v>
      </c>
      <c r="AG7" s="1033">
        <v>-5442.5376298926858</v>
      </c>
      <c r="AH7" s="1032" t="s">
        <v>492</v>
      </c>
      <c r="AI7" s="1033">
        <v>-195013.30907356093</v>
      </c>
      <c r="AJ7" s="1038" t="s">
        <v>186</v>
      </c>
      <c r="AK7" s="1094">
        <v>15</v>
      </c>
    </row>
    <row r="8" spans="2:37" ht="15" customHeight="1">
      <c r="B8" s="1017" t="s">
        <v>472</v>
      </c>
      <c r="C8" s="1030" t="s">
        <v>491</v>
      </c>
      <c r="D8" s="1031">
        <v>-20707.666073641703</v>
      </c>
      <c r="E8" s="1030" t="s">
        <v>492</v>
      </c>
      <c r="F8" s="1031">
        <v>-17442.995828740626</v>
      </c>
      <c r="G8" s="1030" t="s">
        <v>492</v>
      </c>
      <c r="H8" s="1031">
        <v>-476555.29210110474</v>
      </c>
      <c r="I8" s="1037" t="s">
        <v>185</v>
      </c>
      <c r="J8" s="1040">
        <v>15</v>
      </c>
      <c r="K8" s="1015" t="s">
        <v>472</v>
      </c>
      <c r="L8" s="1030" t="s">
        <v>492</v>
      </c>
      <c r="M8" s="1031">
        <v>-1493.5988906655396</v>
      </c>
      <c r="N8" s="1030" t="s">
        <v>492</v>
      </c>
      <c r="O8" s="1031">
        <v>-3207.8511679491303</v>
      </c>
      <c r="P8" s="1030" t="s">
        <v>492</v>
      </c>
      <c r="Q8" s="1031">
        <v>79176.375570507997</v>
      </c>
      <c r="R8" s="1037" t="s">
        <v>186</v>
      </c>
      <c r="S8" s="1040">
        <v>15</v>
      </c>
      <c r="T8" s="1075" t="s">
        <v>472</v>
      </c>
      <c r="U8" s="1030" t="s">
        <v>492</v>
      </c>
      <c r="V8" s="1031">
        <v>-1041.578943701559</v>
      </c>
      <c r="W8" s="1030" t="s">
        <v>492</v>
      </c>
      <c r="X8" s="1031">
        <v>-3040.0305460420177</v>
      </c>
      <c r="Y8" s="1030" t="s">
        <v>492</v>
      </c>
      <c r="Z8" s="1031">
        <v>76945.379448349675</v>
      </c>
      <c r="AA8" s="1037" t="s">
        <v>186</v>
      </c>
      <c r="AB8" s="1040">
        <v>15</v>
      </c>
      <c r="AC8" s="1091" t="s">
        <v>472</v>
      </c>
      <c r="AD8" s="1030" t="s">
        <v>492</v>
      </c>
      <c r="AE8" s="1031">
        <v>-1142.6969744078431</v>
      </c>
      <c r="AF8" s="1030" t="s">
        <v>492</v>
      </c>
      <c r="AG8" s="1031">
        <v>-6522.7967148897815</v>
      </c>
      <c r="AH8" s="1030" t="s">
        <v>492</v>
      </c>
      <c r="AI8" s="1031">
        <v>-186123.05570464901</v>
      </c>
      <c r="AJ8" s="1037" t="s">
        <v>186</v>
      </c>
      <c r="AK8" s="1092">
        <v>15</v>
      </c>
    </row>
    <row r="9" spans="2:37" ht="15" customHeight="1">
      <c r="B9" s="1018" t="s">
        <v>473</v>
      </c>
      <c r="C9" s="1032" t="s">
        <v>492</v>
      </c>
      <c r="D9" s="1033">
        <v>-41051.636743044459</v>
      </c>
      <c r="E9" s="1032" t="s">
        <v>492</v>
      </c>
      <c r="F9" s="1033">
        <v>11690.300115692302</v>
      </c>
      <c r="G9" s="1032" t="s">
        <v>492</v>
      </c>
      <c r="H9" s="1033">
        <v>-1719681.5283634644</v>
      </c>
      <c r="I9" s="1038" t="s">
        <v>185</v>
      </c>
      <c r="J9" s="1041">
        <v>15</v>
      </c>
      <c r="K9" s="1016" t="s">
        <v>473</v>
      </c>
      <c r="L9" s="1032" t="s">
        <v>491</v>
      </c>
      <c r="M9" s="1033">
        <v>-4310.733130338137</v>
      </c>
      <c r="N9" s="1032" t="s">
        <v>492</v>
      </c>
      <c r="O9" s="1033">
        <v>-4797.8149513925682</v>
      </c>
      <c r="P9" s="1032" t="s">
        <v>492</v>
      </c>
      <c r="Q9" s="1033">
        <v>-170582.86354746838</v>
      </c>
      <c r="R9" s="1038" t="s">
        <v>186</v>
      </c>
      <c r="S9" s="1041">
        <v>15</v>
      </c>
      <c r="T9" s="1076" t="s">
        <v>473</v>
      </c>
      <c r="U9" s="1032" t="s">
        <v>510</v>
      </c>
      <c r="V9" s="1033">
        <v>-2788.8460635511192</v>
      </c>
      <c r="W9" s="1032" t="s">
        <v>491</v>
      </c>
      <c r="X9" s="1033">
        <v>-3960.0172960192485</v>
      </c>
      <c r="Y9" s="1032" t="s">
        <v>491</v>
      </c>
      <c r="Z9" s="1033">
        <v>-98091.546597212524</v>
      </c>
      <c r="AA9" s="1038" t="s">
        <v>186</v>
      </c>
      <c r="AB9" s="1041">
        <v>15</v>
      </c>
      <c r="AC9" s="1093" t="s">
        <v>473</v>
      </c>
      <c r="AD9" s="1032" t="s">
        <v>492</v>
      </c>
      <c r="AE9" s="1033">
        <v>-1196.9474300227128</v>
      </c>
      <c r="AF9" s="1032" t="s">
        <v>492</v>
      </c>
      <c r="AG9" s="1033">
        <v>-4411.1854048209252</v>
      </c>
      <c r="AH9" s="1032" t="s">
        <v>492</v>
      </c>
      <c r="AI9" s="1033">
        <v>-135929.77084286284</v>
      </c>
      <c r="AJ9" s="1038" t="s">
        <v>186</v>
      </c>
      <c r="AK9" s="1094">
        <v>15</v>
      </c>
    </row>
    <row r="10" spans="2:37" ht="15" customHeight="1">
      <c r="B10" s="1017" t="s">
        <v>474</v>
      </c>
      <c r="C10" s="1030" t="s">
        <v>492</v>
      </c>
      <c r="D10" s="1031">
        <v>-18427.914121591271</v>
      </c>
      <c r="E10" s="1030" t="s">
        <v>491</v>
      </c>
      <c r="F10" s="1031">
        <v>2915.4293756557927</v>
      </c>
      <c r="G10" s="1030" t="s">
        <v>492</v>
      </c>
      <c r="H10" s="1031">
        <v>-229952.3853035552</v>
      </c>
      <c r="I10" s="1037" t="s">
        <v>186</v>
      </c>
      <c r="J10" s="1040">
        <v>15</v>
      </c>
      <c r="K10" s="1015" t="s">
        <v>474</v>
      </c>
      <c r="L10" s="1030" t="s">
        <v>491</v>
      </c>
      <c r="M10" s="1031">
        <v>-57705.857979648252</v>
      </c>
      <c r="N10" s="1030" t="s">
        <v>492</v>
      </c>
      <c r="O10" s="1031">
        <v>16669.623003865341</v>
      </c>
      <c r="P10" s="1030" t="s">
        <v>492</v>
      </c>
      <c r="Q10" s="1031">
        <v>1386567.1764195424</v>
      </c>
      <c r="R10" s="1037" t="s">
        <v>185</v>
      </c>
      <c r="S10" s="1040">
        <v>15</v>
      </c>
      <c r="T10" s="1075" t="s">
        <v>474</v>
      </c>
      <c r="U10" s="1030" t="s">
        <v>492</v>
      </c>
      <c r="V10" s="1031">
        <v>-5237.0748282766417</v>
      </c>
      <c r="W10" s="1030" t="s">
        <v>492</v>
      </c>
      <c r="X10" s="1031">
        <v>11155.52899906176</v>
      </c>
      <c r="Y10" s="1030" t="s">
        <v>492</v>
      </c>
      <c r="Z10" s="1031">
        <v>-565320.48125576728</v>
      </c>
      <c r="AA10" s="1037" t="s">
        <v>186</v>
      </c>
      <c r="AB10" s="1040">
        <v>15</v>
      </c>
      <c r="AC10" s="1091" t="s">
        <v>474</v>
      </c>
      <c r="AD10" s="1030" t="s">
        <v>491</v>
      </c>
      <c r="AE10" s="1031">
        <v>-3499.1021530472904</v>
      </c>
      <c r="AF10" s="1030" t="s">
        <v>492</v>
      </c>
      <c r="AG10" s="1031">
        <v>3628.6211664975162</v>
      </c>
      <c r="AH10" s="1030" t="s">
        <v>492</v>
      </c>
      <c r="AI10" s="1031">
        <v>93592.324908319133</v>
      </c>
      <c r="AJ10" s="1037" t="s">
        <v>186</v>
      </c>
      <c r="AK10" s="1092">
        <v>15</v>
      </c>
    </row>
    <row r="11" spans="2:37" ht="15" customHeight="1">
      <c r="B11" s="1018" t="s">
        <v>475</v>
      </c>
      <c r="C11" s="1032" t="s">
        <v>491</v>
      </c>
      <c r="D11" s="1033">
        <v>-53206.39340613805</v>
      </c>
      <c r="E11" s="1032" t="s">
        <v>491</v>
      </c>
      <c r="F11" s="1033">
        <v>26475.338730142757</v>
      </c>
      <c r="G11" s="1032" t="s">
        <v>491</v>
      </c>
      <c r="H11" s="1033">
        <v>-2201850.6633330826</v>
      </c>
      <c r="I11" s="1038" t="s">
        <v>185</v>
      </c>
      <c r="J11" s="1041">
        <v>15</v>
      </c>
      <c r="K11" s="1016" t="s">
        <v>475</v>
      </c>
      <c r="L11" s="1032" t="s">
        <v>492</v>
      </c>
      <c r="M11" s="1033">
        <v>-8454.3757816062935</v>
      </c>
      <c r="N11" s="1032" t="s">
        <v>492</v>
      </c>
      <c r="O11" s="1033">
        <v>-9364.6056781380867</v>
      </c>
      <c r="P11" s="1032" t="s">
        <v>492</v>
      </c>
      <c r="Q11" s="1033">
        <v>-407431.45333635213</v>
      </c>
      <c r="R11" s="1038" t="s">
        <v>186</v>
      </c>
      <c r="S11" s="1041">
        <v>15</v>
      </c>
      <c r="T11" s="1076" t="s">
        <v>475</v>
      </c>
      <c r="U11" s="1032" t="s">
        <v>510</v>
      </c>
      <c r="V11" s="1033">
        <v>-9092.5516708523919</v>
      </c>
      <c r="W11" s="1032" t="s">
        <v>492</v>
      </c>
      <c r="X11" s="1033">
        <v>-10119.112565349276</v>
      </c>
      <c r="Y11" s="1032" t="s">
        <v>492</v>
      </c>
      <c r="Z11" s="1033">
        <v>-556421.75467802538</v>
      </c>
      <c r="AA11" s="1038" t="s">
        <v>186</v>
      </c>
      <c r="AB11" s="1041">
        <v>15</v>
      </c>
      <c r="AC11" s="1093" t="s">
        <v>475</v>
      </c>
      <c r="AD11" s="1032" t="s">
        <v>491</v>
      </c>
      <c r="AE11" s="1033">
        <v>-2453.4609823962855</v>
      </c>
      <c r="AF11" s="1032" t="s">
        <v>492</v>
      </c>
      <c r="AG11" s="1033">
        <v>6426.895777365904</v>
      </c>
      <c r="AH11" s="1032" t="s">
        <v>492</v>
      </c>
      <c r="AI11" s="1033">
        <v>207986.1133551021</v>
      </c>
      <c r="AJ11" s="1038" t="s">
        <v>186</v>
      </c>
      <c r="AK11" s="1094">
        <v>15</v>
      </c>
    </row>
    <row r="12" spans="2:37" ht="15" customHeight="1">
      <c r="B12" s="1017" t="s">
        <v>483</v>
      </c>
      <c r="C12" s="1030" t="s">
        <v>491</v>
      </c>
      <c r="D12" s="1031">
        <v>-8253.5939178855915</v>
      </c>
      <c r="E12" s="1030" t="s">
        <v>492</v>
      </c>
      <c r="F12" s="1031">
        <v>1997.5163075287385</v>
      </c>
      <c r="G12" s="1030" t="s">
        <v>491</v>
      </c>
      <c r="H12" s="1031">
        <v>-175572.03050185952</v>
      </c>
      <c r="I12" s="1037" t="s">
        <v>186</v>
      </c>
      <c r="J12" s="1040">
        <v>15</v>
      </c>
      <c r="K12" s="1015" t="s">
        <v>483</v>
      </c>
      <c r="L12" s="1030" t="s">
        <v>492</v>
      </c>
      <c r="M12" s="1031">
        <v>-4473.5104755795328</v>
      </c>
      <c r="N12" s="1030" t="s">
        <v>492</v>
      </c>
      <c r="O12" s="1031">
        <v>-9592.4837077004486</v>
      </c>
      <c r="P12" s="1030" t="s">
        <v>492</v>
      </c>
      <c r="Q12" s="1031">
        <v>-271219.73219441384</v>
      </c>
      <c r="R12" s="1037" t="s">
        <v>186</v>
      </c>
      <c r="S12" s="1040">
        <v>15</v>
      </c>
      <c r="T12" s="1075" t="s">
        <v>483</v>
      </c>
      <c r="U12" s="1030" t="s">
        <v>491</v>
      </c>
      <c r="V12" s="1031">
        <v>-20325.316922163966</v>
      </c>
      <c r="W12" s="1030" t="s">
        <v>491</v>
      </c>
      <c r="X12" s="1031">
        <v>-5204.9926234576378</v>
      </c>
      <c r="Y12" s="1030" t="s">
        <v>492</v>
      </c>
      <c r="Z12" s="1031">
        <v>-198986.83658419017</v>
      </c>
      <c r="AA12" s="1037" t="s">
        <v>185</v>
      </c>
      <c r="AB12" s="1040">
        <v>15</v>
      </c>
      <c r="AC12" s="1091" t="s">
        <v>483</v>
      </c>
      <c r="AD12" s="1030" t="s">
        <v>491</v>
      </c>
      <c r="AE12" s="1031">
        <v>-1890.6432259277153</v>
      </c>
      <c r="AF12" s="1030" t="s">
        <v>492</v>
      </c>
      <c r="AG12" s="1031">
        <v>-8471.9950641705254</v>
      </c>
      <c r="AH12" s="1030" t="s">
        <v>492</v>
      </c>
      <c r="AI12" s="1031">
        <v>-303330.46340967063</v>
      </c>
      <c r="AJ12" s="1037" t="s">
        <v>186</v>
      </c>
      <c r="AK12" s="1092">
        <v>15</v>
      </c>
    </row>
    <row r="13" spans="2:37" ht="15" customHeight="1">
      <c r="B13" s="1065" t="s">
        <v>484</v>
      </c>
      <c r="C13" s="1036" t="s">
        <v>503</v>
      </c>
      <c r="D13" s="1036" t="s">
        <v>503</v>
      </c>
      <c r="E13" s="1036" t="s">
        <v>503</v>
      </c>
      <c r="F13" s="1036" t="s">
        <v>503</v>
      </c>
      <c r="G13" s="1036" t="s">
        <v>503</v>
      </c>
      <c r="H13" s="1036" t="s">
        <v>503</v>
      </c>
      <c r="I13" s="1038"/>
      <c r="J13" s="1068" t="s">
        <v>503</v>
      </c>
      <c r="K13" s="1016" t="s">
        <v>484</v>
      </c>
      <c r="L13" s="1032" t="s">
        <v>492</v>
      </c>
      <c r="M13" s="1033">
        <v>-2083.2579943320143</v>
      </c>
      <c r="N13" s="1032" t="s">
        <v>492</v>
      </c>
      <c r="O13" s="1033">
        <v>-2023.8069471574802</v>
      </c>
      <c r="P13" s="1032" t="s">
        <v>492</v>
      </c>
      <c r="Q13" s="1033">
        <v>-84774.307186724211</v>
      </c>
      <c r="R13" s="1038" t="s">
        <v>186</v>
      </c>
      <c r="S13" s="1041">
        <v>15</v>
      </c>
      <c r="T13" s="1076" t="s">
        <v>484</v>
      </c>
      <c r="U13" s="1032" t="s">
        <v>510</v>
      </c>
      <c r="V13" s="1033">
        <v>-8057.6041028631689</v>
      </c>
      <c r="W13" s="1032" t="s">
        <v>492</v>
      </c>
      <c r="X13" s="1033">
        <v>-7049.5668334443835</v>
      </c>
      <c r="Y13" s="1032" t="s">
        <v>492</v>
      </c>
      <c r="Z13" s="1033">
        <v>-194549.00866492436</v>
      </c>
      <c r="AA13" s="1038" t="s">
        <v>186</v>
      </c>
      <c r="AB13" s="1041">
        <v>15</v>
      </c>
      <c r="AC13" s="1093" t="s">
        <v>484</v>
      </c>
      <c r="AD13" s="1032" t="s">
        <v>492</v>
      </c>
      <c r="AE13" s="1033">
        <v>-5953.4557532927429</v>
      </c>
      <c r="AF13" s="1032" t="s">
        <v>491</v>
      </c>
      <c r="AG13" s="1033">
        <v>5552.2304665144666</v>
      </c>
      <c r="AH13" s="1032" t="s">
        <v>491</v>
      </c>
      <c r="AI13" s="1033">
        <v>474659.62735604466</v>
      </c>
      <c r="AJ13" s="1038" t="s">
        <v>186</v>
      </c>
      <c r="AK13" s="1094">
        <v>15</v>
      </c>
    </row>
    <row r="14" spans="2:37" ht="15" customHeight="1">
      <c r="B14" s="1065" t="s">
        <v>485</v>
      </c>
      <c r="C14" s="1036" t="s">
        <v>503</v>
      </c>
      <c r="D14" s="1036" t="s">
        <v>503</v>
      </c>
      <c r="E14" s="1036" t="s">
        <v>503</v>
      </c>
      <c r="F14" s="1036" t="s">
        <v>503</v>
      </c>
      <c r="G14" s="1036" t="s">
        <v>503</v>
      </c>
      <c r="H14" s="1036" t="s">
        <v>503</v>
      </c>
      <c r="I14" s="1037"/>
      <c r="J14" s="1069" t="s">
        <v>503</v>
      </c>
      <c r="K14" s="1015" t="s">
        <v>485</v>
      </c>
      <c r="L14" s="1030" t="s">
        <v>491</v>
      </c>
      <c r="M14" s="1031">
        <v>-6168.4413159651085</v>
      </c>
      <c r="N14" s="1030" t="s">
        <v>492</v>
      </c>
      <c r="O14" s="1031">
        <v>-8568.856155211346</v>
      </c>
      <c r="P14" s="1030" t="s">
        <v>492</v>
      </c>
      <c r="Q14" s="1031">
        <v>-432705.59196546284</v>
      </c>
      <c r="R14" s="1037" t="s">
        <v>186</v>
      </c>
      <c r="S14" s="1040">
        <v>15</v>
      </c>
      <c r="T14" s="1075" t="s">
        <v>485</v>
      </c>
      <c r="U14" s="1030" t="s">
        <v>510</v>
      </c>
      <c r="V14" s="1031">
        <v>-2660.4766447165257</v>
      </c>
      <c r="W14" s="1030" t="s">
        <v>492</v>
      </c>
      <c r="X14" s="1031">
        <v>-7114.2819362454065</v>
      </c>
      <c r="Y14" s="1030" t="s">
        <v>492</v>
      </c>
      <c r="Z14" s="1031">
        <v>-270890.06703462743</v>
      </c>
      <c r="AA14" s="1037" t="s">
        <v>186</v>
      </c>
      <c r="AB14" s="1040">
        <v>15</v>
      </c>
      <c r="AC14" s="1095" t="s">
        <v>485</v>
      </c>
      <c r="AD14" s="1036" t="s">
        <v>503</v>
      </c>
      <c r="AE14" s="1036" t="s">
        <v>503</v>
      </c>
      <c r="AF14" s="1036" t="s">
        <v>503</v>
      </c>
      <c r="AG14" s="1036" t="s">
        <v>503</v>
      </c>
      <c r="AH14" s="1036" t="s">
        <v>503</v>
      </c>
      <c r="AI14" s="1036" t="s">
        <v>503</v>
      </c>
      <c r="AJ14" s="1037"/>
      <c r="AK14" s="1096" t="s">
        <v>503</v>
      </c>
    </row>
    <row r="15" spans="2:37" ht="15" customHeight="1">
      <c r="B15" s="1065" t="s">
        <v>511</v>
      </c>
      <c r="C15" s="1036" t="s">
        <v>503</v>
      </c>
      <c r="D15" s="1036" t="s">
        <v>503</v>
      </c>
      <c r="E15" s="1036" t="s">
        <v>503</v>
      </c>
      <c r="F15" s="1036" t="s">
        <v>503</v>
      </c>
      <c r="G15" s="1036" t="s">
        <v>503</v>
      </c>
      <c r="H15" s="1036" t="s">
        <v>503</v>
      </c>
      <c r="I15" s="1038"/>
      <c r="J15" s="1068" t="s">
        <v>503</v>
      </c>
      <c r="K15" s="1016" t="s">
        <v>511</v>
      </c>
      <c r="L15" s="1032" t="s">
        <v>492</v>
      </c>
      <c r="M15" s="1033">
        <v>-6852.1701450252231</v>
      </c>
      <c r="N15" s="1032" t="s">
        <v>492</v>
      </c>
      <c r="O15" s="1033">
        <v>-6831.1107277146612</v>
      </c>
      <c r="P15" s="1032" t="s">
        <v>492</v>
      </c>
      <c r="Q15" s="1033">
        <v>-272671.02546315442</v>
      </c>
      <c r="R15" s="1038" t="s">
        <v>186</v>
      </c>
      <c r="S15" s="1041">
        <v>15</v>
      </c>
      <c r="T15" s="1076" t="s">
        <v>511</v>
      </c>
      <c r="U15" s="1032" t="s">
        <v>491</v>
      </c>
      <c r="V15" s="1033">
        <v>-2178.1295939719398</v>
      </c>
      <c r="W15" s="1032" t="s">
        <v>492</v>
      </c>
      <c r="X15" s="1033">
        <v>-4803.068097617831</v>
      </c>
      <c r="Y15" s="1032" t="s">
        <v>492</v>
      </c>
      <c r="Z15" s="1033">
        <v>-253383.43572738359</v>
      </c>
      <c r="AA15" s="1038" t="s">
        <v>186</v>
      </c>
      <c r="AB15" s="1041">
        <v>15</v>
      </c>
      <c r="AC15" s="1095" t="s">
        <v>511</v>
      </c>
      <c r="AD15" s="1036" t="s">
        <v>503</v>
      </c>
      <c r="AE15" s="1036" t="s">
        <v>503</v>
      </c>
      <c r="AF15" s="1036" t="s">
        <v>503</v>
      </c>
      <c r="AG15" s="1036" t="s">
        <v>503</v>
      </c>
      <c r="AH15" s="1036" t="s">
        <v>503</v>
      </c>
      <c r="AI15" s="1036" t="s">
        <v>503</v>
      </c>
      <c r="AJ15" s="1038"/>
      <c r="AK15" s="1097" t="s">
        <v>503</v>
      </c>
    </row>
    <row r="16" spans="2:37" ht="15" customHeight="1">
      <c r="B16" s="1065" t="s">
        <v>512</v>
      </c>
      <c r="C16" s="1036" t="s">
        <v>503</v>
      </c>
      <c r="D16" s="1036" t="s">
        <v>503</v>
      </c>
      <c r="E16" s="1036" t="s">
        <v>503</v>
      </c>
      <c r="F16" s="1036" t="s">
        <v>503</v>
      </c>
      <c r="G16" s="1036" t="s">
        <v>503</v>
      </c>
      <c r="H16" s="1036" t="s">
        <v>503</v>
      </c>
      <c r="I16" s="1037"/>
      <c r="J16" s="1069" t="s">
        <v>503</v>
      </c>
      <c r="K16" s="1015" t="s">
        <v>512</v>
      </c>
      <c r="L16" s="1030" t="s">
        <v>491</v>
      </c>
      <c r="M16" s="1031">
        <v>-5304.5226569240958</v>
      </c>
      <c r="N16" s="1030" t="s">
        <v>492</v>
      </c>
      <c r="O16" s="1031">
        <v>-9575.0304494036955</v>
      </c>
      <c r="P16" s="1030" t="s">
        <v>492</v>
      </c>
      <c r="Q16" s="1031">
        <v>233334.47270452388</v>
      </c>
      <c r="R16" s="1037" t="s">
        <v>186</v>
      </c>
      <c r="S16" s="1040">
        <v>15</v>
      </c>
      <c r="T16" s="1075" t="s">
        <v>512</v>
      </c>
      <c r="U16" s="1030" t="s">
        <v>492</v>
      </c>
      <c r="V16" s="1031">
        <v>-2667.6615988286753</v>
      </c>
      <c r="W16" s="1030" t="s">
        <v>492</v>
      </c>
      <c r="X16" s="1031">
        <v>-8726.7688021300455</v>
      </c>
      <c r="Y16" s="1030" t="s">
        <v>492</v>
      </c>
      <c r="Z16" s="1031">
        <v>-507041.38874992682</v>
      </c>
      <c r="AA16" s="1037" t="s">
        <v>186</v>
      </c>
      <c r="AB16" s="1040">
        <v>15</v>
      </c>
      <c r="AC16" s="1095" t="s">
        <v>512</v>
      </c>
      <c r="AD16" s="1036" t="s">
        <v>503</v>
      </c>
      <c r="AE16" s="1036" t="s">
        <v>503</v>
      </c>
      <c r="AF16" s="1036" t="s">
        <v>503</v>
      </c>
      <c r="AG16" s="1036" t="s">
        <v>503</v>
      </c>
      <c r="AH16" s="1036" t="s">
        <v>503</v>
      </c>
      <c r="AI16" s="1036" t="s">
        <v>503</v>
      </c>
      <c r="AJ16" s="1037"/>
      <c r="AK16" s="1096" t="s">
        <v>503</v>
      </c>
    </row>
    <row r="17" spans="2:37" ht="15" customHeight="1">
      <c r="B17" s="1065" t="s">
        <v>513</v>
      </c>
      <c r="C17" s="1036" t="s">
        <v>503</v>
      </c>
      <c r="D17" s="1036" t="s">
        <v>503</v>
      </c>
      <c r="E17" s="1036" t="s">
        <v>503</v>
      </c>
      <c r="F17" s="1036" t="s">
        <v>503</v>
      </c>
      <c r="G17" s="1036" t="s">
        <v>503</v>
      </c>
      <c r="H17" s="1036" t="s">
        <v>503</v>
      </c>
      <c r="I17" s="1038"/>
      <c r="J17" s="1068" t="s">
        <v>503</v>
      </c>
      <c r="K17" s="1016" t="s">
        <v>513</v>
      </c>
      <c r="L17" s="1032" t="s">
        <v>492</v>
      </c>
      <c r="M17" s="1033">
        <v>-8174.6145191799251</v>
      </c>
      <c r="N17" s="1032" t="s">
        <v>492</v>
      </c>
      <c r="O17" s="1033">
        <v>-8896.8644736832957</v>
      </c>
      <c r="P17" s="1032" t="s">
        <v>492</v>
      </c>
      <c r="Q17" s="1033">
        <v>-359434.69350360817</v>
      </c>
      <c r="R17" s="1038" t="s">
        <v>186</v>
      </c>
      <c r="S17" s="1041">
        <v>15</v>
      </c>
      <c r="T17" s="1076" t="s">
        <v>513</v>
      </c>
      <c r="U17" s="1032" t="s">
        <v>492</v>
      </c>
      <c r="V17" s="1033">
        <v>-13563.302591877424</v>
      </c>
      <c r="W17" s="1032" t="s">
        <v>492</v>
      </c>
      <c r="X17" s="1033">
        <v>-9772.1813086911297</v>
      </c>
      <c r="Y17" s="1032" t="s">
        <v>491</v>
      </c>
      <c r="Z17" s="1033">
        <v>-452303.59431701159</v>
      </c>
      <c r="AA17" s="1038" t="s">
        <v>186</v>
      </c>
      <c r="AB17" s="1041">
        <v>15</v>
      </c>
      <c r="AC17" s="1095" t="s">
        <v>513</v>
      </c>
      <c r="AD17" s="1036" t="s">
        <v>503</v>
      </c>
      <c r="AE17" s="1036" t="s">
        <v>503</v>
      </c>
      <c r="AF17" s="1036" t="s">
        <v>503</v>
      </c>
      <c r="AG17" s="1036" t="s">
        <v>503</v>
      </c>
      <c r="AH17" s="1036" t="s">
        <v>503</v>
      </c>
      <c r="AI17" s="1036" t="s">
        <v>503</v>
      </c>
      <c r="AJ17" s="1038"/>
      <c r="AK17" s="1097" t="s">
        <v>503</v>
      </c>
    </row>
    <row r="18" spans="2:37" ht="15" customHeight="1">
      <c r="B18" s="1065" t="s">
        <v>514</v>
      </c>
      <c r="C18" s="1036" t="s">
        <v>503</v>
      </c>
      <c r="D18" s="1036" t="s">
        <v>503</v>
      </c>
      <c r="E18" s="1036" t="s">
        <v>503</v>
      </c>
      <c r="F18" s="1036" t="s">
        <v>503</v>
      </c>
      <c r="G18" s="1036" t="s">
        <v>503</v>
      </c>
      <c r="H18" s="1036" t="s">
        <v>503</v>
      </c>
      <c r="I18" s="1037"/>
      <c r="J18" s="1069" t="s">
        <v>503</v>
      </c>
      <c r="K18" s="1015" t="s">
        <v>514</v>
      </c>
      <c r="L18" s="1030" t="s">
        <v>491</v>
      </c>
      <c r="M18" s="1031">
        <v>-19782.185781397209</v>
      </c>
      <c r="N18" s="1030" t="s">
        <v>492</v>
      </c>
      <c r="O18" s="1031">
        <v>14235.680981772097</v>
      </c>
      <c r="P18" s="1030" t="s">
        <v>492</v>
      </c>
      <c r="Q18" s="1031">
        <v>-865958.69783975254</v>
      </c>
      <c r="R18" s="1037" t="s">
        <v>186</v>
      </c>
      <c r="S18" s="1040">
        <v>15</v>
      </c>
      <c r="T18" s="1075" t="s">
        <v>514</v>
      </c>
      <c r="U18" s="1030" t="s">
        <v>491</v>
      </c>
      <c r="V18" s="1031">
        <v>-2929.2739140511853</v>
      </c>
      <c r="W18" s="1030" t="s">
        <v>492</v>
      </c>
      <c r="X18" s="1031">
        <v>-7584.3208090057997</v>
      </c>
      <c r="Y18" s="1030" t="s">
        <v>492</v>
      </c>
      <c r="Z18" s="1031">
        <v>-228392.95696008339</v>
      </c>
      <c r="AA18" s="1037" t="s">
        <v>186</v>
      </c>
      <c r="AB18" s="1040">
        <v>15</v>
      </c>
      <c r="AC18" s="1095" t="s">
        <v>514</v>
      </c>
      <c r="AD18" s="1036" t="s">
        <v>503</v>
      </c>
      <c r="AE18" s="1036" t="s">
        <v>503</v>
      </c>
      <c r="AF18" s="1036" t="s">
        <v>503</v>
      </c>
      <c r="AG18" s="1036" t="s">
        <v>503</v>
      </c>
      <c r="AH18" s="1036" t="s">
        <v>503</v>
      </c>
      <c r="AI18" s="1036" t="s">
        <v>503</v>
      </c>
      <c r="AJ18" s="1037"/>
      <c r="AK18" s="1096" t="s">
        <v>503</v>
      </c>
    </row>
    <row r="19" spans="2:37" ht="15" customHeight="1">
      <c r="B19" s="1065" t="s">
        <v>515</v>
      </c>
      <c r="C19" s="1036" t="s">
        <v>503</v>
      </c>
      <c r="D19" s="1036" t="s">
        <v>503</v>
      </c>
      <c r="E19" s="1036" t="s">
        <v>503</v>
      </c>
      <c r="F19" s="1036" t="s">
        <v>503</v>
      </c>
      <c r="G19" s="1036" t="s">
        <v>503</v>
      </c>
      <c r="H19" s="1036" t="s">
        <v>503</v>
      </c>
      <c r="I19" s="1038"/>
      <c r="J19" s="1068" t="s">
        <v>503</v>
      </c>
      <c r="K19" s="1016" t="s">
        <v>515</v>
      </c>
      <c r="L19" s="1032" t="s">
        <v>491</v>
      </c>
      <c r="M19" s="1033">
        <v>-8843.6094035457954</v>
      </c>
      <c r="N19" s="1032" t="s">
        <v>492</v>
      </c>
      <c r="O19" s="1033">
        <v>-10840.125115306037</v>
      </c>
      <c r="P19" s="1032" t="s">
        <v>492</v>
      </c>
      <c r="Q19" s="1033">
        <v>326765.62762693228</v>
      </c>
      <c r="R19" s="1038" t="s">
        <v>186</v>
      </c>
      <c r="S19" s="1041">
        <v>15</v>
      </c>
      <c r="T19" s="1076" t="s">
        <v>515</v>
      </c>
      <c r="U19" s="1032" t="s">
        <v>492</v>
      </c>
      <c r="V19" s="1033">
        <v>-3659.2484986998961</v>
      </c>
      <c r="W19" s="1032" t="s">
        <v>492</v>
      </c>
      <c r="X19" s="1033">
        <v>-6034.3150191759441</v>
      </c>
      <c r="Y19" s="1032" t="s">
        <v>492</v>
      </c>
      <c r="Z19" s="1033">
        <v>-243304.01776373718</v>
      </c>
      <c r="AA19" s="1038" t="s">
        <v>186</v>
      </c>
      <c r="AB19" s="1041">
        <v>15</v>
      </c>
      <c r="AC19" s="1095" t="s">
        <v>515</v>
      </c>
      <c r="AD19" s="1036" t="s">
        <v>503</v>
      </c>
      <c r="AE19" s="1036" t="s">
        <v>503</v>
      </c>
      <c r="AF19" s="1036" t="s">
        <v>503</v>
      </c>
      <c r="AG19" s="1036" t="s">
        <v>503</v>
      </c>
      <c r="AH19" s="1036" t="s">
        <v>503</v>
      </c>
      <c r="AI19" s="1036" t="s">
        <v>503</v>
      </c>
      <c r="AJ19" s="1038"/>
      <c r="AK19" s="1097" t="s">
        <v>503</v>
      </c>
    </row>
    <row r="20" spans="2:37" ht="15" customHeight="1">
      <c r="B20" s="1065" t="s">
        <v>516</v>
      </c>
      <c r="C20" s="1036" t="s">
        <v>503</v>
      </c>
      <c r="D20" s="1036" t="s">
        <v>503</v>
      </c>
      <c r="E20" s="1036" t="s">
        <v>503</v>
      </c>
      <c r="F20" s="1036" t="s">
        <v>503</v>
      </c>
      <c r="G20" s="1036" t="s">
        <v>503</v>
      </c>
      <c r="H20" s="1036" t="s">
        <v>503</v>
      </c>
      <c r="I20" s="1037"/>
      <c r="J20" s="1069" t="s">
        <v>503</v>
      </c>
      <c r="K20" s="1061" t="s">
        <v>516</v>
      </c>
      <c r="L20" s="1036" t="s">
        <v>503</v>
      </c>
      <c r="M20" s="1036" t="s">
        <v>503</v>
      </c>
      <c r="N20" s="1036" t="s">
        <v>503</v>
      </c>
      <c r="O20" s="1036" t="s">
        <v>503</v>
      </c>
      <c r="P20" s="1036" t="s">
        <v>503</v>
      </c>
      <c r="Q20" s="1036" t="s">
        <v>503</v>
      </c>
      <c r="R20" s="1037"/>
      <c r="S20" s="1069" t="s">
        <v>503</v>
      </c>
      <c r="T20" s="1075" t="s">
        <v>516</v>
      </c>
      <c r="U20" s="1030" t="s">
        <v>491</v>
      </c>
      <c r="V20" s="1031">
        <v>-4416.4198086722035</v>
      </c>
      <c r="W20" s="1030" t="s">
        <v>492</v>
      </c>
      <c r="X20" s="1031">
        <v>9908.934218990642</v>
      </c>
      <c r="Y20" s="1030" t="s">
        <v>492</v>
      </c>
      <c r="Z20" s="1031">
        <v>284833.33695760858</v>
      </c>
      <c r="AA20" s="1037" t="s">
        <v>186</v>
      </c>
      <c r="AB20" s="1040">
        <v>15</v>
      </c>
      <c r="AC20" s="1095" t="s">
        <v>516</v>
      </c>
      <c r="AD20" s="1036" t="s">
        <v>503</v>
      </c>
      <c r="AE20" s="1036" t="s">
        <v>503</v>
      </c>
      <c r="AF20" s="1036" t="s">
        <v>503</v>
      </c>
      <c r="AG20" s="1036" t="s">
        <v>503</v>
      </c>
      <c r="AH20" s="1036" t="s">
        <v>503</v>
      </c>
      <c r="AI20" s="1036" t="s">
        <v>503</v>
      </c>
      <c r="AJ20" s="1037"/>
      <c r="AK20" s="1096" t="s">
        <v>503</v>
      </c>
    </row>
    <row r="21" spans="2:37" ht="15" customHeight="1">
      <c r="B21" s="1065" t="s">
        <v>517</v>
      </c>
      <c r="C21" s="1036" t="s">
        <v>503</v>
      </c>
      <c r="D21" s="1036" t="s">
        <v>503</v>
      </c>
      <c r="E21" s="1036" t="s">
        <v>503</v>
      </c>
      <c r="F21" s="1036" t="s">
        <v>503</v>
      </c>
      <c r="G21" s="1036" t="s">
        <v>503</v>
      </c>
      <c r="H21" s="1036" t="s">
        <v>503</v>
      </c>
      <c r="I21" s="1038"/>
      <c r="J21" s="1068" t="s">
        <v>503</v>
      </c>
      <c r="K21" s="1061" t="s">
        <v>517</v>
      </c>
      <c r="L21" s="1036" t="s">
        <v>503</v>
      </c>
      <c r="M21" s="1036" t="s">
        <v>503</v>
      </c>
      <c r="N21" s="1036" t="s">
        <v>503</v>
      </c>
      <c r="O21" s="1036" t="s">
        <v>503</v>
      </c>
      <c r="P21" s="1036" t="s">
        <v>503</v>
      </c>
      <c r="Q21" s="1036" t="s">
        <v>503</v>
      </c>
      <c r="R21" s="1038"/>
      <c r="S21" s="1068" t="s">
        <v>503</v>
      </c>
      <c r="T21" s="1076" t="s">
        <v>517</v>
      </c>
      <c r="U21" s="1032" t="s">
        <v>491</v>
      </c>
      <c r="V21" s="1033">
        <v>-4009.6180615578382</v>
      </c>
      <c r="W21" s="1032" t="s">
        <v>492</v>
      </c>
      <c r="X21" s="1033">
        <v>-9146.9557322174878</v>
      </c>
      <c r="Y21" s="1032" t="s">
        <v>492</v>
      </c>
      <c r="Z21" s="1033">
        <v>-292554.44357269187</v>
      </c>
      <c r="AA21" s="1038" t="s">
        <v>186</v>
      </c>
      <c r="AB21" s="1041">
        <v>15</v>
      </c>
      <c r="AC21" s="1095" t="s">
        <v>517</v>
      </c>
      <c r="AD21" s="1036" t="s">
        <v>503</v>
      </c>
      <c r="AE21" s="1036" t="s">
        <v>503</v>
      </c>
      <c r="AF21" s="1036" t="s">
        <v>503</v>
      </c>
      <c r="AG21" s="1036" t="s">
        <v>503</v>
      </c>
      <c r="AH21" s="1036" t="s">
        <v>503</v>
      </c>
      <c r="AI21" s="1036" t="s">
        <v>503</v>
      </c>
      <c r="AJ21" s="1038"/>
      <c r="AK21" s="1097" t="s">
        <v>503</v>
      </c>
    </row>
    <row r="22" spans="2:37" ht="15" customHeight="1">
      <c r="B22" s="1019"/>
      <c r="C22" s="1020"/>
      <c r="D22" s="1020"/>
      <c r="E22" s="1020"/>
      <c r="F22" s="1020"/>
      <c r="G22" s="1020"/>
      <c r="H22" s="1020"/>
      <c r="I22" s="1020"/>
      <c r="J22" s="1024"/>
      <c r="K22" s="1026"/>
      <c r="L22" s="1020"/>
      <c r="M22" s="1020"/>
      <c r="N22" s="1020"/>
      <c r="O22" s="1020"/>
      <c r="P22" s="1020"/>
      <c r="Q22" s="1020"/>
      <c r="R22" s="1020"/>
      <c r="S22" s="1024"/>
      <c r="T22" s="1077"/>
      <c r="U22" s="1020"/>
      <c r="V22" s="1020"/>
      <c r="W22" s="1020"/>
      <c r="X22" s="1020"/>
      <c r="Y22" s="1020"/>
      <c r="Z22" s="1020"/>
      <c r="AA22" s="1020"/>
      <c r="AB22" s="1024"/>
      <c r="AC22" s="1098"/>
      <c r="AD22" s="1020"/>
      <c r="AE22" s="1020"/>
      <c r="AF22" s="1020"/>
      <c r="AG22" s="1020"/>
      <c r="AH22" s="1020"/>
      <c r="AI22" s="1020"/>
      <c r="AJ22" s="1020"/>
      <c r="AK22" s="1099"/>
    </row>
    <row r="23" spans="2:37" ht="15" customHeight="1">
      <c r="B23" s="1019"/>
      <c r="C23" s="1020"/>
      <c r="D23" s="1020"/>
      <c r="E23" s="1020"/>
      <c r="F23" s="1020"/>
      <c r="G23" s="1020"/>
      <c r="H23" s="1020"/>
      <c r="I23" s="1020"/>
      <c r="J23" s="1024"/>
      <c r="K23" s="1026"/>
      <c r="L23" s="1020"/>
      <c r="M23" s="1020"/>
      <c r="N23" s="1020"/>
      <c r="O23" s="1020"/>
      <c r="P23" s="1020"/>
      <c r="Q23" s="1020"/>
      <c r="R23" s="1020"/>
      <c r="S23" s="1024"/>
      <c r="T23" s="1077"/>
      <c r="U23" s="1020"/>
      <c r="V23" s="1020"/>
      <c r="W23" s="1020"/>
      <c r="X23" s="1020"/>
      <c r="Y23" s="1020"/>
      <c r="Z23" s="1020"/>
      <c r="AA23" s="1020"/>
      <c r="AB23" s="1024"/>
      <c r="AC23" s="1098"/>
      <c r="AD23" s="1020"/>
      <c r="AE23" s="1020"/>
      <c r="AF23" s="1020"/>
      <c r="AG23" s="1020"/>
      <c r="AH23" s="1020"/>
      <c r="AI23" s="1020"/>
      <c r="AJ23" s="1020"/>
      <c r="AK23" s="1099"/>
    </row>
    <row r="24" spans="2:37" ht="15" customHeight="1">
      <c r="B24" s="1019"/>
      <c r="C24" s="1020"/>
      <c r="D24" s="1020"/>
      <c r="E24" s="1020"/>
      <c r="F24" s="1020"/>
      <c r="G24" s="1020"/>
      <c r="H24" s="1020"/>
      <c r="I24" s="1020"/>
      <c r="J24" s="1024"/>
      <c r="K24" s="1026"/>
      <c r="L24" s="1020"/>
      <c r="M24" s="1020"/>
      <c r="N24" s="1020"/>
      <c r="O24" s="1020"/>
      <c r="P24" s="1020"/>
      <c r="Q24" s="1020"/>
      <c r="R24" s="1020"/>
      <c r="S24" s="1024"/>
      <c r="T24" s="1077"/>
      <c r="U24" s="1020"/>
      <c r="V24" s="1020"/>
      <c r="W24" s="1020"/>
      <c r="X24" s="1020"/>
      <c r="Y24" s="1020"/>
      <c r="Z24" s="1020"/>
      <c r="AA24" s="1020"/>
      <c r="AB24" s="1024"/>
      <c r="AC24" s="1098"/>
      <c r="AD24" s="1020"/>
      <c r="AE24" s="1020"/>
      <c r="AF24" s="1020"/>
      <c r="AG24" s="1020"/>
      <c r="AH24" s="1020"/>
      <c r="AI24" s="1020"/>
      <c r="AJ24" s="1020"/>
      <c r="AK24" s="1099"/>
    </row>
    <row r="25" spans="2:37" ht="15" customHeight="1">
      <c r="B25" s="1019"/>
      <c r="C25" s="1020"/>
      <c r="D25" s="1020"/>
      <c r="E25" s="1020"/>
      <c r="F25" s="1020"/>
      <c r="G25" s="1020"/>
      <c r="H25" s="1020"/>
      <c r="I25" s="1020"/>
      <c r="J25" s="1024"/>
      <c r="K25" s="1026"/>
      <c r="L25" s="1020"/>
      <c r="M25" s="1020"/>
      <c r="N25" s="1020"/>
      <c r="O25" s="1020"/>
      <c r="P25" s="1020"/>
      <c r="Q25" s="1020"/>
      <c r="R25" s="1020"/>
      <c r="S25" s="1024"/>
      <c r="T25" s="1077"/>
      <c r="U25" s="1020"/>
      <c r="V25" s="1020"/>
      <c r="W25" s="1020"/>
      <c r="X25" s="1020"/>
      <c r="Y25" s="1020"/>
      <c r="Z25" s="1020"/>
      <c r="AA25" s="1020"/>
      <c r="AB25" s="1024"/>
      <c r="AC25" s="1098"/>
      <c r="AD25" s="1020"/>
      <c r="AE25" s="1020"/>
      <c r="AF25" s="1020"/>
      <c r="AG25" s="1020"/>
      <c r="AH25" s="1020"/>
      <c r="AI25" s="1020"/>
      <c r="AJ25" s="1020"/>
      <c r="AK25" s="1099"/>
    </row>
    <row r="26" spans="2:37" ht="15" customHeight="1">
      <c r="B26" s="1019"/>
      <c r="C26" s="1020"/>
      <c r="D26" s="1020"/>
      <c r="E26" s="1020"/>
      <c r="F26" s="1020"/>
      <c r="G26" s="1020"/>
      <c r="H26" s="1020"/>
      <c r="I26" s="1020"/>
      <c r="J26" s="1024"/>
      <c r="K26" s="1026"/>
      <c r="L26" s="1020"/>
      <c r="M26" s="1020"/>
      <c r="N26" s="1020"/>
      <c r="O26" s="1020"/>
      <c r="P26" s="1020"/>
      <c r="Q26" s="1020"/>
      <c r="R26" s="1020"/>
      <c r="S26" s="1024"/>
      <c r="T26" s="1077"/>
      <c r="U26" s="1020"/>
      <c r="V26" s="1020"/>
      <c r="W26" s="1020"/>
      <c r="X26" s="1020"/>
      <c r="Y26" s="1020"/>
      <c r="Z26" s="1020"/>
      <c r="AA26" s="1020"/>
      <c r="AB26" s="1024"/>
      <c r="AC26" s="1098"/>
      <c r="AD26" s="1020"/>
      <c r="AE26" s="1020"/>
      <c r="AF26" s="1020"/>
      <c r="AG26" s="1020"/>
      <c r="AH26" s="1020"/>
      <c r="AI26" s="1020"/>
      <c r="AJ26" s="1020"/>
      <c r="AK26" s="1099"/>
    </row>
    <row r="27" spans="2:37" ht="15" customHeight="1">
      <c r="B27" s="1019"/>
      <c r="C27" s="1020"/>
      <c r="D27" s="1020"/>
      <c r="E27" s="1020"/>
      <c r="F27" s="1020"/>
      <c r="G27" s="1020"/>
      <c r="H27" s="1020"/>
      <c r="I27" s="1020"/>
      <c r="J27" s="1024"/>
      <c r="K27" s="1026"/>
      <c r="L27" s="1020"/>
      <c r="M27" s="1020"/>
      <c r="N27" s="1020"/>
      <c r="O27" s="1020"/>
      <c r="P27" s="1020"/>
      <c r="Q27" s="1020"/>
      <c r="R27" s="1020"/>
      <c r="S27" s="1024"/>
      <c r="T27" s="1077"/>
      <c r="U27" s="1020"/>
      <c r="V27" s="1020"/>
      <c r="W27" s="1020"/>
      <c r="X27" s="1020"/>
      <c r="Y27" s="1020"/>
      <c r="Z27" s="1020"/>
      <c r="AA27" s="1020"/>
      <c r="AB27" s="1024"/>
      <c r="AC27" s="1098"/>
      <c r="AD27" s="1020"/>
      <c r="AE27" s="1020"/>
      <c r="AF27" s="1020"/>
      <c r="AG27" s="1020"/>
      <c r="AH27" s="1020"/>
      <c r="AI27" s="1020"/>
      <c r="AJ27" s="1020"/>
      <c r="AK27" s="1099"/>
    </row>
    <row r="28" spans="2:37" ht="15" customHeight="1">
      <c r="B28" s="1019"/>
      <c r="C28" s="1020"/>
      <c r="D28" s="1020"/>
      <c r="E28" s="1020"/>
      <c r="F28" s="1020"/>
      <c r="G28" s="1020"/>
      <c r="H28" s="1020"/>
      <c r="I28" s="1020"/>
      <c r="J28" s="1024"/>
      <c r="K28" s="1026"/>
      <c r="L28" s="1020"/>
      <c r="M28" s="1020"/>
      <c r="N28" s="1020"/>
      <c r="O28" s="1020"/>
      <c r="P28" s="1020"/>
      <c r="Q28" s="1020"/>
      <c r="R28" s="1020"/>
      <c r="S28" s="1024"/>
      <c r="T28" s="1077"/>
      <c r="U28" s="1020"/>
      <c r="V28" s="1020"/>
      <c r="W28" s="1020"/>
      <c r="X28" s="1020"/>
      <c r="Y28" s="1020"/>
      <c r="Z28" s="1020"/>
      <c r="AA28" s="1020"/>
      <c r="AB28" s="1024"/>
      <c r="AC28" s="1098"/>
      <c r="AD28" s="1020"/>
      <c r="AE28" s="1020"/>
      <c r="AF28" s="1020"/>
      <c r="AG28" s="1020"/>
      <c r="AH28" s="1020"/>
      <c r="AI28" s="1020"/>
      <c r="AJ28" s="1020"/>
      <c r="AK28" s="1099"/>
    </row>
    <row r="29" spans="2:37" ht="15" customHeight="1">
      <c r="B29" s="1019"/>
      <c r="C29" s="1020"/>
      <c r="D29" s="1020"/>
      <c r="E29" s="1020"/>
      <c r="F29" s="1020"/>
      <c r="G29" s="1020"/>
      <c r="H29" s="1020"/>
      <c r="I29" s="1020"/>
      <c r="J29" s="1024"/>
      <c r="K29" s="1026"/>
      <c r="L29" s="1020"/>
      <c r="M29" s="1020"/>
      <c r="N29" s="1020"/>
      <c r="O29" s="1020"/>
      <c r="P29" s="1020"/>
      <c r="Q29" s="1020"/>
      <c r="R29" s="1020"/>
      <c r="S29" s="1024"/>
      <c r="T29" s="1077"/>
      <c r="U29" s="1020"/>
      <c r="V29" s="1020"/>
      <c r="W29" s="1020"/>
      <c r="X29" s="1020"/>
      <c r="Y29" s="1020"/>
      <c r="Z29" s="1020"/>
      <c r="AA29" s="1020"/>
      <c r="AB29" s="1024"/>
      <c r="AC29" s="1098"/>
      <c r="AD29" s="1020"/>
      <c r="AE29" s="1020"/>
      <c r="AF29" s="1020"/>
      <c r="AG29" s="1020"/>
      <c r="AH29" s="1020"/>
      <c r="AI29" s="1020"/>
      <c r="AJ29" s="1020"/>
      <c r="AK29" s="1099"/>
    </row>
    <row r="30" spans="2:37" ht="15" customHeight="1">
      <c r="B30" s="1019"/>
      <c r="C30" s="1020"/>
      <c r="D30" s="1020"/>
      <c r="E30" s="1020"/>
      <c r="F30" s="1020"/>
      <c r="G30" s="1020"/>
      <c r="H30" s="1020"/>
      <c r="I30" s="1020"/>
      <c r="J30" s="1024"/>
      <c r="K30" s="1026"/>
      <c r="L30" s="1020"/>
      <c r="M30" s="1020"/>
      <c r="N30" s="1020"/>
      <c r="O30" s="1020"/>
      <c r="P30" s="1020"/>
      <c r="Q30" s="1020"/>
      <c r="R30" s="1020"/>
      <c r="S30" s="1024"/>
      <c r="T30" s="1077"/>
      <c r="U30" s="1020"/>
      <c r="V30" s="1020"/>
      <c r="W30" s="1020"/>
      <c r="X30" s="1020"/>
      <c r="Y30" s="1020"/>
      <c r="Z30" s="1020"/>
      <c r="AA30" s="1020"/>
      <c r="AB30" s="1024"/>
      <c r="AC30" s="1098"/>
      <c r="AD30" s="1020"/>
      <c r="AE30" s="1020"/>
      <c r="AF30" s="1020"/>
      <c r="AG30" s="1020"/>
      <c r="AH30" s="1020"/>
      <c r="AI30" s="1020"/>
      <c r="AJ30" s="1020"/>
      <c r="AK30" s="1099"/>
    </row>
    <row r="31" spans="2:37" ht="15" customHeight="1">
      <c r="B31" s="1019"/>
      <c r="C31" s="1020"/>
      <c r="D31" s="1020"/>
      <c r="E31" s="1020"/>
      <c r="F31" s="1020"/>
      <c r="G31" s="1020"/>
      <c r="H31" s="1020"/>
      <c r="I31" s="1020"/>
      <c r="J31" s="1024"/>
      <c r="K31" s="1026"/>
      <c r="L31" s="1020"/>
      <c r="M31" s="1020"/>
      <c r="N31" s="1020"/>
      <c r="O31" s="1020"/>
      <c r="P31" s="1020"/>
      <c r="Q31" s="1020"/>
      <c r="R31" s="1020"/>
      <c r="S31" s="1024"/>
      <c r="T31" s="1077"/>
      <c r="U31" s="1020"/>
      <c r="V31" s="1020"/>
      <c r="W31" s="1020"/>
      <c r="X31" s="1020"/>
      <c r="Y31" s="1020"/>
      <c r="Z31" s="1020"/>
      <c r="AA31" s="1020"/>
      <c r="AB31" s="1024"/>
      <c r="AC31" s="1098"/>
      <c r="AD31" s="1020"/>
      <c r="AE31" s="1020"/>
      <c r="AF31" s="1020"/>
      <c r="AG31" s="1020"/>
      <c r="AH31" s="1020"/>
      <c r="AI31" s="1020"/>
      <c r="AJ31" s="1020"/>
      <c r="AK31" s="1099"/>
    </row>
    <row r="32" spans="2:37" ht="15" customHeight="1">
      <c r="B32" s="1019"/>
      <c r="C32" s="1020"/>
      <c r="D32" s="1020"/>
      <c r="E32" s="1020"/>
      <c r="F32" s="1020"/>
      <c r="G32" s="1020"/>
      <c r="H32" s="1020"/>
      <c r="I32" s="1020"/>
      <c r="J32" s="1024"/>
      <c r="K32" s="1026"/>
      <c r="L32" s="1020"/>
      <c r="M32" s="1020"/>
      <c r="N32" s="1020"/>
      <c r="O32" s="1020"/>
      <c r="P32" s="1020"/>
      <c r="Q32" s="1020"/>
      <c r="R32" s="1020"/>
      <c r="S32" s="1024"/>
      <c r="T32" s="1077"/>
      <c r="U32" s="1020"/>
      <c r="V32" s="1020"/>
      <c r="W32" s="1020"/>
      <c r="X32" s="1020"/>
      <c r="Y32" s="1020"/>
      <c r="Z32" s="1020"/>
      <c r="AA32" s="1020"/>
      <c r="AB32" s="1024"/>
      <c r="AC32" s="1098"/>
      <c r="AD32" s="1020"/>
      <c r="AE32" s="1020"/>
      <c r="AF32" s="1020"/>
      <c r="AG32" s="1020"/>
      <c r="AH32" s="1020"/>
      <c r="AI32" s="1020"/>
      <c r="AJ32" s="1020"/>
      <c r="AK32" s="1099"/>
    </row>
    <row r="33" spans="2:37" ht="15" customHeight="1">
      <c r="B33" s="1019"/>
      <c r="C33" s="1020"/>
      <c r="D33" s="1020"/>
      <c r="E33" s="1020"/>
      <c r="F33" s="1020"/>
      <c r="G33" s="1020"/>
      <c r="H33" s="1020"/>
      <c r="I33" s="1020"/>
      <c r="J33" s="1024"/>
      <c r="K33" s="1026"/>
      <c r="L33" s="1020"/>
      <c r="M33" s="1020"/>
      <c r="N33" s="1020"/>
      <c r="O33" s="1020"/>
      <c r="P33" s="1020"/>
      <c r="Q33" s="1020"/>
      <c r="R33" s="1020"/>
      <c r="S33" s="1024"/>
      <c r="T33" s="1077"/>
      <c r="U33" s="1020"/>
      <c r="V33" s="1020"/>
      <c r="W33" s="1020"/>
      <c r="X33" s="1020"/>
      <c r="Y33" s="1020"/>
      <c r="Z33" s="1020"/>
      <c r="AA33" s="1020"/>
      <c r="AB33" s="1024"/>
      <c r="AC33" s="1098"/>
      <c r="AD33" s="1020"/>
      <c r="AE33" s="1020"/>
      <c r="AF33" s="1020"/>
      <c r="AG33" s="1020"/>
      <c r="AH33" s="1020"/>
      <c r="AI33" s="1020"/>
      <c r="AJ33" s="1020"/>
      <c r="AK33" s="1099"/>
    </row>
    <row r="34" spans="2:37" ht="15" customHeight="1">
      <c r="B34" s="1019"/>
      <c r="C34" s="1020"/>
      <c r="D34" s="1020"/>
      <c r="E34" s="1020"/>
      <c r="F34" s="1020"/>
      <c r="G34" s="1020"/>
      <c r="H34" s="1020"/>
      <c r="I34" s="1020"/>
      <c r="J34" s="1024"/>
      <c r="K34" s="1026"/>
      <c r="L34" s="1020"/>
      <c r="M34" s="1020"/>
      <c r="N34" s="1020"/>
      <c r="O34" s="1020"/>
      <c r="P34" s="1020"/>
      <c r="Q34" s="1020"/>
      <c r="R34" s="1020"/>
      <c r="S34" s="1024"/>
      <c r="T34" s="1077"/>
      <c r="U34" s="1020"/>
      <c r="V34" s="1020"/>
      <c r="W34" s="1020"/>
      <c r="X34" s="1020"/>
      <c r="Y34" s="1020"/>
      <c r="Z34" s="1020"/>
      <c r="AA34" s="1020"/>
      <c r="AB34" s="1024"/>
      <c r="AC34" s="1098"/>
      <c r="AD34" s="1020"/>
      <c r="AE34" s="1020"/>
      <c r="AF34" s="1020"/>
      <c r="AG34" s="1020"/>
      <c r="AH34" s="1020"/>
      <c r="AI34" s="1020"/>
      <c r="AJ34" s="1020"/>
      <c r="AK34" s="1099"/>
    </row>
    <row r="35" spans="2:37" ht="15" customHeight="1">
      <c r="B35" s="1019"/>
      <c r="C35" s="1020"/>
      <c r="D35" s="1020"/>
      <c r="E35" s="1020"/>
      <c r="F35" s="1020"/>
      <c r="G35" s="1020"/>
      <c r="H35" s="1020"/>
      <c r="I35" s="1020"/>
      <c r="J35" s="1024"/>
      <c r="K35" s="1026"/>
      <c r="L35" s="1020"/>
      <c r="M35" s="1020"/>
      <c r="N35" s="1020"/>
      <c r="O35" s="1020"/>
      <c r="P35" s="1020"/>
      <c r="Q35" s="1020"/>
      <c r="R35" s="1020"/>
      <c r="S35" s="1024"/>
      <c r="T35" s="1077"/>
      <c r="U35" s="1020"/>
      <c r="V35" s="1020"/>
      <c r="W35" s="1020"/>
      <c r="X35" s="1020"/>
      <c r="Y35" s="1020"/>
      <c r="Z35" s="1020"/>
      <c r="AA35" s="1020"/>
      <c r="AB35" s="1024"/>
      <c r="AC35" s="1098"/>
      <c r="AD35" s="1020"/>
      <c r="AE35" s="1020"/>
      <c r="AF35" s="1020"/>
      <c r="AG35" s="1020"/>
      <c r="AH35" s="1020"/>
      <c r="AI35" s="1020"/>
      <c r="AJ35" s="1020"/>
      <c r="AK35" s="1099"/>
    </row>
    <row r="36" spans="2:37" ht="15" customHeight="1">
      <c r="B36" s="1019"/>
      <c r="C36" s="1020"/>
      <c r="D36" s="1020"/>
      <c r="E36" s="1020"/>
      <c r="F36" s="1020"/>
      <c r="G36" s="1020"/>
      <c r="H36" s="1020"/>
      <c r="I36" s="1020"/>
      <c r="J36" s="1024"/>
      <c r="K36" s="1026"/>
      <c r="L36" s="1020"/>
      <c r="M36" s="1020"/>
      <c r="N36" s="1020"/>
      <c r="O36" s="1020"/>
      <c r="P36" s="1020"/>
      <c r="Q36" s="1020"/>
      <c r="R36" s="1020"/>
      <c r="S36" s="1024"/>
      <c r="T36" s="1077"/>
      <c r="U36" s="1020"/>
      <c r="V36" s="1020"/>
      <c r="W36" s="1020"/>
      <c r="X36" s="1020"/>
      <c r="Y36" s="1020"/>
      <c r="Z36" s="1020"/>
      <c r="AA36" s="1020"/>
      <c r="AB36" s="1024"/>
      <c r="AC36" s="1098"/>
      <c r="AD36" s="1020"/>
      <c r="AE36" s="1020"/>
      <c r="AF36" s="1020"/>
      <c r="AG36" s="1020"/>
      <c r="AH36" s="1020"/>
      <c r="AI36" s="1020"/>
      <c r="AJ36" s="1020"/>
      <c r="AK36" s="1099"/>
    </row>
    <row r="37" spans="2:37" ht="15" customHeight="1">
      <c r="B37" s="1019"/>
      <c r="C37" s="1020"/>
      <c r="D37" s="1020"/>
      <c r="E37" s="1020"/>
      <c r="F37" s="1020"/>
      <c r="G37" s="1020"/>
      <c r="H37" s="1020"/>
      <c r="I37" s="1020"/>
      <c r="J37" s="1024"/>
      <c r="K37" s="1026"/>
      <c r="L37" s="1020"/>
      <c r="M37" s="1020"/>
      <c r="N37" s="1020"/>
      <c r="O37" s="1020"/>
      <c r="P37" s="1020"/>
      <c r="Q37" s="1020"/>
      <c r="R37" s="1020"/>
      <c r="S37" s="1024"/>
      <c r="T37" s="1077"/>
      <c r="U37" s="1020"/>
      <c r="V37" s="1020"/>
      <c r="W37" s="1020"/>
      <c r="X37" s="1020"/>
      <c r="Y37" s="1020"/>
      <c r="Z37" s="1020"/>
      <c r="AA37" s="1020"/>
      <c r="AB37" s="1024"/>
      <c r="AC37" s="1098"/>
      <c r="AD37" s="1020"/>
      <c r="AE37" s="1020"/>
      <c r="AF37" s="1020"/>
      <c r="AG37" s="1020"/>
      <c r="AH37" s="1020"/>
      <c r="AI37" s="1020"/>
      <c r="AJ37" s="1020"/>
      <c r="AK37" s="1099"/>
    </row>
    <row r="38" spans="2:37" ht="15" customHeight="1">
      <c r="B38" s="1019"/>
      <c r="C38" s="1020"/>
      <c r="D38" s="1020"/>
      <c r="E38" s="1020"/>
      <c r="F38" s="1020"/>
      <c r="G38" s="1020"/>
      <c r="H38" s="1020"/>
      <c r="I38" s="1020"/>
      <c r="J38" s="1024"/>
      <c r="K38" s="1026"/>
      <c r="L38" s="1020"/>
      <c r="M38" s="1020"/>
      <c r="N38" s="1020"/>
      <c r="O38" s="1020"/>
      <c r="P38" s="1020"/>
      <c r="Q38" s="1020"/>
      <c r="R38" s="1020"/>
      <c r="S38" s="1024"/>
      <c r="T38" s="1077"/>
      <c r="U38" s="1020"/>
      <c r="V38" s="1020"/>
      <c r="W38" s="1020"/>
      <c r="X38" s="1020"/>
      <c r="Y38" s="1020"/>
      <c r="Z38" s="1020"/>
      <c r="AA38" s="1020"/>
      <c r="AB38" s="1024"/>
      <c r="AC38" s="1098"/>
      <c r="AD38" s="1020"/>
      <c r="AE38" s="1020"/>
      <c r="AF38" s="1020"/>
      <c r="AG38" s="1020"/>
      <c r="AH38" s="1020"/>
      <c r="AI38" s="1020"/>
      <c r="AJ38" s="1020"/>
      <c r="AK38" s="1099"/>
    </row>
    <row r="39" spans="2:37" ht="15" customHeight="1">
      <c r="B39" s="1019"/>
      <c r="C39" s="1020"/>
      <c r="D39" s="1020"/>
      <c r="E39" s="1020"/>
      <c r="F39" s="1020"/>
      <c r="G39" s="1020"/>
      <c r="H39" s="1020"/>
      <c r="I39" s="1020"/>
      <c r="J39" s="1024"/>
      <c r="K39" s="1026"/>
      <c r="L39" s="1020"/>
      <c r="M39" s="1020"/>
      <c r="N39" s="1020"/>
      <c r="O39" s="1020"/>
      <c r="P39" s="1020"/>
      <c r="Q39" s="1020"/>
      <c r="R39" s="1020"/>
      <c r="S39" s="1024"/>
      <c r="T39" s="1077"/>
      <c r="U39" s="1020"/>
      <c r="V39" s="1020"/>
      <c r="W39" s="1020"/>
      <c r="X39" s="1020"/>
      <c r="Y39" s="1020"/>
      <c r="Z39" s="1020"/>
      <c r="AA39" s="1020"/>
      <c r="AB39" s="1024"/>
      <c r="AC39" s="1098"/>
      <c r="AD39" s="1020"/>
      <c r="AE39" s="1020"/>
      <c r="AF39" s="1020"/>
      <c r="AG39" s="1020"/>
      <c r="AH39" s="1020"/>
      <c r="AI39" s="1020"/>
      <c r="AJ39" s="1020"/>
      <c r="AK39" s="1099"/>
    </row>
    <row r="40" spans="2:37" ht="15" customHeight="1">
      <c r="B40" s="1019"/>
      <c r="C40" s="1020"/>
      <c r="D40" s="1020"/>
      <c r="E40" s="1020"/>
      <c r="F40" s="1020"/>
      <c r="G40" s="1020"/>
      <c r="H40" s="1020"/>
      <c r="I40" s="1020"/>
      <c r="J40" s="1024"/>
      <c r="K40" s="1026"/>
      <c r="L40" s="1020"/>
      <c r="M40" s="1020"/>
      <c r="N40" s="1020"/>
      <c r="O40" s="1020"/>
      <c r="P40" s="1020"/>
      <c r="Q40" s="1020"/>
      <c r="R40" s="1020"/>
      <c r="S40" s="1024"/>
      <c r="T40" s="1077"/>
      <c r="U40" s="1020"/>
      <c r="V40" s="1020"/>
      <c r="W40" s="1020"/>
      <c r="X40" s="1020"/>
      <c r="Y40" s="1020"/>
      <c r="Z40" s="1020"/>
      <c r="AA40" s="1020"/>
      <c r="AB40" s="1024"/>
      <c r="AC40" s="1098"/>
      <c r="AD40" s="1020"/>
      <c r="AE40" s="1020"/>
      <c r="AF40" s="1020"/>
      <c r="AG40" s="1020"/>
      <c r="AH40" s="1020"/>
      <c r="AI40" s="1020"/>
      <c r="AJ40" s="1020"/>
      <c r="AK40" s="1099"/>
    </row>
    <row r="41" spans="2:37" ht="15" customHeight="1">
      <c r="B41" s="1019"/>
      <c r="C41" s="1020"/>
      <c r="D41" s="1020"/>
      <c r="E41" s="1020"/>
      <c r="F41" s="1020"/>
      <c r="G41" s="1020"/>
      <c r="H41" s="1020"/>
      <c r="I41" s="1020"/>
      <c r="J41" s="1024"/>
      <c r="K41" s="1026"/>
      <c r="L41" s="1020"/>
      <c r="M41" s="1020"/>
      <c r="N41" s="1020"/>
      <c r="O41" s="1020"/>
      <c r="P41" s="1020"/>
      <c r="Q41" s="1020"/>
      <c r="R41" s="1020"/>
      <c r="S41" s="1024"/>
      <c r="T41" s="1077"/>
      <c r="U41" s="1020"/>
      <c r="V41" s="1020"/>
      <c r="W41" s="1020"/>
      <c r="X41" s="1020"/>
      <c r="Y41" s="1020"/>
      <c r="Z41" s="1020"/>
      <c r="AA41" s="1020"/>
      <c r="AB41" s="1024"/>
      <c r="AC41" s="1098"/>
      <c r="AD41" s="1020"/>
      <c r="AE41" s="1020"/>
      <c r="AF41" s="1020"/>
      <c r="AG41" s="1020"/>
      <c r="AH41" s="1020"/>
      <c r="AI41" s="1020"/>
      <c r="AJ41" s="1020"/>
      <c r="AK41" s="1099"/>
    </row>
    <row r="42" spans="2:37" ht="15" customHeight="1">
      <c r="B42" s="1019"/>
      <c r="C42" s="1020"/>
      <c r="D42" s="1020"/>
      <c r="E42" s="1020"/>
      <c r="F42" s="1020"/>
      <c r="G42" s="1020"/>
      <c r="H42" s="1020"/>
      <c r="I42" s="1020"/>
      <c r="J42" s="1024"/>
      <c r="K42" s="1026"/>
      <c r="L42" s="1020"/>
      <c r="M42" s="1020"/>
      <c r="N42" s="1020"/>
      <c r="O42" s="1020"/>
      <c r="P42" s="1020"/>
      <c r="Q42" s="1020"/>
      <c r="R42" s="1020"/>
      <c r="S42" s="1024"/>
      <c r="T42" s="1077"/>
      <c r="U42" s="1020"/>
      <c r="V42" s="1020"/>
      <c r="W42" s="1020"/>
      <c r="X42" s="1020"/>
      <c r="Y42" s="1020"/>
      <c r="Z42" s="1020"/>
      <c r="AA42" s="1020"/>
      <c r="AB42" s="1024"/>
      <c r="AC42" s="1098"/>
      <c r="AD42" s="1020"/>
      <c r="AE42" s="1020"/>
      <c r="AF42" s="1020"/>
      <c r="AG42" s="1020"/>
      <c r="AH42" s="1020"/>
      <c r="AI42" s="1020"/>
      <c r="AJ42" s="1020"/>
      <c r="AK42" s="1099"/>
    </row>
    <row r="43" spans="2:37" ht="15" customHeight="1">
      <c r="B43" s="1019"/>
      <c r="C43" s="1020"/>
      <c r="D43" s="1020"/>
      <c r="E43" s="1020"/>
      <c r="F43" s="1020"/>
      <c r="G43" s="1020"/>
      <c r="H43" s="1020"/>
      <c r="I43" s="1020"/>
      <c r="J43" s="1024"/>
      <c r="K43" s="1026"/>
      <c r="L43" s="1020"/>
      <c r="M43" s="1020"/>
      <c r="N43" s="1020"/>
      <c r="O43" s="1020"/>
      <c r="P43" s="1020"/>
      <c r="Q43" s="1020"/>
      <c r="R43" s="1020"/>
      <c r="S43" s="1024"/>
      <c r="T43" s="1077"/>
      <c r="U43" s="1020"/>
      <c r="V43" s="1020"/>
      <c r="W43" s="1020"/>
      <c r="X43" s="1020"/>
      <c r="Y43" s="1020"/>
      <c r="Z43" s="1020"/>
      <c r="AA43" s="1020"/>
      <c r="AB43" s="1024"/>
      <c r="AC43" s="1098"/>
      <c r="AD43" s="1020"/>
      <c r="AE43" s="1020"/>
      <c r="AF43" s="1020"/>
      <c r="AG43" s="1020"/>
      <c r="AH43" s="1020"/>
      <c r="AI43" s="1020"/>
      <c r="AJ43" s="1020"/>
      <c r="AK43" s="1099"/>
    </row>
    <row r="44" spans="2:37" ht="15" customHeight="1">
      <c r="B44" s="1019"/>
      <c r="C44" s="1020"/>
      <c r="D44" s="1020"/>
      <c r="E44" s="1020"/>
      <c r="F44" s="1020"/>
      <c r="G44" s="1020"/>
      <c r="H44" s="1020"/>
      <c r="I44" s="1020"/>
      <c r="J44" s="1024"/>
      <c r="K44" s="1026"/>
      <c r="L44" s="1020"/>
      <c r="M44" s="1020"/>
      <c r="N44" s="1020"/>
      <c r="O44" s="1020"/>
      <c r="P44" s="1020"/>
      <c r="Q44" s="1020"/>
      <c r="R44" s="1020"/>
      <c r="S44" s="1024"/>
      <c r="T44" s="1077"/>
      <c r="U44" s="1020"/>
      <c r="V44" s="1020"/>
      <c r="W44" s="1020"/>
      <c r="X44" s="1020"/>
      <c r="Y44" s="1020"/>
      <c r="Z44" s="1020"/>
      <c r="AA44" s="1020"/>
      <c r="AB44" s="1024"/>
      <c r="AC44" s="1098"/>
      <c r="AD44" s="1020"/>
      <c r="AE44" s="1020"/>
      <c r="AF44" s="1020"/>
      <c r="AG44" s="1020"/>
      <c r="AH44" s="1020"/>
      <c r="AI44" s="1020"/>
      <c r="AJ44" s="1020"/>
      <c r="AK44" s="1099"/>
    </row>
    <row r="45" spans="2:37" ht="15" customHeight="1">
      <c r="B45" s="1019"/>
      <c r="C45" s="1020"/>
      <c r="D45" s="1020"/>
      <c r="E45" s="1020"/>
      <c r="F45" s="1020"/>
      <c r="G45" s="1020"/>
      <c r="H45" s="1020"/>
      <c r="I45" s="1020"/>
      <c r="J45" s="1024"/>
      <c r="K45" s="1026"/>
      <c r="L45" s="1020"/>
      <c r="M45" s="1020"/>
      <c r="N45" s="1020"/>
      <c r="O45" s="1020"/>
      <c r="P45" s="1020"/>
      <c r="Q45" s="1020"/>
      <c r="R45" s="1020"/>
      <c r="S45" s="1024"/>
      <c r="T45" s="1077"/>
      <c r="U45" s="1020"/>
      <c r="V45" s="1020"/>
      <c r="W45" s="1020"/>
      <c r="X45" s="1020"/>
      <c r="Y45" s="1020"/>
      <c r="Z45" s="1020"/>
      <c r="AA45" s="1020"/>
      <c r="AB45" s="1024"/>
      <c r="AC45" s="1098"/>
      <c r="AD45" s="1020"/>
      <c r="AE45" s="1020"/>
      <c r="AF45" s="1020"/>
      <c r="AG45" s="1020"/>
      <c r="AH45" s="1020"/>
      <c r="AI45" s="1020"/>
      <c r="AJ45" s="1020"/>
      <c r="AK45" s="1099"/>
    </row>
    <row r="46" spans="2:37" ht="15" customHeight="1">
      <c r="B46" s="1019"/>
      <c r="C46" s="1020"/>
      <c r="D46" s="1020"/>
      <c r="E46" s="1020"/>
      <c r="F46" s="1020"/>
      <c r="G46" s="1020"/>
      <c r="H46" s="1020"/>
      <c r="I46" s="1020"/>
      <c r="J46" s="1024"/>
      <c r="K46" s="1026"/>
      <c r="L46" s="1020"/>
      <c r="M46" s="1020"/>
      <c r="N46" s="1020"/>
      <c r="O46" s="1020"/>
      <c r="P46" s="1020"/>
      <c r="Q46" s="1020"/>
      <c r="R46" s="1020"/>
      <c r="S46" s="1024"/>
      <c r="T46" s="1077"/>
      <c r="U46" s="1020"/>
      <c r="V46" s="1020"/>
      <c r="W46" s="1020"/>
      <c r="X46" s="1020"/>
      <c r="Y46" s="1020"/>
      <c r="Z46" s="1020"/>
      <c r="AA46" s="1020"/>
      <c r="AB46" s="1024"/>
      <c r="AC46" s="1098"/>
      <c r="AD46" s="1020"/>
      <c r="AE46" s="1020"/>
      <c r="AF46" s="1020"/>
      <c r="AG46" s="1020"/>
      <c r="AH46" s="1020"/>
      <c r="AI46" s="1020"/>
      <c r="AJ46" s="1020"/>
      <c r="AK46" s="1099"/>
    </row>
    <row r="47" spans="2:37" ht="15" customHeight="1">
      <c r="B47" s="1019"/>
      <c r="C47" s="1020"/>
      <c r="D47" s="1020"/>
      <c r="E47" s="1020"/>
      <c r="F47" s="1020"/>
      <c r="G47" s="1020"/>
      <c r="H47" s="1020"/>
      <c r="I47" s="1020"/>
      <c r="J47" s="1024"/>
      <c r="K47" s="1026"/>
      <c r="L47" s="1020"/>
      <c r="M47" s="1020"/>
      <c r="N47" s="1020"/>
      <c r="O47" s="1020"/>
      <c r="P47" s="1020"/>
      <c r="Q47" s="1020"/>
      <c r="R47" s="1020"/>
      <c r="S47" s="1024"/>
      <c r="T47" s="1077"/>
      <c r="U47" s="1020"/>
      <c r="V47" s="1020"/>
      <c r="W47" s="1020"/>
      <c r="X47" s="1020"/>
      <c r="Y47" s="1020"/>
      <c r="Z47" s="1020"/>
      <c r="AA47" s="1020"/>
      <c r="AB47" s="1024"/>
      <c r="AC47" s="1098"/>
      <c r="AD47" s="1020"/>
      <c r="AE47" s="1020"/>
      <c r="AF47" s="1020"/>
      <c r="AG47" s="1020"/>
      <c r="AH47" s="1020"/>
      <c r="AI47" s="1020"/>
      <c r="AJ47" s="1020"/>
      <c r="AK47" s="1099"/>
    </row>
    <row r="48" spans="2:37" ht="15" customHeight="1">
      <c r="B48" s="1019"/>
      <c r="C48" s="1020"/>
      <c r="D48" s="1020"/>
      <c r="E48" s="1020"/>
      <c r="F48" s="1020"/>
      <c r="G48" s="1020"/>
      <c r="H48" s="1020"/>
      <c r="I48" s="1020"/>
      <c r="J48" s="1024"/>
      <c r="K48" s="1026"/>
      <c r="L48" s="1020"/>
      <c r="M48" s="1020"/>
      <c r="N48" s="1020"/>
      <c r="O48" s="1020"/>
      <c r="P48" s="1020"/>
      <c r="Q48" s="1020"/>
      <c r="R48" s="1020"/>
      <c r="S48" s="1024"/>
      <c r="T48" s="1077"/>
      <c r="U48" s="1020"/>
      <c r="V48" s="1020"/>
      <c r="W48" s="1020"/>
      <c r="X48" s="1020"/>
      <c r="Y48" s="1020"/>
      <c r="Z48" s="1020"/>
      <c r="AA48" s="1020"/>
      <c r="AB48" s="1024"/>
      <c r="AC48" s="1098"/>
      <c r="AD48" s="1020"/>
      <c r="AE48" s="1020"/>
      <c r="AF48" s="1020"/>
      <c r="AG48" s="1020"/>
      <c r="AH48" s="1020"/>
      <c r="AI48" s="1020"/>
      <c r="AJ48" s="1020"/>
      <c r="AK48" s="1099"/>
    </row>
    <row r="49" spans="2:37" ht="15" customHeight="1">
      <c r="B49" s="1019"/>
      <c r="C49" s="1020"/>
      <c r="D49" s="1020"/>
      <c r="E49" s="1020"/>
      <c r="F49" s="1020"/>
      <c r="G49" s="1020"/>
      <c r="H49" s="1020"/>
      <c r="I49" s="1020"/>
      <c r="J49" s="1024"/>
      <c r="K49" s="1026"/>
      <c r="L49" s="1020"/>
      <c r="M49" s="1020"/>
      <c r="N49" s="1020"/>
      <c r="O49" s="1020"/>
      <c r="P49" s="1020"/>
      <c r="Q49" s="1020"/>
      <c r="R49" s="1020"/>
      <c r="S49" s="1024"/>
      <c r="T49" s="1077"/>
      <c r="U49" s="1020"/>
      <c r="V49" s="1020"/>
      <c r="W49" s="1020"/>
      <c r="X49" s="1020"/>
      <c r="Y49" s="1020"/>
      <c r="Z49" s="1020"/>
      <c r="AA49" s="1020"/>
      <c r="AB49" s="1024"/>
      <c r="AC49" s="1098"/>
      <c r="AD49" s="1020"/>
      <c r="AE49" s="1020"/>
      <c r="AF49" s="1020"/>
      <c r="AG49" s="1020"/>
      <c r="AH49" s="1020"/>
      <c r="AI49" s="1020"/>
      <c r="AJ49" s="1020"/>
      <c r="AK49" s="1099"/>
    </row>
    <row r="50" spans="2:37" ht="15" customHeight="1">
      <c r="B50" s="1019"/>
      <c r="C50" s="1020"/>
      <c r="D50" s="1020"/>
      <c r="E50" s="1020"/>
      <c r="F50" s="1020"/>
      <c r="G50" s="1020"/>
      <c r="H50" s="1020"/>
      <c r="I50" s="1020"/>
      <c r="J50" s="1024"/>
      <c r="K50" s="1026"/>
      <c r="L50" s="1020"/>
      <c r="M50" s="1020"/>
      <c r="N50" s="1020"/>
      <c r="O50" s="1020"/>
      <c r="P50" s="1020"/>
      <c r="Q50" s="1020"/>
      <c r="R50" s="1020"/>
      <c r="S50" s="1024"/>
      <c r="T50" s="1077"/>
      <c r="U50" s="1020"/>
      <c r="V50" s="1020"/>
      <c r="W50" s="1020"/>
      <c r="X50" s="1020"/>
      <c r="Y50" s="1020"/>
      <c r="Z50" s="1020"/>
      <c r="AA50" s="1020"/>
      <c r="AB50" s="1024"/>
      <c r="AC50" s="1098"/>
      <c r="AD50" s="1020"/>
      <c r="AE50" s="1020"/>
      <c r="AF50" s="1020"/>
      <c r="AG50" s="1020"/>
      <c r="AH50" s="1020"/>
      <c r="AI50" s="1020"/>
      <c r="AJ50" s="1020"/>
      <c r="AK50" s="1099"/>
    </row>
    <row r="51" spans="2:37" ht="15" customHeight="1">
      <c r="B51" s="1019"/>
      <c r="C51" s="1020"/>
      <c r="D51" s="1020"/>
      <c r="E51" s="1020"/>
      <c r="F51" s="1020"/>
      <c r="G51" s="1020"/>
      <c r="H51" s="1020"/>
      <c r="I51" s="1020"/>
      <c r="J51" s="1024"/>
      <c r="K51" s="1026"/>
      <c r="L51" s="1020"/>
      <c r="M51" s="1020"/>
      <c r="N51" s="1020"/>
      <c r="O51" s="1020"/>
      <c r="P51" s="1020"/>
      <c r="Q51" s="1020"/>
      <c r="R51" s="1020"/>
      <c r="S51" s="1024"/>
      <c r="T51" s="1077"/>
      <c r="U51" s="1020"/>
      <c r="V51" s="1020"/>
      <c r="W51" s="1020"/>
      <c r="X51" s="1020"/>
      <c r="Y51" s="1020"/>
      <c r="Z51" s="1020"/>
      <c r="AA51" s="1020"/>
      <c r="AB51" s="1024"/>
      <c r="AC51" s="1098"/>
      <c r="AD51" s="1020"/>
      <c r="AE51" s="1020"/>
      <c r="AF51" s="1020"/>
      <c r="AG51" s="1020"/>
      <c r="AH51" s="1020"/>
      <c r="AI51" s="1020"/>
      <c r="AJ51" s="1020"/>
      <c r="AK51" s="1099"/>
    </row>
    <row r="52" spans="2:37" ht="15" customHeight="1">
      <c r="B52" s="1019"/>
      <c r="C52" s="1020"/>
      <c r="D52" s="1020"/>
      <c r="E52" s="1020"/>
      <c r="F52" s="1020"/>
      <c r="G52" s="1020"/>
      <c r="H52" s="1020"/>
      <c r="I52" s="1020"/>
      <c r="J52" s="1024"/>
      <c r="K52" s="1026"/>
      <c r="L52" s="1020"/>
      <c r="M52" s="1020"/>
      <c r="N52" s="1020"/>
      <c r="O52" s="1020"/>
      <c r="P52" s="1020"/>
      <c r="Q52" s="1020"/>
      <c r="R52" s="1020"/>
      <c r="S52" s="1024"/>
      <c r="T52" s="1077"/>
      <c r="U52" s="1020"/>
      <c r="V52" s="1020"/>
      <c r="W52" s="1020"/>
      <c r="X52" s="1020"/>
      <c r="Y52" s="1020"/>
      <c r="Z52" s="1020"/>
      <c r="AA52" s="1020"/>
      <c r="AB52" s="1024"/>
      <c r="AC52" s="1098"/>
      <c r="AD52" s="1020"/>
      <c r="AE52" s="1020"/>
      <c r="AF52" s="1020"/>
      <c r="AG52" s="1020"/>
      <c r="AH52" s="1020"/>
      <c r="AI52" s="1020"/>
      <c r="AJ52" s="1020"/>
      <c r="AK52" s="1099"/>
    </row>
    <row r="53" spans="2:37" ht="15" customHeight="1">
      <c r="B53" s="1019"/>
      <c r="C53" s="1020"/>
      <c r="D53" s="1020"/>
      <c r="E53" s="1020"/>
      <c r="F53" s="1020"/>
      <c r="G53" s="1020"/>
      <c r="H53" s="1020"/>
      <c r="I53" s="1020"/>
      <c r="J53" s="1024"/>
      <c r="K53" s="1026"/>
      <c r="L53" s="1020"/>
      <c r="M53" s="1020"/>
      <c r="N53" s="1020"/>
      <c r="O53" s="1020"/>
      <c r="P53" s="1020"/>
      <c r="Q53" s="1020"/>
      <c r="R53" s="1020"/>
      <c r="S53" s="1024"/>
      <c r="T53" s="1077"/>
      <c r="U53" s="1020"/>
      <c r="V53" s="1020"/>
      <c r="W53" s="1020"/>
      <c r="X53" s="1020"/>
      <c r="Y53" s="1020"/>
      <c r="Z53" s="1020"/>
      <c r="AA53" s="1020"/>
      <c r="AB53" s="1024"/>
      <c r="AC53" s="1098"/>
      <c r="AD53" s="1020"/>
      <c r="AE53" s="1020"/>
      <c r="AF53" s="1020"/>
      <c r="AG53" s="1020"/>
      <c r="AH53" s="1020"/>
      <c r="AI53" s="1020"/>
      <c r="AJ53" s="1020"/>
      <c r="AK53" s="1099"/>
    </row>
    <row r="54" spans="2:37" ht="15" customHeight="1">
      <c r="B54" s="1019"/>
      <c r="C54" s="1020"/>
      <c r="D54" s="1020"/>
      <c r="E54" s="1020"/>
      <c r="F54" s="1020"/>
      <c r="G54" s="1020"/>
      <c r="H54" s="1020"/>
      <c r="I54" s="1020"/>
      <c r="J54" s="1024"/>
      <c r="K54" s="1026"/>
      <c r="L54" s="1020"/>
      <c r="M54" s="1020"/>
      <c r="N54" s="1020"/>
      <c r="O54" s="1020"/>
      <c r="P54" s="1020"/>
      <c r="Q54" s="1020"/>
      <c r="R54" s="1020"/>
      <c r="S54" s="1024"/>
      <c r="T54" s="1077"/>
      <c r="U54" s="1020"/>
      <c r="V54" s="1020"/>
      <c r="W54" s="1020"/>
      <c r="X54" s="1020"/>
      <c r="Y54" s="1020"/>
      <c r="Z54" s="1020"/>
      <c r="AA54" s="1020"/>
      <c r="AB54" s="1024"/>
      <c r="AC54" s="1098"/>
      <c r="AD54" s="1020"/>
      <c r="AE54" s="1020"/>
      <c r="AF54" s="1020"/>
      <c r="AG54" s="1020"/>
      <c r="AH54" s="1020"/>
      <c r="AI54" s="1020"/>
      <c r="AJ54" s="1020"/>
      <c r="AK54" s="1099"/>
    </row>
    <row r="55" spans="2:37" ht="15" customHeight="1">
      <c r="B55" s="1019"/>
      <c r="C55" s="1020"/>
      <c r="D55" s="1020"/>
      <c r="E55" s="1020"/>
      <c r="F55" s="1020"/>
      <c r="G55" s="1020"/>
      <c r="H55" s="1020"/>
      <c r="I55" s="1020"/>
      <c r="J55" s="1024"/>
      <c r="K55" s="1026"/>
      <c r="L55" s="1020"/>
      <c r="M55" s="1020"/>
      <c r="N55" s="1020"/>
      <c r="O55" s="1020"/>
      <c r="P55" s="1020"/>
      <c r="Q55" s="1020"/>
      <c r="R55" s="1020"/>
      <c r="S55" s="1024"/>
      <c r="T55" s="1077"/>
      <c r="U55" s="1020"/>
      <c r="V55" s="1020"/>
      <c r="W55" s="1020"/>
      <c r="X55" s="1020"/>
      <c r="Y55" s="1020"/>
      <c r="Z55" s="1020"/>
      <c r="AA55" s="1020"/>
      <c r="AB55" s="1024"/>
      <c r="AC55" s="1098"/>
      <c r="AD55" s="1020"/>
      <c r="AE55" s="1020"/>
      <c r="AF55" s="1020"/>
      <c r="AG55" s="1020"/>
      <c r="AH55" s="1020"/>
      <c r="AI55" s="1020"/>
      <c r="AJ55" s="1020"/>
      <c r="AK55" s="1099"/>
    </row>
    <row r="56" spans="2:37" ht="15" customHeight="1">
      <c r="B56" s="1019"/>
      <c r="C56" s="1020"/>
      <c r="D56" s="1020"/>
      <c r="E56" s="1020"/>
      <c r="F56" s="1020"/>
      <c r="G56" s="1020"/>
      <c r="H56" s="1020"/>
      <c r="I56" s="1020"/>
      <c r="J56" s="1024"/>
      <c r="K56" s="1026"/>
      <c r="L56" s="1020"/>
      <c r="M56" s="1020"/>
      <c r="N56" s="1020"/>
      <c r="O56" s="1020"/>
      <c r="P56" s="1020"/>
      <c r="Q56" s="1020"/>
      <c r="R56" s="1020"/>
      <c r="S56" s="1024"/>
      <c r="T56" s="1077"/>
      <c r="U56" s="1020"/>
      <c r="V56" s="1020"/>
      <c r="W56" s="1020"/>
      <c r="X56" s="1020"/>
      <c r="Y56" s="1020"/>
      <c r="Z56" s="1020"/>
      <c r="AA56" s="1020"/>
      <c r="AB56" s="1024"/>
      <c r="AC56" s="1098"/>
      <c r="AD56" s="1020"/>
      <c r="AE56" s="1020"/>
      <c r="AF56" s="1020"/>
      <c r="AG56" s="1020"/>
      <c r="AH56" s="1020"/>
      <c r="AI56" s="1020"/>
      <c r="AJ56" s="1020"/>
      <c r="AK56" s="1099"/>
    </row>
    <row r="57" spans="2:37" ht="15" customHeight="1">
      <c r="B57" s="1019"/>
      <c r="C57" s="1020"/>
      <c r="D57" s="1020"/>
      <c r="E57" s="1020"/>
      <c r="F57" s="1020"/>
      <c r="G57" s="1020"/>
      <c r="H57" s="1020"/>
      <c r="I57" s="1020"/>
      <c r="J57" s="1024"/>
      <c r="K57" s="1026"/>
      <c r="L57" s="1020"/>
      <c r="M57" s="1020"/>
      <c r="N57" s="1020"/>
      <c r="O57" s="1020"/>
      <c r="P57" s="1020"/>
      <c r="Q57" s="1020"/>
      <c r="R57" s="1020"/>
      <c r="S57" s="1024"/>
      <c r="T57" s="1077"/>
      <c r="U57" s="1020"/>
      <c r="V57" s="1020"/>
      <c r="W57" s="1020"/>
      <c r="X57" s="1020"/>
      <c r="Y57" s="1020"/>
      <c r="Z57" s="1020"/>
      <c r="AA57" s="1020"/>
      <c r="AB57" s="1024"/>
      <c r="AC57" s="1098"/>
      <c r="AD57" s="1020"/>
      <c r="AE57" s="1020"/>
      <c r="AF57" s="1020"/>
      <c r="AG57" s="1020"/>
      <c r="AH57" s="1020"/>
      <c r="AI57" s="1020"/>
      <c r="AJ57" s="1020"/>
      <c r="AK57" s="1099"/>
    </row>
    <row r="58" spans="2:37" ht="15" customHeight="1">
      <c r="B58" s="1019"/>
      <c r="C58" s="1020"/>
      <c r="D58" s="1020"/>
      <c r="E58" s="1020"/>
      <c r="F58" s="1020"/>
      <c r="G58" s="1020"/>
      <c r="H58" s="1020"/>
      <c r="I58" s="1020"/>
      <c r="J58" s="1024"/>
      <c r="K58" s="1026"/>
      <c r="L58" s="1020"/>
      <c r="M58" s="1020"/>
      <c r="N58" s="1020"/>
      <c r="O58" s="1020"/>
      <c r="P58" s="1020"/>
      <c r="Q58" s="1020"/>
      <c r="R58" s="1020"/>
      <c r="S58" s="1024"/>
      <c r="T58" s="1077"/>
      <c r="U58" s="1020"/>
      <c r="V58" s="1020"/>
      <c r="W58" s="1020"/>
      <c r="X58" s="1020"/>
      <c r="Y58" s="1020"/>
      <c r="Z58" s="1020"/>
      <c r="AA58" s="1020"/>
      <c r="AB58" s="1024"/>
      <c r="AC58" s="1098"/>
      <c r="AD58" s="1020"/>
      <c r="AE58" s="1020"/>
      <c r="AF58" s="1020"/>
      <c r="AG58" s="1020"/>
      <c r="AH58" s="1020"/>
      <c r="AI58" s="1020"/>
      <c r="AJ58" s="1020"/>
      <c r="AK58" s="1099"/>
    </row>
    <row r="59" spans="2:37" ht="15" customHeight="1">
      <c r="B59" s="1019"/>
      <c r="C59" s="1020"/>
      <c r="D59" s="1020"/>
      <c r="E59" s="1020"/>
      <c r="F59" s="1020"/>
      <c r="G59" s="1020"/>
      <c r="H59" s="1020"/>
      <c r="I59" s="1020"/>
      <c r="J59" s="1024"/>
      <c r="K59" s="1026"/>
      <c r="L59" s="1020"/>
      <c r="M59" s="1020"/>
      <c r="N59" s="1020"/>
      <c r="O59" s="1020"/>
      <c r="P59" s="1020"/>
      <c r="Q59" s="1020"/>
      <c r="R59" s="1020"/>
      <c r="S59" s="1024"/>
      <c r="T59" s="1077"/>
      <c r="U59" s="1020"/>
      <c r="V59" s="1020"/>
      <c r="W59" s="1020"/>
      <c r="X59" s="1020"/>
      <c r="Y59" s="1020"/>
      <c r="Z59" s="1020"/>
      <c r="AA59" s="1020"/>
      <c r="AB59" s="1024"/>
      <c r="AC59" s="1098"/>
      <c r="AD59" s="1020"/>
      <c r="AE59" s="1020"/>
      <c r="AF59" s="1020"/>
      <c r="AG59" s="1020"/>
      <c r="AH59" s="1020"/>
      <c r="AI59" s="1020"/>
      <c r="AJ59" s="1020"/>
      <c r="AK59" s="1099"/>
    </row>
    <row r="60" spans="2:37" ht="15" customHeight="1">
      <c r="B60" s="1019"/>
      <c r="C60" s="1020"/>
      <c r="D60" s="1020"/>
      <c r="E60" s="1020"/>
      <c r="F60" s="1020"/>
      <c r="G60" s="1020"/>
      <c r="H60" s="1020"/>
      <c r="I60" s="1020"/>
      <c r="J60" s="1024"/>
      <c r="K60" s="1026"/>
      <c r="L60" s="1020"/>
      <c r="M60" s="1020"/>
      <c r="N60" s="1020"/>
      <c r="O60" s="1020"/>
      <c r="P60" s="1020"/>
      <c r="Q60" s="1020"/>
      <c r="R60" s="1020"/>
      <c r="S60" s="1024"/>
      <c r="T60" s="1077"/>
      <c r="U60" s="1020"/>
      <c r="V60" s="1020"/>
      <c r="W60" s="1020"/>
      <c r="X60" s="1020"/>
      <c r="Y60" s="1020"/>
      <c r="Z60" s="1020"/>
      <c r="AA60" s="1020"/>
      <c r="AB60" s="1024"/>
      <c r="AC60" s="1098"/>
      <c r="AD60" s="1020"/>
      <c r="AE60" s="1020"/>
      <c r="AF60" s="1020"/>
      <c r="AG60" s="1020"/>
      <c r="AH60" s="1020"/>
      <c r="AI60" s="1020"/>
      <c r="AJ60" s="1020"/>
      <c r="AK60" s="1099"/>
    </row>
    <row r="61" spans="2:37" ht="15" customHeight="1">
      <c r="B61" s="1019"/>
      <c r="C61" s="1020"/>
      <c r="D61" s="1020"/>
      <c r="E61" s="1020"/>
      <c r="F61" s="1020"/>
      <c r="G61" s="1020"/>
      <c r="H61" s="1020"/>
      <c r="I61" s="1020"/>
      <c r="J61" s="1024"/>
      <c r="K61" s="1026"/>
      <c r="L61" s="1020"/>
      <c r="M61" s="1020"/>
      <c r="N61" s="1020"/>
      <c r="O61" s="1020"/>
      <c r="P61" s="1020"/>
      <c r="Q61" s="1020"/>
      <c r="R61" s="1020"/>
      <c r="S61" s="1024"/>
      <c r="T61" s="1077"/>
      <c r="U61" s="1020"/>
      <c r="V61" s="1020"/>
      <c r="W61" s="1020"/>
      <c r="X61" s="1020"/>
      <c r="Y61" s="1020"/>
      <c r="Z61" s="1020"/>
      <c r="AA61" s="1020"/>
      <c r="AB61" s="1024"/>
      <c r="AC61" s="1098"/>
      <c r="AD61" s="1020"/>
      <c r="AE61" s="1020"/>
      <c r="AF61" s="1020"/>
      <c r="AG61" s="1020"/>
      <c r="AH61" s="1020"/>
      <c r="AI61" s="1020"/>
      <c r="AJ61" s="1020"/>
      <c r="AK61" s="1099"/>
    </row>
    <row r="62" spans="2:37" ht="15" customHeight="1">
      <c r="B62" s="1019"/>
      <c r="C62" s="1020"/>
      <c r="D62" s="1020"/>
      <c r="E62" s="1020"/>
      <c r="F62" s="1020"/>
      <c r="G62" s="1020"/>
      <c r="H62" s="1020"/>
      <c r="I62" s="1020"/>
      <c r="J62" s="1024"/>
      <c r="K62" s="1026"/>
      <c r="L62" s="1020"/>
      <c r="M62" s="1020"/>
      <c r="N62" s="1020"/>
      <c r="O62" s="1020"/>
      <c r="P62" s="1020"/>
      <c r="Q62" s="1020"/>
      <c r="R62" s="1020"/>
      <c r="S62" s="1024"/>
      <c r="T62" s="1077"/>
      <c r="U62" s="1020"/>
      <c r="V62" s="1020"/>
      <c r="W62" s="1020"/>
      <c r="X62" s="1020"/>
      <c r="Y62" s="1020"/>
      <c r="Z62" s="1020"/>
      <c r="AA62" s="1020"/>
      <c r="AB62" s="1024"/>
      <c r="AC62" s="1098"/>
      <c r="AD62" s="1020"/>
      <c r="AE62" s="1020"/>
      <c r="AF62" s="1020"/>
      <c r="AG62" s="1020"/>
      <c r="AH62" s="1020"/>
      <c r="AI62" s="1020"/>
      <c r="AJ62" s="1020"/>
      <c r="AK62" s="1099"/>
    </row>
    <row r="63" spans="2:37" ht="15" customHeight="1">
      <c r="B63" s="1019"/>
      <c r="C63" s="1020"/>
      <c r="D63" s="1020"/>
      <c r="E63" s="1020"/>
      <c r="F63" s="1020"/>
      <c r="G63" s="1020"/>
      <c r="H63" s="1020"/>
      <c r="I63" s="1020"/>
      <c r="J63" s="1024"/>
      <c r="K63" s="1026"/>
      <c r="L63" s="1020"/>
      <c r="M63" s="1020"/>
      <c r="N63" s="1020"/>
      <c r="O63" s="1020"/>
      <c r="P63" s="1020"/>
      <c r="Q63" s="1020"/>
      <c r="R63" s="1020"/>
      <c r="S63" s="1024"/>
      <c r="T63" s="1077"/>
      <c r="U63" s="1020"/>
      <c r="V63" s="1020"/>
      <c r="W63" s="1020"/>
      <c r="X63" s="1020"/>
      <c r="Y63" s="1020"/>
      <c r="Z63" s="1020"/>
      <c r="AA63" s="1020"/>
      <c r="AB63" s="1024"/>
      <c r="AC63" s="1098"/>
      <c r="AD63" s="1020"/>
      <c r="AE63" s="1020"/>
      <c r="AF63" s="1020"/>
      <c r="AG63" s="1020"/>
      <c r="AH63" s="1020"/>
      <c r="AI63" s="1020"/>
      <c r="AJ63" s="1020"/>
      <c r="AK63" s="1099"/>
    </row>
    <row r="64" spans="2:37" ht="15" customHeight="1">
      <c r="B64" s="1019"/>
      <c r="C64" s="1020"/>
      <c r="D64" s="1020"/>
      <c r="E64" s="1020"/>
      <c r="F64" s="1020"/>
      <c r="G64" s="1020"/>
      <c r="H64" s="1020"/>
      <c r="I64" s="1020"/>
      <c r="J64" s="1024"/>
      <c r="K64" s="1026"/>
      <c r="L64" s="1020"/>
      <c r="M64" s="1020"/>
      <c r="N64" s="1020"/>
      <c r="O64" s="1020"/>
      <c r="P64" s="1020"/>
      <c r="Q64" s="1020"/>
      <c r="R64" s="1020"/>
      <c r="S64" s="1024"/>
      <c r="T64" s="1077"/>
      <c r="U64" s="1020"/>
      <c r="V64" s="1020"/>
      <c r="W64" s="1020"/>
      <c r="X64" s="1020"/>
      <c r="Y64" s="1020"/>
      <c r="Z64" s="1020"/>
      <c r="AA64" s="1020"/>
      <c r="AB64" s="1024"/>
      <c r="AC64" s="1098"/>
      <c r="AD64" s="1020"/>
      <c r="AE64" s="1020"/>
      <c r="AF64" s="1020"/>
      <c r="AG64" s="1020"/>
      <c r="AH64" s="1020"/>
      <c r="AI64" s="1020"/>
      <c r="AJ64" s="1020"/>
      <c r="AK64" s="1099"/>
    </row>
    <row r="65" spans="2:37" ht="15" customHeight="1">
      <c r="B65" s="1019"/>
      <c r="C65" s="1020"/>
      <c r="D65" s="1020"/>
      <c r="E65" s="1020"/>
      <c r="F65" s="1020"/>
      <c r="G65" s="1020"/>
      <c r="H65" s="1020"/>
      <c r="I65" s="1020"/>
      <c r="J65" s="1024"/>
      <c r="K65" s="1026"/>
      <c r="L65" s="1020"/>
      <c r="M65" s="1020"/>
      <c r="N65" s="1020"/>
      <c r="O65" s="1020"/>
      <c r="P65" s="1020"/>
      <c r="Q65" s="1020"/>
      <c r="R65" s="1020"/>
      <c r="S65" s="1024"/>
      <c r="T65" s="1077"/>
      <c r="U65" s="1020"/>
      <c r="V65" s="1020"/>
      <c r="W65" s="1020"/>
      <c r="X65" s="1020"/>
      <c r="Y65" s="1020"/>
      <c r="Z65" s="1020"/>
      <c r="AA65" s="1020"/>
      <c r="AB65" s="1024"/>
      <c r="AC65" s="1098"/>
      <c r="AD65" s="1020"/>
      <c r="AE65" s="1020"/>
      <c r="AF65" s="1020"/>
      <c r="AG65" s="1020"/>
      <c r="AH65" s="1020"/>
      <c r="AI65" s="1020"/>
      <c r="AJ65" s="1020"/>
      <c r="AK65" s="1099"/>
    </row>
    <row r="66" spans="2:37" ht="15" customHeight="1">
      <c r="B66" s="1019"/>
      <c r="C66" s="1020"/>
      <c r="D66" s="1020"/>
      <c r="E66" s="1020"/>
      <c r="F66" s="1020"/>
      <c r="G66" s="1020"/>
      <c r="H66" s="1020"/>
      <c r="I66" s="1020"/>
      <c r="J66" s="1024"/>
      <c r="K66" s="1026"/>
      <c r="L66" s="1020"/>
      <c r="M66" s="1020"/>
      <c r="N66" s="1020"/>
      <c r="O66" s="1020"/>
      <c r="P66" s="1020"/>
      <c r="Q66" s="1020"/>
      <c r="R66" s="1020"/>
      <c r="S66" s="1024"/>
      <c r="T66" s="1077"/>
      <c r="U66" s="1020"/>
      <c r="V66" s="1020"/>
      <c r="W66" s="1020"/>
      <c r="X66" s="1020"/>
      <c r="Y66" s="1020"/>
      <c r="Z66" s="1020"/>
      <c r="AA66" s="1020"/>
      <c r="AB66" s="1024"/>
      <c r="AC66" s="1098"/>
      <c r="AD66" s="1020"/>
      <c r="AE66" s="1020"/>
      <c r="AF66" s="1020"/>
      <c r="AG66" s="1020"/>
      <c r="AH66" s="1020"/>
      <c r="AI66" s="1020"/>
      <c r="AJ66" s="1020"/>
      <c r="AK66" s="1099"/>
    </row>
    <row r="67" spans="2:37" ht="15" customHeight="1">
      <c r="B67" s="1019"/>
      <c r="C67" s="1020"/>
      <c r="D67" s="1020"/>
      <c r="E67" s="1020"/>
      <c r="F67" s="1020"/>
      <c r="G67" s="1020"/>
      <c r="H67" s="1020"/>
      <c r="I67" s="1020"/>
      <c r="J67" s="1024"/>
      <c r="K67" s="1026"/>
      <c r="L67" s="1020"/>
      <c r="M67" s="1020"/>
      <c r="N67" s="1020"/>
      <c r="O67" s="1020"/>
      <c r="P67" s="1020"/>
      <c r="Q67" s="1020"/>
      <c r="R67" s="1020"/>
      <c r="S67" s="1024"/>
      <c r="T67" s="1077"/>
      <c r="U67" s="1020"/>
      <c r="V67" s="1020"/>
      <c r="W67" s="1020"/>
      <c r="X67" s="1020"/>
      <c r="Y67" s="1020"/>
      <c r="Z67" s="1020"/>
      <c r="AA67" s="1020"/>
      <c r="AB67" s="1024"/>
      <c r="AC67" s="1098"/>
      <c r="AD67" s="1020"/>
      <c r="AE67" s="1020"/>
      <c r="AF67" s="1020"/>
      <c r="AG67" s="1020"/>
      <c r="AH67" s="1020"/>
      <c r="AI67" s="1020"/>
      <c r="AJ67" s="1020"/>
      <c r="AK67" s="1099"/>
    </row>
    <row r="68" spans="2:37" ht="15" customHeight="1">
      <c r="B68" s="1019"/>
      <c r="C68" s="1020"/>
      <c r="D68" s="1020"/>
      <c r="E68" s="1020"/>
      <c r="F68" s="1020"/>
      <c r="G68" s="1020"/>
      <c r="H68" s="1020"/>
      <c r="I68" s="1020"/>
      <c r="J68" s="1024"/>
      <c r="K68" s="1026"/>
      <c r="L68" s="1020"/>
      <c r="M68" s="1020"/>
      <c r="N68" s="1020"/>
      <c r="O68" s="1020"/>
      <c r="P68" s="1020"/>
      <c r="Q68" s="1020"/>
      <c r="R68" s="1020"/>
      <c r="S68" s="1024"/>
      <c r="T68" s="1077"/>
      <c r="U68" s="1020"/>
      <c r="V68" s="1020"/>
      <c r="W68" s="1020"/>
      <c r="X68" s="1020"/>
      <c r="Y68" s="1020"/>
      <c r="Z68" s="1020"/>
      <c r="AA68" s="1020"/>
      <c r="AB68" s="1024"/>
      <c r="AC68" s="1098"/>
      <c r="AD68" s="1020"/>
      <c r="AE68" s="1020"/>
      <c r="AF68" s="1020"/>
      <c r="AG68" s="1020"/>
      <c r="AH68" s="1020"/>
      <c r="AI68" s="1020"/>
      <c r="AJ68" s="1020"/>
      <c r="AK68" s="1099"/>
    </row>
    <row r="69" spans="2:37" ht="15" customHeight="1">
      <c r="B69" s="1019"/>
      <c r="C69" s="1020"/>
      <c r="D69" s="1020"/>
      <c r="E69" s="1020"/>
      <c r="F69" s="1020"/>
      <c r="G69" s="1020"/>
      <c r="H69" s="1020"/>
      <c r="I69" s="1020"/>
      <c r="J69" s="1024"/>
      <c r="K69" s="1026"/>
      <c r="L69" s="1020"/>
      <c r="M69" s="1020"/>
      <c r="N69" s="1020"/>
      <c r="O69" s="1020"/>
      <c r="P69" s="1020"/>
      <c r="Q69" s="1020"/>
      <c r="R69" s="1020"/>
      <c r="S69" s="1024"/>
      <c r="T69" s="1077"/>
      <c r="U69" s="1020"/>
      <c r="V69" s="1020"/>
      <c r="W69" s="1020"/>
      <c r="X69" s="1020"/>
      <c r="Y69" s="1020"/>
      <c r="Z69" s="1020"/>
      <c r="AA69" s="1020"/>
      <c r="AB69" s="1024"/>
      <c r="AC69" s="1098"/>
      <c r="AD69" s="1020"/>
      <c r="AE69" s="1020"/>
      <c r="AF69" s="1020"/>
      <c r="AG69" s="1020"/>
      <c r="AH69" s="1020"/>
      <c r="AI69" s="1020"/>
      <c r="AJ69" s="1020"/>
      <c r="AK69" s="1099"/>
    </row>
    <row r="70" spans="2:37" ht="15" customHeight="1">
      <c r="B70" s="1019"/>
      <c r="C70" s="1020"/>
      <c r="D70" s="1020"/>
      <c r="E70" s="1020"/>
      <c r="F70" s="1020"/>
      <c r="G70" s="1020"/>
      <c r="H70" s="1020"/>
      <c r="I70" s="1020"/>
      <c r="J70" s="1024"/>
      <c r="K70" s="1026"/>
      <c r="L70" s="1020"/>
      <c r="M70" s="1020"/>
      <c r="N70" s="1020"/>
      <c r="O70" s="1020"/>
      <c r="P70" s="1020"/>
      <c r="Q70" s="1020"/>
      <c r="R70" s="1020"/>
      <c r="S70" s="1024"/>
      <c r="T70" s="1077"/>
      <c r="U70" s="1020"/>
      <c r="V70" s="1020"/>
      <c r="W70" s="1020"/>
      <c r="X70" s="1020"/>
      <c r="Y70" s="1020"/>
      <c r="Z70" s="1020"/>
      <c r="AA70" s="1020"/>
      <c r="AB70" s="1024"/>
      <c r="AC70" s="1098"/>
      <c r="AD70" s="1020"/>
      <c r="AE70" s="1020"/>
      <c r="AF70" s="1020"/>
      <c r="AG70" s="1020"/>
      <c r="AH70" s="1020"/>
      <c r="AI70" s="1020"/>
      <c r="AJ70" s="1020"/>
      <c r="AK70" s="1099"/>
    </row>
    <row r="71" spans="2:37" ht="15" customHeight="1">
      <c r="B71" s="1019"/>
      <c r="C71" s="1020"/>
      <c r="D71" s="1020"/>
      <c r="E71" s="1020"/>
      <c r="F71" s="1020"/>
      <c r="G71" s="1020"/>
      <c r="H71" s="1020"/>
      <c r="I71" s="1020"/>
      <c r="J71" s="1024"/>
      <c r="K71" s="1026"/>
      <c r="L71" s="1020"/>
      <c r="M71" s="1020"/>
      <c r="N71" s="1020"/>
      <c r="O71" s="1020"/>
      <c r="P71" s="1020"/>
      <c r="Q71" s="1020"/>
      <c r="R71" s="1020"/>
      <c r="S71" s="1024"/>
      <c r="T71" s="1077"/>
      <c r="U71" s="1020"/>
      <c r="V71" s="1020"/>
      <c r="W71" s="1020"/>
      <c r="X71" s="1020"/>
      <c r="Y71" s="1020"/>
      <c r="Z71" s="1020"/>
      <c r="AA71" s="1020"/>
      <c r="AB71" s="1024"/>
      <c r="AC71" s="1098"/>
      <c r="AD71" s="1020"/>
      <c r="AE71" s="1020"/>
      <c r="AF71" s="1020"/>
      <c r="AG71" s="1020"/>
      <c r="AH71" s="1020"/>
      <c r="AI71" s="1020"/>
      <c r="AJ71" s="1020"/>
      <c r="AK71" s="1099"/>
    </row>
    <row r="72" spans="2:37" ht="15" customHeight="1">
      <c r="B72" s="1019"/>
      <c r="C72" s="1020"/>
      <c r="D72" s="1020"/>
      <c r="E72" s="1020"/>
      <c r="F72" s="1020"/>
      <c r="G72" s="1020"/>
      <c r="H72" s="1020"/>
      <c r="I72" s="1020"/>
      <c r="J72" s="1024"/>
      <c r="K72" s="1026"/>
      <c r="L72" s="1020"/>
      <c r="M72" s="1020"/>
      <c r="N72" s="1020"/>
      <c r="O72" s="1020"/>
      <c r="P72" s="1020"/>
      <c r="Q72" s="1020"/>
      <c r="R72" s="1020"/>
      <c r="S72" s="1024"/>
      <c r="T72" s="1077"/>
      <c r="U72" s="1020"/>
      <c r="V72" s="1020"/>
      <c r="W72" s="1020"/>
      <c r="X72" s="1020"/>
      <c r="Y72" s="1020"/>
      <c r="Z72" s="1020"/>
      <c r="AA72" s="1020"/>
      <c r="AB72" s="1024"/>
      <c r="AC72" s="1098"/>
      <c r="AD72" s="1020"/>
      <c r="AE72" s="1020"/>
      <c r="AF72" s="1020"/>
      <c r="AG72" s="1020"/>
      <c r="AH72" s="1020"/>
      <c r="AI72" s="1020"/>
      <c r="AJ72" s="1020"/>
      <c r="AK72" s="1099"/>
    </row>
    <row r="73" spans="2:37" ht="15" customHeight="1">
      <c r="B73" s="1019"/>
      <c r="C73" s="1020"/>
      <c r="D73" s="1020"/>
      <c r="E73" s="1020"/>
      <c r="F73" s="1020"/>
      <c r="G73" s="1020"/>
      <c r="H73" s="1020"/>
      <c r="I73" s="1020"/>
      <c r="J73" s="1024"/>
      <c r="K73" s="1026"/>
      <c r="L73" s="1020"/>
      <c r="M73" s="1020"/>
      <c r="N73" s="1020"/>
      <c r="O73" s="1020"/>
      <c r="P73" s="1020"/>
      <c r="Q73" s="1020"/>
      <c r="R73" s="1020"/>
      <c r="S73" s="1024"/>
      <c r="T73" s="1077"/>
      <c r="U73" s="1020"/>
      <c r="V73" s="1020"/>
      <c r="W73" s="1020"/>
      <c r="X73" s="1020"/>
      <c r="Y73" s="1020"/>
      <c r="Z73" s="1020"/>
      <c r="AA73" s="1020"/>
      <c r="AB73" s="1024"/>
      <c r="AC73" s="1098"/>
      <c r="AD73" s="1020"/>
      <c r="AE73" s="1020"/>
      <c r="AF73" s="1020"/>
      <c r="AG73" s="1020"/>
      <c r="AH73" s="1020"/>
      <c r="AI73" s="1020"/>
      <c r="AJ73" s="1020"/>
      <c r="AK73" s="1099"/>
    </row>
    <row r="74" spans="2:37" ht="15" customHeight="1">
      <c r="B74" s="1019"/>
      <c r="C74" s="1020"/>
      <c r="D74" s="1020"/>
      <c r="E74" s="1020"/>
      <c r="F74" s="1020"/>
      <c r="G74" s="1020"/>
      <c r="H74" s="1020"/>
      <c r="I74" s="1020"/>
      <c r="J74" s="1024"/>
      <c r="K74" s="1026"/>
      <c r="L74" s="1020"/>
      <c r="M74" s="1020"/>
      <c r="N74" s="1020"/>
      <c r="O74" s="1020"/>
      <c r="P74" s="1020"/>
      <c r="Q74" s="1020"/>
      <c r="R74" s="1020"/>
      <c r="S74" s="1024"/>
      <c r="T74" s="1077"/>
      <c r="U74" s="1020"/>
      <c r="V74" s="1020"/>
      <c r="W74" s="1020"/>
      <c r="X74" s="1020"/>
      <c r="Y74" s="1020"/>
      <c r="Z74" s="1020"/>
      <c r="AA74" s="1020"/>
      <c r="AB74" s="1024"/>
      <c r="AC74" s="1098"/>
      <c r="AD74" s="1020"/>
      <c r="AE74" s="1020"/>
      <c r="AF74" s="1020"/>
      <c r="AG74" s="1020"/>
      <c r="AH74" s="1020"/>
      <c r="AI74" s="1020"/>
      <c r="AJ74" s="1020"/>
      <c r="AK74" s="1099"/>
    </row>
    <row r="75" spans="2:37" ht="15" customHeight="1">
      <c r="B75" s="1019"/>
      <c r="C75" s="1020"/>
      <c r="D75" s="1020"/>
      <c r="E75" s="1020"/>
      <c r="F75" s="1020"/>
      <c r="G75" s="1020"/>
      <c r="H75" s="1020"/>
      <c r="I75" s="1020"/>
      <c r="J75" s="1024"/>
      <c r="K75" s="1026"/>
      <c r="L75" s="1020"/>
      <c r="M75" s="1020"/>
      <c r="N75" s="1020"/>
      <c r="O75" s="1020"/>
      <c r="P75" s="1020"/>
      <c r="Q75" s="1020"/>
      <c r="R75" s="1020"/>
      <c r="S75" s="1024"/>
      <c r="T75" s="1077"/>
      <c r="U75" s="1020"/>
      <c r="V75" s="1020"/>
      <c r="W75" s="1020"/>
      <c r="X75" s="1020"/>
      <c r="Y75" s="1020"/>
      <c r="Z75" s="1020"/>
      <c r="AA75" s="1020"/>
      <c r="AB75" s="1024"/>
      <c r="AC75" s="1098"/>
      <c r="AD75" s="1020"/>
      <c r="AE75" s="1020"/>
      <c r="AF75" s="1020"/>
      <c r="AG75" s="1020"/>
      <c r="AH75" s="1020"/>
      <c r="AI75" s="1020"/>
      <c r="AJ75" s="1020"/>
      <c r="AK75" s="1099"/>
    </row>
    <row r="76" spans="2:37" ht="15" customHeight="1">
      <c r="B76" s="1019"/>
      <c r="C76" s="1020"/>
      <c r="D76" s="1020"/>
      <c r="E76" s="1020"/>
      <c r="F76" s="1020"/>
      <c r="G76" s="1020"/>
      <c r="H76" s="1020"/>
      <c r="I76" s="1020"/>
      <c r="J76" s="1024"/>
      <c r="K76" s="1026"/>
      <c r="L76" s="1020"/>
      <c r="M76" s="1020"/>
      <c r="N76" s="1020"/>
      <c r="O76" s="1020"/>
      <c r="P76" s="1020"/>
      <c r="Q76" s="1020"/>
      <c r="R76" s="1020"/>
      <c r="S76" s="1024"/>
      <c r="T76" s="1077"/>
      <c r="U76" s="1020"/>
      <c r="V76" s="1020"/>
      <c r="W76" s="1020"/>
      <c r="X76" s="1020"/>
      <c r="Y76" s="1020"/>
      <c r="Z76" s="1020"/>
      <c r="AA76" s="1020"/>
      <c r="AB76" s="1024"/>
      <c r="AC76" s="1098"/>
      <c r="AD76" s="1020"/>
      <c r="AE76" s="1020"/>
      <c r="AF76" s="1020"/>
      <c r="AG76" s="1020"/>
      <c r="AH76" s="1020"/>
      <c r="AI76" s="1020"/>
      <c r="AJ76" s="1020"/>
      <c r="AK76" s="1099"/>
    </row>
    <row r="77" spans="2:37" ht="15" customHeight="1">
      <c r="B77" s="1019"/>
      <c r="C77" s="1020"/>
      <c r="D77" s="1020"/>
      <c r="E77" s="1020"/>
      <c r="F77" s="1020"/>
      <c r="G77" s="1020"/>
      <c r="H77" s="1020"/>
      <c r="I77" s="1020"/>
      <c r="J77" s="1024"/>
      <c r="K77" s="1026"/>
      <c r="L77" s="1020"/>
      <c r="M77" s="1020"/>
      <c r="N77" s="1020"/>
      <c r="O77" s="1020"/>
      <c r="P77" s="1020"/>
      <c r="Q77" s="1020"/>
      <c r="R77" s="1020"/>
      <c r="S77" s="1024"/>
      <c r="T77" s="1077"/>
      <c r="U77" s="1020"/>
      <c r="V77" s="1020"/>
      <c r="W77" s="1020"/>
      <c r="X77" s="1020"/>
      <c r="Y77" s="1020"/>
      <c r="Z77" s="1020"/>
      <c r="AA77" s="1020"/>
      <c r="AB77" s="1024"/>
      <c r="AC77" s="1098"/>
      <c r="AD77" s="1020"/>
      <c r="AE77" s="1020"/>
      <c r="AF77" s="1020"/>
      <c r="AG77" s="1020"/>
      <c r="AH77" s="1020"/>
      <c r="AI77" s="1020"/>
      <c r="AJ77" s="1020"/>
      <c r="AK77" s="1099"/>
    </row>
    <row r="78" spans="2:37" ht="15" customHeight="1">
      <c r="B78" s="1019"/>
      <c r="C78" s="1020"/>
      <c r="D78" s="1020"/>
      <c r="E78" s="1020"/>
      <c r="F78" s="1020"/>
      <c r="G78" s="1020"/>
      <c r="H78" s="1020"/>
      <c r="I78" s="1020"/>
      <c r="J78" s="1024"/>
      <c r="K78" s="1026"/>
      <c r="L78" s="1020"/>
      <c r="M78" s="1020"/>
      <c r="N78" s="1020"/>
      <c r="O78" s="1020"/>
      <c r="P78" s="1020"/>
      <c r="Q78" s="1020"/>
      <c r="R78" s="1020"/>
      <c r="S78" s="1024"/>
      <c r="T78" s="1077"/>
      <c r="U78" s="1020"/>
      <c r="V78" s="1020"/>
      <c r="W78" s="1020"/>
      <c r="X78" s="1020"/>
      <c r="Y78" s="1020"/>
      <c r="Z78" s="1020"/>
      <c r="AA78" s="1020"/>
      <c r="AB78" s="1024"/>
      <c r="AC78" s="1098"/>
      <c r="AD78" s="1020"/>
      <c r="AE78" s="1020"/>
      <c r="AF78" s="1020"/>
      <c r="AG78" s="1020"/>
      <c r="AH78" s="1020"/>
      <c r="AI78" s="1020"/>
      <c r="AJ78" s="1020"/>
      <c r="AK78" s="1099"/>
    </row>
    <row r="79" spans="2:37" ht="15" customHeight="1">
      <c r="B79" s="1019"/>
      <c r="C79" s="1020"/>
      <c r="D79" s="1020"/>
      <c r="E79" s="1020"/>
      <c r="F79" s="1020"/>
      <c r="G79" s="1020"/>
      <c r="H79" s="1020"/>
      <c r="I79" s="1020"/>
      <c r="J79" s="1024"/>
      <c r="K79" s="1026"/>
      <c r="L79" s="1020"/>
      <c r="M79" s="1020"/>
      <c r="N79" s="1020"/>
      <c r="O79" s="1020"/>
      <c r="P79" s="1020"/>
      <c r="Q79" s="1020"/>
      <c r="R79" s="1020"/>
      <c r="S79" s="1024"/>
      <c r="T79" s="1077"/>
      <c r="U79" s="1020"/>
      <c r="V79" s="1020"/>
      <c r="W79" s="1020"/>
      <c r="X79" s="1020"/>
      <c r="Y79" s="1020"/>
      <c r="Z79" s="1020"/>
      <c r="AA79" s="1020"/>
      <c r="AB79" s="1024"/>
      <c r="AC79" s="1098"/>
      <c r="AD79" s="1020"/>
      <c r="AE79" s="1020"/>
      <c r="AF79" s="1020"/>
      <c r="AG79" s="1020"/>
      <c r="AH79" s="1020"/>
      <c r="AI79" s="1020"/>
      <c r="AJ79" s="1020"/>
      <c r="AK79" s="1099"/>
    </row>
    <row r="80" spans="2:37" ht="15" customHeight="1">
      <c r="B80" s="1019"/>
      <c r="C80" s="1020"/>
      <c r="D80" s="1020"/>
      <c r="E80" s="1020"/>
      <c r="F80" s="1020"/>
      <c r="G80" s="1020"/>
      <c r="H80" s="1020"/>
      <c r="I80" s="1020"/>
      <c r="J80" s="1024"/>
      <c r="K80" s="1026"/>
      <c r="L80" s="1020"/>
      <c r="M80" s="1020"/>
      <c r="N80" s="1020"/>
      <c r="O80" s="1020"/>
      <c r="P80" s="1020"/>
      <c r="Q80" s="1020"/>
      <c r="R80" s="1020"/>
      <c r="S80" s="1024"/>
      <c r="T80" s="1077"/>
      <c r="U80" s="1020"/>
      <c r="V80" s="1020"/>
      <c r="W80" s="1020"/>
      <c r="X80" s="1020"/>
      <c r="Y80" s="1020"/>
      <c r="Z80" s="1020"/>
      <c r="AA80" s="1020"/>
      <c r="AB80" s="1024"/>
      <c r="AC80" s="1098"/>
      <c r="AD80" s="1020"/>
      <c r="AE80" s="1020"/>
      <c r="AF80" s="1020"/>
      <c r="AG80" s="1020"/>
      <c r="AH80" s="1020"/>
      <c r="AI80" s="1020"/>
      <c r="AJ80" s="1020"/>
      <c r="AK80" s="1099"/>
    </row>
    <row r="81" spans="2:37" ht="15" customHeight="1">
      <c r="B81" s="1019"/>
      <c r="C81" s="1020"/>
      <c r="D81" s="1020"/>
      <c r="E81" s="1020"/>
      <c r="F81" s="1020"/>
      <c r="G81" s="1020"/>
      <c r="H81" s="1020"/>
      <c r="I81" s="1020"/>
      <c r="J81" s="1024"/>
      <c r="K81" s="1026"/>
      <c r="L81" s="1020"/>
      <c r="M81" s="1020"/>
      <c r="N81" s="1020"/>
      <c r="O81" s="1020"/>
      <c r="P81" s="1020"/>
      <c r="Q81" s="1020"/>
      <c r="R81" s="1020"/>
      <c r="S81" s="1024"/>
      <c r="T81" s="1077"/>
      <c r="U81" s="1020"/>
      <c r="V81" s="1020"/>
      <c r="W81" s="1020"/>
      <c r="X81" s="1020"/>
      <c r="Y81" s="1020"/>
      <c r="Z81" s="1020"/>
      <c r="AA81" s="1020"/>
      <c r="AB81" s="1024"/>
      <c r="AC81" s="1098"/>
      <c r="AD81" s="1020"/>
      <c r="AE81" s="1020"/>
      <c r="AF81" s="1020"/>
      <c r="AG81" s="1020"/>
      <c r="AH81" s="1020"/>
      <c r="AI81" s="1020"/>
      <c r="AJ81" s="1020"/>
      <c r="AK81" s="1099"/>
    </row>
    <row r="82" spans="2:37" ht="15" customHeight="1">
      <c r="B82" s="1019"/>
      <c r="C82" s="1020"/>
      <c r="D82" s="1020"/>
      <c r="E82" s="1020"/>
      <c r="F82" s="1020"/>
      <c r="G82" s="1020"/>
      <c r="H82" s="1020"/>
      <c r="I82" s="1020"/>
      <c r="J82" s="1024"/>
      <c r="K82" s="1026"/>
      <c r="L82" s="1020"/>
      <c r="M82" s="1020"/>
      <c r="N82" s="1020"/>
      <c r="O82" s="1020"/>
      <c r="P82" s="1020"/>
      <c r="Q82" s="1020"/>
      <c r="R82" s="1020"/>
      <c r="S82" s="1024"/>
      <c r="T82" s="1077"/>
      <c r="U82" s="1020"/>
      <c r="V82" s="1020"/>
      <c r="W82" s="1020"/>
      <c r="X82" s="1020"/>
      <c r="Y82" s="1020"/>
      <c r="Z82" s="1020"/>
      <c r="AA82" s="1020"/>
      <c r="AB82" s="1024"/>
      <c r="AC82" s="1098"/>
      <c r="AD82" s="1020"/>
      <c r="AE82" s="1020"/>
      <c r="AF82" s="1020"/>
      <c r="AG82" s="1020"/>
      <c r="AH82" s="1020"/>
      <c r="AI82" s="1020"/>
      <c r="AJ82" s="1020"/>
      <c r="AK82" s="1099"/>
    </row>
    <row r="83" spans="2:37" ht="15" customHeight="1">
      <c r="B83" s="1019"/>
      <c r="C83" s="1020"/>
      <c r="D83" s="1020"/>
      <c r="E83" s="1020"/>
      <c r="F83" s="1020"/>
      <c r="G83" s="1020"/>
      <c r="H83" s="1020"/>
      <c r="I83" s="1020"/>
      <c r="J83" s="1024"/>
      <c r="K83" s="1026"/>
      <c r="L83" s="1020"/>
      <c r="M83" s="1020"/>
      <c r="N83" s="1020"/>
      <c r="O83" s="1020"/>
      <c r="P83" s="1020"/>
      <c r="Q83" s="1020"/>
      <c r="R83" s="1020"/>
      <c r="S83" s="1024"/>
      <c r="T83" s="1077"/>
      <c r="U83" s="1020"/>
      <c r="V83" s="1020"/>
      <c r="W83" s="1020"/>
      <c r="X83" s="1020"/>
      <c r="Y83" s="1020"/>
      <c r="Z83" s="1020"/>
      <c r="AA83" s="1020"/>
      <c r="AB83" s="1024"/>
      <c r="AC83" s="1098"/>
      <c r="AD83" s="1020"/>
      <c r="AE83" s="1020"/>
      <c r="AF83" s="1020"/>
      <c r="AG83" s="1020"/>
      <c r="AH83" s="1020"/>
      <c r="AI83" s="1020"/>
      <c r="AJ83" s="1020"/>
      <c r="AK83" s="1099"/>
    </row>
    <row r="84" spans="2:37" ht="15" customHeight="1">
      <c r="B84" s="1019"/>
      <c r="C84" s="1020"/>
      <c r="D84" s="1020"/>
      <c r="E84" s="1020"/>
      <c r="F84" s="1020"/>
      <c r="G84" s="1020"/>
      <c r="H84" s="1020"/>
      <c r="I84" s="1020"/>
      <c r="J84" s="1024"/>
      <c r="K84" s="1026"/>
      <c r="L84" s="1020"/>
      <c r="M84" s="1020"/>
      <c r="N84" s="1020"/>
      <c r="O84" s="1020"/>
      <c r="P84" s="1020"/>
      <c r="Q84" s="1020"/>
      <c r="R84" s="1020"/>
      <c r="S84" s="1024"/>
      <c r="T84" s="1077"/>
      <c r="U84" s="1020"/>
      <c r="V84" s="1020"/>
      <c r="W84" s="1020"/>
      <c r="X84" s="1020"/>
      <c r="Y84" s="1020"/>
      <c r="Z84" s="1020"/>
      <c r="AA84" s="1020"/>
      <c r="AB84" s="1024"/>
      <c r="AC84" s="1098"/>
      <c r="AD84" s="1020"/>
      <c r="AE84" s="1020"/>
      <c r="AF84" s="1020"/>
      <c r="AG84" s="1020"/>
      <c r="AH84" s="1020"/>
      <c r="AI84" s="1020"/>
      <c r="AJ84" s="1020"/>
      <c r="AK84" s="1099"/>
    </row>
    <row r="85" spans="2:37" ht="15" customHeight="1">
      <c r="B85" s="1019"/>
      <c r="C85" s="1020"/>
      <c r="D85" s="1020"/>
      <c r="E85" s="1020"/>
      <c r="F85" s="1020"/>
      <c r="G85" s="1020"/>
      <c r="H85" s="1020"/>
      <c r="I85" s="1020"/>
      <c r="J85" s="1024"/>
      <c r="K85" s="1026"/>
      <c r="L85" s="1020"/>
      <c r="M85" s="1020"/>
      <c r="N85" s="1020"/>
      <c r="O85" s="1020"/>
      <c r="P85" s="1020"/>
      <c r="Q85" s="1020"/>
      <c r="R85" s="1020"/>
      <c r="S85" s="1024"/>
      <c r="T85" s="1077"/>
      <c r="U85" s="1020"/>
      <c r="V85" s="1020"/>
      <c r="W85" s="1020"/>
      <c r="X85" s="1020"/>
      <c r="Y85" s="1020"/>
      <c r="Z85" s="1020"/>
      <c r="AA85" s="1020"/>
      <c r="AB85" s="1024"/>
      <c r="AC85" s="1098"/>
      <c r="AD85" s="1020"/>
      <c r="AE85" s="1020"/>
      <c r="AF85" s="1020"/>
      <c r="AG85" s="1020"/>
      <c r="AH85" s="1020"/>
      <c r="AI85" s="1020"/>
      <c r="AJ85" s="1020"/>
      <c r="AK85" s="1099"/>
    </row>
    <row r="86" spans="2:37" ht="15" customHeight="1">
      <c r="B86" s="1019"/>
      <c r="C86" s="1020"/>
      <c r="D86" s="1020"/>
      <c r="E86" s="1020"/>
      <c r="F86" s="1020"/>
      <c r="G86" s="1020"/>
      <c r="H86" s="1020"/>
      <c r="I86" s="1020"/>
      <c r="J86" s="1024"/>
      <c r="K86" s="1026"/>
      <c r="L86" s="1020"/>
      <c r="M86" s="1020"/>
      <c r="N86" s="1020"/>
      <c r="O86" s="1020"/>
      <c r="P86" s="1020"/>
      <c r="Q86" s="1020"/>
      <c r="R86" s="1020"/>
      <c r="S86" s="1024"/>
      <c r="T86" s="1077"/>
      <c r="U86" s="1020"/>
      <c r="V86" s="1020"/>
      <c r="W86" s="1020"/>
      <c r="X86" s="1020"/>
      <c r="Y86" s="1020"/>
      <c r="Z86" s="1020"/>
      <c r="AA86" s="1020"/>
      <c r="AB86" s="1024"/>
      <c r="AC86" s="1098"/>
      <c r="AD86" s="1020"/>
      <c r="AE86" s="1020"/>
      <c r="AF86" s="1020"/>
      <c r="AG86" s="1020"/>
      <c r="AH86" s="1020"/>
      <c r="AI86" s="1020"/>
      <c r="AJ86" s="1020"/>
      <c r="AK86" s="1099"/>
    </row>
    <row r="87" spans="2:37" ht="15" customHeight="1">
      <c r="B87" s="1019"/>
      <c r="C87" s="1020"/>
      <c r="D87" s="1020"/>
      <c r="E87" s="1020"/>
      <c r="F87" s="1020"/>
      <c r="G87" s="1020"/>
      <c r="H87" s="1020"/>
      <c r="I87" s="1020"/>
      <c r="J87" s="1024"/>
      <c r="K87" s="1026"/>
      <c r="L87" s="1020"/>
      <c r="M87" s="1020"/>
      <c r="N87" s="1020"/>
      <c r="O87" s="1020"/>
      <c r="P87" s="1020"/>
      <c r="Q87" s="1020"/>
      <c r="R87" s="1020"/>
      <c r="S87" s="1024"/>
      <c r="T87" s="1077"/>
      <c r="U87" s="1020"/>
      <c r="V87" s="1020"/>
      <c r="W87" s="1020"/>
      <c r="X87" s="1020"/>
      <c r="Y87" s="1020"/>
      <c r="Z87" s="1020"/>
      <c r="AA87" s="1020"/>
      <c r="AB87" s="1024"/>
      <c r="AC87" s="1098"/>
      <c r="AD87" s="1020"/>
      <c r="AE87" s="1020"/>
      <c r="AF87" s="1020"/>
      <c r="AG87" s="1020"/>
      <c r="AH87" s="1020"/>
      <c r="AI87" s="1020"/>
      <c r="AJ87" s="1020"/>
      <c r="AK87" s="1099"/>
    </row>
    <row r="88" spans="2:37" ht="15" customHeight="1">
      <c r="B88" s="1019"/>
      <c r="C88" s="1020"/>
      <c r="D88" s="1020"/>
      <c r="E88" s="1020"/>
      <c r="F88" s="1020"/>
      <c r="G88" s="1020"/>
      <c r="H88" s="1020"/>
      <c r="I88" s="1020"/>
      <c r="J88" s="1024"/>
      <c r="K88" s="1026"/>
      <c r="L88" s="1020"/>
      <c r="M88" s="1020"/>
      <c r="N88" s="1020"/>
      <c r="O88" s="1020"/>
      <c r="P88" s="1020"/>
      <c r="Q88" s="1020"/>
      <c r="R88" s="1020"/>
      <c r="S88" s="1024"/>
      <c r="T88" s="1077"/>
      <c r="U88" s="1020"/>
      <c r="V88" s="1020"/>
      <c r="W88" s="1020"/>
      <c r="X88" s="1020"/>
      <c r="Y88" s="1020"/>
      <c r="Z88" s="1020"/>
      <c r="AA88" s="1020"/>
      <c r="AB88" s="1024"/>
      <c r="AC88" s="1098"/>
      <c r="AD88" s="1020"/>
      <c r="AE88" s="1020"/>
      <c r="AF88" s="1020"/>
      <c r="AG88" s="1020"/>
      <c r="AH88" s="1020"/>
      <c r="AI88" s="1020"/>
      <c r="AJ88" s="1020"/>
      <c r="AK88" s="1099"/>
    </row>
    <row r="89" spans="2:37" ht="15" customHeight="1">
      <c r="B89" s="1019"/>
      <c r="C89" s="1020"/>
      <c r="D89" s="1020"/>
      <c r="E89" s="1020"/>
      <c r="F89" s="1020"/>
      <c r="G89" s="1020"/>
      <c r="H89" s="1020"/>
      <c r="I89" s="1020"/>
      <c r="J89" s="1024"/>
      <c r="K89" s="1026"/>
      <c r="L89" s="1020"/>
      <c r="M89" s="1020"/>
      <c r="N89" s="1020"/>
      <c r="O89" s="1020"/>
      <c r="P89" s="1020"/>
      <c r="Q89" s="1020"/>
      <c r="R89" s="1020"/>
      <c r="S89" s="1024"/>
      <c r="T89" s="1077"/>
      <c r="U89" s="1020"/>
      <c r="V89" s="1020"/>
      <c r="W89" s="1020"/>
      <c r="X89" s="1020"/>
      <c r="Y89" s="1020"/>
      <c r="Z89" s="1020"/>
      <c r="AA89" s="1020"/>
      <c r="AB89" s="1024"/>
      <c r="AC89" s="1098"/>
      <c r="AD89" s="1020"/>
      <c r="AE89" s="1020"/>
      <c r="AF89" s="1020"/>
      <c r="AG89" s="1020"/>
      <c r="AH89" s="1020"/>
      <c r="AI89" s="1020"/>
      <c r="AJ89" s="1020"/>
      <c r="AK89" s="1099"/>
    </row>
    <row r="90" spans="2:37" ht="15" customHeight="1">
      <c r="B90" s="1019"/>
      <c r="C90" s="1020"/>
      <c r="D90" s="1020"/>
      <c r="E90" s="1020"/>
      <c r="F90" s="1020"/>
      <c r="G90" s="1020"/>
      <c r="H90" s="1020"/>
      <c r="I90" s="1020"/>
      <c r="J90" s="1024"/>
      <c r="K90" s="1026"/>
      <c r="L90" s="1020"/>
      <c r="M90" s="1020"/>
      <c r="N90" s="1020"/>
      <c r="O90" s="1020"/>
      <c r="P90" s="1020"/>
      <c r="Q90" s="1020"/>
      <c r="R90" s="1020"/>
      <c r="S90" s="1024"/>
      <c r="T90" s="1077"/>
      <c r="U90" s="1020"/>
      <c r="V90" s="1020"/>
      <c r="W90" s="1020"/>
      <c r="X90" s="1020"/>
      <c r="Y90" s="1020"/>
      <c r="Z90" s="1020"/>
      <c r="AA90" s="1020"/>
      <c r="AB90" s="1024"/>
      <c r="AC90" s="1098"/>
      <c r="AD90" s="1020"/>
      <c r="AE90" s="1020"/>
      <c r="AF90" s="1020"/>
      <c r="AG90" s="1020"/>
      <c r="AH90" s="1020"/>
      <c r="AI90" s="1020"/>
      <c r="AJ90" s="1020"/>
      <c r="AK90" s="1099"/>
    </row>
    <row r="91" spans="2:37" ht="15" customHeight="1">
      <c r="B91" s="1019"/>
      <c r="C91" s="1020"/>
      <c r="D91" s="1020"/>
      <c r="E91" s="1020"/>
      <c r="F91" s="1020"/>
      <c r="G91" s="1020"/>
      <c r="H91" s="1020"/>
      <c r="I91" s="1020"/>
      <c r="J91" s="1024"/>
      <c r="K91" s="1026"/>
      <c r="L91" s="1020"/>
      <c r="M91" s="1020"/>
      <c r="N91" s="1020"/>
      <c r="O91" s="1020"/>
      <c r="P91" s="1020"/>
      <c r="Q91" s="1020"/>
      <c r="R91" s="1020"/>
      <c r="S91" s="1024"/>
      <c r="T91" s="1077"/>
      <c r="U91" s="1020"/>
      <c r="V91" s="1020"/>
      <c r="W91" s="1020"/>
      <c r="X91" s="1020"/>
      <c r="Y91" s="1020"/>
      <c r="Z91" s="1020"/>
      <c r="AA91" s="1020"/>
      <c r="AB91" s="1024"/>
      <c r="AC91" s="1098"/>
      <c r="AD91" s="1020"/>
      <c r="AE91" s="1020"/>
      <c r="AF91" s="1020"/>
      <c r="AG91" s="1020"/>
      <c r="AH91" s="1020"/>
      <c r="AI91" s="1020"/>
      <c r="AJ91" s="1020"/>
      <c r="AK91" s="1099"/>
    </row>
    <row r="92" spans="2:37" ht="15" customHeight="1">
      <c r="B92" s="1019"/>
      <c r="C92" s="1020"/>
      <c r="D92" s="1020"/>
      <c r="E92" s="1020"/>
      <c r="F92" s="1020"/>
      <c r="G92" s="1020"/>
      <c r="H92" s="1020"/>
      <c r="I92" s="1020"/>
      <c r="J92" s="1024"/>
      <c r="K92" s="1026"/>
      <c r="L92" s="1020"/>
      <c r="M92" s="1020"/>
      <c r="N92" s="1020"/>
      <c r="O92" s="1020"/>
      <c r="P92" s="1020"/>
      <c r="Q92" s="1020"/>
      <c r="R92" s="1020"/>
      <c r="S92" s="1024"/>
      <c r="T92" s="1077"/>
      <c r="U92" s="1020"/>
      <c r="V92" s="1020"/>
      <c r="W92" s="1020"/>
      <c r="X92" s="1020"/>
      <c r="Y92" s="1020"/>
      <c r="Z92" s="1020"/>
      <c r="AA92" s="1020"/>
      <c r="AB92" s="1024"/>
      <c r="AC92" s="1098"/>
      <c r="AD92" s="1020"/>
      <c r="AE92" s="1020"/>
      <c r="AF92" s="1020"/>
      <c r="AG92" s="1020"/>
      <c r="AH92" s="1020"/>
      <c r="AI92" s="1020"/>
      <c r="AJ92" s="1020"/>
      <c r="AK92" s="1099"/>
    </row>
    <row r="93" spans="2:37" ht="15" customHeight="1">
      <c r="B93" s="1019"/>
      <c r="C93" s="1020"/>
      <c r="D93" s="1020"/>
      <c r="E93" s="1020"/>
      <c r="F93" s="1020"/>
      <c r="G93" s="1020"/>
      <c r="H93" s="1020"/>
      <c r="I93" s="1020"/>
      <c r="J93" s="1024"/>
      <c r="K93" s="1026"/>
      <c r="L93" s="1020"/>
      <c r="M93" s="1020"/>
      <c r="N93" s="1020"/>
      <c r="O93" s="1020"/>
      <c r="P93" s="1020"/>
      <c r="Q93" s="1020"/>
      <c r="R93" s="1020"/>
      <c r="S93" s="1024"/>
      <c r="T93" s="1077"/>
      <c r="U93" s="1020"/>
      <c r="V93" s="1020"/>
      <c r="W93" s="1020"/>
      <c r="X93" s="1020"/>
      <c r="Y93" s="1020"/>
      <c r="Z93" s="1020"/>
      <c r="AA93" s="1020"/>
      <c r="AB93" s="1024"/>
      <c r="AC93" s="1098"/>
      <c r="AD93" s="1020"/>
      <c r="AE93" s="1020"/>
      <c r="AF93" s="1020"/>
      <c r="AG93" s="1020"/>
      <c r="AH93" s="1020"/>
      <c r="AI93" s="1020"/>
      <c r="AJ93" s="1020"/>
      <c r="AK93" s="1099"/>
    </row>
    <row r="94" spans="2:37" ht="15" customHeight="1">
      <c r="B94" s="1019"/>
      <c r="C94" s="1020"/>
      <c r="D94" s="1020"/>
      <c r="E94" s="1020"/>
      <c r="F94" s="1020"/>
      <c r="G94" s="1020"/>
      <c r="H94" s="1020"/>
      <c r="I94" s="1020"/>
      <c r="J94" s="1024"/>
      <c r="K94" s="1026"/>
      <c r="L94" s="1020"/>
      <c r="M94" s="1020"/>
      <c r="N94" s="1020"/>
      <c r="O94" s="1020"/>
      <c r="P94" s="1020"/>
      <c r="Q94" s="1020"/>
      <c r="R94" s="1020"/>
      <c r="S94" s="1024"/>
      <c r="T94" s="1077"/>
      <c r="U94" s="1020"/>
      <c r="V94" s="1020"/>
      <c r="W94" s="1020"/>
      <c r="X94" s="1020"/>
      <c r="Y94" s="1020"/>
      <c r="Z94" s="1020"/>
      <c r="AA94" s="1020"/>
      <c r="AB94" s="1024"/>
      <c r="AC94" s="1098"/>
      <c r="AD94" s="1020"/>
      <c r="AE94" s="1020"/>
      <c r="AF94" s="1020"/>
      <c r="AG94" s="1020"/>
      <c r="AH94" s="1020"/>
      <c r="AI94" s="1020"/>
      <c r="AJ94" s="1020"/>
      <c r="AK94" s="1099"/>
    </row>
    <row r="95" spans="2:37" ht="15" customHeight="1">
      <c r="B95" s="1019"/>
      <c r="C95" s="1020"/>
      <c r="D95" s="1020"/>
      <c r="E95" s="1020"/>
      <c r="F95" s="1020"/>
      <c r="G95" s="1020"/>
      <c r="H95" s="1020"/>
      <c r="I95" s="1020"/>
      <c r="J95" s="1024"/>
      <c r="K95" s="1026"/>
      <c r="L95" s="1020"/>
      <c r="M95" s="1020"/>
      <c r="N95" s="1020"/>
      <c r="O95" s="1020"/>
      <c r="P95" s="1020"/>
      <c r="Q95" s="1020"/>
      <c r="R95" s="1020"/>
      <c r="S95" s="1024"/>
      <c r="T95" s="1077"/>
      <c r="U95" s="1020"/>
      <c r="V95" s="1020"/>
      <c r="W95" s="1020"/>
      <c r="X95" s="1020"/>
      <c r="Y95" s="1020"/>
      <c r="Z95" s="1020"/>
      <c r="AA95" s="1020"/>
      <c r="AB95" s="1024"/>
      <c r="AC95" s="1098"/>
      <c r="AD95" s="1020"/>
      <c r="AE95" s="1020"/>
      <c r="AF95" s="1020"/>
      <c r="AG95" s="1020"/>
      <c r="AH95" s="1020"/>
      <c r="AI95" s="1020"/>
      <c r="AJ95" s="1020"/>
      <c r="AK95" s="1099"/>
    </row>
    <row r="96" spans="2:37" ht="15" customHeight="1">
      <c r="B96" s="1019"/>
      <c r="C96" s="1020"/>
      <c r="D96" s="1020"/>
      <c r="E96" s="1020"/>
      <c r="F96" s="1020"/>
      <c r="G96" s="1020"/>
      <c r="H96" s="1020"/>
      <c r="I96" s="1020"/>
      <c r="J96" s="1024"/>
      <c r="K96" s="1026"/>
      <c r="L96" s="1020"/>
      <c r="M96" s="1020"/>
      <c r="N96" s="1020"/>
      <c r="O96" s="1020"/>
      <c r="P96" s="1020"/>
      <c r="Q96" s="1020"/>
      <c r="R96" s="1020"/>
      <c r="S96" s="1024"/>
      <c r="T96" s="1077"/>
      <c r="U96" s="1020"/>
      <c r="V96" s="1020"/>
      <c r="W96" s="1020"/>
      <c r="X96" s="1020"/>
      <c r="Y96" s="1020"/>
      <c r="Z96" s="1020"/>
      <c r="AA96" s="1020"/>
      <c r="AB96" s="1024"/>
      <c r="AC96" s="1098"/>
      <c r="AD96" s="1020"/>
      <c r="AE96" s="1020"/>
      <c r="AF96" s="1020"/>
      <c r="AG96" s="1020"/>
      <c r="AH96" s="1020"/>
      <c r="AI96" s="1020"/>
      <c r="AJ96" s="1020"/>
      <c r="AK96" s="1099"/>
    </row>
    <row r="97" spans="2:37" ht="15" customHeight="1">
      <c r="B97" s="1019"/>
      <c r="C97" s="1020"/>
      <c r="D97" s="1020"/>
      <c r="E97" s="1020"/>
      <c r="F97" s="1020"/>
      <c r="G97" s="1020"/>
      <c r="H97" s="1020"/>
      <c r="I97" s="1020"/>
      <c r="J97" s="1024"/>
      <c r="K97" s="1026"/>
      <c r="L97" s="1020"/>
      <c r="M97" s="1020"/>
      <c r="N97" s="1020"/>
      <c r="O97" s="1020"/>
      <c r="P97" s="1020"/>
      <c r="Q97" s="1020"/>
      <c r="R97" s="1020"/>
      <c r="S97" s="1024"/>
      <c r="T97" s="1077"/>
      <c r="U97" s="1020"/>
      <c r="V97" s="1020"/>
      <c r="W97" s="1020"/>
      <c r="X97" s="1020"/>
      <c r="Y97" s="1020"/>
      <c r="Z97" s="1020"/>
      <c r="AA97" s="1020"/>
      <c r="AB97" s="1024"/>
      <c r="AC97" s="1098"/>
      <c r="AD97" s="1020"/>
      <c r="AE97" s="1020"/>
      <c r="AF97" s="1020"/>
      <c r="AG97" s="1020"/>
      <c r="AH97" s="1020"/>
      <c r="AI97" s="1020"/>
      <c r="AJ97" s="1020"/>
      <c r="AK97" s="1099"/>
    </row>
    <row r="98" spans="2:37" ht="15" customHeight="1">
      <c r="B98" s="1019"/>
      <c r="C98" s="1020"/>
      <c r="D98" s="1020"/>
      <c r="E98" s="1020"/>
      <c r="F98" s="1020"/>
      <c r="G98" s="1020"/>
      <c r="H98" s="1020"/>
      <c r="I98" s="1020"/>
      <c r="J98" s="1024"/>
      <c r="K98" s="1026"/>
      <c r="L98" s="1020"/>
      <c r="M98" s="1020"/>
      <c r="N98" s="1020"/>
      <c r="O98" s="1020"/>
      <c r="P98" s="1020"/>
      <c r="Q98" s="1020"/>
      <c r="R98" s="1020"/>
      <c r="S98" s="1024"/>
      <c r="T98" s="1077"/>
      <c r="U98" s="1020"/>
      <c r="V98" s="1020"/>
      <c r="W98" s="1020"/>
      <c r="X98" s="1020"/>
      <c r="Y98" s="1020"/>
      <c r="Z98" s="1020"/>
      <c r="AA98" s="1020"/>
      <c r="AB98" s="1024"/>
      <c r="AC98" s="1098"/>
      <c r="AD98" s="1020"/>
      <c r="AE98" s="1020"/>
      <c r="AF98" s="1020"/>
      <c r="AG98" s="1020"/>
      <c r="AH98" s="1020"/>
      <c r="AI98" s="1020"/>
      <c r="AJ98" s="1020"/>
      <c r="AK98" s="1099"/>
    </row>
    <row r="99" spans="2:37" ht="15" customHeight="1">
      <c r="B99" s="1019"/>
      <c r="C99" s="1020"/>
      <c r="D99" s="1020"/>
      <c r="E99" s="1020"/>
      <c r="F99" s="1020"/>
      <c r="G99" s="1020"/>
      <c r="H99" s="1020"/>
      <c r="I99" s="1020"/>
      <c r="J99" s="1024"/>
      <c r="K99" s="1026"/>
      <c r="L99" s="1020"/>
      <c r="M99" s="1020"/>
      <c r="N99" s="1020"/>
      <c r="O99" s="1020"/>
      <c r="P99" s="1020"/>
      <c r="Q99" s="1020"/>
      <c r="R99" s="1020"/>
      <c r="S99" s="1024"/>
      <c r="T99" s="1077"/>
      <c r="U99" s="1020"/>
      <c r="V99" s="1020"/>
      <c r="W99" s="1020"/>
      <c r="X99" s="1020"/>
      <c r="Y99" s="1020"/>
      <c r="Z99" s="1020"/>
      <c r="AA99" s="1020"/>
      <c r="AB99" s="1024"/>
      <c r="AC99" s="1098"/>
      <c r="AD99" s="1020"/>
      <c r="AE99" s="1020"/>
      <c r="AF99" s="1020"/>
      <c r="AG99" s="1020"/>
      <c r="AH99" s="1020"/>
      <c r="AI99" s="1020"/>
      <c r="AJ99" s="1020"/>
      <c r="AK99" s="1099"/>
    </row>
    <row r="100" spans="2:37" ht="15" customHeight="1">
      <c r="B100" s="1019"/>
      <c r="C100" s="1020"/>
      <c r="D100" s="1020"/>
      <c r="E100" s="1020"/>
      <c r="F100" s="1020"/>
      <c r="G100" s="1020"/>
      <c r="H100" s="1020"/>
      <c r="I100" s="1020"/>
      <c r="J100" s="1024"/>
      <c r="K100" s="1026"/>
      <c r="L100" s="1020"/>
      <c r="M100" s="1020"/>
      <c r="N100" s="1020"/>
      <c r="O100" s="1020"/>
      <c r="P100" s="1020"/>
      <c r="Q100" s="1020"/>
      <c r="R100" s="1020"/>
      <c r="S100" s="1024"/>
      <c r="T100" s="1077"/>
      <c r="U100" s="1020"/>
      <c r="V100" s="1020"/>
      <c r="W100" s="1020"/>
      <c r="X100" s="1020"/>
      <c r="Y100" s="1020"/>
      <c r="Z100" s="1020"/>
      <c r="AA100" s="1020"/>
      <c r="AB100" s="1024"/>
      <c r="AC100" s="1098"/>
      <c r="AD100" s="1020"/>
      <c r="AE100" s="1020"/>
      <c r="AF100" s="1020"/>
      <c r="AG100" s="1020"/>
      <c r="AH100" s="1020"/>
      <c r="AI100" s="1020"/>
      <c r="AJ100" s="1020"/>
      <c r="AK100" s="1099"/>
    </row>
    <row r="101" spans="2:37" ht="15" customHeight="1">
      <c r="B101" s="1019"/>
      <c r="C101" s="1020"/>
      <c r="D101" s="1020"/>
      <c r="E101" s="1020"/>
      <c r="F101" s="1020"/>
      <c r="G101" s="1020"/>
      <c r="H101" s="1020"/>
      <c r="I101" s="1020"/>
      <c r="J101" s="1024"/>
      <c r="K101" s="1026"/>
      <c r="L101" s="1020"/>
      <c r="M101" s="1020"/>
      <c r="N101" s="1020"/>
      <c r="O101" s="1020"/>
      <c r="P101" s="1020"/>
      <c r="Q101" s="1020"/>
      <c r="R101" s="1020"/>
      <c r="S101" s="1024"/>
      <c r="T101" s="1077"/>
      <c r="U101" s="1020"/>
      <c r="V101" s="1020"/>
      <c r="W101" s="1020"/>
      <c r="X101" s="1020"/>
      <c r="Y101" s="1020"/>
      <c r="Z101" s="1020"/>
      <c r="AA101" s="1020"/>
      <c r="AB101" s="1024"/>
      <c r="AC101" s="1098"/>
      <c r="AD101" s="1020"/>
      <c r="AE101" s="1020"/>
      <c r="AF101" s="1020"/>
      <c r="AG101" s="1020"/>
      <c r="AH101" s="1020"/>
      <c r="AI101" s="1020"/>
      <c r="AJ101" s="1020"/>
      <c r="AK101" s="1099"/>
    </row>
    <row r="102" spans="2:37" ht="15" customHeight="1">
      <c r="B102" s="1019"/>
      <c r="C102" s="1020"/>
      <c r="D102" s="1020"/>
      <c r="E102" s="1020"/>
      <c r="F102" s="1020"/>
      <c r="G102" s="1020"/>
      <c r="H102" s="1020"/>
      <c r="I102" s="1020"/>
      <c r="J102" s="1024"/>
      <c r="K102" s="1026"/>
      <c r="L102" s="1020"/>
      <c r="M102" s="1020"/>
      <c r="N102" s="1020"/>
      <c r="O102" s="1020"/>
      <c r="P102" s="1020"/>
      <c r="Q102" s="1020"/>
      <c r="R102" s="1020"/>
      <c r="S102" s="1024"/>
      <c r="T102" s="1077"/>
      <c r="U102" s="1020"/>
      <c r="V102" s="1020"/>
      <c r="W102" s="1020"/>
      <c r="X102" s="1020"/>
      <c r="Y102" s="1020"/>
      <c r="Z102" s="1020"/>
      <c r="AA102" s="1020"/>
      <c r="AB102" s="1024"/>
      <c r="AC102" s="1098"/>
      <c r="AD102" s="1020"/>
      <c r="AE102" s="1020"/>
      <c r="AF102" s="1020"/>
      <c r="AG102" s="1020"/>
      <c r="AH102" s="1020"/>
      <c r="AI102" s="1020"/>
      <c r="AJ102" s="1020"/>
      <c r="AK102" s="1099"/>
    </row>
    <row r="103" spans="2:37" ht="15" customHeight="1">
      <c r="B103" s="1019"/>
      <c r="C103" s="1020"/>
      <c r="D103" s="1020"/>
      <c r="E103" s="1020"/>
      <c r="F103" s="1020"/>
      <c r="G103" s="1020"/>
      <c r="H103" s="1020"/>
      <c r="I103" s="1020"/>
      <c r="J103" s="1024"/>
      <c r="K103" s="1026"/>
      <c r="L103" s="1020"/>
      <c r="M103" s="1020"/>
      <c r="N103" s="1020"/>
      <c r="O103" s="1020"/>
      <c r="P103" s="1020"/>
      <c r="Q103" s="1020"/>
      <c r="R103" s="1020"/>
      <c r="S103" s="1024"/>
      <c r="T103" s="1077"/>
      <c r="U103" s="1020"/>
      <c r="V103" s="1020"/>
      <c r="W103" s="1020"/>
      <c r="X103" s="1020"/>
      <c r="Y103" s="1020"/>
      <c r="Z103" s="1020"/>
      <c r="AA103" s="1020"/>
      <c r="AB103" s="1024"/>
      <c r="AC103" s="1098"/>
      <c r="AD103" s="1020"/>
      <c r="AE103" s="1020"/>
      <c r="AF103" s="1020"/>
      <c r="AG103" s="1020"/>
      <c r="AH103" s="1020"/>
      <c r="AI103" s="1020"/>
      <c r="AJ103" s="1020"/>
      <c r="AK103" s="1099"/>
    </row>
    <row r="104" spans="2:37" ht="15" customHeight="1">
      <c r="B104" s="1019"/>
      <c r="C104" s="1020"/>
      <c r="D104" s="1020"/>
      <c r="E104" s="1020"/>
      <c r="F104" s="1020"/>
      <c r="G104" s="1020"/>
      <c r="H104" s="1020"/>
      <c r="I104" s="1020"/>
      <c r="J104" s="1024"/>
      <c r="K104" s="1026"/>
      <c r="L104" s="1020"/>
      <c r="M104" s="1020"/>
      <c r="N104" s="1020"/>
      <c r="O104" s="1020"/>
      <c r="P104" s="1020"/>
      <c r="Q104" s="1020"/>
      <c r="R104" s="1020"/>
      <c r="S104" s="1024"/>
      <c r="T104" s="1077"/>
      <c r="U104" s="1020"/>
      <c r="V104" s="1020"/>
      <c r="W104" s="1020"/>
      <c r="X104" s="1020"/>
      <c r="Y104" s="1020"/>
      <c r="Z104" s="1020"/>
      <c r="AA104" s="1020"/>
      <c r="AB104" s="1024"/>
      <c r="AC104" s="1098"/>
      <c r="AD104" s="1020"/>
      <c r="AE104" s="1020"/>
      <c r="AF104" s="1020"/>
      <c r="AG104" s="1020"/>
      <c r="AH104" s="1020"/>
      <c r="AI104" s="1020"/>
      <c r="AJ104" s="1020"/>
      <c r="AK104" s="1099"/>
    </row>
    <row r="105" spans="2:37" ht="15" customHeight="1">
      <c r="B105" s="1019"/>
      <c r="C105" s="1020"/>
      <c r="D105" s="1020"/>
      <c r="E105" s="1020"/>
      <c r="F105" s="1020"/>
      <c r="G105" s="1020"/>
      <c r="H105" s="1020"/>
      <c r="I105" s="1020"/>
      <c r="J105" s="1024"/>
      <c r="K105" s="1026"/>
      <c r="L105" s="1020"/>
      <c r="M105" s="1020"/>
      <c r="N105" s="1020"/>
      <c r="O105" s="1020"/>
      <c r="P105" s="1020"/>
      <c r="Q105" s="1020"/>
      <c r="R105" s="1020"/>
      <c r="S105" s="1024"/>
      <c r="T105" s="1077"/>
      <c r="U105" s="1020"/>
      <c r="V105" s="1020"/>
      <c r="W105" s="1020"/>
      <c r="X105" s="1020"/>
      <c r="Y105" s="1020"/>
      <c r="Z105" s="1020"/>
      <c r="AA105" s="1020"/>
      <c r="AB105" s="1024"/>
      <c r="AC105" s="1098"/>
      <c r="AD105" s="1020"/>
      <c r="AE105" s="1020"/>
      <c r="AF105" s="1020"/>
      <c r="AG105" s="1020"/>
      <c r="AH105" s="1020"/>
      <c r="AI105" s="1020"/>
      <c r="AJ105" s="1020"/>
      <c r="AK105" s="1099"/>
    </row>
    <row r="106" spans="2:37" ht="15" customHeight="1">
      <c r="B106" s="1019"/>
      <c r="C106" s="1020"/>
      <c r="D106" s="1020"/>
      <c r="E106" s="1020"/>
      <c r="F106" s="1020"/>
      <c r="G106" s="1020"/>
      <c r="H106" s="1020"/>
      <c r="I106" s="1020"/>
      <c r="J106" s="1024"/>
      <c r="K106" s="1026"/>
      <c r="L106" s="1020"/>
      <c r="M106" s="1020"/>
      <c r="N106" s="1020"/>
      <c r="O106" s="1020"/>
      <c r="P106" s="1020"/>
      <c r="Q106" s="1020"/>
      <c r="R106" s="1020"/>
      <c r="S106" s="1024"/>
      <c r="T106" s="1077"/>
      <c r="U106" s="1020"/>
      <c r="V106" s="1020"/>
      <c r="W106" s="1020"/>
      <c r="X106" s="1020"/>
      <c r="Y106" s="1020"/>
      <c r="Z106" s="1020"/>
      <c r="AA106" s="1020"/>
      <c r="AB106" s="1024"/>
      <c r="AC106" s="1098"/>
      <c r="AD106" s="1020"/>
      <c r="AE106" s="1020"/>
      <c r="AF106" s="1020"/>
      <c r="AG106" s="1020"/>
      <c r="AH106" s="1020"/>
      <c r="AI106" s="1020"/>
      <c r="AJ106" s="1020"/>
      <c r="AK106" s="1099"/>
    </row>
    <row r="107" spans="2:37" ht="15" customHeight="1">
      <c r="B107" s="1019"/>
      <c r="C107" s="1020"/>
      <c r="D107" s="1020"/>
      <c r="E107" s="1020"/>
      <c r="F107" s="1020"/>
      <c r="G107" s="1020"/>
      <c r="H107" s="1020"/>
      <c r="I107" s="1020"/>
      <c r="J107" s="1024"/>
      <c r="K107" s="1026"/>
      <c r="L107" s="1020"/>
      <c r="M107" s="1020"/>
      <c r="N107" s="1020"/>
      <c r="O107" s="1020"/>
      <c r="P107" s="1020"/>
      <c r="Q107" s="1020"/>
      <c r="R107" s="1020"/>
      <c r="S107" s="1024"/>
      <c r="T107" s="1077"/>
      <c r="U107" s="1020"/>
      <c r="V107" s="1020"/>
      <c r="W107" s="1020"/>
      <c r="X107" s="1020"/>
      <c r="Y107" s="1020"/>
      <c r="Z107" s="1020"/>
      <c r="AA107" s="1020"/>
      <c r="AB107" s="1024"/>
      <c r="AC107" s="1098"/>
      <c r="AD107" s="1020"/>
      <c r="AE107" s="1020"/>
      <c r="AF107" s="1020"/>
      <c r="AG107" s="1020"/>
      <c r="AH107" s="1020"/>
      <c r="AI107" s="1020"/>
      <c r="AJ107" s="1020"/>
      <c r="AK107" s="1099"/>
    </row>
    <row r="108" spans="2:37" ht="15" customHeight="1">
      <c r="B108" s="1019"/>
      <c r="C108" s="1020"/>
      <c r="D108" s="1020"/>
      <c r="E108" s="1020"/>
      <c r="F108" s="1020"/>
      <c r="G108" s="1020"/>
      <c r="H108" s="1020"/>
      <c r="I108" s="1020"/>
      <c r="J108" s="1024"/>
      <c r="K108" s="1026"/>
      <c r="L108" s="1020"/>
      <c r="M108" s="1020"/>
      <c r="N108" s="1020"/>
      <c r="O108" s="1020"/>
      <c r="P108" s="1020"/>
      <c r="Q108" s="1020"/>
      <c r="R108" s="1020"/>
      <c r="S108" s="1024"/>
      <c r="T108" s="1077"/>
      <c r="U108" s="1020"/>
      <c r="V108" s="1020"/>
      <c r="W108" s="1020"/>
      <c r="X108" s="1020"/>
      <c r="Y108" s="1020"/>
      <c r="Z108" s="1020"/>
      <c r="AA108" s="1020"/>
      <c r="AB108" s="1024"/>
      <c r="AC108" s="1098"/>
      <c r="AD108" s="1020"/>
      <c r="AE108" s="1020"/>
      <c r="AF108" s="1020"/>
      <c r="AG108" s="1020"/>
      <c r="AH108" s="1020"/>
      <c r="AI108" s="1020"/>
      <c r="AJ108" s="1020"/>
      <c r="AK108" s="1099"/>
    </row>
    <row r="109" spans="2:37" ht="15" customHeight="1">
      <c r="B109" s="1019"/>
      <c r="C109" s="1020"/>
      <c r="D109" s="1020"/>
      <c r="E109" s="1020"/>
      <c r="F109" s="1020"/>
      <c r="G109" s="1020"/>
      <c r="H109" s="1020"/>
      <c r="I109" s="1020"/>
      <c r="J109" s="1024"/>
      <c r="K109" s="1026"/>
      <c r="L109" s="1020"/>
      <c r="M109" s="1020"/>
      <c r="N109" s="1020"/>
      <c r="O109" s="1020"/>
      <c r="P109" s="1020"/>
      <c r="Q109" s="1020"/>
      <c r="R109" s="1020"/>
      <c r="S109" s="1024"/>
      <c r="T109" s="1077"/>
      <c r="U109" s="1020"/>
      <c r="V109" s="1020"/>
      <c r="W109" s="1020"/>
      <c r="X109" s="1020"/>
      <c r="Y109" s="1020"/>
      <c r="Z109" s="1020"/>
      <c r="AA109" s="1020"/>
      <c r="AB109" s="1024"/>
      <c r="AC109" s="1098"/>
      <c r="AD109" s="1020"/>
      <c r="AE109" s="1020"/>
      <c r="AF109" s="1020"/>
      <c r="AG109" s="1020"/>
      <c r="AH109" s="1020"/>
      <c r="AI109" s="1020"/>
      <c r="AJ109" s="1020"/>
      <c r="AK109" s="1099"/>
    </row>
    <row r="110" spans="2:37" ht="15" customHeight="1">
      <c r="B110" s="1019"/>
      <c r="C110" s="1020"/>
      <c r="D110" s="1020"/>
      <c r="E110" s="1020"/>
      <c r="F110" s="1020"/>
      <c r="G110" s="1020"/>
      <c r="H110" s="1020"/>
      <c r="I110" s="1020"/>
      <c r="J110" s="1024"/>
      <c r="K110" s="1026"/>
      <c r="L110" s="1020"/>
      <c r="M110" s="1020"/>
      <c r="N110" s="1020"/>
      <c r="O110" s="1020"/>
      <c r="P110" s="1020"/>
      <c r="Q110" s="1020"/>
      <c r="R110" s="1020"/>
      <c r="S110" s="1024"/>
      <c r="T110" s="1077"/>
      <c r="U110" s="1020"/>
      <c r="V110" s="1020"/>
      <c r="W110" s="1020"/>
      <c r="X110" s="1020"/>
      <c r="Y110" s="1020"/>
      <c r="Z110" s="1020"/>
      <c r="AA110" s="1020"/>
      <c r="AB110" s="1024"/>
      <c r="AC110" s="1098"/>
      <c r="AD110" s="1020"/>
      <c r="AE110" s="1020"/>
      <c r="AF110" s="1020"/>
      <c r="AG110" s="1020"/>
      <c r="AH110" s="1020"/>
      <c r="AI110" s="1020"/>
      <c r="AJ110" s="1020"/>
      <c r="AK110" s="1099"/>
    </row>
    <row r="111" spans="2:37" ht="15" customHeight="1">
      <c r="B111" s="1019"/>
      <c r="C111" s="1020"/>
      <c r="D111" s="1020"/>
      <c r="E111" s="1020"/>
      <c r="F111" s="1020"/>
      <c r="G111" s="1020"/>
      <c r="H111" s="1020"/>
      <c r="I111" s="1020"/>
      <c r="J111" s="1024"/>
      <c r="K111" s="1026"/>
      <c r="L111" s="1020"/>
      <c r="M111" s="1020"/>
      <c r="N111" s="1020"/>
      <c r="O111" s="1020"/>
      <c r="P111" s="1020"/>
      <c r="Q111" s="1020"/>
      <c r="R111" s="1020"/>
      <c r="S111" s="1024"/>
      <c r="T111" s="1077"/>
      <c r="U111" s="1020"/>
      <c r="V111" s="1020"/>
      <c r="W111" s="1020"/>
      <c r="X111" s="1020"/>
      <c r="Y111" s="1020"/>
      <c r="Z111" s="1020"/>
      <c r="AA111" s="1020"/>
      <c r="AB111" s="1024"/>
      <c r="AC111" s="1098"/>
      <c r="AD111" s="1020"/>
      <c r="AE111" s="1020"/>
      <c r="AF111" s="1020"/>
      <c r="AG111" s="1020"/>
      <c r="AH111" s="1020"/>
      <c r="AI111" s="1020"/>
      <c r="AJ111" s="1020"/>
      <c r="AK111" s="1099"/>
    </row>
    <row r="112" spans="2:37" ht="15" customHeight="1">
      <c r="B112" s="1019"/>
      <c r="C112" s="1020"/>
      <c r="D112" s="1020"/>
      <c r="E112" s="1020"/>
      <c r="F112" s="1020"/>
      <c r="G112" s="1020"/>
      <c r="H112" s="1020"/>
      <c r="I112" s="1020"/>
      <c r="J112" s="1024"/>
      <c r="K112" s="1026"/>
      <c r="L112" s="1020"/>
      <c r="M112" s="1020"/>
      <c r="N112" s="1020"/>
      <c r="O112" s="1020"/>
      <c r="P112" s="1020"/>
      <c r="Q112" s="1020"/>
      <c r="R112" s="1020"/>
      <c r="S112" s="1024"/>
      <c r="T112" s="1077"/>
      <c r="U112" s="1020"/>
      <c r="V112" s="1020"/>
      <c r="W112" s="1020"/>
      <c r="X112" s="1020"/>
      <c r="Y112" s="1020"/>
      <c r="Z112" s="1020"/>
      <c r="AA112" s="1020"/>
      <c r="AB112" s="1024"/>
      <c r="AC112" s="1098"/>
      <c r="AD112" s="1020"/>
      <c r="AE112" s="1020"/>
      <c r="AF112" s="1020"/>
      <c r="AG112" s="1020"/>
      <c r="AH112" s="1020"/>
      <c r="AI112" s="1020"/>
      <c r="AJ112" s="1020"/>
      <c r="AK112" s="1099"/>
    </row>
    <row r="113" spans="2:37" ht="15" customHeight="1">
      <c r="B113" s="1019"/>
      <c r="C113" s="1020"/>
      <c r="D113" s="1020"/>
      <c r="E113" s="1020"/>
      <c r="F113" s="1020"/>
      <c r="G113" s="1020"/>
      <c r="H113" s="1020"/>
      <c r="I113" s="1020"/>
      <c r="J113" s="1024"/>
      <c r="K113" s="1026"/>
      <c r="L113" s="1020"/>
      <c r="M113" s="1020"/>
      <c r="N113" s="1020"/>
      <c r="O113" s="1020"/>
      <c r="P113" s="1020"/>
      <c r="Q113" s="1020"/>
      <c r="R113" s="1020"/>
      <c r="S113" s="1024"/>
      <c r="T113" s="1077"/>
      <c r="U113" s="1020"/>
      <c r="V113" s="1020"/>
      <c r="W113" s="1020"/>
      <c r="X113" s="1020"/>
      <c r="Y113" s="1020"/>
      <c r="Z113" s="1020"/>
      <c r="AA113" s="1020"/>
      <c r="AB113" s="1024"/>
      <c r="AC113" s="1098"/>
      <c r="AD113" s="1020"/>
      <c r="AE113" s="1020"/>
      <c r="AF113" s="1020"/>
      <c r="AG113" s="1020"/>
      <c r="AH113" s="1020"/>
      <c r="AI113" s="1020"/>
      <c r="AJ113" s="1020"/>
      <c r="AK113" s="1099"/>
    </row>
    <row r="114" spans="2:37" ht="15" customHeight="1">
      <c r="B114" s="1019"/>
      <c r="C114" s="1020"/>
      <c r="D114" s="1020"/>
      <c r="E114" s="1020"/>
      <c r="F114" s="1020"/>
      <c r="G114" s="1020"/>
      <c r="H114" s="1020"/>
      <c r="I114" s="1020"/>
      <c r="J114" s="1024"/>
      <c r="K114" s="1026"/>
      <c r="L114" s="1020"/>
      <c r="M114" s="1020"/>
      <c r="N114" s="1020"/>
      <c r="O114" s="1020"/>
      <c r="P114" s="1020"/>
      <c r="Q114" s="1020"/>
      <c r="R114" s="1020"/>
      <c r="S114" s="1024"/>
      <c r="T114" s="1077"/>
      <c r="U114" s="1020"/>
      <c r="V114" s="1020"/>
      <c r="W114" s="1020"/>
      <c r="X114" s="1020"/>
      <c r="Y114" s="1020"/>
      <c r="Z114" s="1020"/>
      <c r="AA114" s="1020"/>
      <c r="AB114" s="1024"/>
      <c r="AC114" s="1098"/>
      <c r="AD114" s="1020"/>
      <c r="AE114" s="1020"/>
      <c r="AF114" s="1020"/>
      <c r="AG114" s="1020"/>
      <c r="AH114" s="1020"/>
      <c r="AI114" s="1020"/>
      <c r="AJ114" s="1020"/>
      <c r="AK114" s="1099"/>
    </row>
    <row r="115" spans="2:37" ht="15" customHeight="1">
      <c r="B115" s="1019"/>
      <c r="C115" s="1020"/>
      <c r="D115" s="1020"/>
      <c r="E115" s="1020"/>
      <c r="F115" s="1020"/>
      <c r="G115" s="1020"/>
      <c r="H115" s="1020"/>
      <c r="I115" s="1020"/>
      <c r="J115" s="1024"/>
      <c r="K115" s="1026"/>
      <c r="L115" s="1020"/>
      <c r="M115" s="1020"/>
      <c r="N115" s="1020"/>
      <c r="O115" s="1020"/>
      <c r="P115" s="1020"/>
      <c r="Q115" s="1020"/>
      <c r="R115" s="1020"/>
      <c r="S115" s="1024"/>
      <c r="T115" s="1077"/>
      <c r="U115" s="1020"/>
      <c r="V115" s="1020"/>
      <c r="W115" s="1020"/>
      <c r="X115" s="1020"/>
      <c r="Y115" s="1020"/>
      <c r="Z115" s="1020"/>
      <c r="AA115" s="1020"/>
      <c r="AB115" s="1024"/>
      <c r="AC115" s="1098"/>
      <c r="AD115" s="1020"/>
      <c r="AE115" s="1020"/>
      <c r="AF115" s="1020"/>
      <c r="AG115" s="1020"/>
      <c r="AH115" s="1020"/>
      <c r="AI115" s="1020"/>
      <c r="AJ115" s="1020"/>
      <c r="AK115" s="1099"/>
    </row>
    <row r="116" spans="2:37" ht="15" customHeight="1">
      <c r="B116" s="1019"/>
      <c r="C116" s="1020"/>
      <c r="D116" s="1020"/>
      <c r="E116" s="1020"/>
      <c r="F116" s="1020"/>
      <c r="G116" s="1020"/>
      <c r="H116" s="1020"/>
      <c r="I116" s="1020"/>
      <c r="J116" s="1024"/>
      <c r="K116" s="1026"/>
      <c r="L116" s="1020"/>
      <c r="M116" s="1020"/>
      <c r="N116" s="1020"/>
      <c r="O116" s="1020"/>
      <c r="P116" s="1020"/>
      <c r="Q116" s="1020"/>
      <c r="R116" s="1020"/>
      <c r="S116" s="1024"/>
      <c r="T116" s="1077"/>
      <c r="U116" s="1020"/>
      <c r="V116" s="1020"/>
      <c r="W116" s="1020"/>
      <c r="X116" s="1020"/>
      <c r="Y116" s="1020"/>
      <c r="Z116" s="1020"/>
      <c r="AA116" s="1020"/>
      <c r="AB116" s="1024"/>
      <c r="AC116" s="1098"/>
      <c r="AD116" s="1020"/>
      <c r="AE116" s="1020"/>
      <c r="AF116" s="1020"/>
      <c r="AG116" s="1020"/>
      <c r="AH116" s="1020"/>
      <c r="AI116" s="1020"/>
      <c r="AJ116" s="1020"/>
      <c r="AK116" s="1099"/>
    </row>
    <row r="117" spans="2:37" ht="15" customHeight="1">
      <c r="B117" s="1019"/>
      <c r="C117" s="1020"/>
      <c r="D117" s="1020"/>
      <c r="E117" s="1020"/>
      <c r="F117" s="1020"/>
      <c r="G117" s="1020"/>
      <c r="H117" s="1020"/>
      <c r="I117" s="1020"/>
      <c r="J117" s="1024"/>
      <c r="K117" s="1026"/>
      <c r="L117" s="1020"/>
      <c r="M117" s="1020"/>
      <c r="N117" s="1020"/>
      <c r="O117" s="1020"/>
      <c r="P117" s="1020"/>
      <c r="Q117" s="1020"/>
      <c r="R117" s="1020"/>
      <c r="S117" s="1024"/>
      <c r="T117" s="1077"/>
      <c r="U117" s="1020"/>
      <c r="V117" s="1020"/>
      <c r="W117" s="1020"/>
      <c r="X117" s="1020"/>
      <c r="Y117" s="1020"/>
      <c r="Z117" s="1020"/>
      <c r="AA117" s="1020"/>
      <c r="AB117" s="1024"/>
      <c r="AC117" s="1098"/>
      <c r="AD117" s="1020"/>
      <c r="AE117" s="1020"/>
      <c r="AF117" s="1020"/>
      <c r="AG117" s="1020"/>
      <c r="AH117" s="1020"/>
      <c r="AI117" s="1020"/>
      <c r="AJ117" s="1020"/>
      <c r="AK117" s="1099"/>
    </row>
    <row r="118" spans="2:37" ht="15" customHeight="1">
      <c r="B118" s="1019"/>
      <c r="C118" s="1020"/>
      <c r="D118" s="1020"/>
      <c r="E118" s="1020"/>
      <c r="F118" s="1020"/>
      <c r="G118" s="1020"/>
      <c r="H118" s="1020"/>
      <c r="I118" s="1020"/>
      <c r="J118" s="1024"/>
      <c r="K118" s="1026"/>
      <c r="L118" s="1020"/>
      <c r="M118" s="1020"/>
      <c r="N118" s="1020"/>
      <c r="O118" s="1020"/>
      <c r="P118" s="1020"/>
      <c r="Q118" s="1020"/>
      <c r="R118" s="1020"/>
      <c r="S118" s="1024"/>
      <c r="T118" s="1077"/>
      <c r="U118" s="1020"/>
      <c r="V118" s="1020"/>
      <c r="W118" s="1020"/>
      <c r="X118" s="1020"/>
      <c r="Y118" s="1020"/>
      <c r="Z118" s="1020"/>
      <c r="AA118" s="1020"/>
      <c r="AB118" s="1024"/>
      <c r="AC118" s="1098"/>
      <c r="AD118" s="1020"/>
      <c r="AE118" s="1020"/>
      <c r="AF118" s="1020"/>
      <c r="AG118" s="1020"/>
      <c r="AH118" s="1020"/>
      <c r="AI118" s="1020"/>
      <c r="AJ118" s="1020"/>
      <c r="AK118" s="1099"/>
    </row>
    <row r="119" spans="2:37" ht="15" customHeight="1">
      <c r="B119" s="1019"/>
      <c r="C119" s="1020"/>
      <c r="D119" s="1020"/>
      <c r="E119" s="1020"/>
      <c r="F119" s="1020"/>
      <c r="G119" s="1020"/>
      <c r="H119" s="1020"/>
      <c r="I119" s="1020"/>
      <c r="J119" s="1024"/>
      <c r="K119" s="1026"/>
      <c r="L119" s="1020"/>
      <c r="M119" s="1020"/>
      <c r="N119" s="1020"/>
      <c r="O119" s="1020"/>
      <c r="P119" s="1020"/>
      <c r="Q119" s="1020"/>
      <c r="R119" s="1020"/>
      <c r="S119" s="1024"/>
      <c r="T119" s="1077"/>
      <c r="U119" s="1020"/>
      <c r="V119" s="1020"/>
      <c r="W119" s="1020"/>
      <c r="X119" s="1020"/>
      <c r="Y119" s="1020"/>
      <c r="Z119" s="1020"/>
      <c r="AA119" s="1020"/>
      <c r="AB119" s="1024"/>
      <c r="AC119" s="1098"/>
      <c r="AD119" s="1020"/>
      <c r="AE119" s="1020"/>
      <c r="AF119" s="1020"/>
      <c r="AG119" s="1020"/>
      <c r="AH119" s="1020"/>
      <c r="AI119" s="1020"/>
      <c r="AJ119" s="1020"/>
      <c r="AK119" s="1099"/>
    </row>
    <row r="120" spans="2:37" ht="15" customHeight="1">
      <c r="B120" s="1019"/>
      <c r="C120" s="1020"/>
      <c r="D120" s="1020"/>
      <c r="E120" s="1020"/>
      <c r="F120" s="1020"/>
      <c r="G120" s="1020"/>
      <c r="H120" s="1020"/>
      <c r="I120" s="1020"/>
      <c r="J120" s="1024"/>
      <c r="K120" s="1026"/>
      <c r="L120" s="1020"/>
      <c r="M120" s="1020"/>
      <c r="N120" s="1020"/>
      <c r="O120" s="1020"/>
      <c r="P120" s="1020"/>
      <c r="Q120" s="1020"/>
      <c r="R120" s="1020"/>
      <c r="S120" s="1024"/>
      <c r="T120" s="1077"/>
      <c r="U120" s="1020"/>
      <c r="V120" s="1020"/>
      <c r="W120" s="1020"/>
      <c r="X120" s="1020"/>
      <c r="Y120" s="1020"/>
      <c r="Z120" s="1020"/>
      <c r="AA120" s="1020"/>
      <c r="AB120" s="1024"/>
      <c r="AC120" s="1098"/>
      <c r="AD120" s="1020"/>
      <c r="AE120" s="1020"/>
      <c r="AF120" s="1020"/>
      <c r="AG120" s="1020"/>
      <c r="AH120" s="1020"/>
      <c r="AI120" s="1020"/>
      <c r="AJ120" s="1020"/>
      <c r="AK120" s="1099"/>
    </row>
    <row r="121" spans="2:37" ht="15" customHeight="1">
      <c r="B121" s="1019"/>
      <c r="C121" s="1020"/>
      <c r="D121" s="1020"/>
      <c r="E121" s="1020"/>
      <c r="F121" s="1020"/>
      <c r="G121" s="1020"/>
      <c r="H121" s="1020"/>
      <c r="I121" s="1020"/>
      <c r="J121" s="1024"/>
      <c r="K121" s="1026"/>
      <c r="L121" s="1020"/>
      <c r="M121" s="1020"/>
      <c r="N121" s="1020"/>
      <c r="O121" s="1020"/>
      <c r="P121" s="1020"/>
      <c r="Q121" s="1020"/>
      <c r="R121" s="1020"/>
      <c r="S121" s="1024"/>
      <c r="T121" s="1077"/>
      <c r="U121" s="1020"/>
      <c r="V121" s="1020"/>
      <c r="W121" s="1020"/>
      <c r="X121" s="1020"/>
      <c r="Y121" s="1020"/>
      <c r="Z121" s="1020"/>
      <c r="AA121" s="1020"/>
      <c r="AB121" s="1024"/>
      <c r="AC121" s="1098"/>
      <c r="AD121" s="1020"/>
      <c r="AE121" s="1020"/>
      <c r="AF121" s="1020"/>
      <c r="AG121" s="1020"/>
      <c r="AH121" s="1020"/>
      <c r="AI121" s="1020"/>
      <c r="AJ121" s="1020"/>
      <c r="AK121" s="1099"/>
    </row>
    <row r="122" spans="2:37" ht="15" customHeight="1">
      <c r="B122" s="1019"/>
      <c r="C122" s="1020"/>
      <c r="D122" s="1020"/>
      <c r="E122" s="1020"/>
      <c r="F122" s="1020"/>
      <c r="G122" s="1020"/>
      <c r="H122" s="1020"/>
      <c r="I122" s="1020"/>
      <c r="J122" s="1024"/>
      <c r="K122" s="1026"/>
      <c r="L122" s="1020"/>
      <c r="M122" s="1020"/>
      <c r="N122" s="1020"/>
      <c r="O122" s="1020"/>
      <c r="P122" s="1020"/>
      <c r="Q122" s="1020"/>
      <c r="R122" s="1020"/>
      <c r="S122" s="1024"/>
      <c r="T122" s="1077"/>
      <c r="U122" s="1020"/>
      <c r="V122" s="1020"/>
      <c r="W122" s="1020"/>
      <c r="X122" s="1020"/>
      <c r="Y122" s="1020"/>
      <c r="Z122" s="1020"/>
      <c r="AA122" s="1020"/>
      <c r="AB122" s="1024"/>
      <c r="AC122" s="1098"/>
      <c r="AD122" s="1020"/>
      <c r="AE122" s="1020"/>
      <c r="AF122" s="1020"/>
      <c r="AG122" s="1020"/>
      <c r="AH122" s="1020"/>
      <c r="AI122" s="1020"/>
      <c r="AJ122" s="1020"/>
      <c r="AK122" s="1099"/>
    </row>
    <row r="123" spans="2:37" ht="15" customHeight="1">
      <c r="B123" s="1019"/>
      <c r="C123" s="1020"/>
      <c r="D123" s="1020"/>
      <c r="E123" s="1020"/>
      <c r="F123" s="1020"/>
      <c r="G123" s="1020"/>
      <c r="H123" s="1020"/>
      <c r="I123" s="1020"/>
      <c r="J123" s="1024"/>
      <c r="K123" s="1026"/>
      <c r="L123" s="1020"/>
      <c r="M123" s="1020"/>
      <c r="N123" s="1020"/>
      <c r="O123" s="1020"/>
      <c r="P123" s="1020"/>
      <c r="Q123" s="1020"/>
      <c r="R123" s="1020"/>
      <c r="S123" s="1024"/>
      <c r="T123" s="1077"/>
      <c r="U123" s="1020"/>
      <c r="V123" s="1020"/>
      <c r="W123" s="1020"/>
      <c r="X123" s="1020"/>
      <c r="Y123" s="1020"/>
      <c r="Z123" s="1020"/>
      <c r="AA123" s="1020"/>
      <c r="AB123" s="1024"/>
      <c r="AC123" s="1098"/>
      <c r="AD123" s="1020"/>
      <c r="AE123" s="1020"/>
      <c r="AF123" s="1020"/>
      <c r="AG123" s="1020"/>
      <c r="AH123" s="1020"/>
      <c r="AI123" s="1020"/>
      <c r="AJ123" s="1020"/>
      <c r="AK123" s="1099"/>
    </row>
    <row r="124" spans="2:37" ht="15" customHeight="1">
      <c r="B124" s="1019"/>
      <c r="C124" s="1020"/>
      <c r="D124" s="1020"/>
      <c r="E124" s="1020"/>
      <c r="F124" s="1020"/>
      <c r="G124" s="1020"/>
      <c r="H124" s="1020"/>
      <c r="I124" s="1020"/>
      <c r="J124" s="1024"/>
      <c r="K124" s="1026"/>
      <c r="L124" s="1020"/>
      <c r="M124" s="1020"/>
      <c r="N124" s="1020"/>
      <c r="O124" s="1020"/>
      <c r="P124" s="1020"/>
      <c r="Q124" s="1020"/>
      <c r="R124" s="1020"/>
      <c r="S124" s="1024"/>
      <c r="T124" s="1077"/>
      <c r="U124" s="1020"/>
      <c r="V124" s="1020"/>
      <c r="W124" s="1020"/>
      <c r="X124" s="1020"/>
      <c r="Y124" s="1020"/>
      <c r="Z124" s="1020"/>
      <c r="AA124" s="1020"/>
      <c r="AB124" s="1024"/>
      <c r="AC124" s="1098"/>
      <c r="AD124" s="1020"/>
      <c r="AE124" s="1020"/>
      <c r="AF124" s="1020"/>
      <c r="AG124" s="1020"/>
      <c r="AH124" s="1020"/>
      <c r="AI124" s="1020"/>
      <c r="AJ124" s="1020"/>
      <c r="AK124" s="1099"/>
    </row>
    <row r="125" spans="2:37" ht="15" customHeight="1">
      <c r="B125" s="1019"/>
      <c r="C125" s="1020"/>
      <c r="D125" s="1020"/>
      <c r="E125" s="1020"/>
      <c r="F125" s="1020"/>
      <c r="G125" s="1020"/>
      <c r="H125" s="1020"/>
      <c r="I125" s="1020"/>
      <c r="J125" s="1024"/>
      <c r="K125" s="1026"/>
      <c r="L125" s="1020"/>
      <c r="M125" s="1020"/>
      <c r="N125" s="1020"/>
      <c r="O125" s="1020"/>
      <c r="P125" s="1020"/>
      <c r="Q125" s="1020"/>
      <c r="R125" s="1020"/>
      <c r="S125" s="1024"/>
      <c r="T125" s="1077"/>
      <c r="U125" s="1020"/>
      <c r="V125" s="1020"/>
      <c r="W125" s="1020"/>
      <c r="X125" s="1020"/>
      <c r="Y125" s="1020"/>
      <c r="Z125" s="1020"/>
      <c r="AA125" s="1020"/>
      <c r="AB125" s="1024"/>
      <c r="AC125" s="1098"/>
      <c r="AD125" s="1020"/>
      <c r="AE125" s="1020"/>
      <c r="AF125" s="1020"/>
      <c r="AG125" s="1020"/>
      <c r="AH125" s="1020"/>
      <c r="AI125" s="1020"/>
      <c r="AJ125" s="1020"/>
      <c r="AK125" s="1099"/>
    </row>
    <row r="126" spans="2:37" ht="15" customHeight="1">
      <c r="B126" s="1019"/>
      <c r="C126" s="1020"/>
      <c r="D126" s="1020"/>
      <c r="E126" s="1020"/>
      <c r="F126" s="1020"/>
      <c r="G126" s="1020"/>
      <c r="H126" s="1020"/>
      <c r="I126" s="1020"/>
      <c r="J126" s="1024"/>
      <c r="K126" s="1026"/>
      <c r="L126" s="1020"/>
      <c r="M126" s="1020"/>
      <c r="N126" s="1020"/>
      <c r="O126" s="1020"/>
      <c r="P126" s="1020"/>
      <c r="Q126" s="1020"/>
      <c r="R126" s="1020"/>
      <c r="S126" s="1024"/>
      <c r="T126" s="1077"/>
      <c r="U126" s="1020"/>
      <c r="V126" s="1020"/>
      <c r="W126" s="1020"/>
      <c r="X126" s="1020"/>
      <c r="Y126" s="1020"/>
      <c r="Z126" s="1020"/>
      <c r="AA126" s="1020"/>
      <c r="AB126" s="1024"/>
      <c r="AC126" s="1098"/>
      <c r="AD126" s="1020"/>
      <c r="AE126" s="1020"/>
      <c r="AF126" s="1020"/>
      <c r="AG126" s="1020"/>
      <c r="AH126" s="1020"/>
      <c r="AI126" s="1020"/>
      <c r="AJ126" s="1020"/>
      <c r="AK126" s="1099"/>
    </row>
    <row r="127" spans="2:37" ht="15" customHeight="1">
      <c r="B127" s="1019"/>
      <c r="C127" s="1020"/>
      <c r="D127" s="1020"/>
      <c r="E127" s="1020"/>
      <c r="F127" s="1020"/>
      <c r="G127" s="1020"/>
      <c r="H127" s="1020"/>
      <c r="I127" s="1020"/>
      <c r="J127" s="1024"/>
      <c r="K127" s="1026"/>
      <c r="L127" s="1020"/>
      <c r="M127" s="1020"/>
      <c r="N127" s="1020"/>
      <c r="O127" s="1020"/>
      <c r="P127" s="1020"/>
      <c r="Q127" s="1020"/>
      <c r="R127" s="1020"/>
      <c r="S127" s="1024"/>
      <c r="T127" s="1077"/>
      <c r="U127" s="1020"/>
      <c r="V127" s="1020"/>
      <c r="W127" s="1020"/>
      <c r="X127" s="1020"/>
      <c r="Y127" s="1020"/>
      <c r="Z127" s="1020"/>
      <c r="AA127" s="1020"/>
      <c r="AB127" s="1024"/>
      <c r="AC127" s="1098"/>
      <c r="AD127" s="1020"/>
      <c r="AE127" s="1020"/>
      <c r="AF127" s="1020"/>
      <c r="AG127" s="1020"/>
      <c r="AH127" s="1020"/>
      <c r="AI127" s="1020"/>
      <c r="AJ127" s="1020"/>
      <c r="AK127" s="1099"/>
    </row>
    <row r="128" spans="2:37" ht="15" customHeight="1">
      <c r="B128" s="1019"/>
      <c r="C128" s="1020"/>
      <c r="D128" s="1020"/>
      <c r="E128" s="1020"/>
      <c r="F128" s="1020"/>
      <c r="G128" s="1020"/>
      <c r="H128" s="1020"/>
      <c r="I128" s="1020"/>
      <c r="J128" s="1024"/>
      <c r="K128" s="1026"/>
      <c r="L128" s="1020"/>
      <c r="M128" s="1020"/>
      <c r="N128" s="1020"/>
      <c r="O128" s="1020"/>
      <c r="P128" s="1020"/>
      <c r="Q128" s="1020"/>
      <c r="R128" s="1020"/>
      <c r="S128" s="1024"/>
      <c r="T128" s="1077"/>
      <c r="U128" s="1020"/>
      <c r="V128" s="1020"/>
      <c r="W128" s="1020"/>
      <c r="X128" s="1020"/>
      <c r="Y128" s="1020"/>
      <c r="Z128" s="1020"/>
      <c r="AA128" s="1020"/>
      <c r="AB128" s="1024"/>
      <c r="AC128" s="1098"/>
      <c r="AD128" s="1020"/>
      <c r="AE128" s="1020"/>
      <c r="AF128" s="1020"/>
      <c r="AG128" s="1020"/>
      <c r="AH128" s="1020"/>
      <c r="AI128" s="1020"/>
      <c r="AJ128" s="1020"/>
      <c r="AK128" s="1099"/>
    </row>
    <row r="129" spans="2:37" ht="15" customHeight="1">
      <c r="B129" s="1019"/>
      <c r="C129" s="1020"/>
      <c r="D129" s="1020"/>
      <c r="E129" s="1020"/>
      <c r="F129" s="1020"/>
      <c r="G129" s="1020"/>
      <c r="H129" s="1020"/>
      <c r="I129" s="1020"/>
      <c r="J129" s="1024"/>
      <c r="K129" s="1026"/>
      <c r="L129" s="1020"/>
      <c r="M129" s="1020"/>
      <c r="N129" s="1020"/>
      <c r="O129" s="1020"/>
      <c r="P129" s="1020"/>
      <c r="Q129" s="1020"/>
      <c r="R129" s="1020"/>
      <c r="S129" s="1024"/>
      <c r="T129" s="1077"/>
      <c r="U129" s="1020"/>
      <c r="V129" s="1020"/>
      <c r="W129" s="1020"/>
      <c r="X129" s="1020"/>
      <c r="Y129" s="1020"/>
      <c r="Z129" s="1020"/>
      <c r="AA129" s="1020"/>
      <c r="AB129" s="1024"/>
      <c r="AC129" s="1098"/>
      <c r="AD129" s="1020"/>
      <c r="AE129" s="1020"/>
      <c r="AF129" s="1020"/>
      <c r="AG129" s="1020"/>
      <c r="AH129" s="1020"/>
      <c r="AI129" s="1020"/>
      <c r="AJ129" s="1020"/>
      <c r="AK129" s="1099"/>
    </row>
    <row r="130" spans="2:37" ht="15" customHeight="1">
      <c r="B130" s="1019"/>
      <c r="C130" s="1020"/>
      <c r="D130" s="1020"/>
      <c r="E130" s="1020"/>
      <c r="F130" s="1020"/>
      <c r="G130" s="1020"/>
      <c r="H130" s="1020"/>
      <c r="I130" s="1020"/>
      <c r="J130" s="1024"/>
      <c r="K130" s="1026"/>
      <c r="L130" s="1020"/>
      <c r="M130" s="1020"/>
      <c r="N130" s="1020"/>
      <c r="O130" s="1020"/>
      <c r="P130" s="1020"/>
      <c r="Q130" s="1020"/>
      <c r="R130" s="1020"/>
      <c r="S130" s="1024"/>
      <c r="T130" s="1077"/>
      <c r="U130" s="1020"/>
      <c r="V130" s="1020"/>
      <c r="W130" s="1020"/>
      <c r="X130" s="1020"/>
      <c r="Y130" s="1020"/>
      <c r="Z130" s="1020"/>
      <c r="AA130" s="1020"/>
      <c r="AB130" s="1024"/>
      <c r="AC130" s="1098"/>
      <c r="AD130" s="1020"/>
      <c r="AE130" s="1020"/>
      <c r="AF130" s="1020"/>
      <c r="AG130" s="1020"/>
      <c r="AH130" s="1020"/>
      <c r="AI130" s="1020"/>
      <c r="AJ130" s="1020"/>
      <c r="AK130" s="1099"/>
    </row>
    <row r="131" spans="2:37" ht="15" customHeight="1">
      <c r="B131" s="1019"/>
      <c r="C131" s="1020"/>
      <c r="D131" s="1020"/>
      <c r="E131" s="1020"/>
      <c r="F131" s="1020"/>
      <c r="G131" s="1020"/>
      <c r="H131" s="1020"/>
      <c r="I131" s="1020"/>
      <c r="J131" s="1024"/>
      <c r="K131" s="1026"/>
      <c r="L131" s="1020"/>
      <c r="M131" s="1020"/>
      <c r="N131" s="1020"/>
      <c r="O131" s="1020"/>
      <c r="P131" s="1020"/>
      <c r="Q131" s="1020"/>
      <c r="R131" s="1020"/>
      <c r="S131" s="1024"/>
      <c r="T131" s="1077"/>
      <c r="U131" s="1020"/>
      <c r="V131" s="1020"/>
      <c r="W131" s="1020"/>
      <c r="X131" s="1020"/>
      <c r="Y131" s="1020"/>
      <c r="Z131" s="1020"/>
      <c r="AA131" s="1020"/>
      <c r="AB131" s="1024"/>
      <c r="AC131" s="1098"/>
      <c r="AD131" s="1020"/>
      <c r="AE131" s="1020"/>
      <c r="AF131" s="1020"/>
      <c r="AG131" s="1020"/>
      <c r="AH131" s="1020"/>
      <c r="AI131" s="1020"/>
      <c r="AJ131" s="1020"/>
      <c r="AK131" s="1099"/>
    </row>
    <row r="132" spans="2:37" ht="15" customHeight="1">
      <c r="B132" s="1019"/>
      <c r="C132" s="1020"/>
      <c r="D132" s="1020"/>
      <c r="E132" s="1020"/>
      <c r="F132" s="1020"/>
      <c r="G132" s="1020"/>
      <c r="H132" s="1020"/>
      <c r="I132" s="1020"/>
      <c r="J132" s="1024"/>
      <c r="K132" s="1026"/>
      <c r="L132" s="1020"/>
      <c r="M132" s="1020"/>
      <c r="N132" s="1020"/>
      <c r="O132" s="1020"/>
      <c r="P132" s="1020"/>
      <c r="Q132" s="1020"/>
      <c r="R132" s="1020"/>
      <c r="S132" s="1024"/>
      <c r="T132" s="1077"/>
      <c r="U132" s="1020"/>
      <c r="V132" s="1020"/>
      <c r="W132" s="1020"/>
      <c r="X132" s="1020"/>
      <c r="Y132" s="1020"/>
      <c r="Z132" s="1020"/>
      <c r="AA132" s="1020"/>
      <c r="AB132" s="1024"/>
      <c r="AC132" s="1098"/>
      <c r="AD132" s="1020"/>
      <c r="AE132" s="1020"/>
      <c r="AF132" s="1020"/>
      <c r="AG132" s="1020"/>
      <c r="AH132" s="1020"/>
      <c r="AI132" s="1020"/>
      <c r="AJ132" s="1020"/>
      <c r="AK132" s="1099"/>
    </row>
    <row r="133" spans="2:37" ht="15" customHeight="1">
      <c r="B133" s="1019"/>
      <c r="C133" s="1020"/>
      <c r="D133" s="1020"/>
      <c r="E133" s="1020"/>
      <c r="F133" s="1020"/>
      <c r="G133" s="1020"/>
      <c r="H133" s="1020"/>
      <c r="I133" s="1020"/>
      <c r="J133" s="1024"/>
      <c r="K133" s="1026"/>
      <c r="L133" s="1020"/>
      <c r="M133" s="1020"/>
      <c r="N133" s="1020"/>
      <c r="O133" s="1020"/>
      <c r="P133" s="1020"/>
      <c r="Q133" s="1020"/>
      <c r="R133" s="1020"/>
      <c r="S133" s="1024"/>
      <c r="T133" s="1077"/>
      <c r="U133" s="1020"/>
      <c r="V133" s="1020"/>
      <c r="W133" s="1020"/>
      <c r="X133" s="1020"/>
      <c r="Y133" s="1020"/>
      <c r="Z133" s="1020"/>
      <c r="AA133" s="1020"/>
      <c r="AB133" s="1024"/>
      <c r="AC133" s="1098"/>
      <c r="AD133" s="1020"/>
      <c r="AE133" s="1020"/>
      <c r="AF133" s="1020"/>
      <c r="AG133" s="1020"/>
      <c r="AH133" s="1020"/>
      <c r="AI133" s="1020"/>
      <c r="AJ133" s="1020"/>
      <c r="AK133" s="1099"/>
    </row>
    <row r="134" spans="2:37" ht="15" customHeight="1">
      <c r="B134" s="1019"/>
      <c r="C134" s="1020"/>
      <c r="D134" s="1020"/>
      <c r="E134" s="1020"/>
      <c r="F134" s="1020"/>
      <c r="G134" s="1020"/>
      <c r="H134" s="1020"/>
      <c r="I134" s="1020"/>
      <c r="J134" s="1024"/>
      <c r="K134" s="1026"/>
      <c r="L134" s="1020"/>
      <c r="M134" s="1020"/>
      <c r="N134" s="1020"/>
      <c r="O134" s="1020"/>
      <c r="P134" s="1020"/>
      <c r="Q134" s="1020"/>
      <c r="R134" s="1020"/>
      <c r="S134" s="1024"/>
      <c r="T134" s="1077"/>
      <c r="U134" s="1020"/>
      <c r="V134" s="1020"/>
      <c r="W134" s="1020"/>
      <c r="X134" s="1020"/>
      <c r="Y134" s="1020"/>
      <c r="Z134" s="1020"/>
      <c r="AA134" s="1020"/>
      <c r="AB134" s="1024"/>
      <c r="AC134" s="1098"/>
      <c r="AD134" s="1020"/>
      <c r="AE134" s="1020"/>
      <c r="AF134" s="1020"/>
      <c r="AG134" s="1020"/>
      <c r="AH134" s="1020"/>
      <c r="AI134" s="1020"/>
      <c r="AJ134" s="1020"/>
      <c r="AK134" s="1099"/>
    </row>
    <row r="135" spans="2:37" ht="15" customHeight="1">
      <c r="B135" s="1019"/>
      <c r="C135" s="1020"/>
      <c r="D135" s="1020"/>
      <c r="E135" s="1020"/>
      <c r="F135" s="1020"/>
      <c r="G135" s="1020"/>
      <c r="H135" s="1020"/>
      <c r="I135" s="1020"/>
      <c r="J135" s="1024"/>
      <c r="K135" s="1026"/>
      <c r="L135" s="1020"/>
      <c r="M135" s="1020"/>
      <c r="N135" s="1020"/>
      <c r="O135" s="1020"/>
      <c r="P135" s="1020"/>
      <c r="Q135" s="1020"/>
      <c r="R135" s="1020"/>
      <c r="S135" s="1024"/>
      <c r="T135" s="1077"/>
      <c r="U135" s="1020"/>
      <c r="V135" s="1020"/>
      <c r="W135" s="1020"/>
      <c r="X135" s="1020"/>
      <c r="Y135" s="1020"/>
      <c r="Z135" s="1020"/>
      <c r="AA135" s="1020"/>
      <c r="AB135" s="1024"/>
      <c r="AC135" s="1098"/>
      <c r="AD135" s="1020"/>
      <c r="AE135" s="1020"/>
      <c r="AF135" s="1020"/>
      <c r="AG135" s="1020"/>
      <c r="AH135" s="1020"/>
      <c r="AI135" s="1020"/>
      <c r="AJ135" s="1020"/>
      <c r="AK135" s="1099"/>
    </row>
    <row r="136" spans="2:37" ht="15" customHeight="1">
      <c r="B136" s="1019"/>
      <c r="C136" s="1020"/>
      <c r="D136" s="1020"/>
      <c r="E136" s="1020"/>
      <c r="F136" s="1020"/>
      <c r="G136" s="1020"/>
      <c r="H136" s="1020"/>
      <c r="I136" s="1020"/>
      <c r="J136" s="1024"/>
      <c r="K136" s="1026"/>
      <c r="L136" s="1020"/>
      <c r="M136" s="1020"/>
      <c r="N136" s="1020"/>
      <c r="O136" s="1020"/>
      <c r="P136" s="1020"/>
      <c r="Q136" s="1020"/>
      <c r="R136" s="1020"/>
      <c r="S136" s="1024"/>
      <c r="T136" s="1077"/>
      <c r="U136" s="1020"/>
      <c r="V136" s="1020"/>
      <c r="W136" s="1020"/>
      <c r="X136" s="1020"/>
      <c r="Y136" s="1020"/>
      <c r="Z136" s="1020"/>
      <c r="AA136" s="1020"/>
      <c r="AB136" s="1024"/>
      <c r="AC136" s="1098"/>
      <c r="AD136" s="1020"/>
      <c r="AE136" s="1020"/>
      <c r="AF136" s="1020"/>
      <c r="AG136" s="1020"/>
      <c r="AH136" s="1020"/>
      <c r="AI136" s="1020"/>
      <c r="AJ136" s="1020"/>
      <c r="AK136" s="1099"/>
    </row>
    <row r="137" spans="2:37" ht="15" customHeight="1">
      <c r="B137" s="1019"/>
      <c r="C137" s="1020"/>
      <c r="D137" s="1020"/>
      <c r="E137" s="1020"/>
      <c r="F137" s="1020"/>
      <c r="G137" s="1020"/>
      <c r="H137" s="1020"/>
      <c r="I137" s="1020"/>
      <c r="J137" s="1024"/>
      <c r="K137" s="1026"/>
      <c r="L137" s="1020"/>
      <c r="M137" s="1020"/>
      <c r="N137" s="1020"/>
      <c r="O137" s="1020"/>
      <c r="P137" s="1020"/>
      <c r="Q137" s="1020"/>
      <c r="R137" s="1020"/>
      <c r="S137" s="1024"/>
      <c r="T137" s="1077"/>
      <c r="U137" s="1020"/>
      <c r="V137" s="1020"/>
      <c r="W137" s="1020"/>
      <c r="X137" s="1020"/>
      <c r="Y137" s="1020"/>
      <c r="Z137" s="1020"/>
      <c r="AA137" s="1020"/>
      <c r="AB137" s="1024"/>
      <c r="AC137" s="1098"/>
      <c r="AD137" s="1020"/>
      <c r="AE137" s="1020"/>
      <c r="AF137" s="1020"/>
      <c r="AG137" s="1020"/>
      <c r="AH137" s="1020"/>
      <c r="AI137" s="1020"/>
      <c r="AJ137" s="1020"/>
      <c r="AK137" s="1099"/>
    </row>
    <row r="138" spans="2:37" ht="15" customHeight="1">
      <c r="B138" s="1019"/>
      <c r="C138" s="1020"/>
      <c r="D138" s="1020"/>
      <c r="E138" s="1020"/>
      <c r="F138" s="1020"/>
      <c r="G138" s="1020"/>
      <c r="H138" s="1020"/>
      <c r="I138" s="1020"/>
      <c r="J138" s="1024"/>
      <c r="K138" s="1026"/>
      <c r="L138" s="1020"/>
      <c r="M138" s="1020"/>
      <c r="N138" s="1020"/>
      <c r="O138" s="1020"/>
      <c r="P138" s="1020"/>
      <c r="Q138" s="1020"/>
      <c r="R138" s="1020"/>
      <c r="S138" s="1024"/>
      <c r="T138" s="1077"/>
      <c r="U138" s="1020"/>
      <c r="V138" s="1020"/>
      <c r="W138" s="1020"/>
      <c r="X138" s="1020"/>
      <c r="Y138" s="1020"/>
      <c r="Z138" s="1020"/>
      <c r="AA138" s="1020"/>
      <c r="AB138" s="1024"/>
      <c r="AC138" s="1098"/>
      <c r="AD138" s="1020"/>
      <c r="AE138" s="1020"/>
      <c r="AF138" s="1020"/>
      <c r="AG138" s="1020"/>
      <c r="AH138" s="1020"/>
      <c r="AI138" s="1020"/>
      <c r="AJ138" s="1020"/>
      <c r="AK138" s="1099"/>
    </row>
    <row r="139" spans="2:37" ht="15" customHeight="1">
      <c r="B139" s="1019"/>
      <c r="C139" s="1020"/>
      <c r="D139" s="1020"/>
      <c r="E139" s="1020"/>
      <c r="F139" s="1020"/>
      <c r="G139" s="1020"/>
      <c r="H139" s="1020"/>
      <c r="I139" s="1020"/>
      <c r="J139" s="1024"/>
      <c r="K139" s="1026"/>
      <c r="L139" s="1020"/>
      <c r="M139" s="1020"/>
      <c r="N139" s="1020"/>
      <c r="O139" s="1020"/>
      <c r="P139" s="1020"/>
      <c r="Q139" s="1020"/>
      <c r="R139" s="1020"/>
      <c r="S139" s="1024"/>
      <c r="T139" s="1077"/>
      <c r="U139" s="1020"/>
      <c r="V139" s="1020"/>
      <c r="W139" s="1020"/>
      <c r="X139" s="1020"/>
      <c r="Y139" s="1020"/>
      <c r="Z139" s="1020"/>
      <c r="AA139" s="1020"/>
      <c r="AB139" s="1024"/>
      <c r="AC139" s="1098"/>
      <c r="AD139" s="1020"/>
      <c r="AE139" s="1020"/>
      <c r="AF139" s="1020"/>
      <c r="AG139" s="1020"/>
      <c r="AH139" s="1020"/>
      <c r="AI139" s="1020"/>
      <c r="AJ139" s="1020"/>
      <c r="AK139" s="1099"/>
    </row>
    <row r="140" spans="2:37" ht="15" customHeight="1">
      <c r="B140" s="1019"/>
      <c r="C140" s="1020"/>
      <c r="D140" s="1020"/>
      <c r="E140" s="1020"/>
      <c r="F140" s="1020"/>
      <c r="G140" s="1020"/>
      <c r="H140" s="1020"/>
      <c r="I140" s="1020"/>
      <c r="J140" s="1024"/>
      <c r="K140" s="1026"/>
      <c r="L140" s="1020"/>
      <c r="M140" s="1020"/>
      <c r="N140" s="1020"/>
      <c r="O140" s="1020"/>
      <c r="P140" s="1020"/>
      <c r="Q140" s="1020"/>
      <c r="R140" s="1020"/>
      <c r="S140" s="1024"/>
      <c r="T140" s="1077"/>
      <c r="U140" s="1020"/>
      <c r="V140" s="1020"/>
      <c r="W140" s="1020"/>
      <c r="X140" s="1020"/>
      <c r="Y140" s="1020"/>
      <c r="Z140" s="1020"/>
      <c r="AA140" s="1020"/>
      <c r="AB140" s="1024"/>
      <c r="AC140" s="1098"/>
      <c r="AD140" s="1020"/>
      <c r="AE140" s="1020"/>
      <c r="AF140" s="1020"/>
      <c r="AG140" s="1020"/>
      <c r="AH140" s="1020"/>
      <c r="AI140" s="1020"/>
      <c r="AJ140" s="1020"/>
      <c r="AK140" s="1099"/>
    </row>
    <row r="141" spans="2:37" ht="15" customHeight="1">
      <c r="B141" s="1019"/>
      <c r="C141" s="1020"/>
      <c r="D141" s="1020"/>
      <c r="E141" s="1020"/>
      <c r="F141" s="1020"/>
      <c r="G141" s="1020"/>
      <c r="H141" s="1020"/>
      <c r="I141" s="1020"/>
      <c r="J141" s="1024"/>
      <c r="K141" s="1026"/>
      <c r="L141" s="1020"/>
      <c r="M141" s="1020"/>
      <c r="N141" s="1020"/>
      <c r="O141" s="1020"/>
      <c r="P141" s="1020"/>
      <c r="Q141" s="1020"/>
      <c r="R141" s="1020"/>
      <c r="S141" s="1024"/>
      <c r="T141" s="1077"/>
      <c r="U141" s="1020"/>
      <c r="V141" s="1020"/>
      <c r="W141" s="1020"/>
      <c r="X141" s="1020"/>
      <c r="Y141" s="1020"/>
      <c r="Z141" s="1020"/>
      <c r="AA141" s="1020"/>
      <c r="AB141" s="1024"/>
      <c r="AC141" s="1098"/>
      <c r="AD141" s="1020"/>
      <c r="AE141" s="1020"/>
      <c r="AF141" s="1020"/>
      <c r="AG141" s="1020"/>
      <c r="AH141" s="1020"/>
      <c r="AI141" s="1020"/>
      <c r="AJ141" s="1020"/>
      <c r="AK141" s="1099"/>
    </row>
    <row r="142" spans="2:37" ht="15" customHeight="1">
      <c r="B142" s="1019"/>
      <c r="C142" s="1020"/>
      <c r="D142" s="1020"/>
      <c r="E142" s="1020"/>
      <c r="F142" s="1020"/>
      <c r="G142" s="1020"/>
      <c r="H142" s="1020"/>
      <c r="I142" s="1020"/>
      <c r="J142" s="1024"/>
      <c r="K142" s="1026"/>
      <c r="L142" s="1020"/>
      <c r="M142" s="1020"/>
      <c r="N142" s="1020"/>
      <c r="O142" s="1020"/>
      <c r="P142" s="1020"/>
      <c r="Q142" s="1020"/>
      <c r="R142" s="1020"/>
      <c r="S142" s="1024"/>
      <c r="T142" s="1077"/>
      <c r="U142" s="1020"/>
      <c r="V142" s="1020"/>
      <c r="W142" s="1020"/>
      <c r="X142" s="1020"/>
      <c r="Y142" s="1020"/>
      <c r="Z142" s="1020"/>
      <c r="AA142" s="1020"/>
      <c r="AB142" s="1024"/>
      <c r="AC142" s="1098"/>
      <c r="AD142" s="1020"/>
      <c r="AE142" s="1020"/>
      <c r="AF142" s="1020"/>
      <c r="AG142" s="1020"/>
      <c r="AH142" s="1020"/>
      <c r="AI142" s="1020"/>
      <c r="AJ142" s="1020"/>
      <c r="AK142" s="1099"/>
    </row>
    <row r="143" spans="2:37" ht="15" customHeight="1">
      <c r="B143" s="1019"/>
      <c r="C143" s="1020"/>
      <c r="D143" s="1020"/>
      <c r="E143" s="1020"/>
      <c r="F143" s="1020"/>
      <c r="G143" s="1020"/>
      <c r="H143" s="1020"/>
      <c r="I143" s="1020"/>
      <c r="J143" s="1024"/>
      <c r="K143" s="1026"/>
      <c r="L143" s="1020"/>
      <c r="M143" s="1020"/>
      <c r="N143" s="1020"/>
      <c r="O143" s="1020"/>
      <c r="P143" s="1020"/>
      <c r="Q143" s="1020"/>
      <c r="R143" s="1020"/>
      <c r="S143" s="1024"/>
      <c r="T143" s="1077"/>
      <c r="U143" s="1020"/>
      <c r="V143" s="1020"/>
      <c r="W143" s="1020"/>
      <c r="X143" s="1020"/>
      <c r="Y143" s="1020"/>
      <c r="Z143" s="1020"/>
      <c r="AA143" s="1020"/>
      <c r="AB143" s="1024"/>
      <c r="AC143" s="1098"/>
      <c r="AD143" s="1020"/>
      <c r="AE143" s="1020"/>
      <c r="AF143" s="1020"/>
      <c r="AG143" s="1020"/>
      <c r="AH143" s="1020"/>
      <c r="AI143" s="1020"/>
      <c r="AJ143" s="1020"/>
      <c r="AK143" s="1099"/>
    </row>
    <row r="144" spans="2:37" ht="15" customHeight="1">
      <c r="B144" s="1019"/>
      <c r="C144" s="1020"/>
      <c r="D144" s="1020"/>
      <c r="E144" s="1020"/>
      <c r="F144" s="1020"/>
      <c r="G144" s="1020"/>
      <c r="H144" s="1020"/>
      <c r="I144" s="1020"/>
      <c r="J144" s="1024"/>
      <c r="K144" s="1026"/>
      <c r="L144" s="1020"/>
      <c r="M144" s="1020"/>
      <c r="N144" s="1020"/>
      <c r="O144" s="1020"/>
      <c r="P144" s="1020"/>
      <c r="Q144" s="1020"/>
      <c r="R144" s="1020"/>
      <c r="S144" s="1024"/>
      <c r="T144" s="1077"/>
      <c r="U144" s="1020"/>
      <c r="V144" s="1020"/>
      <c r="W144" s="1020"/>
      <c r="X144" s="1020"/>
      <c r="Y144" s="1020"/>
      <c r="Z144" s="1020"/>
      <c r="AA144" s="1020"/>
      <c r="AB144" s="1024"/>
      <c r="AC144" s="1098"/>
      <c r="AD144" s="1020"/>
      <c r="AE144" s="1020"/>
      <c r="AF144" s="1020"/>
      <c r="AG144" s="1020"/>
      <c r="AH144" s="1020"/>
      <c r="AI144" s="1020"/>
      <c r="AJ144" s="1020"/>
      <c r="AK144" s="1099"/>
    </row>
    <row r="145" spans="2:37" ht="15" customHeight="1">
      <c r="B145" s="1019"/>
      <c r="C145" s="1020"/>
      <c r="D145" s="1020"/>
      <c r="E145" s="1020"/>
      <c r="F145" s="1020"/>
      <c r="G145" s="1020"/>
      <c r="H145" s="1020"/>
      <c r="I145" s="1020"/>
      <c r="J145" s="1024"/>
      <c r="K145" s="1026"/>
      <c r="L145" s="1020"/>
      <c r="M145" s="1020"/>
      <c r="N145" s="1020"/>
      <c r="O145" s="1020"/>
      <c r="P145" s="1020"/>
      <c r="Q145" s="1020"/>
      <c r="R145" s="1020"/>
      <c r="S145" s="1024"/>
      <c r="T145" s="1077"/>
      <c r="U145" s="1020"/>
      <c r="V145" s="1020"/>
      <c r="W145" s="1020"/>
      <c r="X145" s="1020"/>
      <c r="Y145" s="1020"/>
      <c r="Z145" s="1020"/>
      <c r="AA145" s="1020"/>
      <c r="AB145" s="1024"/>
      <c r="AC145" s="1098"/>
      <c r="AD145" s="1020"/>
      <c r="AE145" s="1020"/>
      <c r="AF145" s="1020"/>
      <c r="AG145" s="1020"/>
      <c r="AH145" s="1020"/>
      <c r="AI145" s="1020"/>
      <c r="AJ145" s="1020"/>
      <c r="AK145" s="1099"/>
    </row>
    <row r="146" spans="2:37" ht="15" customHeight="1">
      <c r="B146" s="1019"/>
      <c r="C146" s="1020"/>
      <c r="D146" s="1020"/>
      <c r="E146" s="1020"/>
      <c r="F146" s="1020"/>
      <c r="G146" s="1020"/>
      <c r="H146" s="1020"/>
      <c r="I146" s="1020"/>
      <c r="J146" s="1024"/>
      <c r="K146" s="1026"/>
      <c r="L146" s="1020"/>
      <c r="M146" s="1020"/>
      <c r="N146" s="1020"/>
      <c r="O146" s="1020"/>
      <c r="P146" s="1020"/>
      <c r="Q146" s="1020"/>
      <c r="R146" s="1020"/>
      <c r="S146" s="1024"/>
      <c r="T146" s="1077"/>
      <c r="U146" s="1020"/>
      <c r="V146" s="1020"/>
      <c r="W146" s="1020"/>
      <c r="X146" s="1020"/>
      <c r="Y146" s="1020"/>
      <c r="Z146" s="1020"/>
      <c r="AA146" s="1020"/>
      <c r="AB146" s="1024"/>
      <c r="AC146" s="1098"/>
      <c r="AD146" s="1020"/>
      <c r="AE146" s="1020"/>
      <c r="AF146" s="1020"/>
      <c r="AG146" s="1020"/>
      <c r="AH146" s="1020"/>
      <c r="AI146" s="1020"/>
      <c r="AJ146" s="1020"/>
      <c r="AK146" s="1099"/>
    </row>
    <row r="147" spans="2:37" ht="15" customHeight="1">
      <c r="B147" s="1019"/>
      <c r="C147" s="1020"/>
      <c r="D147" s="1020"/>
      <c r="E147" s="1020"/>
      <c r="F147" s="1020"/>
      <c r="G147" s="1020"/>
      <c r="H147" s="1020"/>
      <c r="I147" s="1020"/>
      <c r="J147" s="1024"/>
      <c r="K147" s="1026"/>
      <c r="L147" s="1020"/>
      <c r="M147" s="1020"/>
      <c r="N147" s="1020"/>
      <c r="O147" s="1020"/>
      <c r="P147" s="1020"/>
      <c r="Q147" s="1020"/>
      <c r="R147" s="1020"/>
      <c r="S147" s="1024"/>
      <c r="T147" s="1077"/>
      <c r="U147" s="1020"/>
      <c r="V147" s="1020"/>
      <c r="W147" s="1020"/>
      <c r="X147" s="1020"/>
      <c r="Y147" s="1020"/>
      <c r="Z147" s="1020"/>
      <c r="AA147" s="1020"/>
      <c r="AB147" s="1024"/>
      <c r="AC147" s="1098"/>
      <c r="AD147" s="1020"/>
      <c r="AE147" s="1020"/>
      <c r="AF147" s="1020"/>
      <c r="AG147" s="1020"/>
      <c r="AH147" s="1020"/>
      <c r="AI147" s="1020"/>
      <c r="AJ147" s="1020"/>
      <c r="AK147" s="1099"/>
    </row>
    <row r="148" spans="2:37" ht="15" customHeight="1">
      <c r="B148" s="1019"/>
      <c r="C148" s="1020"/>
      <c r="D148" s="1020"/>
      <c r="E148" s="1020"/>
      <c r="F148" s="1020"/>
      <c r="G148" s="1020"/>
      <c r="H148" s="1020"/>
      <c r="I148" s="1020"/>
      <c r="J148" s="1024"/>
      <c r="K148" s="1026"/>
      <c r="L148" s="1020"/>
      <c r="M148" s="1020"/>
      <c r="N148" s="1020"/>
      <c r="O148" s="1020"/>
      <c r="P148" s="1020"/>
      <c r="Q148" s="1020"/>
      <c r="R148" s="1020"/>
      <c r="S148" s="1024"/>
      <c r="T148" s="1077"/>
      <c r="U148" s="1020"/>
      <c r="V148" s="1020"/>
      <c r="W148" s="1020"/>
      <c r="X148" s="1020"/>
      <c r="Y148" s="1020"/>
      <c r="Z148" s="1020"/>
      <c r="AA148" s="1020"/>
      <c r="AB148" s="1024"/>
      <c r="AC148" s="1098"/>
      <c r="AD148" s="1020"/>
      <c r="AE148" s="1020"/>
      <c r="AF148" s="1020"/>
      <c r="AG148" s="1020"/>
      <c r="AH148" s="1020"/>
      <c r="AI148" s="1020"/>
      <c r="AJ148" s="1020"/>
      <c r="AK148" s="1099"/>
    </row>
    <row r="149" spans="2:37" ht="15" customHeight="1">
      <c r="B149" s="1019"/>
      <c r="C149" s="1020"/>
      <c r="D149" s="1020"/>
      <c r="E149" s="1020"/>
      <c r="F149" s="1020"/>
      <c r="G149" s="1020"/>
      <c r="H149" s="1020"/>
      <c r="I149" s="1020"/>
      <c r="J149" s="1024"/>
      <c r="K149" s="1026"/>
      <c r="L149" s="1020"/>
      <c r="M149" s="1020"/>
      <c r="N149" s="1020"/>
      <c r="O149" s="1020"/>
      <c r="P149" s="1020"/>
      <c r="Q149" s="1020"/>
      <c r="R149" s="1020"/>
      <c r="S149" s="1024"/>
      <c r="T149" s="1077"/>
      <c r="U149" s="1020"/>
      <c r="V149" s="1020"/>
      <c r="W149" s="1020"/>
      <c r="X149" s="1020"/>
      <c r="Y149" s="1020"/>
      <c r="Z149" s="1020"/>
      <c r="AA149" s="1020"/>
      <c r="AB149" s="1024"/>
      <c r="AC149" s="1098"/>
      <c r="AD149" s="1020"/>
      <c r="AE149" s="1020"/>
      <c r="AF149" s="1020"/>
      <c r="AG149" s="1020"/>
      <c r="AH149" s="1020"/>
      <c r="AI149" s="1020"/>
      <c r="AJ149" s="1020"/>
      <c r="AK149" s="1099"/>
    </row>
    <row r="150" spans="2:37" ht="15" customHeight="1">
      <c r="B150" s="1019"/>
      <c r="C150" s="1020"/>
      <c r="D150" s="1020"/>
      <c r="E150" s="1020"/>
      <c r="F150" s="1020"/>
      <c r="G150" s="1020"/>
      <c r="H150" s="1020"/>
      <c r="I150" s="1020"/>
      <c r="J150" s="1024"/>
      <c r="K150" s="1026"/>
      <c r="L150" s="1020"/>
      <c r="M150" s="1020"/>
      <c r="N150" s="1020"/>
      <c r="O150" s="1020"/>
      <c r="P150" s="1020"/>
      <c r="Q150" s="1020"/>
      <c r="R150" s="1020"/>
      <c r="S150" s="1024"/>
      <c r="T150" s="1077"/>
      <c r="U150" s="1020"/>
      <c r="V150" s="1020"/>
      <c r="W150" s="1020"/>
      <c r="X150" s="1020"/>
      <c r="Y150" s="1020"/>
      <c r="Z150" s="1020"/>
      <c r="AA150" s="1020"/>
      <c r="AB150" s="1024"/>
      <c r="AC150" s="1098"/>
      <c r="AD150" s="1020"/>
      <c r="AE150" s="1020"/>
      <c r="AF150" s="1020"/>
      <c r="AG150" s="1020"/>
      <c r="AH150" s="1020"/>
      <c r="AI150" s="1020"/>
      <c r="AJ150" s="1020"/>
      <c r="AK150" s="1099"/>
    </row>
    <row r="151" spans="2:37" ht="15" customHeight="1">
      <c r="B151" s="1019"/>
      <c r="C151" s="1020"/>
      <c r="D151" s="1020"/>
      <c r="E151" s="1020"/>
      <c r="F151" s="1020"/>
      <c r="G151" s="1020"/>
      <c r="H151" s="1020"/>
      <c r="I151" s="1020"/>
      <c r="J151" s="1024"/>
      <c r="K151" s="1026"/>
      <c r="L151" s="1020"/>
      <c r="M151" s="1020"/>
      <c r="N151" s="1020"/>
      <c r="O151" s="1020"/>
      <c r="P151" s="1020"/>
      <c r="Q151" s="1020"/>
      <c r="R151" s="1020"/>
      <c r="S151" s="1024"/>
      <c r="T151" s="1077"/>
      <c r="U151" s="1020"/>
      <c r="V151" s="1020"/>
      <c r="W151" s="1020"/>
      <c r="X151" s="1020"/>
      <c r="Y151" s="1020"/>
      <c r="Z151" s="1020"/>
      <c r="AA151" s="1020"/>
      <c r="AB151" s="1024"/>
      <c r="AC151" s="1098"/>
      <c r="AD151" s="1020"/>
      <c r="AE151" s="1020"/>
      <c r="AF151" s="1020"/>
      <c r="AG151" s="1020"/>
      <c r="AH151" s="1020"/>
      <c r="AI151" s="1020"/>
      <c r="AJ151" s="1020"/>
      <c r="AK151" s="1099"/>
    </row>
    <row r="152" spans="2:37" ht="15" customHeight="1">
      <c r="B152" s="1019"/>
      <c r="C152" s="1020"/>
      <c r="D152" s="1020"/>
      <c r="E152" s="1020"/>
      <c r="F152" s="1020"/>
      <c r="G152" s="1020"/>
      <c r="H152" s="1020"/>
      <c r="I152" s="1020"/>
      <c r="J152" s="1024"/>
      <c r="K152" s="1026"/>
      <c r="L152" s="1020"/>
      <c r="M152" s="1020"/>
      <c r="N152" s="1020"/>
      <c r="O152" s="1020"/>
      <c r="P152" s="1020"/>
      <c r="Q152" s="1020"/>
      <c r="R152" s="1020"/>
      <c r="S152" s="1024"/>
      <c r="T152" s="1077"/>
      <c r="U152" s="1020"/>
      <c r="V152" s="1020"/>
      <c r="W152" s="1020"/>
      <c r="X152" s="1020"/>
      <c r="Y152" s="1020"/>
      <c r="Z152" s="1020"/>
      <c r="AA152" s="1020"/>
      <c r="AB152" s="1024"/>
      <c r="AC152" s="1098"/>
      <c r="AD152" s="1020"/>
      <c r="AE152" s="1020"/>
      <c r="AF152" s="1020"/>
      <c r="AG152" s="1020"/>
      <c r="AH152" s="1020"/>
      <c r="AI152" s="1020"/>
      <c r="AJ152" s="1020"/>
      <c r="AK152" s="1099"/>
    </row>
    <row r="153" spans="2:37" ht="15" customHeight="1">
      <c r="B153" s="1019"/>
      <c r="C153" s="1020"/>
      <c r="D153" s="1020"/>
      <c r="E153" s="1020"/>
      <c r="F153" s="1020"/>
      <c r="G153" s="1020"/>
      <c r="H153" s="1020"/>
      <c r="I153" s="1020"/>
      <c r="J153" s="1024"/>
      <c r="K153" s="1026"/>
      <c r="L153" s="1020"/>
      <c r="M153" s="1020"/>
      <c r="N153" s="1020"/>
      <c r="O153" s="1020"/>
      <c r="P153" s="1020"/>
      <c r="Q153" s="1020"/>
      <c r="R153" s="1020"/>
      <c r="S153" s="1024"/>
      <c r="T153" s="1077"/>
      <c r="U153" s="1020"/>
      <c r="V153" s="1020"/>
      <c r="W153" s="1020"/>
      <c r="X153" s="1020"/>
      <c r="Y153" s="1020"/>
      <c r="Z153" s="1020"/>
      <c r="AA153" s="1020"/>
      <c r="AB153" s="1024"/>
      <c r="AC153" s="1098"/>
      <c r="AD153" s="1020"/>
      <c r="AE153" s="1020"/>
      <c r="AF153" s="1020"/>
      <c r="AG153" s="1020"/>
      <c r="AH153" s="1020"/>
      <c r="AI153" s="1020"/>
      <c r="AJ153" s="1020"/>
      <c r="AK153" s="1099"/>
    </row>
    <row r="154" spans="2:37" ht="15" customHeight="1">
      <c r="B154" s="1019"/>
      <c r="C154" s="1020"/>
      <c r="D154" s="1020"/>
      <c r="E154" s="1020"/>
      <c r="F154" s="1020"/>
      <c r="G154" s="1020"/>
      <c r="H154" s="1020"/>
      <c r="I154" s="1020"/>
      <c r="J154" s="1024"/>
      <c r="K154" s="1026"/>
      <c r="L154" s="1020"/>
      <c r="M154" s="1020"/>
      <c r="N154" s="1020"/>
      <c r="O154" s="1020"/>
      <c r="P154" s="1020"/>
      <c r="Q154" s="1020"/>
      <c r="R154" s="1020"/>
      <c r="S154" s="1024"/>
      <c r="T154" s="1077"/>
      <c r="U154" s="1020"/>
      <c r="V154" s="1020"/>
      <c r="W154" s="1020"/>
      <c r="X154" s="1020"/>
      <c r="Y154" s="1020"/>
      <c r="Z154" s="1020"/>
      <c r="AA154" s="1020"/>
      <c r="AB154" s="1024"/>
      <c r="AC154" s="1098"/>
      <c r="AD154" s="1020"/>
      <c r="AE154" s="1020"/>
      <c r="AF154" s="1020"/>
      <c r="AG154" s="1020"/>
      <c r="AH154" s="1020"/>
      <c r="AI154" s="1020"/>
      <c r="AJ154" s="1020"/>
      <c r="AK154" s="1099"/>
    </row>
    <row r="155" spans="2:37" ht="15" customHeight="1">
      <c r="B155" s="1019"/>
      <c r="C155" s="1020"/>
      <c r="D155" s="1020"/>
      <c r="E155" s="1020"/>
      <c r="F155" s="1020"/>
      <c r="G155" s="1020"/>
      <c r="H155" s="1020"/>
      <c r="I155" s="1020"/>
      <c r="J155" s="1024"/>
      <c r="K155" s="1026"/>
      <c r="L155" s="1020"/>
      <c r="M155" s="1020"/>
      <c r="N155" s="1020"/>
      <c r="O155" s="1020"/>
      <c r="P155" s="1020"/>
      <c r="Q155" s="1020"/>
      <c r="R155" s="1020"/>
      <c r="S155" s="1024"/>
      <c r="T155" s="1077"/>
      <c r="U155" s="1020"/>
      <c r="V155" s="1020"/>
      <c r="W155" s="1020"/>
      <c r="X155" s="1020"/>
      <c r="Y155" s="1020"/>
      <c r="Z155" s="1020"/>
      <c r="AA155" s="1020"/>
      <c r="AB155" s="1024"/>
      <c r="AC155" s="1098"/>
      <c r="AD155" s="1020"/>
      <c r="AE155" s="1020"/>
      <c r="AF155" s="1020"/>
      <c r="AG155" s="1020"/>
      <c r="AH155" s="1020"/>
      <c r="AI155" s="1020"/>
      <c r="AJ155" s="1020"/>
      <c r="AK155" s="1099"/>
    </row>
    <row r="156" spans="2:37" ht="15" customHeight="1">
      <c r="B156" s="1019"/>
      <c r="C156" s="1020"/>
      <c r="D156" s="1020"/>
      <c r="E156" s="1020"/>
      <c r="F156" s="1020"/>
      <c r="G156" s="1020"/>
      <c r="H156" s="1020"/>
      <c r="I156" s="1020"/>
      <c r="J156" s="1024"/>
      <c r="K156" s="1026"/>
      <c r="L156" s="1020"/>
      <c r="M156" s="1020"/>
      <c r="N156" s="1020"/>
      <c r="O156" s="1020"/>
      <c r="P156" s="1020"/>
      <c r="Q156" s="1020"/>
      <c r="R156" s="1020"/>
      <c r="S156" s="1024"/>
      <c r="T156" s="1077"/>
      <c r="U156" s="1020"/>
      <c r="V156" s="1020"/>
      <c r="W156" s="1020"/>
      <c r="X156" s="1020"/>
      <c r="Y156" s="1020"/>
      <c r="Z156" s="1020"/>
      <c r="AA156" s="1020"/>
      <c r="AB156" s="1024"/>
      <c r="AC156" s="1098"/>
      <c r="AD156" s="1020"/>
      <c r="AE156" s="1020"/>
      <c r="AF156" s="1020"/>
      <c r="AG156" s="1020"/>
      <c r="AH156" s="1020"/>
      <c r="AI156" s="1020"/>
      <c r="AJ156" s="1020"/>
      <c r="AK156" s="1099"/>
    </row>
    <row r="157" spans="2:37" ht="15" customHeight="1">
      <c r="B157" s="1019"/>
      <c r="C157" s="1020"/>
      <c r="D157" s="1020"/>
      <c r="E157" s="1020"/>
      <c r="F157" s="1020"/>
      <c r="G157" s="1020"/>
      <c r="H157" s="1020"/>
      <c r="I157" s="1020"/>
      <c r="J157" s="1024"/>
      <c r="K157" s="1026"/>
      <c r="L157" s="1020"/>
      <c r="M157" s="1020"/>
      <c r="N157" s="1020"/>
      <c r="O157" s="1020"/>
      <c r="P157" s="1020"/>
      <c r="Q157" s="1020"/>
      <c r="R157" s="1020"/>
      <c r="S157" s="1024"/>
      <c r="T157" s="1077"/>
      <c r="U157" s="1020"/>
      <c r="V157" s="1020"/>
      <c r="W157" s="1020"/>
      <c r="X157" s="1020"/>
      <c r="Y157" s="1020"/>
      <c r="Z157" s="1020"/>
      <c r="AA157" s="1020"/>
      <c r="AB157" s="1024"/>
      <c r="AC157" s="1098"/>
      <c r="AD157" s="1020"/>
      <c r="AE157" s="1020"/>
      <c r="AF157" s="1020"/>
      <c r="AG157" s="1020"/>
      <c r="AH157" s="1020"/>
      <c r="AI157" s="1020"/>
      <c r="AJ157" s="1020"/>
      <c r="AK157" s="1099"/>
    </row>
    <row r="158" spans="2:37" ht="15" customHeight="1">
      <c r="B158" s="1019"/>
      <c r="C158" s="1020"/>
      <c r="D158" s="1020"/>
      <c r="E158" s="1020"/>
      <c r="F158" s="1020"/>
      <c r="G158" s="1020"/>
      <c r="H158" s="1020"/>
      <c r="I158" s="1020"/>
      <c r="J158" s="1024"/>
      <c r="K158" s="1026"/>
      <c r="L158" s="1020"/>
      <c r="M158" s="1020"/>
      <c r="N158" s="1020"/>
      <c r="O158" s="1020"/>
      <c r="P158" s="1020"/>
      <c r="Q158" s="1020"/>
      <c r="R158" s="1020"/>
      <c r="S158" s="1024"/>
      <c r="T158" s="1077"/>
      <c r="U158" s="1020"/>
      <c r="V158" s="1020"/>
      <c r="W158" s="1020"/>
      <c r="X158" s="1020"/>
      <c r="Y158" s="1020"/>
      <c r="Z158" s="1020"/>
      <c r="AA158" s="1020"/>
      <c r="AB158" s="1024"/>
      <c r="AC158" s="1098"/>
      <c r="AD158" s="1020"/>
      <c r="AE158" s="1020"/>
      <c r="AF158" s="1020"/>
      <c r="AG158" s="1020"/>
      <c r="AH158" s="1020"/>
      <c r="AI158" s="1020"/>
      <c r="AJ158" s="1020"/>
      <c r="AK158" s="1099"/>
    </row>
    <row r="159" spans="2:37" ht="15" customHeight="1">
      <c r="B159" s="1019"/>
      <c r="C159" s="1020"/>
      <c r="D159" s="1020"/>
      <c r="E159" s="1020"/>
      <c r="F159" s="1020"/>
      <c r="G159" s="1020"/>
      <c r="H159" s="1020"/>
      <c r="I159" s="1020"/>
      <c r="J159" s="1024"/>
      <c r="K159" s="1026"/>
      <c r="L159" s="1020"/>
      <c r="M159" s="1020"/>
      <c r="N159" s="1020"/>
      <c r="O159" s="1020"/>
      <c r="P159" s="1020"/>
      <c r="Q159" s="1020"/>
      <c r="R159" s="1020"/>
      <c r="S159" s="1024"/>
      <c r="T159" s="1077"/>
      <c r="U159" s="1020"/>
      <c r="V159" s="1020"/>
      <c r="W159" s="1020"/>
      <c r="X159" s="1020"/>
      <c r="Y159" s="1020"/>
      <c r="Z159" s="1020"/>
      <c r="AA159" s="1020"/>
      <c r="AB159" s="1024"/>
      <c r="AC159" s="1098"/>
      <c r="AD159" s="1020"/>
      <c r="AE159" s="1020"/>
      <c r="AF159" s="1020"/>
      <c r="AG159" s="1020"/>
      <c r="AH159" s="1020"/>
      <c r="AI159" s="1020"/>
      <c r="AJ159" s="1020"/>
      <c r="AK159" s="1099"/>
    </row>
    <row r="160" spans="2:37" ht="15" customHeight="1">
      <c r="B160" s="1019"/>
      <c r="C160" s="1020"/>
      <c r="D160" s="1020"/>
      <c r="E160" s="1020"/>
      <c r="F160" s="1020"/>
      <c r="G160" s="1020"/>
      <c r="H160" s="1020"/>
      <c r="I160" s="1020"/>
      <c r="J160" s="1024"/>
      <c r="K160" s="1026"/>
      <c r="L160" s="1020"/>
      <c r="M160" s="1020"/>
      <c r="N160" s="1020"/>
      <c r="O160" s="1020"/>
      <c r="P160" s="1020"/>
      <c r="Q160" s="1020"/>
      <c r="R160" s="1020"/>
      <c r="S160" s="1024"/>
      <c r="T160" s="1077"/>
      <c r="U160" s="1020"/>
      <c r="V160" s="1020"/>
      <c r="W160" s="1020"/>
      <c r="X160" s="1020"/>
      <c r="Y160" s="1020"/>
      <c r="Z160" s="1020"/>
      <c r="AA160" s="1020"/>
      <c r="AB160" s="1024"/>
      <c r="AC160" s="1098"/>
      <c r="AD160" s="1020"/>
      <c r="AE160" s="1020"/>
      <c r="AF160" s="1020"/>
      <c r="AG160" s="1020"/>
      <c r="AH160" s="1020"/>
      <c r="AI160" s="1020"/>
      <c r="AJ160" s="1020"/>
      <c r="AK160" s="1099"/>
    </row>
    <row r="161" spans="2:37" ht="15" customHeight="1">
      <c r="B161" s="1019"/>
      <c r="C161" s="1020"/>
      <c r="D161" s="1020"/>
      <c r="E161" s="1020"/>
      <c r="F161" s="1020"/>
      <c r="G161" s="1020"/>
      <c r="H161" s="1020"/>
      <c r="I161" s="1020"/>
      <c r="J161" s="1024"/>
      <c r="K161" s="1026"/>
      <c r="L161" s="1020"/>
      <c r="M161" s="1020"/>
      <c r="N161" s="1020"/>
      <c r="O161" s="1020"/>
      <c r="P161" s="1020"/>
      <c r="Q161" s="1020"/>
      <c r="R161" s="1020"/>
      <c r="S161" s="1024"/>
      <c r="T161" s="1077"/>
      <c r="U161" s="1020"/>
      <c r="V161" s="1020"/>
      <c r="W161" s="1020"/>
      <c r="X161" s="1020"/>
      <c r="Y161" s="1020"/>
      <c r="Z161" s="1020"/>
      <c r="AA161" s="1020"/>
      <c r="AB161" s="1024"/>
      <c r="AC161" s="1098"/>
      <c r="AD161" s="1020"/>
      <c r="AE161" s="1020"/>
      <c r="AF161" s="1020"/>
      <c r="AG161" s="1020"/>
      <c r="AH161" s="1020"/>
      <c r="AI161" s="1020"/>
      <c r="AJ161" s="1020"/>
      <c r="AK161" s="1099"/>
    </row>
    <row r="162" spans="2:37" ht="15" customHeight="1">
      <c r="B162" s="1019"/>
      <c r="C162" s="1020"/>
      <c r="D162" s="1020"/>
      <c r="E162" s="1020"/>
      <c r="F162" s="1020"/>
      <c r="G162" s="1020"/>
      <c r="H162" s="1020"/>
      <c r="I162" s="1020"/>
      <c r="J162" s="1024"/>
      <c r="K162" s="1026"/>
      <c r="L162" s="1020"/>
      <c r="M162" s="1020"/>
      <c r="N162" s="1020"/>
      <c r="O162" s="1020"/>
      <c r="P162" s="1020"/>
      <c r="Q162" s="1020"/>
      <c r="R162" s="1020"/>
      <c r="S162" s="1024"/>
      <c r="T162" s="1077"/>
      <c r="U162" s="1020"/>
      <c r="V162" s="1020"/>
      <c r="W162" s="1020"/>
      <c r="X162" s="1020"/>
      <c r="Y162" s="1020"/>
      <c r="Z162" s="1020"/>
      <c r="AA162" s="1020"/>
      <c r="AB162" s="1024"/>
      <c r="AC162" s="1098"/>
      <c r="AD162" s="1020"/>
      <c r="AE162" s="1020"/>
      <c r="AF162" s="1020"/>
      <c r="AG162" s="1020"/>
      <c r="AH162" s="1020"/>
      <c r="AI162" s="1020"/>
      <c r="AJ162" s="1020"/>
      <c r="AK162" s="1099"/>
    </row>
    <row r="163" spans="2:37" ht="15" customHeight="1">
      <c r="B163" s="1019"/>
      <c r="C163" s="1020"/>
      <c r="D163" s="1020"/>
      <c r="E163" s="1020"/>
      <c r="F163" s="1020"/>
      <c r="G163" s="1020"/>
      <c r="H163" s="1020"/>
      <c r="I163" s="1020"/>
      <c r="J163" s="1024"/>
      <c r="K163" s="1026"/>
      <c r="L163" s="1020"/>
      <c r="M163" s="1020"/>
      <c r="N163" s="1020"/>
      <c r="O163" s="1020"/>
      <c r="P163" s="1020"/>
      <c r="Q163" s="1020"/>
      <c r="R163" s="1020"/>
      <c r="S163" s="1024"/>
      <c r="T163" s="1077"/>
      <c r="U163" s="1020"/>
      <c r="V163" s="1020"/>
      <c r="W163" s="1020"/>
      <c r="X163" s="1020"/>
      <c r="Y163" s="1020"/>
      <c r="Z163" s="1020"/>
      <c r="AA163" s="1020"/>
      <c r="AB163" s="1024"/>
      <c r="AC163" s="1098"/>
      <c r="AD163" s="1020"/>
      <c r="AE163" s="1020"/>
      <c r="AF163" s="1020"/>
      <c r="AG163" s="1020"/>
      <c r="AH163" s="1020"/>
      <c r="AI163" s="1020"/>
      <c r="AJ163" s="1020"/>
      <c r="AK163" s="1099"/>
    </row>
    <row r="164" spans="2:37" ht="15" customHeight="1">
      <c r="B164" s="1019"/>
      <c r="C164" s="1020"/>
      <c r="D164" s="1020"/>
      <c r="E164" s="1020"/>
      <c r="F164" s="1020"/>
      <c r="G164" s="1020"/>
      <c r="H164" s="1020"/>
      <c r="I164" s="1020"/>
      <c r="J164" s="1024"/>
      <c r="K164" s="1026"/>
      <c r="L164" s="1020"/>
      <c r="M164" s="1020"/>
      <c r="N164" s="1020"/>
      <c r="O164" s="1020"/>
      <c r="P164" s="1020"/>
      <c r="Q164" s="1020"/>
      <c r="R164" s="1020"/>
      <c r="S164" s="1024"/>
      <c r="T164" s="1077"/>
      <c r="U164" s="1020"/>
      <c r="V164" s="1020"/>
      <c r="W164" s="1020"/>
      <c r="X164" s="1020"/>
      <c r="Y164" s="1020"/>
      <c r="Z164" s="1020"/>
      <c r="AA164" s="1020"/>
      <c r="AB164" s="1024"/>
      <c r="AC164" s="1098"/>
      <c r="AD164" s="1020"/>
      <c r="AE164" s="1020"/>
      <c r="AF164" s="1020"/>
      <c r="AG164" s="1020"/>
      <c r="AH164" s="1020"/>
      <c r="AI164" s="1020"/>
      <c r="AJ164" s="1020"/>
      <c r="AK164" s="1099"/>
    </row>
    <row r="165" spans="2:37" ht="15" customHeight="1">
      <c r="B165" s="1019"/>
      <c r="C165" s="1020"/>
      <c r="D165" s="1020"/>
      <c r="E165" s="1020"/>
      <c r="F165" s="1020"/>
      <c r="G165" s="1020"/>
      <c r="H165" s="1020"/>
      <c r="I165" s="1020"/>
      <c r="J165" s="1024"/>
      <c r="K165" s="1026"/>
      <c r="L165" s="1020"/>
      <c r="M165" s="1020"/>
      <c r="N165" s="1020"/>
      <c r="O165" s="1020"/>
      <c r="P165" s="1020"/>
      <c r="Q165" s="1020"/>
      <c r="R165" s="1020"/>
      <c r="S165" s="1024"/>
      <c r="T165" s="1077"/>
      <c r="U165" s="1020"/>
      <c r="V165" s="1020"/>
      <c r="W165" s="1020"/>
      <c r="X165" s="1020"/>
      <c r="Y165" s="1020"/>
      <c r="Z165" s="1020"/>
      <c r="AA165" s="1020"/>
      <c r="AB165" s="1024"/>
      <c r="AC165" s="1098"/>
      <c r="AD165" s="1020"/>
      <c r="AE165" s="1020"/>
      <c r="AF165" s="1020"/>
      <c r="AG165" s="1020"/>
      <c r="AH165" s="1020"/>
      <c r="AI165" s="1020"/>
      <c r="AJ165" s="1020"/>
      <c r="AK165" s="1099"/>
    </row>
    <row r="166" spans="2:37" ht="15" customHeight="1">
      <c r="B166" s="1019"/>
      <c r="C166" s="1020"/>
      <c r="D166" s="1020"/>
      <c r="E166" s="1020"/>
      <c r="F166" s="1020"/>
      <c r="G166" s="1020"/>
      <c r="H166" s="1020"/>
      <c r="I166" s="1020"/>
      <c r="J166" s="1024"/>
      <c r="K166" s="1026"/>
      <c r="L166" s="1020"/>
      <c r="M166" s="1020"/>
      <c r="N166" s="1020"/>
      <c r="O166" s="1020"/>
      <c r="P166" s="1020"/>
      <c r="Q166" s="1020"/>
      <c r="R166" s="1020"/>
      <c r="S166" s="1024"/>
      <c r="T166" s="1077"/>
      <c r="U166" s="1020"/>
      <c r="V166" s="1020"/>
      <c r="W166" s="1020"/>
      <c r="X166" s="1020"/>
      <c r="Y166" s="1020"/>
      <c r="Z166" s="1020"/>
      <c r="AA166" s="1020"/>
      <c r="AB166" s="1024"/>
      <c r="AC166" s="1098"/>
      <c r="AD166" s="1020"/>
      <c r="AE166" s="1020"/>
      <c r="AF166" s="1020"/>
      <c r="AG166" s="1020"/>
      <c r="AH166" s="1020"/>
      <c r="AI166" s="1020"/>
      <c r="AJ166" s="1020"/>
      <c r="AK166" s="1099"/>
    </row>
    <row r="167" spans="2:37" ht="15" customHeight="1">
      <c r="B167" s="1019"/>
      <c r="C167" s="1020"/>
      <c r="D167" s="1020"/>
      <c r="E167" s="1020"/>
      <c r="F167" s="1020"/>
      <c r="G167" s="1020"/>
      <c r="H167" s="1020"/>
      <c r="I167" s="1020"/>
      <c r="J167" s="1024"/>
      <c r="K167" s="1026"/>
      <c r="L167" s="1020"/>
      <c r="M167" s="1020"/>
      <c r="N167" s="1020"/>
      <c r="O167" s="1020"/>
      <c r="P167" s="1020"/>
      <c r="Q167" s="1020"/>
      <c r="R167" s="1020"/>
      <c r="S167" s="1024"/>
      <c r="T167" s="1077"/>
      <c r="U167" s="1020"/>
      <c r="V167" s="1020"/>
      <c r="W167" s="1020"/>
      <c r="X167" s="1020"/>
      <c r="Y167" s="1020"/>
      <c r="Z167" s="1020"/>
      <c r="AA167" s="1020"/>
      <c r="AB167" s="1024"/>
      <c r="AC167" s="1098"/>
      <c r="AD167" s="1020"/>
      <c r="AE167" s="1020"/>
      <c r="AF167" s="1020"/>
      <c r="AG167" s="1020"/>
      <c r="AH167" s="1020"/>
      <c r="AI167" s="1020"/>
      <c r="AJ167" s="1020"/>
      <c r="AK167" s="1099"/>
    </row>
    <row r="168" spans="2:37" ht="15" customHeight="1">
      <c r="B168" s="1019"/>
      <c r="C168" s="1020"/>
      <c r="D168" s="1020"/>
      <c r="E168" s="1020"/>
      <c r="F168" s="1020"/>
      <c r="G168" s="1020"/>
      <c r="H168" s="1020"/>
      <c r="I168" s="1020"/>
      <c r="J168" s="1024"/>
      <c r="K168" s="1026"/>
      <c r="L168" s="1020"/>
      <c r="M168" s="1020"/>
      <c r="N168" s="1020"/>
      <c r="O168" s="1020"/>
      <c r="P168" s="1020"/>
      <c r="Q168" s="1020"/>
      <c r="R168" s="1020"/>
      <c r="S168" s="1024"/>
      <c r="T168" s="1077"/>
      <c r="U168" s="1020"/>
      <c r="V168" s="1020"/>
      <c r="W168" s="1020"/>
      <c r="X168" s="1020"/>
      <c r="Y168" s="1020"/>
      <c r="Z168" s="1020"/>
      <c r="AA168" s="1020"/>
      <c r="AB168" s="1024"/>
      <c r="AC168" s="1098"/>
      <c r="AD168" s="1020"/>
      <c r="AE168" s="1020"/>
      <c r="AF168" s="1020"/>
      <c r="AG168" s="1020"/>
      <c r="AH168" s="1020"/>
      <c r="AI168" s="1020"/>
      <c r="AJ168" s="1020"/>
      <c r="AK168" s="1099"/>
    </row>
    <row r="169" spans="2:37" ht="15" customHeight="1">
      <c r="B169" s="1019"/>
      <c r="C169" s="1020"/>
      <c r="D169" s="1020"/>
      <c r="E169" s="1020"/>
      <c r="F169" s="1020"/>
      <c r="G169" s="1020"/>
      <c r="H169" s="1020"/>
      <c r="I169" s="1020"/>
      <c r="J169" s="1024"/>
      <c r="K169" s="1026"/>
      <c r="L169" s="1020"/>
      <c r="M169" s="1020"/>
      <c r="N169" s="1020"/>
      <c r="O169" s="1020"/>
      <c r="P169" s="1020"/>
      <c r="Q169" s="1020"/>
      <c r="R169" s="1020"/>
      <c r="S169" s="1024"/>
      <c r="T169" s="1077"/>
      <c r="U169" s="1020"/>
      <c r="V169" s="1020"/>
      <c r="W169" s="1020"/>
      <c r="X169" s="1020"/>
      <c r="Y169" s="1020"/>
      <c r="Z169" s="1020"/>
      <c r="AA169" s="1020"/>
      <c r="AB169" s="1024"/>
      <c r="AC169" s="1098"/>
      <c r="AD169" s="1020"/>
      <c r="AE169" s="1020"/>
      <c r="AF169" s="1020"/>
      <c r="AG169" s="1020"/>
      <c r="AH169" s="1020"/>
      <c r="AI169" s="1020"/>
      <c r="AJ169" s="1020"/>
      <c r="AK169" s="1099"/>
    </row>
    <row r="170" spans="2:37" ht="15" customHeight="1">
      <c r="B170" s="1019"/>
      <c r="C170" s="1020"/>
      <c r="D170" s="1020"/>
      <c r="E170" s="1020"/>
      <c r="F170" s="1020"/>
      <c r="G170" s="1020"/>
      <c r="H170" s="1020"/>
      <c r="I170" s="1020"/>
      <c r="J170" s="1024"/>
      <c r="K170" s="1026"/>
      <c r="L170" s="1020"/>
      <c r="M170" s="1020"/>
      <c r="N170" s="1020"/>
      <c r="O170" s="1020"/>
      <c r="P170" s="1020"/>
      <c r="Q170" s="1020"/>
      <c r="R170" s="1020"/>
      <c r="S170" s="1024"/>
      <c r="T170" s="1077"/>
      <c r="U170" s="1020"/>
      <c r="V170" s="1020"/>
      <c r="W170" s="1020"/>
      <c r="X170" s="1020"/>
      <c r="Y170" s="1020"/>
      <c r="Z170" s="1020"/>
      <c r="AA170" s="1020"/>
      <c r="AB170" s="1024"/>
      <c r="AC170" s="1098"/>
      <c r="AD170" s="1020"/>
      <c r="AE170" s="1020"/>
      <c r="AF170" s="1020"/>
      <c r="AG170" s="1020"/>
      <c r="AH170" s="1020"/>
      <c r="AI170" s="1020"/>
      <c r="AJ170" s="1020"/>
      <c r="AK170" s="1099"/>
    </row>
    <row r="171" spans="2:37" ht="15" customHeight="1">
      <c r="B171" s="1019"/>
      <c r="C171" s="1020"/>
      <c r="D171" s="1020"/>
      <c r="E171" s="1020"/>
      <c r="F171" s="1020"/>
      <c r="G171" s="1020"/>
      <c r="H171" s="1020"/>
      <c r="I171" s="1020"/>
      <c r="J171" s="1024"/>
      <c r="K171" s="1026"/>
      <c r="L171" s="1020"/>
      <c r="M171" s="1020"/>
      <c r="N171" s="1020"/>
      <c r="O171" s="1020"/>
      <c r="P171" s="1020"/>
      <c r="Q171" s="1020"/>
      <c r="R171" s="1020"/>
      <c r="S171" s="1024"/>
      <c r="T171" s="1077"/>
      <c r="U171" s="1020"/>
      <c r="V171" s="1020"/>
      <c r="W171" s="1020"/>
      <c r="X171" s="1020"/>
      <c r="Y171" s="1020"/>
      <c r="Z171" s="1020"/>
      <c r="AA171" s="1020"/>
      <c r="AB171" s="1024"/>
      <c r="AC171" s="1098"/>
      <c r="AD171" s="1020"/>
      <c r="AE171" s="1020"/>
      <c r="AF171" s="1020"/>
      <c r="AG171" s="1020"/>
      <c r="AH171" s="1020"/>
      <c r="AI171" s="1020"/>
      <c r="AJ171" s="1020"/>
      <c r="AK171" s="1099"/>
    </row>
    <row r="172" spans="2:37" ht="15" customHeight="1">
      <c r="B172" s="1019"/>
      <c r="C172" s="1020"/>
      <c r="D172" s="1020"/>
      <c r="E172" s="1020"/>
      <c r="F172" s="1020"/>
      <c r="G172" s="1020"/>
      <c r="H172" s="1020"/>
      <c r="I172" s="1020"/>
      <c r="J172" s="1024"/>
      <c r="K172" s="1026"/>
      <c r="L172" s="1020"/>
      <c r="M172" s="1020"/>
      <c r="N172" s="1020"/>
      <c r="O172" s="1020"/>
      <c r="P172" s="1020"/>
      <c r="Q172" s="1020"/>
      <c r="R172" s="1020"/>
      <c r="S172" s="1024"/>
      <c r="T172" s="1077"/>
      <c r="U172" s="1020"/>
      <c r="V172" s="1020"/>
      <c r="W172" s="1020"/>
      <c r="X172" s="1020"/>
      <c r="Y172" s="1020"/>
      <c r="Z172" s="1020"/>
      <c r="AA172" s="1020"/>
      <c r="AB172" s="1024"/>
      <c r="AC172" s="1098"/>
      <c r="AD172" s="1020"/>
      <c r="AE172" s="1020"/>
      <c r="AF172" s="1020"/>
      <c r="AG172" s="1020"/>
      <c r="AH172" s="1020"/>
      <c r="AI172" s="1020"/>
      <c r="AJ172" s="1020"/>
      <c r="AK172" s="1099"/>
    </row>
    <row r="173" spans="2:37" ht="15" customHeight="1">
      <c r="B173" s="1019"/>
      <c r="C173" s="1020"/>
      <c r="D173" s="1020"/>
      <c r="E173" s="1020"/>
      <c r="F173" s="1020"/>
      <c r="G173" s="1020"/>
      <c r="H173" s="1020"/>
      <c r="I173" s="1020"/>
      <c r="J173" s="1024"/>
      <c r="K173" s="1026"/>
      <c r="L173" s="1020"/>
      <c r="M173" s="1020"/>
      <c r="N173" s="1020"/>
      <c r="O173" s="1020"/>
      <c r="P173" s="1020"/>
      <c r="Q173" s="1020"/>
      <c r="R173" s="1020"/>
      <c r="S173" s="1024"/>
      <c r="T173" s="1077"/>
      <c r="U173" s="1020"/>
      <c r="V173" s="1020"/>
      <c r="W173" s="1020"/>
      <c r="X173" s="1020"/>
      <c r="Y173" s="1020"/>
      <c r="Z173" s="1020"/>
      <c r="AA173" s="1020"/>
      <c r="AB173" s="1024"/>
      <c r="AC173" s="1098"/>
      <c r="AD173" s="1020"/>
      <c r="AE173" s="1020"/>
      <c r="AF173" s="1020"/>
      <c r="AG173" s="1020"/>
      <c r="AH173" s="1020"/>
      <c r="AI173" s="1020"/>
      <c r="AJ173" s="1020"/>
      <c r="AK173" s="1099"/>
    </row>
    <row r="174" spans="2:37" ht="15" customHeight="1">
      <c r="B174" s="1019"/>
      <c r="C174" s="1020"/>
      <c r="D174" s="1020"/>
      <c r="E174" s="1020"/>
      <c r="F174" s="1020"/>
      <c r="G174" s="1020"/>
      <c r="H174" s="1020"/>
      <c r="I174" s="1020"/>
      <c r="J174" s="1024"/>
      <c r="K174" s="1026"/>
      <c r="L174" s="1020"/>
      <c r="M174" s="1020"/>
      <c r="N174" s="1020"/>
      <c r="O174" s="1020"/>
      <c r="P174" s="1020"/>
      <c r="Q174" s="1020"/>
      <c r="R174" s="1020"/>
      <c r="S174" s="1024"/>
      <c r="T174" s="1077"/>
      <c r="U174" s="1020"/>
      <c r="V174" s="1020"/>
      <c r="W174" s="1020"/>
      <c r="X174" s="1020"/>
      <c r="Y174" s="1020"/>
      <c r="Z174" s="1020"/>
      <c r="AA174" s="1020"/>
      <c r="AB174" s="1024"/>
      <c r="AC174" s="1098"/>
      <c r="AD174" s="1020"/>
      <c r="AE174" s="1020"/>
      <c r="AF174" s="1020"/>
      <c r="AG174" s="1020"/>
      <c r="AH174" s="1020"/>
      <c r="AI174" s="1020"/>
      <c r="AJ174" s="1020"/>
      <c r="AK174" s="1099"/>
    </row>
    <row r="175" spans="2:37" ht="15" customHeight="1">
      <c r="B175" s="1019"/>
      <c r="C175" s="1020"/>
      <c r="D175" s="1020"/>
      <c r="E175" s="1020"/>
      <c r="F175" s="1020"/>
      <c r="G175" s="1020"/>
      <c r="H175" s="1020"/>
      <c r="I175" s="1020"/>
      <c r="J175" s="1024"/>
      <c r="K175" s="1026"/>
      <c r="L175" s="1020"/>
      <c r="M175" s="1020"/>
      <c r="N175" s="1020"/>
      <c r="O175" s="1020"/>
      <c r="P175" s="1020"/>
      <c r="Q175" s="1020"/>
      <c r="R175" s="1020"/>
      <c r="S175" s="1024"/>
      <c r="T175" s="1077"/>
      <c r="U175" s="1020"/>
      <c r="V175" s="1020"/>
      <c r="W175" s="1020"/>
      <c r="X175" s="1020"/>
      <c r="Y175" s="1020"/>
      <c r="Z175" s="1020"/>
      <c r="AA175" s="1020"/>
      <c r="AB175" s="1024"/>
      <c r="AC175" s="1098"/>
      <c r="AD175" s="1020"/>
      <c r="AE175" s="1020"/>
      <c r="AF175" s="1020"/>
      <c r="AG175" s="1020"/>
      <c r="AH175" s="1020"/>
      <c r="AI175" s="1020"/>
      <c r="AJ175" s="1020"/>
      <c r="AK175" s="1099"/>
    </row>
    <row r="176" spans="2:37" ht="15" customHeight="1">
      <c r="B176" s="1019"/>
      <c r="C176" s="1020"/>
      <c r="D176" s="1020"/>
      <c r="E176" s="1020"/>
      <c r="F176" s="1020"/>
      <c r="G176" s="1020"/>
      <c r="H176" s="1020"/>
      <c r="I176" s="1020"/>
      <c r="J176" s="1024"/>
      <c r="K176" s="1026"/>
      <c r="L176" s="1020"/>
      <c r="M176" s="1020"/>
      <c r="N176" s="1020"/>
      <c r="O176" s="1020"/>
      <c r="P176" s="1020"/>
      <c r="Q176" s="1020"/>
      <c r="R176" s="1020"/>
      <c r="S176" s="1024"/>
      <c r="T176" s="1077"/>
      <c r="U176" s="1020"/>
      <c r="V176" s="1020"/>
      <c r="W176" s="1020"/>
      <c r="X176" s="1020"/>
      <c r="Y176" s="1020"/>
      <c r="Z176" s="1020"/>
      <c r="AA176" s="1020"/>
      <c r="AB176" s="1024"/>
      <c r="AC176" s="1098"/>
      <c r="AD176" s="1020"/>
      <c r="AE176" s="1020"/>
      <c r="AF176" s="1020"/>
      <c r="AG176" s="1020"/>
      <c r="AH176" s="1020"/>
      <c r="AI176" s="1020"/>
      <c r="AJ176" s="1020"/>
      <c r="AK176" s="1099"/>
    </row>
    <row r="177" spans="2:37" ht="15" customHeight="1">
      <c r="B177" s="1019"/>
      <c r="C177" s="1020"/>
      <c r="D177" s="1020"/>
      <c r="E177" s="1020"/>
      <c r="F177" s="1020"/>
      <c r="G177" s="1020"/>
      <c r="H177" s="1020"/>
      <c r="I177" s="1020"/>
      <c r="J177" s="1024"/>
      <c r="K177" s="1026"/>
      <c r="L177" s="1020"/>
      <c r="M177" s="1020"/>
      <c r="N177" s="1020"/>
      <c r="O177" s="1020"/>
      <c r="P177" s="1020"/>
      <c r="Q177" s="1020"/>
      <c r="R177" s="1020"/>
      <c r="S177" s="1024"/>
      <c r="T177" s="1077"/>
      <c r="U177" s="1020"/>
      <c r="V177" s="1020"/>
      <c r="W177" s="1020"/>
      <c r="X177" s="1020"/>
      <c r="Y177" s="1020"/>
      <c r="Z177" s="1020"/>
      <c r="AA177" s="1020"/>
      <c r="AB177" s="1024"/>
      <c r="AC177" s="1098"/>
      <c r="AD177" s="1020"/>
      <c r="AE177" s="1020"/>
      <c r="AF177" s="1020"/>
      <c r="AG177" s="1020"/>
      <c r="AH177" s="1020"/>
      <c r="AI177" s="1020"/>
      <c r="AJ177" s="1020"/>
      <c r="AK177" s="1099"/>
    </row>
    <row r="178" spans="2:37" ht="15" customHeight="1">
      <c r="B178" s="1019"/>
      <c r="C178" s="1020"/>
      <c r="D178" s="1020"/>
      <c r="E178" s="1020"/>
      <c r="F178" s="1020"/>
      <c r="G178" s="1020"/>
      <c r="H178" s="1020"/>
      <c r="I178" s="1020"/>
      <c r="J178" s="1024"/>
      <c r="K178" s="1026"/>
      <c r="L178" s="1020"/>
      <c r="M178" s="1020"/>
      <c r="N178" s="1020"/>
      <c r="O178" s="1020"/>
      <c r="P178" s="1020"/>
      <c r="Q178" s="1020"/>
      <c r="R178" s="1020"/>
      <c r="S178" s="1024"/>
      <c r="T178" s="1077"/>
      <c r="U178" s="1020"/>
      <c r="V178" s="1020"/>
      <c r="W178" s="1020"/>
      <c r="X178" s="1020"/>
      <c r="Y178" s="1020"/>
      <c r="Z178" s="1020"/>
      <c r="AA178" s="1020"/>
      <c r="AB178" s="1024"/>
      <c r="AC178" s="1098"/>
      <c r="AD178" s="1020"/>
      <c r="AE178" s="1020"/>
      <c r="AF178" s="1020"/>
      <c r="AG178" s="1020"/>
      <c r="AH178" s="1020"/>
      <c r="AI178" s="1020"/>
      <c r="AJ178" s="1020"/>
      <c r="AK178" s="1099"/>
    </row>
    <row r="179" spans="2:37" ht="15" customHeight="1">
      <c r="B179" s="1019"/>
      <c r="C179" s="1020"/>
      <c r="D179" s="1020"/>
      <c r="E179" s="1020"/>
      <c r="F179" s="1020"/>
      <c r="G179" s="1020"/>
      <c r="H179" s="1020"/>
      <c r="I179" s="1020"/>
      <c r="J179" s="1024"/>
      <c r="K179" s="1026"/>
      <c r="L179" s="1020"/>
      <c r="M179" s="1020"/>
      <c r="N179" s="1020"/>
      <c r="O179" s="1020"/>
      <c r="P179" s="1020"/>
      <c r="Q179" s="1020"/>
      <c r="R179" s="1020"/>
      <c r="S179" s="1024"/>
      <c r="T179" s="1077"/>
      <c r="U179" s="1020"/>
      <c r="V179" s="1020"/>
      <c r="W179" s="1020"/>
      <c r="X179" s="1020"/>
      <c r="Y179" s="1020"/>
      <c r="Z179" s="1020"/>
      <c r="AA179" s="1020"/>
      <c r="AB179" s="1024"/>
      <c r="AC179" s="1098"/>
      <c r="AD179" s="1020"/>
      <c r="AE179" s="1020"/>
      <c r="AF179" s="1020"/>
      <c r="AG179" s="1020"/>
      <c r="AH179" s="1020"/>
      <c r="AI179" s="1020"/>
      <c r="AJ179" s="1020"/>
      <c r="AK179" s="1099"/>
    </row>
    <row r="180" spans="2:37" ht="15" customHeight="1">
      <c r="B180" s="1019"/>
      <c r="C180" s="1020"/>
      <c r="D180" s="1020"/>
      <c r="E180" s="1020"/>
      <c r="F180" s="1020"/>
      <c r="G180" s="1020"/>
      <c r="H180" s="1020"/>
      <c r="I180" s="1020"/>
      <c r="J180" s="1024"/>
      <c r="K180" s="1026"/>
      <c r="L180" s="1020"/>
      <c r="M180" s="1020"/>
      <c r="N180" s="1020"/>
      <c r="O180" s="1020"/>
      <c r="P180" s="1020"/>
      <c r="Q180" s="1020"/>
      <c r="R180" s="1020"/>
      <c r="S180" s="1024"/>
      <c r="T180" s="1077"/>
      <c r="U180" s="1020"/>
      <c r="V180" s="1020"/>
      <c r="W180" s="1020"/>
      <c r="X180" s="1020"/>
      <c r="Y180" s="1020"/>
      <c r="Z180" s="1020"/>
      <c r="AA180" s="1020"/>
      <c r="AB180" s="1024"/>
      <c r="AC180" s="1098"/>
      <c r="AD180" s="1020"/>
      <c r="AE180" s="1020"/>
      <c r="AF180" s="1020"/>
      <c r="AG180" s="1020"/>
      <c r="AH180" s="1020"/>
      <c r="AI180" s="1020"/>
      <c r="AJ180" s="1020"/>
      <c r="AK180" s="1099"/>
    </row>
    <row r="181" spans="2:37" ht="15" customHeight="1">
      <c r="B181" s="1019"/>
      <c r="C181" s="1020"/>
      <c r="D181" s="1020"/>
      <c r="E181" s="1020"/>
      <c r="F181" s="1020"/>
      <c r="G181" s="1020"/>
      <c r="H181" s="1020"/>
      <c r="I181" s="1020"/>
      <c r="J181" s="1024"/>
      <c r="K181" s="1026"/>
      <c r="L181" s="1020"/>
      <c r="M181" s="1020"/>
      <c r="N181" s="1020"/>
      <c r="O181" s="1020"/>
      <c r="P181" s="1020"/>
      <c r="Q181" s="1020"/>
      <c r="R181" s="1020"/>
      <c r="S181" s="1024"/>
      <c r="T181" s="1077"/>
      <c r="U181" s="1020"/>
      <c r="V181" s="1020"/>
      <c r="W181" s="1020"/>
      <c r="X181" s="1020"/>
      <c r="Y181" s="1020"/>
      <c r="Z181" s="1020"/>
      <c r="AA181" s="1020"/>
      <c r="AB181" s="1024"/>
      <c r="AC181" s="1098"/>
      <c r="AD181" s="1020"/>
      <c r="AE181" s="1020"/>
      <c r="AF181" s="1020"/>
      <c r="AG181" s="1020"/>
      <c r="AH181" s="1020"/>
      <c r="AI181" s="1020"/>
      <c r="AJ181" s="1020"/>
      <c r="AK181" s="1099"/>
    </row>
    <row r="182" spans="2:37" ht="15" customHeight="1">
      <c r="B182" s="1019"/>
      <c r="C182" s="1020"/>
      <c r="D182" s="1020"/>
      <c r="E182" s="1020"/>
      <c r="F182" s="1020"/>
      <c r="G182" s="1020"/>
      <c r="H182" s="1020"/>
      <c r="I182" s="1020"/>
      <c r="J182" s="1024"/>
      <c r="K182" s="1026"/>
      <c r="L182" s="1020"/>
      <c r="M182" s="1020"/>
      <c r="N182" s="1020"/>
      <c r="O182" s="1020"/>
      <c r="P182" s="1020"/>
      <c r="Q182" s="1020"/>
      <c r="R182" s="1020"/>
      <c r="S182" s="1024"/>
      <c r="T182" s="1077"/>
      <c r="U182" s="1020"/>
      <c r="V182" s="1020"/>
      <c r="W182" s="1020"/>
      <c r="X182" s="1020"/>
      <c r="Y182" s="1020"/>
      <c r="Z182" s="1020"/>
      <c r="AA182" s="1020"/>
      <c r="AB182" s="1024"/>
      <c r="AC182" s="1098"/>
      <c r="AD182" s="1020"/>
      <c r="AE182" s="1020"/>
      <c r="AF182" s="1020"/>
      <c r="AG182" s="1020"/>
      <c r="AH182" s="1020"/>
      <c r="AI182" s="1020"/>
      <c r="AJ182" s="1020"/>
      <c r="AK182" s="1099"/>
    </row>
    <row r="183" spans="2:37" ht="15" customHeight="1">
      <c r="B183" s="1019"/>
      <c r="C183" s="1020"/>
      <c r="D183" s="1020"/>
      <c r="E183" s="1020"/>
      <c r="F183" s="1020"/>
      <c r="G183" s="1020"/>
      <c r="H183" s="1020"/>
      <c r="I183" s="1020"/>
      <c r="J183" s="1024"/>
      <c r="K183" s="1026"/>
      <c r="L183" s="1020"/>
      <c r="M183" s="1020"/>
      <c r="N183" s="1020"/>
      <c r="O183" s="1020"/>
      <c r="P183" s="1020"/>
      <c r="Q183" s="1020"/>
      <c r="R183" s="1020"/>
      <c r="S183" s="1024"/>
      <c r="T183" s="1077"/>
      <c r="U183" s="1020"/>
      <c r="V183" s="1020"/>
      <c r="W183" s="1020"/>
      <c r="X183" s="1020"/>
      <c r="Y183" s="1020"/>
      <c r="Z183" s="1020"/>
      <c r="AA183" s="1020"/>
      <c r="AB183" s="1024"/>
      <c r="AC183" s="1098"/>
      <c r="AD183" s="1020"/>
      <c r="AE183" s="1020"/>
      <c r="AF183" s="1020"/>
      <c r="AG183" s="1020"/>
      <c r="AH183" s="1020"/>
      <c r="AI183" s="1020"/>
      <c r="AJ183" s="1020"/>
      <c r="AK183" s="1099"/>
    </row>
    <row r="184" spans="2:37" ht="15" customHeight="1">
      <c r="B184" s="1019"/>
      <c r="C184" s="1020"/>
      <c r="D184" s="1020"/>
      <c r="E184" s="1020"/>
      <c r="F184" s="1020"/>
      <c r="G184" s="1020"/>
      <c r="H184" s="1020"/>
      <c r="I184" s="1020"/>
      <c r="J184" s="1024"/>
      <c r="K184" s="1026"/>
      <c r="L184" s="1020"/>
      <c r="M184" s="1020"/>
      <c r="N184" s="1020"/>
      <c r="O184" s="1020"/>
      <c r="P184" s="1020"/>
      <c r="Q184" s="1020"/>
      <c r="R184" s="1020"/>
      <c r="S184" s="1024"/>
      <c r="T184" s="1077"/>
      <c r="U184" s="1020"/>
      <c r="V184" s="1020"/>
      <c r="W184" s="1020"/>
      <c r="X184" s="1020"/>
      <c r="Y184" s="1020"/>
      <c r="Z184" s="1020"/>
      <c r="AA184" s="1020"/>
      <c r="AB184" s="1024"/>
      <c r="AC184" s="1098"/>
      <c r="AD184" s="1020"/>
      <c r="AE184" s="1020"/>
      <c r="AF184" s="1020"/>
      <c r="AG184" s="1020"/>
      <c r="AH184" s="1020"/>
      <c r="AI184" s="1020"/>
      <c r="AJ184" s="1020"/>
      <c r="AK184" s="1099"/>
    </row>
    <row r="185" spans="2:37" ht="15" customHeight="1">
      <c r="B185" s="1019"/>
      <c r="C185" s="1020"/>
      <c r="D185" s="1020"/>
      <c r="E185" s="1020"/>
      <c r="F185" s="1020"/>
      <c r="G185" s="1020"/>
      <c r="H185" s="1020"/>
      <c r="I185" s="1020"/>
      <c r="J185" s="1024"/>
      <c r="K185" s="1026"/>
      <c r="L185" s="1020"/>
      <c r="M185" s="1020"/>
      <c r="N185" s="1020"/>
      <c r="O185" s="1020"/>
      <c r="P185" s="1020"/>
      <c r="Q185" s="1020"/>
      <c r="R185" s="1020"/>
      <c r="S185" s="1024"/>
      <c r="T185" s="1077"/>
      <c r="U185" s="1020"/>
      <c r="V185" s="1020"/>
      <c r="W185" s="1020"/>
      <c r="X185" s="1020"/>
      <c r="Y185" s="1020"/>
      <c r="Z185" s="1020"/>
      <c r="AA185" s="1020"/>
      <c r="AB185" s="1024"/>
      <c r="AC185" s="1098"/>
      <c r="AD185" s="1020"/>
      <c r="AE185" s="1020"/>
      <c r="AF185" s="1020"/>
      <c r="AG185" s="1020"/>
      <c r="AH185" s="1020"/>
      <c r="AI185" s="1020"/>
      <c r="AJ185" s="1020"/>
      <c r="AK185" s="1099"/>
    </row>
    <row r="186" spans="2:37" ht="15" customHeight="1">
      <c r="B186" s="1019"/>
      <c r="C186" s="1020"/>
      <c r="D186" s="1020"/>
      <c r="E186" s="1020"/>
      <c r="F186" s="1020"/>
      <c r="G186" s="1020"/>
      <c r="H186" s="1020"/>
      <c r="I186" s="1020"/>
      <c r="J186" s="1024"/>
      <c r="K186" s="1026"/>
      <c r="L186" s="1020"/>
      <c r="M186" s="1020"/>
      <c r="N186" s="1020"/>
      <c r="O186" s="1020"/>
      <c r="P186" s="1020"/>
      <c r="Q186" s="1020"/>
      <c r="R186" s="1020"/>
      <c r="S186" s="1024"/>
      <c r="T186" s="1077"/>
      <c r="U186" s="1020"/>
      <c r="V186" s="1020"/>
      <c r="W186" s="1020"/>
      <c r="X186" s="1020"/>
      <c r="Y186" s="1020"/>
      <c r="Z186" s="1020"/>
      <c r="AA186" s="1020"/>
      <c r="AB186" s="1024"/>
      <c r="AC186" s="1098"/>
      <c r="AD186" s="1020"/>
      <c r="AE186" s="1020"/>
      <c r="AF186" s="1020"/>
      <c r="AG186" s="1020"/>
      <c r="AH186" s="1020"/>
      <c r="AI186" s="1020"/>
      <c r="AJ186" s="1020"/>
      <c r="AK186" s="1099"/>
    </row>
    <row r="187" spans="2:37" ht="15" customHeight="1">
      <c r="B187" s="1019"/>
      <c r="C187" s="1020"/>
      <c r="D187" s="1020"/>
      <c r="E187" s="1020"/>
      <c r="F187" s="1020"/>
      <c r="G187" s="1020"/>
      <c r="H187" s="1020"/>
      <c r="I187" s="1020"/>
      <c r="J187" s="1024"/>
      <c r="K187" s="1026"/>
      <c r="L187" s="1020"/>
      <c r="M187" s="1020"/>
      <c r="N187" s="1020"/>
      <c r="O187" s="1020"/>
      <c r="P187" s="1020"/>
      <c r="Q187" s="1020"/>
      <c r="R187" s="1020"/>
      <c r="S187" s="1024"/>
      <c r="T187" s="1077"/>
      <c r="U187" s="1020"/>
      <c r="V187" s="1020"/>
      <c r="W187" s="1020"/>
      <c r="X187" s="1020"/>
      <c r="Y187" s="1020"/>
      <c r="Z187" s="1020"/>
      <c r="AA187" s="1020"/>
      <c r="AB187" s="1024"/>
      <c r="AC187" s="1098"/>
      <c r="AD187" s="1020"/>
      <c r="AE187" s="1020"/>
      <c r="AF187" s="1020"/>
      <c r="AG187" s="1020"/>
      <c r="AH187" s="1020"/>
      <c r="AI187" s="1020"/>
      <c r="AJ187" s="1020"/>
      <c r="AK187" s="1099"/>
    </row>
    <row r="188" spans="2:37" ht="15" customHeight="1">
      <c r="B188" s="1019"/>
      <c r="C188" s="1020"/>
      <c r="D188" s="1020"/>
      <c r="E188" s="1020"/>
      <c r="F188" s="1020"/>
      <c r="G188" s="1020"/>
      <c r="H188" s="1020"/>
      <c r="I188" s="1020"/>
      <c r="J188" s="1024"/>
      <c r="K188" s="1026"/>
      <c r="L188" s="1020"/>
      <c r="M188" s="1020"/>
      <c r="N188" s="1020"/>
      <c r="O188" s="1020"/>
      <c r="P188" s="1020"/>
      <c r="Q188" s="1020"/>
      <c r="R188" s="1020"/>
      <c r="S188" s="1024"/>
      <c r="T188" s="1077"/>
      <c r="U188" s="1020"/>
      <c r="V188" s="1020"/>
      <c r="W188" s="1020"/>
      <c r="X188" s="1020"/>
      <c r="Y188" s="1020"/>
      <c r="Z188" s="1020"/>
      <c r="AA188" s="1020"/>
      <c r="AB188" s="1024"/>
      <c r="AC188" s="1098"/>
      <c r="AD188" s="1020"/>
      <c r="AE188" s="1020"/>
      <c r="AF188" s="1020"/>
      <c r="AG188" s="1020"/>
      <c r="AH188" s="1020"/>
      <c r="AI188" s="1020"/>
      <c r="AJ188" s="1020"/>
      <c r="AK188" s="1099"/>
    </row>
    <row r="189" spans="2:37" ht="15" customHeight="1">
      <c r="B189" s="1019"/>
      <c r="C189" s="1020"/>
      <c r="D189" s="1020"/>
      <c r="E189" s="1020"/>
      <c r="F189" s="1020"/>
      <c r="G189" s="1020"/>
      <c r="H189" s="1020"/>
      <c r="I189" s="1020"/>
      <c r="J189" s="1024"/>
      <c r="K189" s="1026"/>
      <c r="L189" s="1020"/>
      <c r="M189" s="1020"/>
      <c r="N189" s="1020"/>
      <c r="O189" s="1020"/>
      <c r="P189" s="1020"/>
      <c r="Q189" s="1020"/>
      <c r="R189" s="1020"/>
      <c r="S189" s="1024"/>
      <c r="T189" s="1077"/>
      <c r="U189" s="1020"/>
      <c r="V189" s="1020"/>
      <c r="W189" s="1020"/>
      <c r="X189" s="1020"/>
      <c r="Y189" s="1020"/>
      <c r="Z189" s="1020"/>
      <c r="AA189" s="1020"/>
      <c r="AB189" s="1024"/>
      <c r="AC189" s="1098"/>
      <c r="AD189" s="1020"/>
      <c r="AE189" s="1020"/>
      <c r="AF189" s="1020"/>
      <c r="AG189" s="1020"/>
      <c r="AH189" s="1020"/>
      <c r="AI189" s="1020"/>
      <c r="AJ189" s="1020"/>
      <c r="AK189" s="1099"/>
    </row>
    <row r="190" spans="2:37" ht="15" customHeight="1">
      <c r="B190" s="1019"/>
      <c r="C190" s="1020"/>
      <c r="D190" s="1020"/>
      <c r="E190" s="1020"/>
      <c r="F190" s="1020"/>
      <c r="G190" s="1020"/>
      <c r="H190" s="1020"/>
      <c r="I190" s="1020"/>
      <c r="J190" s="1024"/>
      <c r="K190" s="1026"/>
      <c r="L190" s="1020"/>
      <c r="M190" s="1020"/>
      <c r="N190" s="1020"/>
      <c r="O190" s="1020"/>
      <c r="P190" s="1020"/>
      <c r="Q190" s="1020"/>
      <c r="R190" s="1020"/>
      <c r="S190" s="1024"/>
      <c r="T190" s="1077"/>
      <c r="U190" s="1020"/>
      <c r="V190" s="1020"/>
      <c r="W190" s="1020"/>
      <c r="X190" s="1020"/>
      <c r="Y190" s="1020"/>
      <c r="Z190" s="1020"/>
      <c r="AA190" s="1020"/>
      <c r="AB190" s="1024"/>
      <c r="AC190" s="1098"/>
      <c r="AD190" s="1020"/>
      <c r="AE190" s="1020"/>
      <c r="AF190" s="1020"/>
      <c r="AG190" s="1020"/>
      <c r="AH190" s="1020"/>
      <c r="AI190" s="1020"/>
      <c r="AJ190" s="1020"/>
      <c r="AK190" s="1099"/>
    </row>
    <row r="191" spans="2:37" ht="15" customHeight="1">
      <c r="B191" s="1019"/>
      <c r="C191" s="1020"/>
      <c r="D191" s="1020"/>
      <c r="E191" s="1020"/>
      <c r="F191" s="1020"/>
      <c r="G191" s="1020"/>
      <c r="H191" s="1020"/>
      <c r="I191" s="1020"/>
      <c r="J191" s="1024"/>
      <c r="K191" s="1026"/>
      <c r="L191" s="1020"/>
      <c r="M191" s="1020"/>
      <c r="N191" s="1020"/>
      <c r="O191" s="1020"/>
      <c r="P191" s="1020"/>
      <c r="Q191" s="1020"/>
      <c r="R191" s="1020"/>
      <c r="S191" s="1024"/>
      <c r="T191" s="1077"/>
      <c r="U191" s="1020"/>
      <c r="V191" s="1020"/>
      <c r="W191" s="1020"/>
      <c r="X191" s="1020"/>
      <c r="Y191" s="1020"/>
      <c r="Z191" s="1020"/>
      <c r="AA191" s="1020"/>
      <c r="AB191" s="1024"/>
      <c r="AC191" s="1098"/>
      <c r="AD191" s="1020"/>
      <c r="AE191" s="1020"/>
      <c r="AF191" s="1020"/>
      <c r="AG191" s="1020"/>
      <c r="AH191" s="1020"/>
      <c r="AI191" s="1020"/>
      <c r="AJ191" s="1020"/>
      <c r="AK191" s="1099"/>
    </row>
    <row r="192" spans="2:37" ht="15" customHeight="1">
      <c r="B192" s="1019"/>
      <c r="C192" s="1020"/>
      <c r="D192" s="1020"/>
      <c r="E192" s="1020"/>
      <c r="F192" s="1020"/>
      <c r="G192" s="1020"/>
      <c r="H192" s="1020"/>
      <c r="I192" s="1020"/>
      <c r="J192" s="1024"/>
      <c r="K192" s="1026"/>
      <c r="L192" s="1020"/>
      <c r="M192" s="1020"/>
      <c r="N192" s="1020"/>
      <c r="O192" s="1020"/>
      <c r="P192" s="1020"/>
      <c r="Q192" s="1020"/>
      <c r="R192" s="1020"/>
      <c r="S192" s="1024"/>
      <c r="T192" s="1077"/>
      <c r="U192" s="1020"/>
      <c r="V192" s="1020"/>
      <c r="W192" s="1020"/>
      <c r="X192" s="1020"/>
      <c r="Y192" s="1020"/>
      <c r="Z192" s="1020"/>
      <c r="AA192" s="1020"/>
      <c r="AB192" s="1024"/>
      <c r="AC192" s="1098"/>
      <c r="AD192" s="1020"/>
      <c r="AE192" s="1020"/>
      <c r="AF192" s="1020"/>
      <c r="AG192" s="1020"/>
      <c r="AH192" s="1020"/>
      <c r="AI192" s="1020"/>
      <c r="AJ192" s="1020"/>
      <c r="AK192" s="1099"/>
    </row>
    <row r="193" spans="2:37" ht="15" customHeight="1">
      <c r="B193" s="1019"/>
      <c r="C193" s="1020"/>
      <c r="D193" s="1020"/>
      <c r="E193" s="1020"/>
      <c r="F193" s="1020"/>
      <c r="G193" s="1020"/>
      <c r="H193" s="1020"/>
      <c r="I193" s="1020"/>
      <c r="J193" s="1024"/>
      <c r="K193" s="1026"/>
      <c r="L193" s="1020"/>
      <c r="M193" s="1020"/>
      <c r="N193" s="1020"/>
      <c r="O193" s="1020"/>
      <c r="P193" s="1020"/>
      <c r="Q193" s="1020"/>
      <c r="R193" s="1020"/>
      <c r="S193" s="1024"/>
      <c r="T193" s="1077"/>
      <c r="U193" s="1020"/>
      <c r="V193" s="1020"/>
      <c r="W193" s="1020"/>
      <c r="X193" s="1020"/>
      <c r="Y193" s="1020"/>
      <c r="Z193" s="1020"/>
      <c r="AA193" s="1020"/>
      <c r="AB193" s="1024"/>
      <c r="AC193" s="1098"/>
      <c r="AD193" s="1020"/>
      <c r="AE193" s="1020"/>
      <c r="AF193" s="1020"/>
      <c r="AG193" s="1020"/>
      <c r="AH193" s="1020"/>
      <c r="AI193" s="1020"/>
      <c r="AJ193" s="1020"/>
      <c r="AK193" s="1099"/>
    </row>
    <row r="194" spans="2:37" ht="15" customHeight="1">
      <c r="B194" s="1019"/>
      <c r="C194" s="1020"/>
      <c r="D194" s="1020"/>
      <c r="E194" s="1020"/>
      <c r="F194" s="1020"/>
      <c r="G194" s="1020"/>
      <c r="H194" s="1020"/>
      <c r="I194" s="1020"/>
      <c r="J194" s="1024"/>
      <c r="K194" s="1026"/>
      <c r="L194" s="1020"/>
      <c r="M194" s="1020"/>
      <c r="N194" s="1020"/>
      <c r="O194" s="1020"/>
      <c r="P194" s="1020"/>
      <c r="Q194" s="1020"/>
      <c r="R194" s="1020"/>
      <c r="S194" s="1024"/>
      <c r="T194" s="1077"/>
      <c r="U194" s="1020"/>
      <c r="V194" s="1020"/>
      <c r="W194" s="1020"/>
      <c r="X194" s="1020"/>
      <c r="Y194" s="1020"/>
      <c r="Z194" s="1020"/>
      <c r="AA194" s="1020"/>
      <c r="AB194" s="1024"/>
      <c r="AC194" s="1098"/>
      <c r="AD194" s="1020"/>
      <c r="AE194" s="1020"/>
      <c r="AF194" s="1020"/>
      <c r="AG194" s="1020"/>
      <c r="AH194" s="1020"/>
      <c r="AI194" s="1020"/>
      <c r="AJ194" s="1020"/>
      <c r="AK194" s="1099"/>
    </row>
    <row r="195" spans="2:37" ht="15" customHeight="1">
      <c r="B195" s="1019"/>
      <c r="C195" s="1020"/>
      <c r="D195" s="1020"/>
      <c r="E195" s="1020"/>
      <c r="F195" s="1020"/>
      <c r="G195" s="1020"/>
      <c r="H195" s="1020"/>
      <c r="I195" s="1020"/>
      <c r="J195" s="1024"/>
      <c r="K195" s="1026"/>
      <c r="L195" s="1020"/>
      <c r="M195" s="1020"/>
      <c r="N195" s="1020"/>
      <c r="O195" s="1020"/>
      <c r="P195" s="1020"/>
      <c r="Q195" s="1020"/>
      <c r="R195" s="1020"/>
      <c r="S195" s="1024"/>
      <c r="T195" s="1077"/>
      <c r="U195" s="1020"/>
      <c r="V195" s="1020"/>
      <c r="W195" s="1020"/>
      <c r="X195" s="1020"/>
      <c r="Y195" s="1020"/>
      <c r="Z195" s="1020"/>
      <c r="AA195" s="1020"/>
      <c r="AB195" s="1024"/>
      <c r="AC195" s="1098"/>
      <c r="AD195" s="1020"/>
      <c r="AE195" s="1020"/>
      <c r="AF195" s="1020"/>
      <c r="AG195" s="1020"/>
      <c r="AH195" s="1020"/>
      <c r="AI195" s="1020"/>
      <c r="AJ195" s="1020"/>
      <c r="AK195" s="1099"/>
    </row>
    <row r="196" spans="2:37" ht="15" customHeight="1">
      <c r="B196" s="1019"/>
      <c r="C196" s="1020"/>
      <c r="D196" s="1020"/>
      <c r="E196" s="1020"/>
      <c r="F196" s="1020"/>
      <c r="G196" s="1020"/>
      <c r="H196" s="1020"/>
      <c r="I196" s="1020"/>
      <c r="J196" s="1024"/>
      <c r="K196" s="1026"/>
      <c r="L196" s="1020"/>
      <c r="M196" s="1020"/>
      <c r="N196" s="1020"/>
      <c r="O196" s="1020"/>
      <c r="P196" s="1020"/>
      <c r="Q196" s="1020"/>
      <c r="R196" s="1020"/>
      <c r="S196" s="1024"/>
      <c r="T196" s="1077"/>
      <c r="U196" s="1020"/>
      <c r="V196" s="1020"/>
      <c r="W196" s="1020"/>
      <c r="X196" s="1020"/>
      <c r="Y196" s="1020"/>
      <c r="Z196" s="1020"/>
      <c r="AA196" s="1020"/>
      <c r="AB196" s="1024"/>
      <c r="AC196" s="1098"/>
      <c r="AD196" s="1020"/>
      <c r="AE196" s="1020"/>
      <c r="AF196" s="1020"/>
      <c r="AG196" s="1020"/>
      <c r="AH196" s="1020"/>
      <c r="AI196" s="1020"/>
      <c r="AJ196" s="1020"/>
      <c r="AK196" s="1099"/>
    </row>
    <row r="197" spans="2:37" ht="15" customHeight="1">
      <c r="B197" s="1019"/>
      <c r="C197" s="1020"/>
      <c r="D197" s="1020"/>
      <c r="E197" s="1020"/>
      <c r="F197" s="1020"/>
      <c r="G197" s="1020"/>
      <c r="H197" s="1020"/>
      <c r="I197" s="1020"/>
      <c r="J197" s="1024"/>
      <c r="K197" s="1026"/>
      <c r="L197" s="1020"/>
      <c r="M197" s="1020"/>
      <c r="N197" s="1020"/>
      <c r="O197" s="1020"/>
      <c r="P197" s="1020"/>
      <c r="Q197" s="1020"/>
      <c r="R197" s="1020"/>
      <c r="S197" s="1024"/>
      <c r="T197" s="1077"/>
      <c r="U197" s="1020"/>
      <c r="V197" s="1020"/>
      <c r="W197" s="1020"/>
      <c r="X197" s="1020"/>
      <c r="Y197" s="1020"/>
      <c r="Z197" s="1020"/>
      <c r="AA197" s="1020"/>
      <c r="AB197" s="1024"/>
      <c r="AC197" s="1098"/>
      <c r="AD197" s="1020"/>
      <c r="AE197" s="1020"/>
      <c r="AF197" s="1020"/>
      <c r="AG197" s="1020"/>
      <c r="AH197" s="1020"/>
      <c r="AI197" s="1020"/>
      <c r="AJ197" s="1020"/>
      <c r="AK197" s="1099"/>
    </row>
    <row r="198" spans="2:37" ht="15" customHeight="1">
      <c r="B198" s="1019"/>
      <c r="C198" s="1020"/>
      <c r="D198" s="1020"/>
      <c r="E198" s="1020"/>
      <c r="F198" s="1020"/>
      <c r="G198" s="1020"/>
      <c r="H198" s="1020"/>
      <c r="I198" s="1020"/>
      <c r="J198" s="1024"/>
      <c r="K198" s="1026"/>
      <c r="L198" s="1020"/>
      <c r="M198" s="1020"/>
      <c r="N198" s="1020"/>
      <c r="O198" s="1020"/>
      <c r="P198" s="1020"/>
      <c r="Q198" s="1020"/>
      <c r="R198" s="1020"/>
      <c r="S198" s="1024"/>
      <c r="T198" s="1077"/>
      <c r="U198" s="1020"/>
      <c r="V198" s="1020"/>
      <c r="W198" s="1020"/>
      <c r="X198" s="1020"/>
      <c r="Y198" s="1020"/>
      <c r="Z198" s="1020"/>
      <c r="AA198" s="1020"/>
      <c r="AB198" s="1024"/>
      <c r="AC198" s="1098"/>
      <c r="AD198" s="1020"/>
      <c r="AE198" s="1020"/>
      <c r="AF198" s="1020"/>
      <c r="AG198" s="1020"/>
      <c r="AH198" s="1020"/>
      <c r="AI198" s="1020"/>
      <c r="AJ198" s="1020"/>
      <c r="AK198" s="1099"/>
    </row>
    <row r="199" spans="2:37" ht="15" customHeight="1">
      <c r="B199" s="1019"/>
      <c r="C199" s="1020"/>
      <c r="D199" s="1020"/>
      <c r="E199" s="1020"/>
      <c r="F199" s="1020"/>
      <c r="G199" s="1020"/>
      <c r="H199" s="1020"/>
      <c r="I199" s="1020"/>
      <c r="J199" s="1024"/>
      <c r="K199" s="1026"/>
      <c r="L199" s="1020"/>
      <c r="M199" s="1020"/>
      <c r="N199" s="1020"/>
      <c r="O199" s="1020"/>
      <c r="P199" s="1020"/>
      <c r="Q199" s="1020"/>
      <c r="R199" s="1020"/>
      <c r="S199" s="1024"/>
      <c r="T199" s="1077"/>
      <c r="U199" s="1020"/>
      <c r="V199" s="1020"/>
      <c r="W199" s="1020"/>
      <c r="X199" s="1020"/>
      <c r="Y199" s="1020"/>
      <c r="Z199" s="1020"/>
      <c r="AA199" s="1020"/>
      <c r="AB199" s="1024"/>
      <c r="AC199" s="1098"/>
      <c r="AD199" s="1020"/>
      <c r="AE199" s="1020"/>
      <c r="AF199" s="1020"/>
      <c r="AG199" s="1020"/>
      <c r="AH199" s="1020"/>
      <c r="AI199" s="1020"/>
      <c r="AJ199" s="1020"/>
      <c r="AK199" s="1099"/>
    </row>
    <row r="200" spans="2:37" ht="15" customHeight="1">
      <c r="B200" s="1019"/>
      <c r="C200" s="1020"/>
      <c r="D200" s="1020"/>
      <c r="E200" s="1020"/>
      <c r="F200" s="1020"/>
      <c r="G200" s="1020"/>
      <c r="H200" s="1020"/>
      <c r="I200" s="1020"/>
      <c r="J200" s="1024"/>
      <c r="K200" s="1026"/>
      <c r="L200" s="1020"/>
      <c r="M200" s="1020"/>
      <c r="N200" s="1020"/>
      <c r="O200" s="1020"/>
      <c r="P200" s="1020"/>
      <c r="Q200" s="1020"/>
      <c r="R200" s="1020"/>
      <c r="S200" s="1024"/>
      <c r="T200" s="1077"/>
      <c r="U200" s="1020"/>
      <c r="V200" s="1020"/>
      <c r="W200" s="1020"/>
      <c r="X200" s="1020"/>
      <c r="Y200" s="1020"/>
      <c r="Z200" s="1020"/>
      <c r="AA200" s="1020"/>
      <c r="AB200" s="1024"/>
      <c r="AC200" s="1098"/>
      <c r="AD200" s="1020"/>
      <c r="AE200" s="1020"/>
      <c r="AF200" s="1020"/>
      <c r="AG200" s="1020"/>
      <c r="AH200" s="1020"/>
      <c r="AI200" s="1020"/>
      <c r="AJ200" s="1020"/>
      <c r="AK200" s="1099"/>
    </row>
    <row r="201" spans="2:37" ht="15" customHeight="1">
      <c r="B201" s="1019"/>
      <c r="C201" s="1020"/>
      <c r="D201" s="1020"/>
      <c r="E201" s="1020"/>
      <c r="F201" s="1020"/>
      <c r="G201" s="1020"/>
      <c r="H201" s="1020"/>
      <c r="I201" s="1020"/>
      <c r="J201" s="1024"/>
      <c r="K201" s="1026"/>
      <c r="L201" s="1020"/>
      <c r="M201" s="1020"/>
      <c r="N201" s="1020"/>
      <c r="O201" s="1020"/>
      <c r="P201" s="1020"/>
      <c r="Q201" s="1020"/>
      <c r="R201" s="1020"/>
      <c r="S201" s="1024"/>
      <c r="T201" s="1077"/>
      <c r="U201" s="1020"/>
      <c r="V201" s="1020"/>
      <c r="W201" s="1020"/>
      <c r="X201" s="1020"/>
      <c r="Y201" s="1020"/>
      <c r="Z201" s="1020"/>
      <c r="AA201" s="1020"/>
      <c r="AB201" s="1024"/>
      <c r="AC201" s="1098"/>
      <c r="AD201" s="1020"/>
      <c r="AE201" s="1020"/>
      <c r="AF201" s="1020"/>
      <c r="AG201" s="1020"/>
      <c r="AH201" s="1020"/>
      <c r="AI201" s="1020"/>
      <c r="AJ201" s="1020"/>
      <c r="AK201" s="1099"/>
    </row>
    <row r="202" spans="2:37" ht="15" customHeight="1">
      <c r="B202" s="1019"/>
      <c r="C202" s="1020"/>
      <c r="D202" s="1020"/>
      <c r="E202" s="1020"/>
      <c r="F202" s="1020"/>
      <c r="G202" s="1020"/>
      <c r="H202" s="1020"/>
      <c r="I202" s="1020"/>
      <c r="J202" s="1024"/>
      <c r="K202" s="1026"/>
      <c r="L202" s="1020"/>
      <c r="M202" s="1020"/>
      <c r="N202" s="1020"/>
      <c r="O202" s="1020"/>
      <c r="P202" s="1020"/>
      <c r="Q202" s="1020"/>
      <c r="R202" s="1020"/>
      <c r="S202" s="1024"/>
      <c r="T202" s="1077"/>
      <c r="U202" s="1020"/>
      <c r="V202" s="1020"/>
      <c r="W202" s="1020"/>
      <c r="X202" s="1020"/>
      <c r="Y202" s="1020"/>
      <c r="Z202" s="1020"/>
      <c r="AA202" s="1020"/>
      <c r="AB202" s="1024"/>
      <c r="AC202" s="1098"/>
      <c r="AD202" s="1020"/>
      <c r="AE202" s="1020"/>
      <c r="AF202" s="1020"/>
      <c r="AG202" s="1020"/>
      <c r="AH202" s="1020"/>
      <c r="AI202" s="1020"/>
      <c r="AJ202" s="1020"/>
      <c r="AK202" s="1099"/>
    </row>
    <row r="203" spans="2:37" ht="15" customHeight="1">
      <c r="B203" s="1019"/>
      <c r="C203" s="1020"/>
      <c r="D203" s="1020"/>
      <c r="E203" s="1020"/>
      <c r="F203" s="1020"/>
      <c r="G203" s="1020"/>
      <c r="H203" s="1020"/>
      <c r="I203" s="1020"/>
      <c r="J203" s="1024"/>
      <c r="K203" s="1026"/>
      <c r="L203" s="1020"/>
      <c r="M203" s="1020"/>
      <c r="N203" s="1020"/>
      <c r="O203" s="1020"/>
      <c r="P203" s="1020"/>
      <c r="Q203" s="1020"/>
      <c r="R203" s="1020"/>
      <c r="S203" s="1024"/>
      <c r="T203" s="1077"/>
      <c r="U203" s="1020"/>
      <c r="V203" s="1020"/>
      <c r="W203" s="1020"/>
      <c r="X203" s="1020"/>
      <c r="Y203" s="1020"/>
      <c r="Z203" s="1020"/>
      <c r="AA203" s="1020"/>
      <c r="AB203" s="1024"/>
      <c r="AC203" s="1098"/>
      <c r="AD203" s="1020"/>
      <c r="AE203" s="1020"/>
      <c r="AF203" s="1020"/>
      <c r="AG203" s="1020"/>
      <c r="AH203" s="1020"/>
      <c r="AI203" s="1020"/>
      <c r="AJ203" s="1020"/>
      <c r="AK203" s="1099"/>
    </row>
    <row r="204" spans="2:37" ht="15" customHeight="1">
      <c r="B204" s="1019"/>
      <c r="C204" s="1020"/>
      <c r="D204" s="1020"/>
      <c r="E204" s="1020"/>
      <c r="F204" s="1020"/>
      <c r="G204" s="1020"/>
      <c r="H204" s="1020"/>
      <c r="I204" s="1020"/>
      <c r="J204" s="1024"/>
      <c r="K204" s="1026"/>
      <c r="L204" s="1020"/>
      <c r="M204" s="1020"/>
      <c r="N204" s="1020"/>
      <c r="O204" s="1020"/>
      <c r="P204" s="1020"/>
      <c r="Q204" s="1020"/>
      <c r="R204" s="1020"/>
      <c r="S204" s="1024"/>
      <c r="T204" s="1077"/>
      <c r="U204" s="1020"/>
      <c r="V204" s="1020"/>
      <c r="W204" s="1020"/>
      <c r="X204" s="1020"/>
      <c r="Y204" s="1020"/>
      <c r="Z204" s="1020"/>
      <c r="AA204" s="1020"/>
      <c r="AB204" s="1024"/>
      <c r="AC204" s="1098"/>
      <c r="AD204" s="1020"/>
      <c r="AE204" s="1020"/>
      <c r="AF204" s="1020"/>
      <c r="AG204" s="1020"/>
      <c r="AH204" s="1020"/>
      <c r="AI204" s="1020"/>
      <c r="AJ204" s="1020"/>
      <c r="AK204" s="1099"/>
    </row>
    <row r="205" spans="2:37" ht="15" customHeight="1" thickBot="1">
      <c r="B205" s="1021"/>
      <c r="C205" s="1022"/>
      <c r="D205" s="1022"/>
      <c r="E205" s="1022"/>
      <c r="F205" s="1022"/>
      <c r="G205" s="1022"/>
      <c r="H205" s="1022"/>
      <c r="I205" s="1022"/>
      <c r="J205" s="1025"/>
      <c r="K205" s="1027"/>
      <c r="L205" s="1028"/>
      <c r="M205" s="1028"/>
      <c r="N205" s="1028"/>
      <c r="O205" s="1028"/>
      <c r="P205" s="1028"/>
      <c r="Q205" s="1028"/>
      <c r="R205" s="1028"/>
      <c r="S205" s="1072"/>
      <c r="T205" s="1078"/>
      <c r="U205" s="1079"/>
      <c r="V205" s="1079"/>
      <c r="W205" s="1079"/>
      <c r="X205" s="1079"/>
      <c r="Y205" s="1079"/>
      <c r="Z205" s="1079"/>
      <c r="AA205" s="1079"/>
      <c r="AB205" s="1087"/>
      <c r="AC205" s="1100"/>
      <c r="AD205" s="1101"/>
      <c r="AE205" s="1101"/>
      <c r="AF205" s="1101"/>
      <c r="AG205" s="1101"/>
      <c r="AH205" s="1101"/>
      <c r="AI205" s="1101"/>
      <c r="AJ205" s="1101"/>
      <c r="AK205" s="1102"/>
    </row>
    <row r="206" spans="2:37" ht="14.1" customHeight="1">
      <c r="B206" s="1215" t="s">
        <v>506</v>
      </c>
      <c r="C206" s="1215"/>
      <c r="D206" s="1215"/>
      <c r="E206" s="1215"/>
      <c r="F206" s="1215"/>
      <c r="G206" s="1215"/>
      <c r="H206" s="1215"/>
      <c r="I206" s="1215"/>
      <c r="J206" s="1215"/>
      <c r="K206" s="1215"/>
      <c r="L206" s="1215"/>
      <c r="M206" s="1215"/>
      <c r="N206" s="1215"/>
      <c r="O206" s="1215"/>
      <c r="P206" s="1215"/>
      <c r="Q206" s="1215"/>
      <c r="R206" s="1215"/>
      <c r="S206" s="1215"/>
      <c r="T206" s="1215"/>
      <c r="U206" s="1215"/>
      <c r="V206" s="1215"/>
      <c r="W206" s="1215"/>
      <c r="X206" s="1215"/>
      <c r="Y206" s="1215"/>
      <c r="Z206" s="1215"/>
      <c r="AA206" s="1215"/>
      <c r="AB206" s="1215"/>
      <c r="AC206" s="1215"/>
      <c r="AD206" s="1215"/>
      <c r="AE206" s="1215"/>
      <c r="AF206" s="1215"/>
      <c r="AG206" s="1215"/>
      <c r="AH206" s="1215"/>
      <c r="AI206" s="1215"/>
      <c r="AJ206" s="1215"/>
      <c r="AK206" s="1215"/>
    </row>
    <row r="207" spans="2:37" ht="15" customHeight="1">
      <c r="B207" s="1023" t="s">
        <v>476</v>
      </c>
      <c r="C207" s="1034" t="s">
        <v>510</v>
      </c>
      <c r="D207" s="1035">
        <v>-3459.5489465414221</v>
      </c>
      <c r="E207" s="1034" t="s">
        <v>491</v>
      </c>
      <c r="F207" s="1035">
        <v>-275.62224698392441</v>
      </c>
      <c r="G207" s="1034" t="s">
        <v>491</v>
      </c>
      <c r="H207" s="1035">
        <v>17026.689627836011</v>
      </c>
      <c r="I207" s="1039" t="s">
        <v>186</v>
      </c>
      <c r="J207" s="1042">
        <v>15</v>
      </c>
      <c r="K207" s="1029" t="s">
        <v>476</v>
      </c>
      <c r="L207" s="1034" t="s">
        <v>492</v>
      </c>
      <c r="M207" s="1035">
        <v>-3582.8248003788476</v>
      </c>
      <c r="N207" s="1034" t="s">
        <v>491</v>
      </c>
      <c r="O207" s="1035">
        <v>-2110.0551019103332</v>
      </c>
      <c r="P207" s="1034" t="s">
        <v>491</v>
      </c>
      <c r="Q207" s="1035">
        <v>-56120.811852681727</v>
      </c>
      <c r="R207" s="1039" t="s">
        <v>186</v>
      </c>
      <c r="S207" s="1042">
        <v>15</v>
      </c>
      <c r="T207" s="1081" t="s">
        <v>476</v>
      </c>
      <c r="U207" s="1034" t="s">
        <v>510</v>
      </c>
      <c r="V207" s="1035">
        <v>-1941.7572910209426</v>
      </c>
      <c r="W207" s="1034" t="s">
        <v>491</v>
      </c>
      <c r="X207" s="1035">
        <v>-2162.6956479880691</v>
      </c>
      <c r="Y207" s="1034" t="s">
        <v>491</v>
      </c>
      <c r="Z207" s="1035">
        <v>-58268.619804444104</v>
      </c>
      <c r="AA207" s="1039" t="s">
        <v>186</v>
      </c>
      <c r="AB207" s="1042">
        <v>15</v>
      </c>
      <c r="AC207" s="1104" t="s">
        <v>476</v>
      </c>
      <c r="AD207" s="1034" t="s">
        <v>491</v>
      </c>
      <c r="AE207" s="1035">
        <v>-2995.8319616022027</v>
      </c>
      <c r="AF207" s="1034" t="s">
        <v>491</v>
      </c>
      <c r="AG207" s="1035">
        <v>-6124.3507329727354</v>
      </c>
      <c r="AH207" s="1034" t="s">
        <v>491</v>
      </c>
      <c r="AI207" s="1035">
        <v>-112941.56341545017</v>
      </c>
      <c r="AJ207" s="1039" t="s">
        <v>186</v>
      </c>
      <c r="AK207" s="1105">
        <v>15</v>
      </c>
    </row>
    <row r="208" spans="2:37" ht="15" customHeight="1">
      <c r="B208" s="1018" t="s">
        <v>477</v>
      </c>
      <c r="C208" s="1032" t="s">
        <v>510</v>
      </c>
      <c r="D208" s="1033">
        <v>-6758.7766909653892</v>
      </c>
      <c r="E208" s="1032" t="s">
        <v>510</v>
      </c>
      <c r="F208" s="1033">
        <v>1074.7026705367109</v>
      </c>
      <c r="G208" s="1032" t="s">
        <v>510</v>
      </c>
      <c r="H208" s="1033">
        <v>-75474.460091185611</v>
      </c>
      <c r="I208" s="1038" t="s">
        <v>186</v>
      </c>
      <c r="J208" s="1041">
        <v>15</v>
      </c>
      <c r="K208" s="1016" t="s">
        <v>477</v>
      </c>
      <c r="L208" s="1032" t="s">
        <v>510</v>
      </c>
      <c r="M208" s="1033">
        <v>-5768.7632159134537</v>
      </c>
      <c r="N208" s="1032" t="s">
        <v>491</v>
      </c>
      <c r="O208" s="1033">
        <v>5421.1790329408459</v>
      </c>
      <c r="P208" s="1032" t="s">
        <v>491</v>
      </c>
      <c r="Q208" s="1033">
        <v>-184351.12348468741</v>
      </c>
      <c r="R208" s="1038" t="s">
        <v>186</v>
      </c>
      <c r="S208" s="1041">
        <v>15</v>
      </c>
      <c r="T208" s="1076" t="s">
        <v>477</v>
      </c>
      <c r="U208" s="1032" t="s">
        <v>510</v>
      </c>
      <c r="V208" s="1033">
        <v>-1418.1489277473261</v>
      </c>
      <c r="W208" s="1032" t="s">
        <v>491</v>
      </c>
      <c r="X208" s="1033">
        <v>-1366.8115311890328</v>
      </c>
      <c r="Y208" s="1032" t="s">
        <v>491</v>
      </c>
      <c r="Z208" s="1033">
        <v>40897.117682114331</v>
      </c>
      <c r="AA208" s="1038" t="s">
        <v>186</v>
      </c>
      <c r="AB208" s="1041">
        <v>15</v>
      </c>
      <c r="AC208" s="1093" t="s">
        <v>477</v>
      </c>
      <c r="AD208" s="1032" t="s">
        <v>510</v>
      </c>
      <c r="AE208" s="1033">
        <v>-7473.4739343655228</v>
      </c>
      <c r="AF208" s="1032" t="s">
        <v>491</v>
      </c>
      <c r="AG208" s="1033">
        <v>10573.876743451417</v>
      </c>
      <c r="AH208" s="1032" t="s">
        <v>491</v>
      </c>
      <c r="AI208" s="1033">
        <v>390437.53061567753</v>
      </c>
      <c r="AJ208" s="1038" t="s">
        <v>186</v>
      </c>
      <c r="AK208" s="1094">
        <v>15</v>
      </c>
    </row>
    <row r="209" spans="2:37" ht="15" customHeight="1">
      <c r="B209" s="1017" t="s">
        <v>478</v>
      </c>
      <c r="C209" s="1030" t="s">
        <v>491</v>
      </c>
      <c r="D209" s="1031">
        <v>-15865.892857770548</v>
      </c>
      <c r="E209" s="1030" t="s">
        <v>491</v>
      </c>
      <c r="F209" s="1031">
        <v>-9791.1401026295916</v>
      </c>
      <c r="G209" s="1030" t="s">
        <v>491</v>
      </c>
      <c r="H209" s="1031">
        <v>-372724.22057227622</v>
      </c>
      <c r="I209" s="1037" t="s">
        <v>185</v>
      </c>
      <c r="J209" s="1040">
        <v>15</v>
      </c>
      <c r="K209" s="1015" t="s">
        <v>478</v>
      </c>
      <c r="L209" s="1030" t="s">
        <v>510</v>
      </c>
      <c r="M209" s="1031">
        <v>-3285.4568507612225</v>
      </c>
      <c r="N209" s="1030" t="s">
        <v>491</v>
      </c>
      <c r="O209" s="1031">
        <v>7902.2754432398497</v>
      </c>
      <c r="P209" s="1030" t="s">
        <v>491</v>
      </c>
      <c r="Q209" s="1031">
        <v>296794.1247812832</v>
      </c>
      <c r="R209" s="1037" t="s">
        <v>186</v>
      </c>
      <c r="S209" s="1040">
        <v>15</v>
      </c>
      <c r="T209" s="1075" t="s">
        <v>478</v>
      </c>
      <c r="U209" s="1030" t="s">
        <v>491</v>
      </c>
      <c r="V209" s="1031">
        <v>-1160.5300483616911</v>
      </c>
      <c r="W209" s="1030" t="s">
        <v>491</v>
      </c>
      <c r="X209" s="1031">
        <v>-2104.6007921798318</v>
      </c>
      <c r="Y209" s="1030" t="s">
        <v>491</v>
      </c>
      <c r="Z209" s="1031">
        <v>-63910.861588462903</v>
      </c>
      <c r="AA209" s="1037" t="s">
        <v>186</v>
      </c>
      <c r="AB209" s="1040">
        <v>15</v>
      </c>
      <c r="AC209" s="1091" t="s">
        <v>478</v>
      </c>
      <c r="AD209" s="1030" t="s">
        <v>510</v>
      </c>
      <c r="AE209" s="1031">
        <v>-5943.1723940168995</v>
      </c>
      <c r="AF209" s="1030" t="s">
        <v>491</v>
      </c>
      <c r="AG209" s="1031">
        <v>-10033.659539811961</v>
      </c>
      <c r="AH209" s="1030" t="s">
        <v>491</v>
      </c>
      <c r="AI209" s="1031">
        <v>-353663.86832012364</v>
      </c>
      <c r="AJ209" s="1037" t="s">
        <v>186</v>
      </c>
      <c r="AK209" s="1092">
        <v>15</v>
      </c>
    </row>
    <row r="210" spans="2:37" ht="15" customHeight="1">
      <c r="B210" s="1018" t="s">
        <v>479</v>
      </c>
      <c r="C210" s="1032" t="s">
        <v>491</v>
      </c>
      <c r="D210" s="1033">
        <v>-39224.33363048765</v>
      </c>
      <c r="E210" s="1032" t="s">
        <v>491</v>
      </c>
      <c r="F210" s="1033">
        <v>-30693.575095628617</v>
      </c>
      <c r="G210" s="1032" t="s">
        <v>491</v>
      </c>
      <c r="H210" s="1033">
        <v>2666422.0956299123</v>
      </c>
      <c r="I210" s="1038" t="s">
        <v>185</v>
      </c>
      <c r="J210" s="1041">
        <v>15</v>
      </c>
      <c r="K210" s="1016" t="s">
        <v>479</v>
      </c>
      <c r="L210" s="1032" t="s">
        <v>491</v>
      </c>
      <c r="M210" s="1033">
        <v>-91112.978175861062</v>
      </c>
      <c r="N210" s="1032" t="s">
        <v>491</v>
      </c>
      <c r="O210" s="1033">
        <v>-69583.31868167092</v>
      </c>
      <c r="P210" s="1032" t="s">
        <v>491</v>
      </c>
      <c r="Q210" s="1033">
        <v>14456182.896646254</v>
      </c>
      <c r="R210" s="1038" t="s">
        <v>185</v>
      </c>
      <c r="S210" s="1041">
        <v>15</v>
      </c>
      <c r="T210" s="1076" t="s">
        <v>479</v>
      </c>
      <c r="U210" s="1032" t="s">
        <v>491</v>
      </c>
      <c r="V210" s="1033">
        <v>-761.06529169037242</v>
      </c>
      <c r="W210" s="1032" t="s">
        <v>510</v>
      </c>
      <c r="X210" s="1033">
        <v>4037.0189563748509</v>
      </c>
      <c r="Y210" s="1032" t="s">
        <v>510</v>
      </c>
      <c r="Z210" s="1033">
        <v>107755.9386706161</v>
      </c>
      <c r="AA210" s="1038" t="s">
        <v>186</v>
      </c>
      <c r="AB210" s="1041">
        <v>15</v>
      </c>
      <c r="AC210" s="1095" t="s">
        <v>479</v>
      </c>
      <c r="AD210" s="1036" t="s">
        <v>503</v>
      </c>
      <c r="AE210" s="1036" t="s">
        <v>503</v>
      </c>
      <c r="AF210" s="1036" t="s">
        <v>503</v>
      </c>
      <c r="AG210" s="1036" t="s">
        <v>503</v>
      </c>
      <c r="AH210" s="1036" t="s">
        <v>503</v>
      </c>
      <c r="AI210" s="1036" t="s">
        <v>503</v>
      </c>
      <c r="AJ210" s="1038"/>
      <c r="AK210" s="1097" t="s">
        <v>503</v>
      </c>
    </row>
    <row r="211" spans="2:37" ht="15" customHeight="1">
      <c r="B211" s="1017" t="s">
        <v>480</v>
      </c>
      <c r="C211" s="1030" t="s">
        <v>492</v>
      </c>
      <c r="D211" s="1031">
        <v>-90340.100055556992</v>
      </c>
      <c r="E211" s="1030" t="s">
        <v>491</v>
      </c>
      <c r="F211" s="1031">
        <v>-17909.410118637625</v>
      </c>
      <c r="G211" s="1030" t="s">
        <v>491</v>
      </c>
      <c r="H211" s="1031">
        <v>10831051.695282407</v>
      </c>
      <c r="I211" s="1037" t="s">
        <v>185</v>
      </c>
      <c r="J211" s="1040">
        <v>15</v>
      </c>
      <c r="K211" s="1015" t="s">
        <v>480</v>
      </c>
      <c r="L211" s="1030" t="s">
        <v>491</v>
      </c>
      <c r="M211" s="1031">
        <v>-16730.372403798465</v>
      </c>
      <c r="N211" s="1030" t="s">
        <v>491</v>
      </c>
      <c r="O211" s="1031">
        <v>4062.8456158001572</v>
      </c>
      <c r="P211" s="1030" t="s">
        <v>491</v>
      </c>
      <c r="Q211" s="1031">
        <v>377228.58578135405</v>
      </c>
      <c r="R211" s="1037" t="s">
        <v>185</v>
      </c>
      <c r="S211" s="1040">
        <v>15</v>
      </c>
      <c r="T211" s="1075" t="s">
        <v>480</v>
      </c>
      <c r="U211" s="1030" t="s">
        <v>491</v>
      </c>
      <c r="V211" s="1031">
        <v>-3584.2232052826721</v>
      </c>
      <c r="W211" s="1030" t="s">
        <v>491</v>
      </c>
      <c r="X211" s="1031">
        <v>-11501.74878305243</v>
      </c>
      <c r="Y211" s="1030" t="s">
        <v>510</v>
      </c>
      <c r="Z211" s="1031">
        <v>-466419.79928093287</v>
      </c>
      <c r="AA211" s="1037" t="s">
        <v>186</v>
      </c>
      <c r="AB211" s="1040">
        <v>15</v>
      </c>
      <c r="AC211" s="1095" t="s">
        <v>480</v>
      </c>
      <c r="AD211" s="1036" t="s">
        <v>503</v>
      </c>
      <c r="AE211" s="1036" t="s">
        <v>503</v>
      </c>
      <c r="AF211" s="1036" t="s">
        <v>503</v>
      </c>
      <c r="AG211" s="1036" t="s">
        <v>503</v>
      </c>
      <c r="AH211" s="1036" t="s">
        <v>503</v>
      </c>
      <c r="AI211" s="1036" t="s">
        <v>503</v>
      </c>
      <c r="AJ211" s="1037"/>
      <c r="AK211" s="1096" t="s">
        <v>503</v>
      </c>
    </row>
    <row r="212" spans="2:37" ht="15" customHeight="1">
      <c r="B212" s="1065" t="s">
        <v>481</v>
      </c>
      <c r="C212" s="1036" t="s">
        <v>503</v>
      </c>
      <c r="D212" s="1036" t="s">
        <v>503</v>
      </c>
      <c r="E212" s="1036" t="s">
        <v>503</v>
      </c>
      <c r="F212" s="1036" t="s">
        <v>503</v>
      </c>
      <c r="G212" s="1036" t="s">
        <v>503</v>
      </c>
      <c r="H212" s="1036" t="s">
        <v>503</v>
      </c>
      <c r="I212" s="1038"/>
      <c r="J212" s="1068" t="s">
        <v>503</v>
      </c>
      <c r="K212" s="1016" t="s">
        <v>481</v>
      </c>
      <c r="L212" s="1032" t="s">
        <v>491</v>
      </c>
      <c r="M212" s="1033">
        <v>-11929.363215726065</v>
      </c>
      <c r="N212" s="1032" t="s">
        <v>491</v>
      </c>
      <c r="O212" s="1033">
        <v>-14504.908258551837</v>
      </c>
      <c r="P212" s="1032" t="s">
        <v>491</v>
      </c>
      <c r="Q212" s="1033">
        <v>1743582.0452938208</v>
      </c>
      <c r="R212" s="1038" t="s">
        <v>185</v>
      </c>
      <c r="S212" s="1041">
        <v>15</v>
      </c>
      <c r="T212" s="1076" t="s">
        <v>481</v>
      </c>
      <c r="U212" s="1032" t="s">
        <v>510</v>
      </c>
      <c r="V212" s="1033">
        <v>-56084.860344442328</v>
      </c>
      <c r="W212" s="1032" t="s">
        <v>491</v>
      </c>
      <c r="X212" s="1033">
        <v>-43560.812691207095</v>
      </c>
      <c r="Y212" s="1032" t="s">
        <v>491</v>
      </c>
      <c r="Z212" s="1033">
        <v>7668047.7034345539</v>
      </c>
      <c r="AA212" s="1038" t="s">
        <v>185</v>
      </c>
      <c r="AB212" s="1041">
        <v>15</v>
      </c>
      <c r="AC212" s="1095" t="s">
        <v>481</v>
      </c>
      <c r="AD212" s="1036" t="s">
        <v>503</v>
      </c>
      <c r="AE212" s="1036" t="s">
        <v>503</v>
      </c>
      <c r="AF212" s="1036" t="s">
        <v>503</v>
      </c>
      <c r="AG212" s="1036" t="s">
        <v>503</v>
      </c>
      <c r="AH212" s="1036" t="s">
        <v>503</v>
      </c>
      <c r="AI212" s="1036" t="s">
        <v>503</v>
      </c>
      <c r="AJ212" s="1038"/>
      <c r="AK212" s="1097" t="s">
        <v>503</v>
      </c>
    </row>
    <row r="213" spans="2:37" ht="15" customHeight="1">
      <c r="B213" s="1065" t="s">
        <v>482</v>
      </c>
      <c r="C213" s="1036" t="s">
        <v>503</v>
      </c>
      <c r="D213" s="1036" t="s">
        <v>503</v>
      </c>
      <c r="E213" s="1036" t="s">
        <v>503</v>
      </c>
      <c r="F213" s="1036" t="s">
        <v>503</v>
      </c>
      <c r="G213" s="1036" t="s">
        <v>503</v>
      </c>
      <c r="H213" s="1036" t="s">
        <v>503</v>
      </c>
      <c r="I213" s="1037"/>
      <c r="J213" s="1069" t="s">
        <v>503</v>
      </c>
      <c r="K213" s="1015" t="s">
        <v>482</v>
      </c>
      <c r="L213" s="1030" t="s">
        <v>492</v>
      </c>
      <c r="M213" s="1031">
        <v>-6397.7663827838787</v>
      </c>
      <c r="N213" s="1030" t="s">
        <v>491</v>
      </c>
      <c r="O213" s="1031">
        <v>15552.253987761067</v>
      </c>
      <c r="P213" s="1030" t="s">
        <v>491</v>
      </c>
      <c r="Q213" s="1031">
        <v>-328620.75652021018</v>
      </c>
      <c r="R213" s="1037" t="s">
        <v>186</v>
      </c>
      <c r="S213" s="1040">
        <v>15</v>
      </c>
      <c r="T213" s="1075" t="s">
        <v>482</v>
      </c>
      <c r="U213" s="1030" t="s">
        <v>510</v>
      </c>
      <c r="V213" s="1031">
        <v>-10896.892552418889</v>
      </c>
      <c r="W213" s="1030" t="s">
        <v>492</v>
      </c>
      <c r="X213" s="1031">
        <v>2494.5199896914273</v>
      </c>
      <c r="Y213" s="1030" t="s">
        <v>492</v>
      </c>
      <c r="Z213" s="1031">
        <v>-142155.2192108256</v>
      </c>
      <c r="AA213" s="1037" t="s">
        <v>185</v>
      </c>
      <c r="AB213" s="1040">
        <v>15</v>
      </c>
      <c r="AC213" s="1095" t="s">
        <v>482</v>
      </c>
      <c r="AD213" s="1036" t="s">
        <v>503</v>
      </c>
      <c r="AE213" s="1036" t="s">
        <v>503</v>
      </c>
      <c r="AF213" s="1036" t="s">
        <v>503</v>
      </c>
      <c r="AG213" s="1036" t="s">
        <v>503</v>
      </c>
      <c r="AH213" s="1036" t="s">
        <v>503</v>
      </c>
      <c r="AI213" s="1036" t="s">
        <v>503</v>
      </c>
      <c r="AJ213" s="1037"/>
      <c r="AK213" s="1096" t="s">
        <v>503</v>
      </c>
    </row>
    <row r="214" spans="2:37" ht="15" customHeight="1">
      <c r="B214" s="1065" t="s">
        <v>486</v>
      </c>
      <c r="C214" s="1036" t="s">
        <v>503</v>
      </c>
      <c r="D214" s="1036" t="s">
        <v>503</v>
      </c>
      <c r="E214" s="1036" t="s">
        <v>503</v>
      </c>
      <c r="F214" s="1036" t="s">
        <v>503</v>
      </c>
      <c r="G214" s="1036" t="s">
        <v>503</v>
      </c>
      <c r="H214" s="1036" t="s">
        <v>503</v>
      </c>
      <c r="I214" s="1038"/>
      <c r="J214" s="1068" t="s">
        <v>503</v>
      </c>
      <c r="K214" s="1061" t="s">
        <v>486</v>
      </c>
      <c r="L214" s="1036" t="s">
        <v>503</v>
      </c>
      <c r="M214" s="1036" t="s">
        <v>503</v>
      </c>
      <c r="N214" s="1036" t="s">
        <v>503</v>
      </c>
      <c r="O214" s="1036" t="s">
        <v>503</v>
      </c>
      <c r="P214" s="1036" t="s">
        <v>503</v>
      </c>
      <c r="Q214" s="1036" t="s">
        <v>503</v>
      </c>
      <c r="R214" s="1038"/>
      <c r="S214" s="1068" t="s">
        <v>503</v>
      </c>
      <c r="T214" s="1076" t="s">
        <v>486</v>
      </c>
      <c r="U214" s="1032" t="s">
        <v>492</v>
      </c>
      <c r="V214" s="1033">
        <v>-4647.8227128331509</v>
      </c>
      <c r="W214" s="1032" t="s">
        <v>491</v>
      </c>
      <c r="X214" s="1033">
        <v>4886.1555337816235</v>
      </c>
      <c r="Y214" s="1032" t="s">
        <v>491</v>
      </c>
      <c r="Z214" s="1033">
        <v>417120.97682283103</v>
      </c>
      <c r="AA214" s="1038" t="s">
        <v>185</v>
      </c>
      <c r="AB214" s="1041">
        <v>15</v>
      </c>
      <c r="AC214" s="1095" t="s">
        <v>486</v>
      </c>
      <c r="AD214" s="1036" t="s">
        <v>503</v>
      </c>
      <c r="AE214" s="1036" t="s">
        <v>503</v>
      </c>
      <c r="AF214" s="1036" t="s">
        <v>503</v>
      </c>
      <c r="AG214" s="1036" t="s">
        <v>503</v>
      </c>
      <c r="AH214" s="1036" t="s">
        <v>503</v>
      </c>
      <c r="AI214" s="1036" t="s">
        <v>503</v>
      </c>
      <c r="AJ214" s="1038"/>
      <c r="AK214" s="1097" t="s">
        <v>503</v>
      </c>
    </row>
    <row r="215" spans="2:37" ht="15" customHeight="1" thickBot="1">
      <c r="B215" s="1066" t="s">
        <v>487</v>
      </c>
      <c r="C215" s="1067" t="s">
        <v>503</v>
      </c>
      <c r="D215" s="1067" t="s">
        <v>503</v>
      </c>
      <c r="E215" s="1067" t="s">
        <v>503</v>
      </c>
      <c r="F215" s="1067" t="s">
        <v>503</v>
      </c>
      <c r="G215" s="1067" t="s">
        <v>503</v>
      </c>
      <c r="H215" s="1067" t="s">
        <v>503</v>
      </c>
      <c r="I215" s="1060"/>
      <c r="J215" s="1070" t="s">
        <v>503</v>
      </c>
      <c r="K215" s="1062" t="s">
        <v>487</v>
      </c>
      <c r="L215" s="1063" t="s">
        <v>503</v>
      </c>
      <c r="M215" s="1063" t="s">
        <v>503</v>
      </c>
      <c r="N215" s="1063" t="s">
        <v>503</v>
      </c>
      <c r="O215" s="1063" t="s">
        <v>503</v>
      </c>
      <c r="P215" s="1063" t="s">
        <v>503</v>
      </c>
      <c r="Q215" s="1063" t="s">
        <v>503</v>
      </c>
      <c r="R215" s="1064"/>
      <c r="S215" s="1080" t="s">
        <v>503</v>
      </c>
      <c r="T215" s="1082" t="s">
        <v>487</v>
      </c>
      <c r="U215" s="1083" t="s">
        <v>491</v>
      </c>
      <c r="V215" s="1084">
        <v>-4514.0665199891127</v>
      </c>
      <c r="W215" s="1083" t="s">
        <v>491</v>
      </c>
      <c r="X215" s="1084">
        <v>10126.377422272997</v>
      </c>
      <c r="Y215" s="1083" t="s">
        <v>491</v>
      </c>
      <c r="Z215" s="1084">
        <v>567461.13683657174</v>
      </c>
      <c r="AA215" s="1085" t="s">
        <v>186</v>
      </c>
      <c r="AB215" s="1103">
        <v>15</v>
      </c>
      <c r="AC215" s="1106" t="s">
        <v>487</v>
      </c>
      <c r="AD215" s="1107" t="s">
        <v>503</v>
      </c>
      <c r="AE215" s="1107" t="s">
        <v>503</v>
      </c>
      <c r="AF215" s="1107" t="s">
        <v>503</v>
      </c>
      <c r="AG215" s="1107" t="s">
        <v>503</v>
      </c>
      <c r="AH215" s="1107" t="s">
        <v>503</v>
      </c>
      <c r="AI215" s="1107" t="s">
        <v>503</v>
      </c>
      <c r="AJ215" s="1108"/>
      <c r="AK215" s="1109" t="s">
        <v>503</v>
      </c>
    </row>
    <row r="216" spans="2:37" ht="15" customHeight="1"/>
    <row r="217" spans="2:37" ht="15" customHeight="1"/>
    <row r="218" spans="2:37" ht="15" customHeight="1"/>
    <row r="219" spans="2:37" ht="15" customHeight="1"/>
    <row r="220" spans="2:37" ht="15" customHeight="1"/>
    <row r="221" spans="2:37" ht="15" customHeight="1"/>
    <row r="222" spans="2:37" ht="15" customHeight="1"/>
    <row r="223" spans="2:37" ht="15" customHeight="1"/>
    <row r="224" spans="2:37" ht="15" customHeight="1"/>
    <row r="225" ht="15" customHeight="1"/>
    <row r="226" ht="15" customHeight="1"/>
    <row r="227" ht="15" customHeight="1"/>
    <row r="228" ht="15" customHeight="1"/>
    <row r="229" ht="15" customHeight="1"/>
    <row r="230" ht="15" customHeight="1"/>
    <row r="231" ht="15" customHeight="1"/>
    <row r="409" spans="2:37" ht="12.75">
      <c r="B409" s="1219" t="s">
        <v>508</v>
      </c>
      <c r="C409" s="1219"/>
      <c r="D409" s="1219"/>
      <c r="E409" s="1219"/>
      <c r="F409" s="1219"/>
      <c r="G409" s="1219"/>
      <c r="H409" s="1219"/>
      <c r="I409" s="1219"/>
      <c r="J409" s="1219"/>
      <c r="K409" s="1219"/>
      <c r="L409" s="1219"/>
      <c r="M409" s="1219"/>
      <c r="N409" s="1219"/>
      <c r="O409" s="1219"/>
      <c r="P409" s="1219"/>
      <c r="Q409" s="1219"/>
      <c r="R409" s="1219"/>
      <c r="S409" s="1219"/>
      <c r="T409" s="1219"/>
      <c r="U409" s="1219"/>
      <c r="V409" s="1219"/>
      <c r="W409" s="1219"/>
      <c r="X409" s="1219"/>
      <c r="Y409" s="1219"/>
      <c r="Z409" s="1219"/>
      <c r="AA409" s="1219"/>
      <c r="AB409" s="1219"/>
      <c r="AC409" s="1219"/>
      <c r="AD409" s="1219"/>
      <c r="AE409" s="1219"/>
      <c r="AF409" s="1219"/>
      <c r="AG409" s="1219"/>
      <c r="AH409" s="1219"/>
      <c r="AI409" s="1219"/>
      <c r="AJ409" s="1219"/>
      <c r="AK409" s="1219"/>
    </row>
  </sheetData>
  <mergeCells count="11">
    <mergeCell ref="B409:AK409"/>
    <mergeCell ref="B4:J4"/>
    <mergeCell ref="B206:J206"/>
    <mergeCell ref="K4:S4"/>
    <mergeCell ref="K206:S206"/>
    <mergeCell ref="B1:AK1"/>
    <mergeCell ref="B2:AK2"/>
    <mergeCell ref="T4:AB4"/>
    <mergeCell ref="T206:AB206"/>
    <mergeCell ref="AC4:AK4"/>
    <mergeCell ref="AC206:AK206"/>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CFF63-2B9C-4325-B467-32E1B867FDC1}">
  <sheetPr codeName="Hoja25"/>
  <dimension ref="A16:E32"/>
  <sheetViews>
    <sheetView topLeftCell="A16" zoomScale="205" zoomScaleNormal="205" workbookViewId="0">
      <selection activeCell="D16" sqref="D16:E16"/>
    </sheetView>
  </sheetViews>
  <sheetFormatPr baseColWidth="10" defaultRowHeight="12"/>
  <sheetData>
    <row r="16" spans="2:5" ht="15">
      <c r="B16" s="1111" t="s">
        <v>547</v>
      </c>
      <c r="C16" s="1111"/>
      <c r="D16" s="1111" t="s">
        <v>548</v>
      </c>
      <c r="E16" s="1111"/>
    </row>
    <row r="17" spans="1:5" ht="15">
      <c r="A17" s="4" t="s">
        <v>532</v>
      </c>
      <c r="B17" s="4">
        <v>2.35</v>
      </c>
      <c r="C17" s="4" t="s">
        <v>125</v>
      </c>
      <c r="D17" s="4">
        <f>B17</f>
        <v>2.35</v>
      </c>
      <c r="E17" s="4"/>
    </row>
    <row r="18" spans="1:5" ht="15">
      <c r="A18" s="4" t="s">
        <v>533</v>
      </c>
      <c r="B18" s="4">
        <v>0.75</v>
      </c>
      <c r="C18" s="4" t="s">
        <v>125</v>
      </c>
      <c r="D18" s="4">
        <f>D17+B18</f>
        <v>3.1</v>
      </c>
      <c r="E18" s="4"/>
    </row>
    <row r="19" spans="1:5" ht="15">
      <c r="A19" s="4" t="s">
        <v>534</v>
      </c>
      <c r="B19" s="4">
        <v>0.4</v>
      </c>
      <c r="C19" s="4" t="s">
        <v>125</v>
      </c>
      <c r="D19" s="4">
        <f t="shared" ref="D19:D31" si="0">D18+B19</f>
        <v>3.5</v>
      </c>
      <c r="E19" s="4"/>
    </row>
    <row r="20" spans="1:5" ht="15">
      <c r="A20" s="4" t="s">
        <v>535</v>
      </c>
      <c r="B20" s="4">
        <v>0.3</v>
      </c>
      <c r="C20" s="4" t="s">
        <v>125</v>
      </c>
      <c r="D20" s="4">
        <f t="shared" si="0"/>
        <v>3.8</v>
      </c>
      <c r="E20" s="4"/>
    </row>
    <row r="21" spans="1:5" ht="15">
      <c r="A21" s="4" t="s">
        <v>536</v>
      </c>
      <c r="B21" s="4">
        <v>0.95</v>
      </c>
      <c r="C21" s="4" t="s">
        <v>125</v>
      </c>
      <c r="D21" s="4">
        <f t="shared" si="0"/>
        <v>4.75</v>
      </c>
      <c r="E21" s="4"/>
    </row>
    <row r="22" spans="1:5" ht="15">
      <c r="A22" s="4" t="s">
        <v>537</v>
      </c>
      <c r="B22" s="4">
        <v>0.55000000000000004</v>
      </c>
      <c r="C22" s="4" t="s">
        <v>125</v>
      </c>
      <c r="D22" s="4">
        <f t="shared" si="0"/>
        <v>5.3</v>
      </c>
      <c r="E22" s="4"/>
    </row>
    <row r="23" spans="1:5" ht="15">
      <c r="A23" s="4" t="s">
        <v>538</v>
      </c>
      <c r="B23" s="4">
        <v>0.7</v>
      </c>
      <c r="C23" s="4" t="s">
        <v>125</v>
      </c>
      <c r="D23" s="4">
        <f t="shared" si="0"/>
        <v>6</v>
      </c>
      <c r="E23" s="4"/>
    </row>
    <row r="24" spans="1:5" ht="15">
      <c r="A24" s="4" t="s">
        <v>539</v>
      </c>
      <c r="B24" s="4">
        <v>0.1</v>
      </c>
      <c r="C24" s="4" t="s">
        <v>125</v>
      </c>
      <c r="D24" s="4">
        <f t="shared" si="0"/>
        <v>6.1</v>
      </c>
      <c r="E24" s="4"/>
    </row>
    <row r="25" spans="1:5" ht="15">
      <c r="A25" s="4" t="s">
        <v>540</v>
      </c>
      <c r="B25" s="4">
        <v>0.4</v>
      </c>
      <c r="C25" s="4" t="s">
        <v>125</v>
      </c>
      <c r="D25" s="4">
        <f t="shared" si="0"/>
        <v>6.5</v>
      </c>
      <c r="E25" s="4"/>
    </row>
    <row r="26" spans="1:5" ht="15">
      <c r="A26" s="4" t="s">
        <v>541</v>
      </c>
      <c r="B26" s="4">
        <v>0.2</v>
      </c>
      <c r="C26" s="4" t="s">
        <v>125</v>
      </c>
      <c r="D26" s="4">
        <f t="shared" si="0"/>
        <v>6.7</v>
      </c>
      <c r="E26" s="4"/>
    </row>
    <row r="27" spans="1:5" ht="15">
      <c r="A27" s="4" t="s">
        <v>542</v>
      </c>
      <c r="B27" s="4">
        <v>1.78</v>
      </c>
      <c r="C27" s="4" t="s">
        <v>125</v>
      </c>
      <c r="D27" s="4">
        <f t="shared" si="0"/>
        <v>8.48</v>
      </c>
      <c r="E27" s="4"/>
    </row>
    <row r="28" spans="1:5" ht="15">
      <c r="A28" s="4" t="s">
        <v>543</v>
      </c>
      <c r="B28" s="4">
        <v>0.97</v>
      </c>
      <c r="C28" s="4" t="s">
        <v>125</v>
      </c>
      <c r="D28" s="4">
        <f t="shared" si="0"/>
        <v>9.4500000000000011</v>
      </c>
      <c r="E28" s="4"/>
    </row>
    <row r="29" spans="1:5" ht="15">
      <c r="A29" s="4" t="s">
        <v>544</v>
      </c>
      <c r="B29" s="4">
        <v>0.1</v>
      </c>
      <c r="C29" s="4" t="s">
        <v>125</v>
      </c>
      <c r="D29" s="4">
        <f t="shared" si="0"/>
        <v>9.5500000000000007</v>
      </c>
      <c r="E29" s="4"/>
    </row>
    <row r="30" spans="1:5" ht="15">
      <c r="A30" s="4" t="s">
        <v>545</v>
      </c>
      <c r="B30" s="4">
        <v>2.1</v>
      </c>
      <c r="C30" s="4" t="s">
        <v>125</v>
      </c>
      <c r="D30" s="4">
        <f t="shared" si="0"/>
        <v>11.65</v>
      </c>
      <c r="E30" s="4"/>
    </row>
    <row r="31" spans="1:5" ht="15">
      <c r="A31" s="4" t="s">
        <v>546</v>
      </c>
      <c r="B31" s="4">
        <v>0.75</v>
      </c>
      <c r="C31" s="4" t="s">
        <v>125</v>
      </c>
      <c r="D31" s="4">
        <f t="shared" si="0"/>
        <v>12.4</v>
      </c>
      <c r="E31" s="4"/>
    </row>
    <row r="32" spans="1:5" ht="15">
      <c r="B32" s="4">
        <f>SUM(B17:B31)</f>
        <v>12.4</v>
      </c>
      <c r="C32" s="4"/>
      <c r="D32" s="4"/>
      <c r="E32" s="4"/>
    </row>
  </sheetData>
  <mergeCells count="2">
    <mergeCell ref="B16:C16"/>
    <mergeCell ref="D16:E16"/>
  </mergeCells>
  <phoneticPr fontId="92" type="noConversion"/>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FF39E-A522-4248-9CB1-FA9EEE7D367C}">
  <sheetPr codeName="Hoja13"/>
  <dimension ref="A1:P70"/>
  <sheetViews>
    <sheetView zoomScale="75" workbookViewId="0">
      <selection activeCell="K59" sqref="K59"/>
    </sheetView>
  </sheetViews>
  <sheetFormatPr baseColWidth="10" defaultColWidth="11" defaultRowHeight="15"/>
  <cols>
    <col min="1" max="1" width="7" style="4" customWidth="1"/>
    <col min="2" max="2" width="8.375" style="4" customWidth="1"/>
    <col min="3" max="3" width="9.375" style="4" customWidth="1"/>
    <col min="4" max="4" width="7.375" style="4" customWidth="1"/>
    <col min="5" max="5" width="7" style="4" customWidth="1"/>
    <col min="6" max="6" width="8.25" style="4" customWidth="1"/>
    <col min="7" max="7" width="8.625" style="4" customWidth="1"/>
    <col min="8" max="9" width="8.75" style="4" customWidth="1"/>
    <col min="10" max="10" width="10.625" style="4" customWidth="1"/>
    <col min="11" max="11" width="12.5" style="4" customWidth="1"/>
    <col min="12" max="12" width="11.25" style="4" customWidth="1"/>
    <col min="13" max="13" width="10.5" style="4" customWidth="1"/>
    <col min="14" max="16384" width="11" style="4"/>
  </cols>
  <sheetData>
    <row r="1" spans="1:13" customFormat="1" ht="12.75">
      <c r="A1" s="518"/>
      <c r="B1" s="518"/>
      <c r="C1" s="518"/>
      <c r="D1" s="518"/>
      <c r="E1" s="518"/>
      <c r="F1" s="518"/>
      <c r="G1" s="518"/>
      <c r="H1" s="518"/>
      <c r="I1" s="518"/>
      <c r="J1" s="518"/>
      <c r="K1" s="518"/>
    </row>
    <row r="2" spans="1:13" customFormat="1" ht="12.75">
      <c r="A2" s="518"/>
      <c r="B2" s="518"/>
      <c r="C2" s="518"/>
      <c r="D2" s="518"/>
      <c r="E2" s="518"/>
      <c r="F2" s="518"/>
      <c r="G2" s="518"/>
      <c r="H2" s="518"/>
      <c r="I2" s="518"/>
      <c r="J2" s="518"/>
      <c r="K2" s="518"/>
    </row>
    <row r="3" spans="1:13" customFormat="1" ht="12.75">
      <c r="A3" s="518"/>
      <c r="B3" s="518"/>
      <c r="C3" s="518"/>
      <c r="D3" s="518"/>
      <c r="E3" s="518"/>
      <c r="F3" s="518"/>
      <c r="G3" s="518"/>
      <c r="H3" s="518"/>
      <c r="I3" s="518"/>
      <c r="J3" s="518"/>
      <c r="K3" s="518"/>
    </row>
    <row r="4" spans="1:13" customFormat="1" ht="12.75">
      <c r="A4" s="518"/>
      <c r="B4" s="518"/>
      <c r="C4" s="518"/>
      <c r="D4" s="518"/>
      <c r="E4" s="518"/>
      <c r="F4" s="518"/>
      <c r="G4" s="518"/>
      <c r="H4" s="518"/>
      <c r="I4" s="518"/>
      <c r="J4" s="518"/>
      <c r="K4" s="518"/>
    </row>
    <row r="5" spans="1:13" customFormat="1" ht="12.75">
      <c r="A5" s="518"/>
      <c r="B5" s="518"/>
      <c r="C5" s="518"/>
      <c r="D5" s="518"/>
      <c r="E5" s="518"/>
      <c r="F5" s="518"/>
      <c r="G5" s="518"/>
      <c r="H5" s="518"/>
      <c r="I5" s="518"/>
      <c r="J5" s="518"/>
      <c r="K5" s="518"/>
    </row>
    <row r="6" spans="1:13" customFormat="1" ht="12.75">
      <c r="A6" s="518"/>
      <c r="B6" s="518"/>
      <c r="C6" s="518"/>
      <c r="D6" s="518"/>
      <c r="E6" s="518"/>
      <c r="F6" s="518"/>
      <c r="G6" s="518"/>
      <c r="H6" s="518"/>
      <c r="I6" s="518"/>
      <c r="J6" s="518"/>
      <c r="K6" s="518"/>
    </row>
    <row r="7" spans="1:13">
      <c r="A7" s="4" t="str">
        <f>'CG. MPB'!A7</f>
        <v>PROPIETARIO   : ING. ROLANDO ORTIZ RAMOS</v>
      </c>
    </row>
    <row r="8" spans="1:13">
      <c r="A8" s="4" t="str">
        <f>'CG. MPB'!A8</f>
        <v xml:space="preserve">OBRA                   : </v>
      </c>
    </row>
    <row r="9" spans="1:13">
      <c r="A9" s="4" t="str">
        <f>'CG. MPB'!A9</f>
        <v>LOCALIZACION : 1ª PRIVADA 13 DE SEPTIEMBRE, COL. VICENTE SUAREZ</v>
      </c>
    </row>
    <row r="10" spans="1:13" hidden="1">
      <c r="A10" s="4">
        <f>'CG. MPB'!A10</f>
        <v>0</v>
      </c>
    </row>
    <row r="11" spans="1:13" hidden="1">
      <c r="A11" s="4" t="str">
        <f>'CG. MPB'!A11</f>
        <v>TABLA No. 1</v>
      </c>
    </row>
    <row r="12" spans="1:13" ht="15.75" thickBot="1"/>
    <row r="13" spans="1:13" ht="16.5" thickTop="1">
      <c r="A13" s="5"/>
      <c r="B13" s="6"/>
      <c r="C13" s="6"/>
      <c r="D13" s="6"/>
      <c r="E13" s="6"/>
      <c r="F13" s="6"/>
      <c r="G13" s="6"/>
      <c r="H13" s="6"/>
      <c r="I13" s="6"/>
      <c r="J13" s="6"/>
      <c r="K13" s="6"/>
      <c r="L13" s="6"/>
      <c r="M13" s="7"/>
    </row>
    <row r="14" spans="1:13" ht="18">
      <c r="A14" s="137" t="s">
        <v>56</v>
      </c>
      <c r="B14" s="9"/>
      <c r="C14" s="9"/>
      <c r="D14" s="9"/>
      <c r="E14" s="9"/>
      <c r="F14" s="9"/>
      <c r="G14" s="9"/>
      <c r="H14" s="9"/>
      <c r="I14" s="9"/>
      <c r="J14" s="9"/>
      <c r="K14" s="9"/>
      <c r="L14" s="9"/>
      <c r="M14" s="10"/>
    </row>
    <row r="15" spans="1:13" ht="18">
      <c r="A15" s="137" t="s">
        <v>57</v>
      </c>
      <c r="B15" s="9"/>
      <c r="C15" s="9"/>
      <c r="D15" s="9"/>
      <c r="E15" s="9"/>
      <c r="F15" s="9"/>
      <c r="G15" s="9"/>
      <c r="H15" s="9"/>
      <c r="I15" s="9"/>
      <c r="J15" s="9"/>
      <c r="K15" s="9"/>
      <c r="L15" s="9"/>
      <c r="M15" s="10"/>
    </row>
    <row r="16" spans="1:13" ht="16.5" thickBot="1">
      <c r="A16" s="11"/>
      <c r="B16" s="12"/>
      <c r="C16" s="12"/>
      <c r="D16" s="12"/>
      <c r="E16" s="12"/>
      <c r="F16" s="12"/>
      <c r="G16" s="12"/>
      <c r="H16" s="12"/>
      <c r="I16" s="12"/>
      <c r="J16" s="12"/>
      <c r="K16" s="12"/>
      <c r="L16" s="12"/>
      <c r="M16" s="13"/>
    </row>
    <row r="17" spans="1:13" ht="15.75" thickTop="1"/>
    <row r="18" spans="1:13" ht="15.75" hidden="1">
      <c r="A18" s="26" t="s">
        <v>91</v>
      </c>
      <c r="B18" s="26" t="s">
        <v>92</v>
      </c>
      <c r="C18" s="26" t="s">
        <v>93</v>
      </c>
      <c r="D18" s="26" t="s">
        <v>94</v>
      </c>
      <c r="E18" s="26" t="s">
        <v>95</v>
      </c>
      <c r="F18" s="26" t="s">
        <v>96</v>
      </c>
      <c r="G18" s="26" t="s">
        <v>97</v>
      </c>
      <c r="H18" s="26" t="s">
        <v>98</v>
      </c>
      <c r="I18" s="26" t="s">
        <v>99</v>
      </c>
      <c r="J18" s="26" t="s">
        <v>100</v>
      </c>
      <c r="K18" s="26" t="s">
        <v>101</v>
      </c>
      <c r="L18" s="26" t="s">
        <v>102</v>
      </c>
      <c r="M18" s="26" t="s">
        <v>103</v>
      </c>
    </row>
    <row r="20" spans="1:13" ht="15.75">
      <c r="A20" s="22"/>
      <c r="B20" s="103"/>
      <c r="C20" s="61"/>
      <c r="D20" s="103"/>
      <c r="E20" s="61"/>
      <c r="F20" s="64" t="s">
        <v>58</v>
      </c>
      <c r="G20" s="61"/>
      <c r="H20" s="103"/>
      <c r="I20" s="61"/>
      <c r="J20" s="235"/>
      <c r="K20" s="61"/>
      <c r="L20" s="64" t="s">
        <v>59</v>
      </c>
      <c r="M20" s="46" t="s">
        <v>60</v>
      </c>
    </row>
    <row r="21" spans="1:13" ht="15.75">
      <c r="A21" s="25" t="s">
        <v>4</v>
      </c>
      <c r="B21" s="52" t="s">
        <v>61</v>
      </c>
      <c r="C21" s="26" t="s">
        <v>6</v>
      </c>
      <c r="D21" s="52" t="s">
        <v>62</v>
      </c>
      <c r="E21" s="26" t="s">
        <v>49</v>
      </c>
      <c r="F21" s="52"/>
      <c r="G21" s="26" t="s">
        <v>63</v>
      </c>
      <c r="H21" s="52" t="s">
        <v>64</v>
      </c>
      <c r="I21" s="26" t="s">
        <v>65</v>
      </c>
      <c r="J21" s="52" t="s">
        <v>66</v>
      </c>
      <c r="K21" s="26" t="s">
        <v>67</v>
      </c>
      <c r="L21" s="52"/>
      <c r="M21" s="39"/>
    </row>
    <row r="22" spans="1:13" ht="15.75">
      <c r="A22" s="28"/>
      <c r="B22" s="230"/>
      <c r="C22" s="97"/>
      <c r="D22" s="230"/>
      <c r="E22" s="97"/>
      <c r="F22" s="56" t="s">
        <v>68</v>
      </c>
      <c r="G22" s="97"/>
      <c r="H22" s="230"/>
      <c r="I22" s="97"/>
      <c r="J22" s="236"/>
      <c r="K22" s="97"/>
      <c r="L22" s="56" t="s">
        <v>69</v>
      </c>
      <c r="M22" s="39" t="s">
        <v>70</v>
      </c>
    </row>
    <row r="23" spans="1:13">
      <c r="A23" s="31"/>
      <c r="B23" s="77"/>
      <c r="C23" s="77"/>
      <c r="D23" s="77"/>
      <c r="E23" s="77"/>
      <c r="F23" s="77"/>
      <c r="G23" s="77"/>
      <c r="H23" s="77"/>
      <c r="I23" s="77"/>
      <c r="J23" s="77"/>
      <c r="K23" s="77"/>
      <c r="L23" s="77"/>
      <c r="M23" s="77"/>
    </row>
    <row r="24" spans="1:13">
      <c r="A24" s="99"/>
      <c r="B24" s="90"/>
      <c r="C24" s="90"/>
      <c r="D24" s="90"/>
      <c r="E24" s="90"/>
      <c r="F24" s="35"/>
      <c r="G24" s="35"/>
      <c r="H24" s="35"/>
      <c r="I24" s="90"/>
      <c r="J24" s="90"/>
      <c r="K24" s="35"/>
      <c r="L24" s="35"/>
      <c r="M24" s="35"/>
    </row>
    <row r="25" spans="1:13">
      <c r="A25" s="36">
        <v>1</v>
      </c>
      <c r="B25" s="100">
        <v>1</v>
      </c>
      <c r="C25" s="96">
        <v>18.5</v>
      </c>
      <c r="D25" s="67">
        <v>0.5</v>
      </c>
      <c r="E25" s="67">
        <v>9.25</v>
      </c>
      <c r="F25" s="32"/>
      <c r="G25" s="32">
        <f>B25*C25</f>
        <v>18.5</v>
      </c>
      <c r="H25" s="33">
        <f>G25*(D25)</f>
        <v>9.25</v>
      </c>
      <c r="I25" s="33">
        <f>G25*(E25)</f>
        <v>171.125</v>
      </c>
      <c r="J25" s="32">
        <f t="shared" ref="J25:J45" si="0">B25*C25^3/12+G25*(E25-$H$58+C25/2)^2</f>
        <v>2052.7022901507407</v>
      </c>
      <c r="K25" s="32">
        <f t="shared" ref="K25:K45" si="1">C25*B25^3/12+G25*(D25-$H$57+B25/2)^2</f>
        <v>166.32981382922708</v>
      </c>
      <c r="L25" s="32"/>
      <c r="M25" s="35"/>
    </row>
    <row r="26" spans="1:13">
      <c r="A26" s="36">
        <f>1+A25</f>
        <v>2</v>
      </c>
      <c r="B26" s="100">
        <v>1</v>
      </c>
      <c r="C26" s="96">
        <v>2.6</v>
      </c>
      <c r="D26" s="67">
        <v>2.67</v>
      </c>
      <c r="E26" s="67">
        <v>13.288</v>
      </c>
      <c r="F26" s="32"/>
      <c r="G26" s="32">
        <f>B26*C26</f>
        <v>2.6</v>
      </c>
      <c r="H26" s="33">
        <f t="shared" ref="H26:H45" si="2">G26*(D26)</f>
        <v>6.9420000000000002</v>
      </c>
      <c r="I26" s="33">
        <f t="shared" ref="I26:I45" si="3">G26*(E26)</f>
        <v>34.5488</v>
      </c>
      <c r="J26" s="32">
        <f t="shared" si="0"/>
        <v>70.890729133751393</v>
      </c>
      <c r="K26" s="32">
        <f t="shared" si="1"/>
        <v>1.9416945074128242</v>
      </c>
      <c r="L26" s="32"/>
      <c r="M26" s="35"/>
    </row>
    <row r="27" spans="1:13">
      <c r="A27" s="36">
        <f t="shared" ref="A27:A37" si="4">1+A26</f>
        <v>3</v>
      </c>
      <c r="B27" s="100">
        <v>1</v>
      </c>
      <c r="C27" s="96">
        <v>9.64</v>
      </c>
      <c r="D27" s="67">
        <v>3.915</v>
      </c>
      <c r="E27" s="67">
        <v>4.82</v>
      </c>
      <c r="F27" s="32"/>
      <c r="G27" s="32">
        <f>B27*C27</f>
        <v>9.64</v>
      </c>
      <c r="H27" s="33">
        <f t="shared" si="2"/>
        <v>37.740600000000001</v>
      </c>
      <c r="I27" s="33">
        <f t="shared" si="3"/>
        <v>46.464800000000004</v>
      </c>
      <c r="J27" s="32">
        <f t="shared" si="0"/>
        <v>75.117606308488035</v>
      </c>
      <c r="K27" s="32">
        <f t="shared" si="1"/>
        <v>2.5896010819623534</v>
      </c>
      <c r="L27" s="32"/>
      <c r="M27" s="35"/>
    </row>
    <row r="28" spans="1:13">
      <c r="A28" s="36">
        <f t="shared" si="4"/>
        <v>4</v>
      </c>
      <c r="B28" s="100">
        <v>1</v>
      </c>
      <c r="C28" s="100">
        <v>9.86</v>
      </c>
      <c r="D28" s="67">
        <v>4.4800000000000004</v>
      </c>
      <c r="E28" s="67">
        <v>13.57</v>
      </c>
      <c r="F28" s="32"/>
      <c r="G28" s="32">
        <f>B28*C28</f>
        <v>9.86</v>
      </c>
      <c r="H28" s="33">
        <f t="shared" si="2"/>
        <v>44.172800000000002</v>
      </c>
      <c r="I28" s="33">
        <f t="shared" si="3"/>
        <v>133.80019999999999</v>
      </c>
      <c r="J28" s="32">
        <f t="shared" si="0"/>
        <v>892.70153021007047</v>
      </c>
      <c r="K28" s="32">
        <f t="shared" si="1"/>
        <v>10.59237923740452</v>
      </c>
      <c r="L28" s="32"/>
      <c r="M28" s="35"/>
    </row>
    <row r="29" spans="1:13">
      <c r="A29" s="36">
        <f t="shared" si="4"/>
        <v>5</v>
      </c>
      <c r="B29" s="100">
        <v>1</v>
      </c>
      <c r="C29" s="100">
        <v>18.5</v>
      </c>
      <c r="D29" s="67">
        <v>7.45</v>
      </c>
      <c r="E29" s="67">
        <v>9.25</v>
      </c>
      <c r="F29" s="32"/>
      <c r="G29" s="32">
        <f t="shared" ref="G29:G38" si="5">B29*C29</f>
        <v>18.5</v>
      </c>
      <c r="H29" s="33">
        <f t="shared" si="2"/>
        <v>137.82500000000002</v>
      </c>
      <c r="I29" s="33">
        <f t="shared" si="3"/>
        <v>171.125</v>
      </c>
      <c r="J29" s="32">
        <f t="shared" si="0"/>
        <v>2052.7022901507407</v>
      </c>
      <c r="K29" s="32">
        <f t="shared" si="1"/>
        <v>292.4521024496579</v>
      </c>
      <c r="L29" s="32"/>
      <c r="M29" s="35"/>
    </row>
    <row r="30" spans="1:13">
      <c r="A30" s="36">
        <f t="shared" si="4"/>
        <v>6</v>
      </c>
      <c r="B30" s="100">
        <v>7.95</v>
      </c>
      <c r="C30" s="96">
        <v>1</v>
      </c>
      <c r="D30" s="67">
        <v>3.9750000000000001</v>
      </c>
      <c r="E30" s="67">
        <v>0.5</v>
      </c>
      <c r="F30" s="32"/>
      <c r="G30" s="32">
        <f t="shared" si="5"/>
        <v>7.95</v>
      </c>
      <c r="H30" s="33">
        <f t="shared" si="2"/>
        <v>31.60125</v>
      </c>
      <c r="I30" s="33">
        <f t="shared" si="3"/>
        <v>3.9750000000000001</v>
      </c>
      <c r="J30" s="32">
        <f t="shared" si="0"/>
        <v>564.36520712221591</v>
      </c>
      <c r="K30" s="32">
        <f t="shared" si="1"/>
        <v>166.88451919458271</v>
      </c>
      <c r="L30" s="32"/>
      <c r="M30" s="35"/>
    </row>
    <row r="31" spans="1:13">
      <c r="A31" s="36">
        <f t="shared" si="4"/>
        <v>7</v>
      </c>
      <c r="B31" s="100">
        <v>4.415</v>
      </c>
      <c r="C31" s="96">
        <v>1</v>
      </c>
      <c r="D31" s="67">
        <v>2.2080000000000002</v>
      </c>
      <c r="E31" s="67">
        <v>6.9249999999999998</v>
      </c>
      <c r="F31" s="32"/>
      <c r="G31" s="32">
        <f t="shared" si="5"/>
        <v>4.415</v>
      </c>
      <c r="H31" s="33">
        <f t="shared" si="2"/>
        <v>9.7483200000000014</v>
      </c>
      <c r="I31" s="33">
        <f t="shared" si="3"/>
        <v>30.573875000000001</v>
      </c>
      <c r="J31" s="32">
        <f t="shared" si="0"/>
        <v>17.949771363572431</v>
      </c>
      <c r="K31" s="32">
        <f t="shared" si="1"/>
        <v>7.9915044343186104</v>
      </c>
      <c r="L31" s="32"/>
      <c r="M31" s="35"/>
    </row>
    <row r="32" spans="1:13">
      <c r="A32" s="36">
        <f t="shared" si="4"/>
        <v>8</v>
      </c>
      <c r="B32" s="100">
        <v>4.5350000000000001</v>
      </c>
      <c r="C32" s="96">
        <v>1</v>
      </c>
      <c r="D32" s="67">
        <v>5.6829999999999998</v>
      </c>
      <c r="E32" s="67">
        <v>7.5</v>
      </c>
      <c r="F32" s="32"/>
      <c r="G32" s="32">
        <f t="shared" si="5"/>
        <v>4.5350000000000001</v>
      </c>
      <c r="H32" s="33">
        <f t="shared" si="2"/>
        <v>25.772404999999999</v>
      </c>
      <c r="I32" s="33">
        <f t="shared" si="3"/>
        <v>34.012500000000003</v>
      </c>
      <c r="J32" s="32">
        <f t="shared" si="0"/>
        <v>9.5296347530004439</v>
      </c>
      <c r="K32" s="32">
        <f t="shared" si="1"/>
        <v>79.102672689462395</v>
      </c>
      <c r="L32" s="32"/>
      <c r="M32" s="35"/>
    </row>
    <row r="33" spans="1:16">
      <c r="A33" s="36">
        <f t="shared" si="4"/>
        <v>9</v>
      </c>
      <c r="B33" s="100">
        <v>7.95</v>
      </c>
      <c r="C33" s="96">
        <v>1</v>
      </c>
      <c r="D33" s="67">
        <v>3.9750000000000001</v>
      </c>
      <c r="E33" s="67">
        <v>9.14</v>
      </c>
      <c r="F33" s="32"/>
      <c r="G33" s="32">
        <f t="shared" si="5"/>
        <v>7.95</v>
      </c>
      <c r="H33" s="33">
        <f t="shared" si="2"/>
        <v>31.60125</v>
      </c>
      <c r="I33" s="33">
        <f t="shared" si="3"/>
        <v>72.663000000000011</v>
      </c>
      <c r="J33" s="32">
        <f t="shared" si="0"/>
        <v>1.0452883560663664</v>
      </c>
      <c r="K33" s="32">
        <f t="shared" si="1"/>
        <v>166.88451919458271</v>
      </c>
      <c r="L33" s="32"/>
      <c r="M33" s="35"/>
    </row>
    <row r="34" spans="1:16">
      <c r="A34" s="36">
        <f t="shared" si="4"/>
        <v>10</v>
      </c>
      <c r="B34" s="100">
        <v>7.95</v>
      </c>
      <c r="C34" s="96">
        <v>1</v>
      </c>
      <c r="D34" s="67">
        <v>3.9750000000000001</v>
      </c>
      <c r="E34" s="67">
        <v>12.484999999999999</v>
      </c>
      <c r="F34" s="32"/>
      <c r="G34" s="32">
        <f t="shared" si="5"/>
        <v>7.95</v>
      </c>
      <c r="H34" s="33">
        <f t="shared" si="2"/>
        <v>31.60125</v>
      </c>
      <c r="I34" s="33">
        <f t="shared" si="3"/>
        <v>99.255749999999992</v>
      </c>
      <c r="J34" s="32">
        <f t="shared" si="0"/>
        <v>101.66852577819944</v>
      </c>
      <c r="K34" s="32">
        <f t="shared" si="1"/>
        <v>166.88451919458271</v>
      </c>
      <c r="L34" s="32"/>
      <c r="M34" s="35"/>
    </row>
    <row r="35" spans="1:16">
      <c r="A35" s="36">
        <f t="shared" si="4"/>
        <v>11</v>
      </c>
      <c r="B35" s="100">
        <v>7.95</v>
      </c>
      <c r="C35" s="96">
        <v>1</v>
      </c>
      <c r="D35" s="67">
        <v>3.9750000000000001</v>
      </c>
      <c r="E35" s="67">
        <v>18</v>
      </c>
      <c r="F35" s="32"/>
      <c r="G35" s="32">
        <f t="shared" si="5"/>
        <v>7.95</v>
      </c>
      <c r="H35" s="33">
        <f t="shared" si="2"/>
        <v>31.60125</v>
      </c>
      <c r="I35" s="33">
        <f t="shared" si="3"/>
        <v>143.1</v>
      </c>
      <c r="J35" s="32">
        <f t="shared" si="0"/>
        <v>656.0290753620751</v>
      </c>
      <c r="K35" s="32">
        <f t="shared" si="1"/>
        <v>166.88451919458271</v>
      </c>
      <c r="L35" s="32"/>
      <c r="M35" s="35"/>
    </row>
    <row r="36" spans="1:16" hidden="1">
      <c r="A36" s="36">
        <f t="shared" si="4"/>
        <v>12</v>
      </c>
      <c r="B36" s="100"/>
      <c r="C36" s="96"/>
      <c r="D36" s="67"/>
      <c r="E36" s="67"/>
      <c r="F36" s="32"/>
      <c r="G36" s="32">
        <f t="shared" si="5"/>
        <v>0</v>
      </c>
      <c r="H36" s="33">
        <f t="shared" si="2"/>
        <v>0</v>
      </c>
      <c r="I36" s="33">
        <f t="shared" si="3"/>
        <v>0</v>
      </c>
      <c r="J36" s="32">
        <f t="shared" si="0"/>
        <v>0</v>
      </c>
      <c r="K36" s="32">
        <f t="shared" si="1"/>
        <v>0</v>
      </c>
      <c r="L36" s="32"/>
      <c r="M36" s="35"/>
    </row>
    <row r="37" spans="1:16" hidden="1">
      <c r="A37" s="36">
        <f t="shared" si="4"/>
        <v>13</v>
      </c>
      <c r="B37" s="100"/>
      <c r="C37" s="96"/>
      <c r="D37" s="67"/>
      <c r="E37" s="67"/>
      <c r="F37" s="32"/>
      <c r="G37" s="32">
        <f t="shared" si="5"/>
        <v>0</v>
      </c>
      <c r="H37" s="33">
        <f t="shared" si="2"/>
        <v>0</v>
      </c>
      <c r="I37" s="33">
        <f t="shared" si="3"/>
        <v>0</v>
      </c>
      <c r="J37" s="32">
        <f t="shared" si="0"/>
        <v>0</v>
      </c>
      <c r="K37" s="32">
        <f t="shared" si="1"/>
        <v>0</v>
      </c>
      <c r="L37" s="32"/>
      <c r="M37" s="35"/>
    </row>
    <row r="38" spans="1:16" hidden="1">
      <c r="A38" s="36">
        <f t="shared" ref="A38:A45" si="6">1+A37</f>
        <v>14</v>
      </c>
      <c r="B38" s="100"/>
      <c r="C38" s="96"/>
      <c r="D38" s="67"/>
      <c r="E38" s="67"/>
      <c r="F38" s="32"/>
      <c r="G38" s="32">
        <f t="shared" si="5"/>
        <v>0</v>
      </c>
      <c r="H38" s="33">
        <f t="shared" si="2"/>
        <v>0</v>
      </c>
      <c r="I38" s="33">
        <f t="shared" si="3"/>
        <v>0</v>
      </c>
      <c r="J38" s="32">
        <f t="shared" si="0"/>
        <v>0</v>
      </c>
      <c r="K38" s="32">
        <f t="shared" si="1"/>
        <v>0</v>
      </c>
      <c r="L38" s="32"/>
      <c r="M38" s="35"/>
    </row>
    <row r="39" spans="1:16" hidden="1">
      <c r="A39" s="36">
        <f t="shared" si="6"/>
        <v>15</v>
      </c>
      <c r="B39" s="100"/>
      <c r="C39" s="96"/>
      <c r="D39" s="67"/>
      <c r="E39" s="67"/>
      <c r="F39" s="32"/>
      <c r="G39" s="32">
        <f t="shared" ref="G39:G45" si="7">B39*C39</f>
        <v>0</v>
      </c>
      <c r="H39" s="33">
        <f t="shared" si="2"/>
        <v>0</v>
      </c>
      <c r="I39" s="33">
        <f t="shared" si="3"/>
        <v>0</v>
      </c>
      <c r="J39" s="32">
        <f t="shared" si="0"/>
        <v>0</v>
      </c>
      <c r="K39" s="32">
        <f t="shared" si="1"/>
        <v>0</v>
      </c>
      <c r="L39" s="32"/>
      <c r="M39" s="35"/>
    </row>
    <row r="40" spans="1:16" hidden="1">
      <c r="A40" s="36">
        <f t="shared" si="6"/>
        <v>16</v>
      </c>
      <c r="B40" s="100"/>
      <c r="C40" s="96"/>
      <c r="D40" s="67"/>
      <c r="E40" s="67"/>
      <c r="F40" s="32"/>
      <c r="G40" s="32">
        <f t="shared" si="7"/>
        <v>0</v>
      </c>
      <c r="H40" s="33">
        <f t="shared" si="2"/>
        <v>0</v>
      </c>
      <c r="I40" s="33">
        <f t="shared" si="3"/>
        <v>0</v>
      </c>
      <c r="J40" s="32">
        <f t="shared" si="0"/>
        <v>0</v>
      </c>
      <c r="K40" s="32">
        <f t="shared" si="1"/>
        <v>0</v>
      </c>
      <c r="L40" s="32"/>
      <c r="M40" s="35"/>
    </row>
    <row r="41" spans="1:16" hidden="1">
      <c r="A41" s="36">
        <f t="shared" si="6"/>
        <v>17</v>
      </c>
      <c r="B41" s="100"/>
      <c r="C41" s="96"/>
      <c r="D41" s="67"/>
      <c r="E41" s="67"/>
      <c r="F41" s="32"/>
      <c r="G41" s="32">
        <f t="shared" si="7"/>
        <v>0</v>
      </c>
      <c r="H41" s="33">
        <f t="shared" si="2"/>
        <v>0</v>
      </c>
      <c r="I41" s="33">
        <f t="shared" si="3"/>
        <v>0</v>
      </c>
      <c r="J41" s="32">
        <f t="shared" si="0"/>
        <v>0</v>
      </c>
      <c r="K41" s="32">
        <f t="shared" si="1"/>
        <v>0</v>
      </c>
      <c r="L41" s="32"/>
      <c r="M41" s="35"/>
    </row>
    <row r="42" spans="1:16" hidden="1">
      <c r="A42" s="36">
        <f t="shared" si="6"/>
        <v>18</v>
      </c>
      <c r="B42" s="100"/>
      <c r="C42" s="96"/>
      <c r="D42" s="67"/>
      <c r="E42" s="67"/>
      <c r="F42" s="32"/>
      <c r="G42" s="32">
        <f t="shared" si="7"/>
        <v>0</v>
      </c>
      <c r="H42" s="33">
        <f t="shared" si="2"/>
        <v>0</v>
      </c>
      <c r="I42" s="33">
        <f t="shared" si="3"/>
        <v>0</v>
      </c>
      <c r="J42" s="32">
        <f t="shared" si="0"/>
        <v>0</v>
      </c>
      <c r="K42" s="32">
        <f t="shared" si="1"/>
        <v>0</v>
      </c>
      <c r="L42" s="32"/>
      <c r="M42" s="35"/>
    </row>
    <row r="43" spans="1:16" hidden="1">
      <c r="A43" s="36">
        <f t="shared" si="6"/>
        <v>19</v>
      </c>
      <c r="B43" s="100"/>
      <c r="C43" s="96"/>
      <c r="D43" s="67"/>
      <c r="E43" s="67"/>
      <c r="F43" s="32"/>
      <c r="G43" s="32">
        <f t="shared" si="7"/>
        <v>0</v>
      </c>
      <c r="H43" s="33">
        <f t="shared" si="2"/>
        <v>0</v>
      </c>
      <c r="I43" s="33">
        <f t="shared" si="3"/>
        <v>0</v>
      </c>
      <c r="J43" s="32">
        <f t="shared" si="0"/>
        <v>0</v>
      </c>
      <c r="K43" s="32">
        <f t="shared" si="1"/>
        <v>0</v>
      </c>
      <c r="L43" s="32"/>
      <c r="M43" s="35"/>
    </row>
    <row r="44" spans="1:16" hidden="1">
      <c r="A44" s="36">
        <f t="shared" si="6"/>
        <v>20</v>
      </c>
      <c r="B44" s="100"/>
      <c r="C44" s="96"/>
      <c r="D44" s="67"/>
      <c r="E44" s="67"/>
      <c r="F44" s="32"/>
      <c r="G44" s="32">
        <f t="shared" si="7"/>
        <v>0</v>
      </c>
      <c r="H44" s="33">
        <f t="shared" si="2"/>
        <v>0</v>
      </c>
      <c r="I44" s="33">
        <f t="shared" si="3"/>
        <v>0</v>
      </c>
      <c r="J44" s="32">
        <f t="shared" si="0"/>
        <v>0</v>
      </c>
      <c r="K44" s="32">
        <f t="shared" si="1"/>
        <v>0</v>
      </c>
      <c r="L44" s="32"/>
      <c r="M44" s="35"/>
    </row>
    <row r="45" spans="1:16" ht="15.75" hidden="1" thickBot="1">
      <c r="A45" s="36">
        <f t="shared" si="6"/>
        <v>21</v>
      </c>
      <c r="B45" s="100"/>
      <c r="C45" s="96"/>
      <c r="D45" s="67"/>
      <c r="E45" s="67"/>
      <c r="F45" s="32"/>
      <c r="G45" s="32">
        <f t="shared" si="7"/>
        <v>0</v>
      </c>
      <c r="H45" s="33">
        <f t="shared" si="2"/>
        <v>0</v>
      </c>
      <c r="I45" s="33">
        <f t="shared" si="3"/>
        <v>0</v>
      </c>
      <c r="J45" s="32">
        <f t="shared" si="0"/>
        <v>0</v>
      </c>
      <c r="K45" s="32">
        <f t="shared" si="1"/>
        <v>0</v>
      </c>
      <c r="L45" s="32"/>
      <c r="M45" s="35"/>
      <c r="O45" s="114"/>
      <c r="P45" s="114"/>
    </row>
    <row r="46" spans="1:16" ht="15.75" hidden="1" thickTop="1">
      <c r="A46" s="36"/>
      <c r="B46" s="100"/>
      <c r="C46" s="96"/>
      <c r="D46" s="67"/>
      <c r="E46" s="67"/>
      <c r="F46" s="32"/>
      <c r="G46" s="32"/>
      <c r="H46" s="32"/>
      <c r="I46" s="32"/>
      <c r="J46" s="32"/>
      <c r="K46" s="32"/>
      <c r="L46" s="32"/>
      <c r="M46" s="35"/>
    </row>
    <row r="47" spans="1:16" hidden="1">
      <c r="A47" s="36">
        <v>0</v>
      </c>
      <c r="B47" s="100"/>
      <c r="C47" s="96"/>
      <c r="D47" s="67"/>
      <c r="E47" s="67"/>
      <c r="F47" s="32"/>
      <c r="G47" s="32">
        <f>PI()*B47^2/4</f>
        <v>0</v>
      </c>
      <c r="H47" s="33">
        <f>G47*D47</f>
        <v>0</v>
      </c>
      <c r="I47" s="33">
        <f>G47*E47</f>
        <v>0</v>
      </c>
      <c r="J47" s="32">
        <f>G47*(E47-$H$58)^2+PI()*B47^4/64</f>
        <v>0</v>
      </c>
      <c r="K47" s="32">
        <f>G47*(D47-$H$57)^2+PI()*B47^4/64</f>
        <v>0</v>
      </c>
      <c r="L47" s="32"/>
      <c r="M47" s="35"/>
    </row>
    <row r="48" spans="1:16" hidden="1">
      <c r="A48" s="36"/>
      <c r="B48" s="100" t="s">
        <v>359</v>
      </c>
      <c r="C48" s="96"/>
      <c r="D48" s="67"/>
      <c r="E48" s="67"/>
      <c r="F48" s="32"/>
      <c r="G48" s="32"/>
      <c r="H48" s="33"/>
      <c r="I48" s="33"/>
      <c r="J48" s="32"/>
      <c r="K48" s="32"/>
      <c r="L48" s="32"/>
      <c r="M48" s="35"/>
    </row>
    <row r="49" spans="1:13" hidden="1">
      <c r="A49" s="36">
        <v>0</v>
      </c>
      <c r="B49" s="100">
        <v>0</v>
      </c>
      <c r="C49" s="96">
        <v>0</v>
      </c>
      <c r="D49" s="67">
        <v>0</v>
      </c>
      <c r="E49" s="67">
        <v>0</v>
      </c>
      <c r="F49" s="32"/>
      <c r="G49" s="32">
        <f>PI()*(B49^2-C49^2)/4</f>
        <v>0</v>
      </c>
      <c r="H49" s="33">
        <f>G49*D49</f>
        <v>0</v>
      </c>
      <c r="I49" s="33">
        <f>G49*E49</f>
        <v>0</v>
      </c>
      <c r="J49" s="32">
        <f>G49*(E49-H58)^2+PI()*(B49^4-C49^4)/64</f>
        <v>0</v>
      </c>
      <c r="K49" s="32">
        <f>G49*(D49-H57)^2+PI()*(B49^4-C49^4)/64</f>
        <v>0</v>
      </c>
      <c r="L49" s="32"/>
      <c r="M49" s="35"/>
    </row>
    <row r="50" spans="1:13">
      <c r="A50" s="36"/>
      <c r="B50" s="60"/>
      <c r="C50" s="32"/>
      <c r="D50" s="32"/>
      <c r="E50" s="32"/>
      <c r="F50" s="32"/>
      <c r="G50" s="60"/>
      <c r="H50" s="32"/>
      <c r="I50" s="32"/>
      <c r="J50" s="32"/>
      <c r="K50" s="32"/>
      <c r="L50" s="32"/>
      <c r="M50" s="32"/>
    </row>
    <row r="51" spans="1:13">
      <c r="A51" s="36"/>
      <c r="B51" s="60"/>
      <c r="C51" s="32"/>
      <c r="D51" s="32"/>
      <c r="E51" s="32"/>
      <c r="F51" s="78">
        <v>7.95</v>
      </c>
      <c r="G51" s="37"/>
      <c r="H51" s="37"/>
      <c r="I51" s="34"/>
      <c r="J51" s="37"/>
      <c r="K51" s="37"/>
      <c r="L51" s="37"/>
      <c r="M51" s="37"/>
    </row>
    <row r="52" spans="1:13">
      <c r="A52" s="36"/>
      <c r="B52" s="59"/>
      <c r="C52" s="35"/>
      <c r="D52" s="35"/>
      <c r="E52" s="35"/>
      <c r="F52" s="70"/>
      <c r="G52" s="34"/>
      <c r="H52" s="34"/>
      <c r="I52" s="34"/>
      <c r="J52" s="34"/>
      <c r="K52" s="34"/>
      <c r="L52" s="34">
        <f>ABS(J53/(H58))</f>
        <v>689.41708157695132</v>
      </c>
      <c r="M52" s="34">
        <f>ABS(K53/(H57))</f>
        <v>308.32629213393784</v>
      </c>
    </row>
    <row r="53" spans="1:13">
      <c r="A53" s="36"/>
      <c r="B53" s="60"/>
      <c r="C53" s="35"/>
      <c r="D53" s="35"/>
      <c r="E53" s="32"/>
      <c r="F53" s="78">
        <v>18.5</v>
      </c>
      <c r="G53" s="37">
        <f>SUM(G25:G50)</f>
        <v>99.850000000000009</v>
      </c>
      <c r="H53" s="54">
        <f>SUM(H25:H50)</f>
        <v>397.85612499999996</v>
      </c>
      <c r="I53" s="37">
        <f>SUM(I25:I50)</f>
        <v>940.64392500000019</v>
      </c>
      <c r="J53" s="37">
        <f>SUM(J25:J50)</f>
        <v>6494.7019486889212</v>
      </c>
      <c r="K53" s="37">
        <f>SUM(K25:K50)</f>
        <v>1228.5378450077765</v>
      </c>
      <c r="L53" s="34"/>
      <c r="M53" s="34"/>
    </row>
    <row r="54" spans="1:13">
      <c r="A54" s="41"/>
      <c r="B54" s="43"/>
      <c r="C54" s="43"/>
      <c r="D54" s="43"/>
      <c r="E54" s="43"/>
      <c r="F54" s="383"/>
      <c r="G54" s="42"/>
      <c r="H54" s="42"/>
      <c r="I54" s="42"/>
      <c r="J54" s="42"/>
      <c r="K54" s="42"/>
      <c r="L54" s="42">
        <f>ABS(J53/(F53-H58))</f>
        <v>715.3204577721732</v>
      </c>
      <c r="M54" s="42">
        <f>ABS(K53/(F51-H57))</f>
        <v>309.80951593873482</v>
      </c>
    </row>
    <row r="55" spans="1:13">
      <c r="F55" s="384"/>
      <c r="G55" s="45"/>
      <c r="H55" s="45"/>
      <c r="I55" s="45"/>
      <c r="J55" s="45"/>
      <c r="K55" s="45"/>
      <c r="L55" s="45"/>
      <c r="M55" s="45"/>
    </row>
    <row r="56" spans="1:13">
      <c r="F56" s="45"/>
      <c r="G56" s="45"/>
      <c r="H56" s="45"/>
      <c r="I56" s="45"/>
      <c r="J56" s="45"/>
      <c r="K56" s="45"/>
      <c r="L56" s="45"/>
      <c r="M56" s="45"/>
    </row>
    <row r="57" spans="1:13" ht="18.75">
      <c r="D57" s="84"/>
      <c r="E57" s="237" t="s">
        <v>71</v>
      </c>
      <c r="F57" s="385"/>
      <c r="G57" s="386" t="s">
        <v>72</v>
      </c>
      <c r="H57" s="387">
        <f>H53/G53</f>
        <v>3.9845380570856279</v>
      </c>
      <c r="I57" s="388" t="s">
        <v>32</v>
      </c>
      <c r="J57" s="386" t="s">
        <v>73</v>
      </c>
      <c r="K57" s="389">
        <f>IF(L52&gt;L54,L54,L52)</f>
        <v>689.41708157695132</v>
      </c>
      <c r="L57" s="390" t="s">
        <v>204</v>
      </c>
      <c r="M57" s="391"/>
    </row>
    <row r="58" spans="1:13" ht="18.75">
      <c r="D58" s="81"/>
      <c r="E58" s="238" t="s">
        <v>74</v>
      </c>
      <c r="F58" s="392"/>
      <c r="G58" s="393" t="s">
        <v>75</v>
      </c>
      <c r="H58" s="394">
        <f>I53/G53</f>
        <v>9.4205701051577382</v>
      </c>
      <c r="I58" s="73" t="s">
        <v>32</v>
      </c>
      <c r="J58" s="393" t="s">
        <v>76</v>
      </c>
      <c r="K58" s="395">
        <f>IF(M52&gt;M54,M54,M52)</f>
        <v>308.32629213393784</v>
      </c>
      <c r="L58" s="396" t="s">
        <v>204</v>
      </c>
      <c r="M58" s="391"/>
    </row>
    <row r="59" spans="1:13">
      <c r="F59" s="45"/>
      <c r="G59" s="45"/>
      <c r="H59" s="45"/>
      <c r="I59" s="45"/>
      <c r="J59" s="45"/>
      <c r="K59" s="45"/>
      <c r="L59" s="45"/>
      <c r="M59" s="45"/>
    </row>
    <row r="60" spans="1:13">
      <c r="F60" s="45"/>
      <c r="G60" s="45"/>
      <c r="H60" s="45"/>
      <c r="I60" s="45"/>
      <c r="J60" s="45"/>
      <c r="K60" s="45"/>
      <c r="L60" s="45"/>
      <c r="M60" s="45"/>
    </row>
    <row r="69" spans="14:14">
      <c r="N69" s="101"/>
    </row>
    <row r="70" spans="14:14">
      <c r="N70" s="101"/>
    </row>
  </sheetData>
  <protectedRanges>
    <protectedRange password="CFC5" sqref="F51:F53 B25:E45" name="Rango1"/>
  </protectedRanges>
  <phoneticPr fontId="0" type="noConversion"/>
  <pageMargins left="0.59055118110236227" right="0.39370078740157483" top="0.39370078740157483" bottom="0.39370078740157483" header="0" footer="0"/>
  <pageSetup scale="65" orientation="portrait" horizontalDpi="300" verticalDpi="300" r:id="rId1"/>
  <headerFooter alignWithMargins="0">
    <oddFooter>&amp;L&amp;"Arial,Normal"TEL (FAX) 01 951 51 4 28 30&amp;C____________________________________________________________________________________________________________________________________________
.&amp;R&amp;"Arial,Normal"CED. PROF. 1718634</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25</vt:i4>
      </vt:variant>
      <vt:variant>
        <vt:lpstr>Rangos con nombre</vt:lpstr>
      </vt:variant>
      <vt:variant>
        <vt:i4>29</vt:i4>
      </vt:variant>
    </vt:vector>
  </HeadingPairs>
  <TitlesOfParts>
    <vt:vector size="54" baseType="lpstr">
      <vt:lpstr>CG. MPB</vt:lpstr>
      <vt:lpstr>CG. MPA</vt:lpstr>
      <vt:lpstr>RMCV.PB</vt:lpstr>
      <vt:lpstr>RMCV.PA</vt:lpstr>
      <vt:lpstr>RMCS.PB</vt:lpstr>
      <vt:lpstr>RMCS.PA</vt:lpstr>
      <vt:lpstr>CASTILLOS-PB</vt:lpstr>
      <vt:lpstr>CASTILLOS-PA</vt:lpstr>
      <vt:lpstr>MUR.CONC-PB</vt:lpstr>
      <vt:lpstr>MUR.CONC-PA</vt:lpstr>
      <vt:lpstr>MOM.VOLTEO</vt:lpstr>
      <vt:lpstr>Pesos por  nivel</vt:lpstr>
      <vt:lpstr>REV.ESFUERZOS</vt:lpstr>
      <vt:lpstr>LOSA-CIMENTACION</vt:lpstr>
      <vt:lpstr>LOSA-VOLADO</vt:lpstr>
      <vt:lpstr>LOSA-VOLADO (2)</vt:lpstr>
      <vt:lpstr>TRABES PA</vt:lpstr>
      <vt:lpstr>losas de v b</vt:lpstr>
      <vt:lpstr>CASTILLO</vt:lpstr>
      <vt:lpstr>DIS-ZAP-LIN</vt:lpstr>
      <vt:lpstr>DIS-ZAP-CENT</vt:lpstr>
      <vt:lpstr>LONGITUD DE MUROS</vt:lpstr>
      <vt:lpstr>ELEM. MECA.</vt:lpstr>
      <vt:lpstr>Hoja1</vt:lpstr>
      <vt:lpstr>M.SECCION</vt:lpstr>
      <vt:lpstr>'LOSA-CIMENTACION'!_fc</vt:lpstr>
      <vt:lpstr>'LOSA-CIMENTACION'!AS</vt:lpstr>
      <vt:lpstr>'LOSA-CIMENTACION'!fy</vt:lpstr>
      <vt:lpstr>FY</vt:lpstr>
      <vt:lpstr>'LOSA-CIMENTACION'!P</vt:lpstr>
      <vt:lpstr>'LOSA-CIMENTACION'!PN</vt:lpstr>
      <vt:lpstr>'LOSA-CIMENTACION'!PP</vt:lpstr>
      <vt:lpstr>CASTILLO!Títulos_a_imprimir</vt:lpstr>
      <vt:lpstr>'CASTILLOS-PA'!Títulos_a_imprimir</vt:lpstr>
      <vt:lpstr>'CASTILLOS-PB'!Títulos_a_imprimir</vt:lpstr>
      <vt:lpstr>'CG. MPA'!Títulos_a_imprimir</vt:lpstr>
      <vt:lpstr>'CG. MPB'!Títulos_a_imprimir</vt:lpstr>
      <vt:lpstr>'DIS-ZAP-CENT'!Títulos_a_imprimir</vt:lpstr>
      <vt:lpstr>'DIS-ZAP-LIN'!Títulos_a_imprimir</vt:lpstr>
      <vt:lpstr>'LOSA-CIMENTACION'!Títulos_a_imprimir</vt:lpstr>
      <vt:lpstr>'losas de v b'!Títulos_a_imprimir</vt:lpstr>
      <vt:lpstr>'LOSA-VOLADO'!Títulos_a_imprimir</vt:lpstr>
      <vt:lpstr>'LOSA-VOLADO (2)'!Títulos_a_imprimir</vt:lpstr>
      <vt:lpstr>M.SECCION!Títulos_a_imprimir</vt:lpstr>
      <vt:lpstr>MOM.VOLTEO!Títulos_a_imprimir</vt:lpstr>
      <vt:lpstr>'MUR.CONC-PA'!Títulos_a_imprimir</vt:lpstr>
      <vt:lpstr>'MUR.CONC-PB'!Títulos_a_imprimir</vt:lpstr>
      <vt:lpstr>REV.ESFUERZOS!Títulos_a_imprimir</vt:lpstr>
      <vt:lpstr>RMCS.PA!Títulos_a_imprimir</vt:lpstr>
      <vt:lpstr>RMCS.PB!Títulos_a_imprimir</vt:lpstr>
      <vt:lpstr>RMCV.PA!Títulos_a_imprimir</vt:lpstr>
      <vt:lpstr>RMCV.PB!Títulos_a_imprimir</vt:lpstr>
      <vt:lpstr>'TRABES PA'!Títulos_a_imprimir</vt:lpstr>
      <vt:lpstr>'LOSA-CIMENTACION'!W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 NOEL GABRIEL ZARAGOZA LUNA</dc:creator>
  <cp:lastModifiedBy>Angel Balderas</cp:lastModifiedBy>
  <cp:lastPrinted>2007-11-21T23:13:31Z</cp:lastPrinted>
  <dcterms:created xsi:type="dcterms:W3CDTF">2000-07-28T16:14:58Z</dcterms:created>
  <dcterms:modified xsi:type="dcterms:W3CDTF">2026-10-10T00:06:35Z</dcterms:modified>
</cp:coreProperties>
</file>